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omments3.xml" ContentType="application/vnd.openxmlformats-officedocument.spreadsheetml.comments+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omments4.xml" ContentType="application/vnd.openxmlformats-officedocument.spreadsheetml.comments+xml"/>
  <Override PartName="/xl/drawings/drawing9.xml" ContentType="application/vnd.openxmlformats-officedocument.drawing+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0.xml" ContentType="application/vnd.openxmlformats-officedocument.drawingml.chartshapes+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1.xml" ContentType="application/vnd.openxmlformats-officedocument.drawingml.chartshapes+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2.xml" ContentType="application/vnd.openxmlformats-officedocument.drawing+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M:\FAIST-PLANT\Shared Folder\PRODUCCION 2025\OEE FMM\"/>
    </mc:Choice>
  </mc:AlternateContent>
  <xr:revisionPtr revIDLastSave="0" documentId="13_ncr:1_{46998776-42E2-49F0-AB47-F96B5C89EFB4}" xr6:coauthVersionLast="47" xr6:coauthVersionMax="47" xr10:uidLastSave="{00000000-0000-0000-0000-000000000000}"/>
  <bookViews>
    <workbookView xWindow="-120" yWindow="-120" windowWidth="29040" windowHeight="15720" tabRatio="768" firstSheet="13" activeTab="13" xr2:uid="{00000000-000D-0000-FFFF-FFFF00000000}"/>
  </bookViews>
  <sheets>
    <sheet name="OEE FT LIM M Y S" sheetId="80" state="hidden" r:id="rId1"/>
    <sheet name="OEE FT LEAKTEST" sheetId="58" state="hidden" r:id="rId2"/>
    <sheet name="OEE FT PRENSA" sheetId="77" state="hidden" r:id="rId3"/>
    <sheet name="OEE FT EMPAQUE" sheetId="81" state="hidden" r:id="rId4"/>
    <sheet name="GRAFICA FORMADORA" sheetId="70" state="hidden" r:id="rId5"/>
    <sheet name="Hoja1" sheetId="69" state="hidden" r:id="rId6"/>
    <sheet name="KG DE SCRAP" sheetId="68" state="hidden" r:id="rId7"/>
    <sheet name="Hoja2" sheetId="73" state="hidden" r:id="rId8"/>
    <sheet name="PPM´s" sheetId="56" state="hidden" r:id="rId9"/>
    <sheet name="GRAFICA PRENSA" sheetId="71" state="hidden" r:id="rId10"/>
    <sheet name="GRAFICA LEAK TEST" sheetId="72" state="hidden" r:id="rId11"/>
    <sheet name="TIMEPO CAIDO" sheetId="8" state="hidden" r:id="rId12"/>
    <sheet name="SPEED FACTOR REA" sheetId="63" state="hidden" r:id="rId13"/>
    <sheet name="OEE REA" sheetId="4" r:id="rId14"/>
    <sheet name="OEE daily REA " sheetId="86" r:id="rId15"/>
    <sheet name="OEE MONTH REA" sheetId="67" r:id="rId16"/>
    <sheet name="CRANK ASSY" sheetId="82" r:id="rId17"/>
    <sheet name="Hoja6" sheetId="85" r:id="rId18"/>
    <sheet name="OEE MONTHLY REA" sheetId="65" state="hidden" r:id="rId19"/>
    <sheet name="Hoja3" sheetId="76" state="hidden" r:id="rId20"/>
    <sheet name="BASE DE DATOS" sheetId="53" state="hidden" r:id="rId21"/>
  </sheets>
  <externalReferences>
    <externalReference r:id="rId22"/>
  </externalReferences>
  <definedNames>
    <definedName name="_xlnm._FilterDatabase" localSheetId="16" hidden="1">'CRANK ASSY'!$A$2:$AI$205</definedName>
    <definedName name="_xlnm._FilterDatabase" localSheetId="3" hidden="1">'OEE FT EMPAQUE'!$A$2:$AJ$2</definedName>
    <definedName name="_xlnm._FilterDatabase" localSheetId="1" hidden="1">'OEE FT LEAKTEST'!$C$1:$C$2</definedName>
    <definedName name="_xlnm._FilterDatabase" localSheetId="0" hidden="1">'OEE FT LIM M Y S'!$C$1:$C$2</definedName>
    <definedName name="_xlnm._FilterDatabase" localSheetId="2" hidden="1">'OEE FT PRENSA'!$C$1:$C$2</definedName>
    <definedName name="_xlnm._FilterDatabase" localSheetId="13" hidden="1">'OEE REA'!$A$2:$BH$562</definedName>
    <definedName name="_xlnm._FilterDatabase" localSheetId="12" hidden="1">'SPEED FACTOR REA'!$A$1:$S$678</definedName>
    <definedName name="_xlnm._FilterDatabase" localSheetId="11" hidden="1">'TIMEPO CAIDO'!$B$1:$B$16</definedName>
    <definedName name="_xlnm.Print_Area" localSheetId="17">Hoja6!$G$26:$U$53</definedName>
    <definedName name="_xlnm.Print_Area" localSheetId="13">'OEE REA'!$AY$2:$AY$2</definedName>
    <definedName name="Frage">[1]Basis!$I$2:$I$34</definedName>
    <definedName name="FranciscoMárquez" localSheetId="16">#REF!</definedName>
    <definedName name="FranciscoMárquez" localSheetId="14">#REF!</definedName>
    <definedName name="FranciscoMárquez" localSheetId="3">'OEE FT EMPAQUE'!#REF!</definedName>
    <definedName name="FranciscoMárquez" localSheetId="1">'OEE FT LEAKTEST'!#REF!</definedName>
    <definedName name="FranciscoMárquez" localSheetId="0">'OEE FT LIM M Y S'!#REF!</definedName>
    <definedName name="FranciscoMárquez" localSheetId="2">'OEE FT PRENSA'!#REF!</definedName>
    <definedName name="FranciscoMárquez" localSheetId="15">#REF!</definedName>
    <definedName name="FranciscoMárquez" localSheetId="18">#REF!</definedName>
    <definedName name="FranciscoMárquez">#REF!</definedName>
    <definedName name="NativeTimeline_FECHA">#N/A</definedName>
    <definedName name="Slicer_Años1">#N/A</definedName>
    <definedName name="wirksam">[1]Basis!$G$2:$G$3</definedName>
  </definedNames>
  <calcPr calcId="191029"/>
  <pivotCaches>
    <pivotCache cacheId="22" r:id="rId23"/>
    <pivotCache cacheId="23" r:id="rId24"/>
    <pivotCache cacheId="24" r:id="rId25"/>
  </pivotCaches>
  <extLst>
    <ext xmlns:x14="http://schemas.microsoft.com/office/spreadsheetml/2009/9/main" uri="{BBE1A952-AA13-448e-AADC-164F8A28A991}">
      <x14:slicerCaches>
        <x14:slicerCache r:id="rId2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7"/>
      </x15:timelineCacheRefs>
    </ext>
  </extLst>
</workbook>
</file>

<file path=xl/calcChain.xml><?xml version="1.0" encoding="utf-8"?>
<calcChain xmlns="http://schemas.openxmlformats.org/spreadsheetml/2006/main">
  <c r="H6" i="67" l="1"/>
  <c r="FP6" i="86"/>
  <c r="FO6" i="86"/>
  <c r="FP5" i="86"/>
  <c r="FN6" i="86"/>
  <c r="M193" i="82"/>
  <c r="A206" i="82"/>
  <c r="J206" i="82"/>
  <c r="K206" i="82"/>
  <c r="Q206" i="82"/>
  <c r="AE206" i="82"/>
  <c r="AG206" i="82"/>
  <c r="A207" i="82"/>
  <c r="A208" i="82" s="1"/>
  <c r="A209" i="82" s="1"/>
  <c r="J207" i="82"/>
  <c r="K207" i="82"/>
  <c r="L207" i="82"/>
  <c r="P207" i="82"/>
  <c r="Q207" i="82"/>
  <c r="R207" i="82"/>
  <c r="AE207" i="82"/>
  <c r="AG207" i="82"/>
  <c r="AH207" i="82"/>
  <c r="AI207" i="82" s="1"/>
  <c r="J208" i="82"/>
  <c r="K208" i="82" s="1"/>
  <c r="L208" i="82" s="1"/>
  <c r="P208" i="82"/>
  <c r="Q208" i="82"/>
  <c r="AE208" i="82"/>
  <c r="AG208" i="82" s="1"/>
  <c r="J209" i="82"/>
  <c r="K209" i="82"/>
  <c r="Q209" i="82"/>
  <c r="AE209" i="82"/>
  <c r="AG209" i="82"/>
  <c r="A210" i="82"/>
  <c r="A211" i="82" s="1"/>
  <c r="A212" i="82" s="1"/>
  <c r="J210" i="82"/>
  <c r="K210" i="82" s="1"/>
  <c r="P210" i="82" s="1"/>
  <c r="L210" i="82"/>
  <c r="Q210" i="82"/>
  <c r="R210" i="82"/>
  <c r="AE210" i="82"/>
  <c r="AG210" i="82" s="1"/>
  <c r="AH210" i="82"/>
  <c r="J211" i="82"/>
  <c r="K211" i="82" s="1"/>
  <c r="L211" i="82" s="1"/>
  <c r="P211" i="82"/>
  <c r="Q211" i="82"/>
  <c r="AE211" i="82"/>
  <c r="J212" i="82"/>
  <c r="K212" i="82"/>
  <c r="Q212" i="82"/>
  <c r="AE212" i="82"/>
  <c r="AG212" i="82"/>
  <c r="A213" i="82"/>
  <c r="A214" i="82" s="1"/>
  <c r="A215" i="82" s="1"/>
  <c r="A216" i="82" s="1"/>
  <c r="A217" i="82" s="1"/>
  <c r="A218" i="82" s="1"/>
  <c r="A219" i="82" s="1"/>
  <c r="A220" i="82" s="1"/>
  <c r="A221" i="82" s="1"/>
  <c r="A222" i="82" s="1"/>
  <c r="A223" i="82" s="1"/>
  <c r="A224" i="82" s="1"/>
  <c r="A225" i="82" s="1"/>
  <c r="A226" i="82" s="1"/>
  <c r="A227" i="82" s="1"/>
  <c r="A228" i="82" s="1"/>
  <c r="A229" i="82" s="1"/>
  <c r="A230" i="82" s="1"/>
  <c r="J213" i="82"/>
  <c r="K213" i="82"/>
  <c r="L213" i="82"/>
  <c r="P213" i="82"/>
  <c r="Q213" i="82"/>
  <c r="R213" i="82"/>
  <c r="AH213" i="82" s="1"/>
  <c r="AI213" i="82" s="1"/>
  <c r="AE213" i="82"/>
  <c r="AG213" i="82"/>
  <c r="J214" i="82"/>
  <c r="K214" i="82" s="1"/>
  <c r="Q214" i="82"/>
  <c r="AE214" i="82"/>
  <c r="AG214" i="82" s="1"/>
  <c r="J215" i="82"/>
  <c r="K215" i="82"/>
  <c r="Q215" i="82"/>
  <c r="AE215" i="82"/>
  <c r="AG215" i="82"/>
  <c r="J216" i="82"/>
  <c r="K216" i="82" s="1"/>
  <c r="Q216" i="82"/>
  <c r="R216" i="82"/>
  <c r="AH216" i="82" s="1"/>
  <c r="AE216" i="82"/>
  <c r="AG216" i="82" s="1"/>
  <c r="J217" i="82"/>
  <c r="K217" i="82" s="1"/>
  <c r="L217" i="82" s="1"/>
  <c r="Q217" i="82"/>
  <c r="AE217" i="82"/>
  <c r="J218" i="82"/>
  <c r="K218" i="82"/>
  <c r="Q218" i="82"/>
  <c r="AE218" i="82"/>
  <c r="AG218" i="82"/>
  <c r="J219" i="82"/>
  <c r="K219" i="82"/>
  <c r="L219" i="82"/>
  <c r="P219" i="82"/>
  <c r="Q219" i="82"/>
  <c r="R219" i="82"/>
  <c r="AE219" i="82"/>
  <c r="AG219" i="82"/>
  <c r="AH219" i="82"/>
  <c r="AI219" i="82" s="1"/>
  <c r="J220" i="82"/>
  <c r="K220" i="82" s="1"/>
  <c r="L220" i="82" s="1"/>
  <c r="P220" i="82"/>
  <c r="Q220" i="82"/>
  <c r="AE220" i="82"/>
  <c r="AG220" i="82" s="1"/>
  <c r="J221" i="82"/>
  <c r="K221" i="82"/>
  <c r="Q221" i="82"/>
  <c r="AE221" i="82"/>
  <c r="AG221" i="82"/>
  <c r="J222" i="82"/>
  <c r="K222" i="82" s="1"/>
  <c r="Q222" i="82"/>
  <c r="R222" i="82"/>
  <c r="AE222" i="82"/>
  <c r="AG222" i="82" s="1"/>
  <c r="AH222" i="82"/>
  <c r="J223" i="82"/>
  <c r="K223" i="82" s="1"/>
  <c r="Q223" i="82"/>
  <c r="AE223" i="82"/>
  <c r="J224" i="82"/>
  <c r="K224" i="82"/>
  <c r="Q224" i="82"/>
  <c r="AE224" i="82"/>
  <c r="AG224" i="82"/>
  <c r="J225" i="82"/>
  <c r="K225" i="82"/>
  <c r="L225" i="82"/>
  <c r="P225" i="82"/>
  <c r="Q225" i="82"/>
  <c r="R225" i="82"/>
  <c r="AH225" i="82" s="1"/>
  <c r="AI225" i="82" s="1"/>
  <c r="AE225" i="82"/>
  <c r="AG225" i="82"/>
  <c r="J226" i="82"/>
  <c r="K226" i="82" s="1"/>
  <c r="Q226" i="82"/>
  <c r="AE226" i="82"/>
  <c r="AG226" i="82" s="1"/>
  <c r="J227" i="82"/>
  <c r="K227" i="82"/>
  <c r="Q227" i="82"/>
  <c r="AE227" i="82"/>
  <c r="AG227" i="82"/>
  <c r="J228" i="82"/>
  <c r="K228" i="82"/>
  <c r="Q228" i="82"/>
  <c r="R228" i="82"/>
  <c r="AE228" i="82"/>
  <c r="AG228" i="82"/>
  <c r="AH228" i="82"/>
  <c r="J229" i="82"/>
  <c r="K229" i="82" s="1"/>
  <c r="L229" i="82"/>
  <c r="P229" i="82"/>
  <c r="Q229" i="82"/>
  <c r="AE229" i="82"/>
  <c r="J230" i="82"/>
  <c r="K230" i="82"/>
  <c r="Q230" i="82"/>
  <c r="AE230" i="82"/>
  <c r="AG230" i="82"/>
  <c r="A231" i="82"/>
  <c r="A232" i="82" s="1"/>
  <c r="A233" i="82" s="1"/>
  <c r="A234" i="82" s="1"/>
  <c r="A235" i="82" s="1"/>
  <c r="A236" i="82" s="1"/>
  <c r="A237" i="82" s="1"/>
  <c r="A238" i="82" s="1"/>
  <c r="A239" i="82" s="1"/>
  <c r="J231" i="82"/>
  <c r="K231" i="82"/>
  <c r="L231" i="82"/>
  <c r="P231" i="82"/>
  <c r="Q231" i="82"/>
  <c r="R231" i="82"/>
  <c r="AH231" i="82" s="1"/>
  <c r="AI231" i="82" s="1"/>
  <c r="AE231" i="82"/>
  <c r="AG231" i="82"/>
  <c r="J232" i="82"/>
  <c r="K232" i="82" s="1"/>
  <c r="L232" i="82" s="1"/>
  <c r="P232" i="82"/>
  <c r="Q232" i="82"/>
  <c r="AE232" i="82"/>
  <c r="J233" i="82"/>
  <c r="K233" i="82"/>
  <c r="Q233" i="82"/>
  <c r="AE233" i="82"/>
  <c r="AG233" i="82"/>
  <c r="J234" i="82"/>
  <c r="K234" i="82"/>
  <c r="P234" i="82" s="1"/>
  <c r="L234" i="82"/>
  <c r="Q234" i="82"/>
  <c r="R234" i="82"/>
  <c r="AH234" i="82" s="1"/>
  <c r="AI234" i="82" s="1"/>
  <c r="AE234" i="82"/>
  <c r="AG234" i="82"/>
  <c r="J235" i="82"/>
  <c r="K235" i="82" s="1"/>
  <c r="L235" i="82" s="1"/>
  <c r="P235" i="82"/>
  <c r="Q235" i="82"/>
  <c r="AE235" i="82"/>
  <c r="J236" i="82"/>
  <c r="K236" i="82"/>
  <c r="Q236" i="82"/>
  <c r="AE236" i="82"/>
  <c r="AG236" i="82"/>
  <c r="J237" i="82"/>
  <c r="K237" i="82"/>
  <c r="L237" i="82"/>
  <c r="P237" i="82"/>
  <c r="Q237" i="82"/>
  <c r="R237" i="82"/>
  <c r="AE237" i="82"/>
  <c r="AG237" i="82"/>
  <c r="AH237" i="82"/>
  <c r="AI237" i="82" s="1"/>
  <c r="J238" i="82"/>
  <c r="K238" i="82" s="1"/>
  <c r="L238" i="82" s="1"/>
  <c r="P238" i="82"/>
  <c r="Q238" i="82"/>
  <c r="AE238" i="82"/>
  <c r="J239" i="82"/>
  <c r="K239" i="82"/>
  <c r="Q239" i="82"/>
  <c r="AE239" i="82"/>
  <c r="AG239" i="82"/>
  <c r="A240" i="82"/>
  <c r="A241" i="82" s="1"/>
  <c r="A242" i="82" s="1"/>
  <c r="A243" i="82" s="1"/>
  <c r="A244" i="82" s="1"/>
  <c r="A245" i="82" s="1"/>
  <c r="A246" i="82" s="1"/>
  <c r="A247" i="82" s="1"/>
  <c r="A248" i="82" s="1"/>
  <c r="A249" i="82" s="1"/>
  <c r="A250" i="82" s="1"/>
  <c r="A251" i="82" s="1"/>
  <c r="A252" i="82" s="1"/>
  <c r="A253" i="82" s="1"/>
  <c r="A254" i="82" s="1"/>
  <c r="A255" i="82" s="1"/>
  <c r="A256" i="82" s="1"/>
  <c r="A257" i="82" s="1"/>
  <c r="A258" i="82" s="1"/>
  <c r="A259" i="82" s="1"/>
  <c r="A260" i="82" s="1"/>
  <c r="A261" i="82" s="1"/>
  <c r="A262" i="82" s="1"/>
  <c r="J240" i="82"/>
  <c r="K240" i="82"/>
  <c r="Q240" i="82"/>
  <c r="R240" i="82"/>
  <c r="AE240" i="82"/>
  <c r="AG240" i="82"/>
  <c r="AH240" i="82"/>
  <c r="J241" i="82"/>
  <c r="K241" i="82" s="1"/>
  <c r="L241" i="82"/>
  <c r="P241" i="82"/>
  <c r="Q241" i="82"/>
  <c r="AE241" i="82"/>
  <c r="J242" i="82"/>
  <c r="K242" i="82"/>
  <c r="L242" i="82" s="1"/>
  <c r="P242" i="82"/>
  <c r="Q242" i="82"/>
  <c r="AE242" i="82"/>
  <c r="AG242" i="82"/>
  <c r="J243" i="82"/>
  <c r="K243" i="82"/>
  <c r="L243" i="82"/>
  <c r="P243" i="82"/>
  <c r="Q243" i="82"/>
  <c r="R243" i="82"/>
  <c r="AH243" i="82" s="1"/>
  <c r="AI243" i="82" s="1"/>
  <c r="AE243" i="82"/>
  <c r="AG243" i="82"/>
  <c r="J244" i="82"/>
  <c r="K244" i="82" s="1"/>
  <c r="L244" i="82" s="1"/>
  <c r="P244" i="82"/>
  <c r="Q244" i="82"/>
  <c r="R244" i="82"/>
  <c r="AE244" i="82"/>
  <c r="AG244" i="82" s="1"/>
  <c r="J245" i="82"/>
  <c r="K245" i="82" s="1"/>
  <c r="Q245" i="82"/>
  <c r="AE245" i="82"/>
  <c r="AG245" i="82"/>
  <c r="J246" i="82"/>
  <c r="K246" i="82"/>
  <c r="Q246" i="82"/>
  <c r="R246" i="82"/>
  <c r="AH246" i="82" s="1"/>
  <c r="AE246" i="82"/>
  <c r="AG246" i="82" s="1"/>
  <c r="J247" i="82"/>
  <c r="K247" i="82"/>
  <c r="L247" i="82"/>
  <c r="P247" i="82"/>
  <c r="Q247" i="82"/>
  <c r="AE247" i="82"/>
  <c r="J248" i="82"/>
  <c r="K248" i="82"/>
  <c r="P248" i="82" s="1"/>
  <c r="L248" i="82"/>
  <c r="Q248" i="82"/>
  <c r="R248" i="82" s="1"/>
  <c r="AE248" i="82"/>
  <c r="AG248" i="82"/>
  <c r="J249" i="82"/>
  <c r="K249" i="82"/>
  <c r="L249" i="82"/>
  <c r="P249" i="82"/>
  <c r="Q249" i="82"/>
  <c r="R249" i="82" s="1"/>
  <c r="AE249" i="82"/>
  <c r="AG249" i="82"/>
  <c r="AH249" i="82"/>
  <c r="AI249" i="82" s="1"/>
  <c r="J250" i="82"/>
  <c r="K250" i="82" s="1"/>
  <c r="L250" i="82" s="1"/>
  <c r="P250" i="82"/>
  <c r="Q250" i="82"/>
  <c r="AE250" i="82"/>
  <c r="AG250" i="82" s="1"/>
  <c r="J251" i="82"/>
  <c r="K251" i="82"/>
  <c r="Q251" i="82"/>
  <c r="AE251" i="82"/>
  <c r="AG251" i="82" s="1"/>
  <c r="J252" i="82"/>
  <c r="K252" i="82" s="1"/>
  <c r="Q252" i="82"/>
  <c r="AE252" i="82"/>
  <c r="R252" i="82" s="1"/>
  <c r="AG252" i="82"/>
  <c r="AH252" i="82"/>
  <c r="J253" i="82"/>
  <c r="K253" i="82"/>
  <c r="Q253" i="82"/>
  <c r="AE253" i="82"/>
  <c r="J254" i="82"/>
  <c r="K254" i="82"/>
  <c r="Q254" i="82"/>
  <c r="R254" i="82" s="1"/>
  <c r="AE254" i="82"/>
  <c r="AG254" i="82"/>
  <c r="AH254" i="82"/>
  <c r="J255" i="82"/>
  <c r="K255" i="82"/>
  <c r="L255" i="82"/>
  <c r="P255" i="82"/>
  <c r="Q255" i="82"/>
  <c r="AE255" i="82"/>
  <c r="AG255" i="82"/>
  <c r="J256" i="82"/>
  <c r="K256" i="82" s="1"/>
  <c r="L256" i="82" s="1"/>
  <c r="P256" i="82"/>
  <c r="Q256" i="82"/>
  <c r="AE256" i="82"/>
  <c r="J257" i="82"/>
  <c r="K257" i="82" s="1"/>
  <c r="Q257" i="82"/>
  <c r="AE257" i="82"/>
  <c r="AG257" i="82" s="1"/>
  <c r="J258" i="82"/>
  <c r="K258" i="82"/>
  <c r="P258" i="82" s="1"/>
  <c r="L258" i="82"/>
  <c r="Q258" i="82"/>
  <c r="AE258" i="82"/>
  <c r="J259" i="82"/>
  <c r="K259" i="82"/>
  <c r="L259" i="82" s="1"/>
  <c r="P259" i="82"/>
  <c r="Q259" i="82"/>
  <c r="AE259" i="82"/>
  <c r="R259" i="82" s="1"/>
  <c r="AG259" i="82"/>
  <c r="AH259" i="82"/>
  <c r="J260" i="82"/>
  <c r="K260" i="82"/>
  <c r="L260" i="82"/>
  <c r="P260" i="82"/>
  <c r="Q260" i="82"/>
  <c r="AE260" i="82"/>
  <c r="AG260" i="82"/>
  <c r="J261" i="82"/>
  <c r="K261" i="82"/>
  <c r="L261" i="82"/>
  <c r="P261" i="82"/>
  <c r="Q261" i="82"/>
  <c r="R261" i="82"/>
  <c r="AE261" i="82"/>
  <c r="AG261" i="82"/>
  <c r="AH261" i="82"/>
  <c r="AI261" i="82" s="1"/>
  <c r="J262" i="82"/>
  <c r="K262" i="82" s="1"/>
  <c r="L262" i="82" s="1"/>
  <c r="P262" i="82"/>
  <c r="Q262" i="82"/>
  <c r="R262" i="82"/>
  <c r="AE262" i="82"/>
  <c r="AG262" i="82" s="1"/>
  <c r="A263" i="82"/>
  <c r="A264" i="82" s="1"/>
  <c r="A265" i="82" s="1"/>
  <c r="A266" i="82" s="1"/>
  <c r="A267" i="82" s="1"/>
  <c r="J263" i="82"/>
  <c r="K263" i="82" s="1"/>
  <c r="Q263" i="82"/>
  <c r="AE263" i="82"/>
  <c r="AG263" i="82"/>
  <c r="J264" i="82"/>
  <c r="K264" i="82"/>
  <c r="Q264" i="82"/>
  <c r="AE264" i="82"/>
  <c r="J265" i="82"/>
  <c r="K265" i="82"/>
  <c r="L265" i="82"/>
  <c r="P265" i="82"/>
  <c r="Q265" i="82"/>
  <c r="AE265" i="82"/>
  <c r="J266" i="82"/>
  <c r="K266" i="82"/>
  <c r="L266" i="82"/>
  <c r="P266" i="82"/>
  <c r="Q266" i="82"/>
  <c r="R266" i="82" s="1"/>
  <c r="AE266" i="82"/>
  <c r="AG266" i="82"/>
  <c r="J267" i="82"/>
  <c r="K267" i="82"/>
  <c r="L267" i="82"/>
  <c r="P267" i="82"/>
  <c r="Q267" i="82"/>
  <c r="R267" i="82" s="1"/>
  <c r="AE267" i="82"/>
  <c r="AG267" i="82"/>
  <c r="AH267" i="82"/>
  <c r="A268" i="82"/>
  <c r="A269" i="82" s="1"/>
  <c r="A270" i="82" s="1"/>
  <c r="A271" i="82" s="1"/>
  <c r="A272" i="82" s="1"/>
  <c r="A273" i="82" s="1"/>
  <c r="A274" i="82" s="1"/>
  <c r="A275" i="82" s="1"/>
  <c r="A276" i="82" s="1"/>
  <c r="A277" i="82" s="1"/>
  <c r="A278" i="82" s="1"/>
  <c r="A279" i="82" s="1"/>
  <c r="A280" i="82" s="1"/>
  <c r="A281" i="82" s="1"/>
  <c r="A282" i="82" s="1"/>
  <c r="A283" i="82" s="1"/>
  <c r="A284" i="82" s="1"/>
  <c r="A285" i="82" s="1"/>
  <c r="A286" i="82" s="1"/>
  <c r="A287" i="82" s="1"/>
  <c r="A288" i="82" s="1"/>
  <c r="A289" i="82" s="1"/>
  <c r="A290" i="82" s="1"/>
  <c r="A291" i="82" s="1"/>
  <c r="A292" i="82" s="1"/>
  <c r="A293" i="82" s="1"/>
  <c r="A294" i="82" s="1"/>
  <c r="A295" i="82" s="1"/>
  <c r="A296" i="82" s="1"/>
  <c r="A297" i="82" s="1"/>
  <c r="A298" i="82" s="1"/>
  <c r="A299" i="82" s="1"/>
  <c r="A300" i="82" s="1"/>
  <c r="A301" i="82" s="1"/>
  <c r="A302" i="82" s="1"/>
  <c r="A303" i="82" s="1"/>
  <c r="A304" i="82" s="1"/>
  <c r="A305" i="82" s="1"/>
  <c r="A306" i="82" s="1"/>
  <c r="A307" i="82" s="1"/>
  <c r="A308" i="82" s="1"/>
  <c r="A309" i="82" s="1"/>
  <c r="A310" i="82" s="1"/>
  <c r="A311" i="82" s="1"/>
  <c r="A312" i="82" s="1"/>
  <c r="A313" i="82" s="1"/>
  <c r="A314" i="82" s="1"/>
  <c r="A315" i="82" s="1"/>
  <c r="A316" i="82" s="1"/>
  <c r="A317" i="82" s="1"/>
  <c r="A318" i="82" s="1"/>
  <c r="A319" i="82" s="1"/>
  <c r="A320" i="82" s="1"/>
  <c r="A321" i="82" s="1"/>
  <c r="A322" i="82" s="1"/>
  <c r="A323" i="82" s="1"/>
  <c r="A324" i="82" s="1"/>
  <c r="A325" i="82" s="1"/>
  <c r="A326" i="82" s="1"/>
  <c r="A327" i="82" s="1"/>
  <c r="A328" i="82" s="1"/>
  <c r="A329" i="82" s="1"/>
  <c r="A330" i="82" s="1"/>
  <c r="A331" i="82" s="1"/>
  <c r="A332" i="82" s="1"/>
  <c r="A333" i="82" s="1"/>
  <c r="A334" i="82" s="1"/>
  <c r="A335" i="82" s="1"/>
  <c r="A336" i="82" s="1"/>
  <c r="A337" i="82" s="1"/>
  <c r="A338" i="82" s="1"/>
  <c r="A339" i="82" s="1"/>
  <c r="A340" i="82" s="1"/>
  <c r="A341" i="82" s="1"/>
  <c r="A342" i="82" s="1"/>
  <c r="A343" i="82" s="1"/>
  <c r="A344" i="82" s="1"/>
  <c r="A345" i="82" s="1"/>
  <c r="A346" i="82" s="1"/>
  <c r="A347" i="82" s="1"/>
  <c r="A348" i="82" s="1"/>
  <c r="A349" i="82" s="1"/>
  <c r="A350" i="82" s="1"/>
  <c r="A351" i="82" s="1"/>
  <c r="A352" i="82" s="1"/>
  <c r="A353" i="82" s="1"/>
  <c r="A354" i="82" s="1"/>
  <c r="A355" i="82" s="1"/>
  <c r="A356" i="82" s="1"/>
  <c r="A357" i="82" s="1"/>
  <c r="A358" i="82" s="1"/>
  <c r="A359" i="82" s="1"/>
  <c r="A360" i="82" s="1"/>
  <c r="A361" i="82" s="1"/>
  <c r="A362" i="82" s="1"/>
  <c r="A363" i="82" s="1"/>
  <c r="A364" i="82" s="1"/>
  <c r="A365" i="82" s="1"/>
  <c r="A366" i="82" s="1"/>
  <c r="A367" i="82" s="1"/>
  <c r="A368" i="82" s="1"/>
  <c r="A369" i="82" s="1"/>
  <c r="A370" i="82" s="1"/>
  <c r="A371" i="82" s="1"/>
  <c r="A372" i="82" s="1"/>
  <c r="A373" i="82" s="1"/>
  <c r="A374" i="82" s="1"/>
  <c r="A375" i="82" s="1"/>
  <c r="A376" i="82" s="1"/>
  <c r="A377" i="82" s="1"/>
  <c r="A378" i="82" s="1"/>
  <c r="A379" i="82" s="1"/>
  <c r="A380" i="82" s="1"/>
  <c r="A381" i="82" s="1"/>
  <c r="A382" i="82" s="1"/>
  <c r="A383" i="82" s="1"/>
  <c r="A384" i="82" s="1"/>
  <c r="A385" i="82" s="1"/>
  <c r="A386" i="82" s="1"/>
  <c r="A387" i="82" s="1"/>
  <c r="A388" i="82" s="1"/>
  <c r="A389" i="82" s="1"/>
  <c r="A390" i="82" s="1"/>
  <c r="A391" i="82" s="1"/>
  <c r="A392" i="82" s="1"/>
  <c r="A393" i="82" s="1"/>
  <c r="A394" i="82" s="1"/>
  <c r="A395" i="82" s="1"/>
  <c r="A396" i="82" s="1"/>
  <c r="A397" i="82" s="1"/>
  <c r="A398" i="82" s="1"/>
  <c r="A399" i="82" s="1"/>
  <c r="A400" i="82" s="1"/>
  <c r="A401" i="82" s="1"/>
  <c r="A402" i="82" s="1"/>
  <c r="A403" i="82" s="1"/>
  <c r="A404" i="82" s="1"/>
  <c r="A405" i="82" s="1"/>
  <c r="A406" i="82" s="1"/>
  <c r="A407" i="82" s="1"/>
  <c r="A408" i="82" s="1"/>
  <c r="A409" i="82" s="1"/>
  <c r="A410" i="82" s="1"/>
  <c r="A411" i="82" s="1"/>
  <c r="A412" i="82" s="1"/>
  <c r="A413" i="82" s="1"/>
  <c r="A414" i="82" s="1"/>
  <c r="A415" i="82" s="1"/>
  <c r="A416" i="82" s="1"/>
  <c r="A417" i="82" s="1"/>
  <c r="A418" i="82" s="1"/>
  <c r="A419" i="82" s="1"/>
  <c r="A420" i="82" s="1"/>
  <c r="A421" i="82" s="1"/>
  <c r="A422" i="82" s="1"/>
  <c r="A423" i="82" s="1"/>
  <c r="A424" i="82" s="1"/>
  <c r="A425" i="82" s="1"/>
  <c r="A426" i="82" s="1"/>
  <c r="A427" i="82" s="1"/>
  <c r="A428" i="82" s="1"/>
  <c r="A429" i="82" s="1"/>
  <c r="A430" i="82" s="1"/>
  <c r="A431" i="82" s="1"/>
  <c r="A432" i="82" s="1"/>
  <c r="A433" i="82" s="1"/>
  <c r="A434" i="82" s="1"/>
  <c r="A435" i="82" s="1"/>
  <c r="A436" i="82" s="1"/>
  <c r="A437" i="82" s="1"/>
  <c r="A438" i="82" s="1"/>
  <c r="A439" i="82" s="1"/>
  <c r="A440" i="82" s="1"/>
  <c r="A441" i="82" s="1"/>
  <c r="A442" i="82" s="1"/>
  <c r="A443" i="82" s="1"/>
  <c r="A444" i="82" s="1"/>
  <c r="A445" i="82" s="1"/>
  <c r="A446" i="82" s="1"/>
  <c r="A447" i="82" s="1"/>
  <c r="A448" i="82" s="1"/>
  <c r="A449" i="82" s="1"/>
  <c r="A450" i="82" s="1"/>
  <c r="A451" i="82" s="1"/>
  <c r="A452" i="82" s="1"/>
  <c r="A453" i="82" s="1"/>
  <c r="A454" i="82" s="1"/>
  <c r="A455" i="82" s="1"/>
  <c r="A456" i="82" s="1"/>
  <c r="A457" i="82" s="1"/>
  <c r="A458" i="82" s="1"/>
  <c r="A459" i="82" s="1"/>
  <c r="A460" i="82" s="1"/>
  <c r="A461" i="82" s="1"/>
  <c r="A462" i="82" s="1"/>
  <c r="A463" i="82" s="1"/>
  <c r="A464" i="82" s="1"/>
  <c r="A465" i="82" s="1"/>
  <c r="A466" i="82" s="1"/>
  <c r="A467" i="82" s="1"/>
  <c r="A468" i="82" s="1"/>
  <c r="A469" i="82" s="1"/>
  <c r="A470" i="82" s="1"/>
  <c r="A471" i="82" s="1"/>
  <c r="A472" i="82" s="1"/>
  <c r="A473" i="82" s="1"/>
  <c r="A474" i="82" s="1"/>
  <c r="A475" i="82" s="1"/>
  <c r="A476" i="82" s="1"/>
  <c r="A477" i="82" s="1"/>
  <c r="A478" i="82" s="1"/>
  <c r="A479" i="82" s="1"/>
  <c r="A480" i="82" s="1"/>
  <c r="A481" i="82" s="1"/>
  <c r="A482" i="82" s="1"/>
  <c r="A483" i="82" s="1"/>
  <c r="A484" i="82" s="1"/>
  <c r="A485" i="82" s="1"/>
  <c r="A486" i="82" s="1"/>
  <c r="A487" i="82" s="1"/>
  <c r="A488" i="82" s="1"/>
  <c r="A489" i="82" s="1"/>
  <c r="A490" i="82" s="1"/>
  <c r="A491" i="82" s="1"/>
  <c r="A492" i="82" s="1"/>
  <c r="A493" i="82" s="1"/>
  <c r="A494" i="82" s="1"/>
  <c r="A495" i="82" s="1"/>
  <c r="A496" i="82" s="1"/>
  <c r="A497" i="82" s="1"/>
  <c r="A498" i="82" s="1"/>
  <c r="A499" i="82" s="1"/>
  <c r="A500" i="82" s="1"/>
  <c r="A501" i="82" s="1"/>
  <c r="A502" i="82" s="1"/>
  <c r="A503" i="82" s="1"/>
  <c r="A504" i="82" s="1"/>
  <c r="A505" i="82" s="1"/>
  <c r="A506" i="82" s="1"/>
  <c r="A507" i="82" s="1"/>
  <c r="A508" i="82" s="1"/>
  <c r="A509" i="82" s="1"/>
  <c r="A510" i="82" s="1"/>
  <c r="A511" i="82" s="1"/>
  <c r="A512" i="82" s="1"/>
  <c r="A513" i="82" s="1"/>
  <c r="A514" i="82" s="1"/>
  <c r="A515" i="82" s="1"/>
  <c r="A516" i="82" s="1"/>
  <c r="A517" i="82" s="1"/>
  <c r="J268" i="82"/>
  <c r="K268" i="82" s="1"/>
  <c r="L268" i="82" s="1"/>
  <c r="P268" i="82"/>
  <c r="Q268" i="82"/>
  <c r="R268" i="82"/>
  <c r="AE268" i="82"/>
  <c r="AG268" i="82" s="1"/>
  <c r="J269" i="82"/>
  <c r="K269" i="82"/>
  <c r="L269" i="82" s="1"/>
  <c r="Q269" i="82"/>
  <c r="R269" i="82"/>
  <c r="AE269" i="82"/>
  <c r="AG269" i="82"/>
  <c r="J270" i="82"/>
  <c r="K270" i="82"/>
  <c r="Q270" i="82"/>
  <c r="AE270" i="82"/>
  <c r="AG270" i="82"/>
  <c r="J271" i="82"/>
  <c r="K271" i="82" s="1"/>
  <c r="Q271" i="82"/>
  <c r="R271" i="82"/>
  <c r="AE271" i="82"/>
  <c r="AG271" i="82" s="1"/>
  <c r="AH271" i="82"/>
  <c r="J272" i="82"/>
  <c r="K272" i="82" s="1"/>
  <c r="L272" i="82" s="1"/>
  <c r="P272" i="82"/>
  <c r="AI272" i="82" s="1"/>
  <c r="Q272" i="82"/>
  <c r="AH272" i="82" s="1"/>
  <c r="AE272" i="82"/>
  <c r="R272" i="82" s="1"/>
  <c r="AG272" i="82"/>
  <c r="J273" i="82"/>
  <c r="K273" i="82"/>
  <c r="Q273" i="82"/>
  <c r="R273" i="82" s="1"/>
  <c r="AE273" i="82"/>
  <c r="AG273" i="82"/>
  <c r="AH273" i="82"/>
  <c r="J274" i="82"/>
  <c r="K274" i="82"/>
  <c r="L274" i="82"/>
  <c r="P274" i="82"/>
  <c r="Q274" i="82"/>
  <c r="R274" i="82"/>
  <c r="AH274" i="82" s="1"/>
  <c r="AI274" i="82" s="1"/>
  <c r="AE274" i="82"/>
  <c r="AG274" i="82"/>
  <c r="J275" i="82"/>
  <c r="K275" i="82" s="1"/>
  <c r="Q275" i="82"/>
  <c r="AE275" i="82"/>
  <c r="AG275" i="82" s="1"/>
  <c r="J276" i="82"/>
  <c r="K276" i="82"/>
  <c r="Q276" i="82"/>
  <c r="R276" i="82" s="1"/>
  <c r="AE276" i="82"/>
  <c r="AG276" i="82"/>
  <c r="J277" i="82"/>
  <c r="K277" i="82" s="1"/>
  <c r="Q277" i="82"/>
  <c r="AE277" i="82"/>
  <c r="J278" i="82"/>
  <c r="K278" i="82" s="1"/>
  <c r="Q278" i="82"/>
  <c r="AE278" i="82"/>
  <c r="R278" i="82" s="1"/>
  <c r="AG278" i="82"/>
  <c r="J279" i="82"/>
  <c r="K279" i="82"/>
  <c r="P279" i="82" s="1"/>
  <c r="L279" i="82"/>
  <c r="Q279" i="82"/>
  <c r="AE279" i="82"/>
  <c r="AG279" i="82"/>
  <c r="J280" i="82"/>
  <c r="K280" i="82"/>
  <c r="L280" i="82"/>
  <c r="P280" i="82"/>
  <c r="Q280" i="82"/>
  <c r="R280" i="82"/>
  <c r="AE280" i="82"/>
  <c r="AG280" i="82"/>
  <c r="AH280" i="82"/>
  <c r="AI280" i="82"/>
  <c r="J281" i="82"/>
  <c r="K281" i="82" s="1"/>
  <c r="L281" i="82" s="1"/>
  <c r="P281" i="82"/>
  <c r="Q281" i="82"/>
  <c r="AE281" i="82"/>
  <c r="AG281" i="82" s="1"/>
  <c r="J282" i="82"/>
  <c r="K282" i="82"/>
  <c r="L282" i="82" s="1"/>
  <c r="P282" i="82"/>
  <c r="Q282" i="82"/>
  <c r="AE282" i="82"/>
  <c r="AG282" i="82"/>
  <c r="J283" i="82"/>
  <c r="K283" i="82" s="1"/>
  <c r="Q283" i="82"/>
  <c r="AE283" i="82"/>
  <c r="AG283" i="82" s="1"/>
  <c r="J284" i="82"/>
  <c r="K284" i="82"/>
  <c r="Q284" i="82"/>
  <c r="AE284" i="82"/>
  <c r="J285" i="82"/>
  <c r="K285" i="82"/>
  <c r="P285" i="82" s="1"/>
  <c r="L285" i="82"/>
  <c r="Q285" i="82"/>
  <c r="AE285" i="82"/>
  <c r="AG285" i="82"/>
  <c r="J286" i="82"/>
  <c r="K286" i="82"/>
  <c r="L286" i="82" s="1"/>
  <c r="P286" i="82"/>
  <c r="Q286" i="82"/>
  <c r="R286" i="82"/>
  <c r="AE286" i="82"/>
  <c r="AG286" i="82"/>
  <c r="AH286" i="82"/>
  <c r="AI286" i="82"/>
  <c r="J287" i="82"/>
  <c r="K287" i="82" s="1"/>
  <c r="L287" i="82"/>
  <c r="P287" i="82"/>
  <c r="Q287" i="82"/>
  <c r="AE287" i="82"/>
  <c r="AG287" i="82" s="1"/>
  <c r="J288" i="82"/>
  <c r="K288" i="82"/>
  <c r="L288" i="82" s="1"/>
  <c r="P288" i="82"/>
  <c r="Q288" i="82"/>
  <c r="AE288" i="82"/>
  <c r="AG288" i="82"/>
  <c r="J289" i="82"/>
  <c r="K289" i="82" s="1"/>
  <c r="Q289" i="82"/>
  <c r="AE289" i="82"/>
  <c r="J290" i="82"/>
  <c r="K290" i="82"/>
  <c r="L290" i="82" s="1"/>
  <c r="P290" i="82"/>
  <c r="Q290" i="82"/>
  <c r="R290" i="82"/>
  <c r="AE290" i="82"/>
  <c r="AG290" i="82" s="1"/>
  <c r="J291" i="82"/>
  <c r="K291" i="82"/>
  <c r="P291" i="82" s="1"/>
  <c r="L291" i="82"/>
  <c r="Q291" i="82"/>
  <c r="AE291" i="82"/>
  <c r="AG291" i="82"/>
  <c r="J292" i="82"/>
  <c r="K292" i="82"/>
  <c r="Q292" i="82"/>
  <c r="R292" i="82"/>
  <c r="AH292" i="82" s="1"/>
  <c r="AE292" i="82"/>
  <c r="AG292" i="82"/>
  <c r="J293" i="82"/>
  <c r="K293" i="82" s="1"/>
  <c r="L293" i="82"/>
  <c r="P293" i="82"/>
  <c r="Q293" i="82"/>
  <c r="AE293" i="82"/>
  <c r="AG293" i="82" s="1"/>
  <c r="J294" i="82"/>
  <c r="K294" i="82"/>
  <c r="Q294" i="82"/>
  <c r="R294" i="82"/>
  <c r="AE294" i="82"/>
  <c r="AG294" i="82"/>
  <c r="J295" i="82"/>
  <c r="K295" i="82" s="1"/>
  <c r="P295" i="82" s="1"/>
  <c r="L295" i="82"/>
  <c r="Q295" i="82"/>
  <c r="AE295" i="82"/>
  <c r="AG295" i="82" s="1"/>
  <c r="J296" i="82"/>
  <c r="K296" i="82"/>
  <c r="Q296" i="82"/>
  <c r="AH296" i="82" s="1"/>
  <c r="AE296" i="82"/>
  <c r="R296" i="82" s="1"/>
  <c r="AG296" i="82"/>
  <c r="J297" i="82"/>
  <c r="K297" i="82" s="1"/>
  <c r="Q297" i="82"/>
  <c r="AE297" i="82"/>
  <c r="AG297" i="82"/>
  <c r="J298" i="82"/>
  <c r="K298" i="82"/>
  <c r="L298" i="82"/>
  <c r="P298" i="82"/>
  <c r="Q298" i="82"/>
  <c r="R298" i="82"/>
  <c r="AH298" i="82" s="1"/>
  <c r="AI298" i="82" s="1"/>
  <c r="AE298" i="82"/>
  <c r="AG298" i="82"/>
  <c r="J299" i="82"/>
  <c r="K299" i="82" s="1"/>
  <c r="P299" i="82" s="1"/>
  <c r="L299" i="82"/>
  <c r="Q299" i="82"/>
  <c r="AE299" i="82"/>
  <c r="AG299" i="82" s="1"/>
  <c r="J300" i="82"/>
  <c r="K300" i="82"/>
  <c r="L300" i="82" s="1"/>
  <c r="P300" i="82"/>
  <c r="Q300" i="82"/>
  <c r="AE300" i="82"/>
  <c r="AG300" i="82"/>
  <c r="J301" i="82"/>
  <c r="K301" i="82" s="1"/>
  <c r="Q301" i="82"/>
  <c r="AE301" i="82"/>
  <c r="AG301" i="82" s="1"/>
  <c r="J302" i="82"/>
  <c r="K302" i="82"/>
  <c r="Q302" i="82"/>
  <c r="AE302" i="82"/>
  <c r="J303" i="82"/>
  <c r="K303" i="82"/>
  <c r="P303" i="82" s="1"/>
  <c r="L303" i="82"/>
  <c r="Q303" i="82"/>
  <c r="AE303" i="82"/>
  <c r="AG303" i="82"/>
  <c r="J304" i="82"/>
  <c r="K304" i="82"/>
  <c r="L304" i="82" s="1"/>
  <c r="P304" i="82"/>
  <c r="Q304" i="82"/>
  <c r="AE304" i="82"/>
  <c r="R304" i="82" s="1"/>
  <c r="AG304" i="82"/>
  <c r="AH304" i="82"/>
  <c r="J305" i="82"/>
  <c r="K305" i="82"/>
  <c r="L305" i="82"/>
  <c r="P305" i="82"/>
  <c r="Q305" i="82"/>
  <c r="AE305" i="82"/>
  <c r="AG305" i="82" s="1"/>
  <c r="J306" i="82"/>
  <c r="K306" i="82"/>
  <c r="Q306" i="82"/>
  <c r="R306" i="82"/>
  <c r="AE306" i="82"/>
  <c r="AG306" i="82"/>
  <c r="J307" i="82"/>
  <c r="K307" i="82" s="1"/>
  <c r="L307" i="82"/>
  <c r="P307" i="82"/>
  <c r="Q307" i="82"/>
  <c r="AE307" i="82"/>
  <c r="AG307" i="82" s="1"/>
  <c r="J308" i="82"/>
  <c r="K308" i="82"/>
  <c r="L308" i="82" s="1"/>
  <c r="P308" i="82"/>
  <c r="Q308" i="82"/>
  <c r="AE308" i="82"/>
  <c r="AG308" i="82" s="1"/>
  <c r="J309" i="82"/>
  <c r="K309" i="82"/>
  <c r="Q309" i="82"/>
  <c r="AE309" i="82"/>
  <c r="R309" i="82" s="1"/>
  <c r="AG309" i="82"/>
  <c r="AH309" i="82"/>
  <c r="J310" i="82"/>
  <c r="K310" i="82"/>
  <c r="L310" i="82"/>
  <c r="P310" i="82"/>
  <c r="Q310" i="82"/>
  <c r="R310" i="82"/>
  <c r="AH310" i="82" s="1"/>
  <c r="AI310" i="82" s="1"/>
  <c r="AE310" i="82"/>
  <c r="AG310" i="82"/>
  <c r="J311" i="82"/>
  <c r="K311" i="82"/>
  <c r="Q311" i="82"/>
  <c r="AE311" i="82"/>
  <c r="AG311" i="82"/>
  <c r="J312" i="82"/>
  <c r="K312" i="82"/>
  <c r="P312" i="82" s="1"/>
  <c r="L312" i="82"/>
  <c r="Q312" i="82"/>
  <c r="R312" i="82"/>
  <c r="AE312" i="82"/>
  <c r="AG312" i="82"/>
  <c r="AH312" i="82"/>
  <c r="J313" i="82"/>
  <c r="K313" i="82" s="1"/>
  <c r="L313" i="82"/>
  <c r="P313" i="82"/>
  <c r="Q313" i="82"/>
  <c r="R313" i="82"/>
  <c r="AE313" i="82"/>
  <c r="AG313" i="82"/>
  <c r="J314" i="82"/>
  <c r="K314" i="82" s="1"/>
  <c r="Q314" i="82"/>
  <c r="AE314" i="82"/>
  <c r="AG314" i="82" s="1"/>
  <c r="J315" i="82"/>
  <c r="K315" i="82"/>
  <c r="Q315" i="82"/>
  <c r="AE315" i="82"/>
  <c r="J316" i="82"/>
  <c r="K316" i="82"/>
  <c r="P316" i="82" s="1"/>
  <c r="L316" i="82"/>
  <c r="Q316" i="82"/>
  <c r="AE316" i="82"/>
  <c r="J317" i="82"/>
  <c r="K317" i="82"/>
  <c r="L317" i="82" s="1"/>
  <c r="P317" i="82"/>
  <c r="Q317" i="82"/>
  <c r="R317" i="82" s="1"/>
  <c r="AE317" i="82"/>
  <c r="AG317" i="82"/>
  <c r="AH317" i="82"/>
  <c r="J318" i="82"/>
  <c r="K318" i="82"/>
  <c r="L318" i="82"/>
  <c r="P318" i="82"/>
  <c r="Q318" i="82"/>
  <c r="AE318" i="82"/>
  <c r="AG318" i="82"/>
  <c r="J319" i="82"/>
  <c r="K319" i="82" s="1"/>
  <c r="Q319" i="82"/>
  <c r="AE319" i="82"/>
  <c r="AG319" i="82" s="1"/>
  <c r="J320" i="82"/>
  <c r="K320" i="82" s="1"/>
  <c r="Q320" i="82"/>
  <c r="AE320" i="82"/>
  <c r="AG320" i="82" s="1"/>
  <c r="J321" i="82"/>
  <c r="K321" i="82" s="1"/>
  <c r="Q321" i="82"/>
  <c r="AE321" i="82"/>
  <c r="R321" i="82" s="1"/>
  <c r="AG321" i="82"/>
  <c r="J322" i="82"/>
  <c r="K322" i="82" s="1"/>
  <c r="P322" i="82" s="1"/>
  <c r="L322" i="82"/>
  <c r="Q322" i="82"/>
  <c r="AE322" i="82"/>
  <c r="R322" i="82" s="1"/>
  <c r="AG322" i="82"/>
  <c r="AH322" i="82"/>
  <c r="J323" i="82"/>
  <c r="K323" i="82"/>
  <c r="Q323" i="82"/>
  <c r="AE323" i="82"/>
  <c r="R323" i="82" s="1"/>
  <c r="AG323" i="82"/>
  <c r="AH323" i="82"/>
  <c r="J324" i="82"/>
  <c r="K324" i="82"/>
  <c r="L324" i="82"/>
  <c r="P324" i="82"/>
  <c r="Q324" i="82"/>
  <c r="AE324" i="82"/>
  <c r="AG324" i="82"/>
  <c r="J325" i="82"/>
  <c r="K325" i="82"/>
  <c r="L325" i="82"/>
  <c r="P325" i="82"/>
  <c r="Q325" i="82"/>
  <c r="AE325" i="82"/>
  <c r="AG325" i="82"/>
  <c r="J326" i="82"/>
  <c r="K326" i="82" s="1"/>
  <c r="Q326" i="82"/>
  <c r="R326" i="82"/>
  <c r="AE326" i="82"/>
  <c r="AG326" i="82" s="1"/>
  <c r="J327" i="82"/>
  <c r="K327" i="82"/>
  <c r="Q327" i="82"/>
  <c r="R327" i="82"/>
  <c r="AH327" i="82" s="1"/>
  <c r="AE327" i="82"/>
  <c r="AG327" i="82"/>
  <c r="J328" i="82"/>
  <c r="K328" i="82"/>
  <c r="Q328" i="82"/>
  <c r="AE328" i="82"/>
  <c r="R328" i="82" s="1"/>
  <c r="AG328" i="82"/>
  <c r="AH328" i="82"/>
  <c r="J329" i="82"/>
  <c r="K329" i="82"/>
  <c r="P329" i="82" s="1"/>
  <c r="L329" i="82"/>
  <c r="AI329" i="82" s="1"/>
  <c r="Q329" i="82"/>
  <c r="R329" i="82" s="1"/>
  <c r="AE329" i="82"/>
  <c r="AG329" i="82"/>
  <c r="AH329" i="82"/>
  <c r="J330" i="82"/>
  <c r="K330" i="82" s="1"/>
  <c r="L330" i="82"/>
  <c r="P330" i="82"/>
  <c r="Q330" i="82"/>
  <c r="R330" i="82" s="1"/>
  <c r="AE330" i="82"/>
  <c r="AG330" i="82" s="1"/>
  <c r="AH330" i="82"/>
  <c r="AI330" i="82" s="1"/>
  <c r="J331" i="82"/>
  <c r="K331" i="82" s="1"/>
  <c r="Q331" i="82"/>
  <c r="R331" i="82"/>
  <c r="AE331" i="82"/>
  <c r="AG331" i="82" s="1"/>
  <c r="J332" i="82"/>
  <c r="K332" i="82" s="1"/>
  <c r="Q332" i="82"/>
  <c r="R332" i="82"/>
  <c r="AE332" i="82"/>
  <c r="AG332" i="82" s="1"/>
  <c r="J333" i="82"/>
  <c r="K333" i="82"/>
  <c r="Q333" i="82"/>
  <c r="R333" i="82"/>
  <c r="AH333" i="82" s="1"/>
  <c r="AE333" i="82"/>
  <c r="AG333" i="82"/>
  <c r="J334" i="82"/>
  <c r="K334" i="82"/>
  <c r="Q334" i="82"/>
  <c r="R334" i="82" s="1"/>
  <c r="AH334" i="82" s="1"/>
  <c r="AE334" i="82"/>
  <c r="AG334" i="82"/>
  <c r="J335" i="82"/>
  <c r="K335" i="82"/>
  <c r="P335" i="82" s="1"/>
  <c r="L335" i="82"/>
  <c r="Q335" i="82"/>
  <c r="AE335" i="82"/>
  <c r="R335" i="82" s="1"/>
  <c r="AH335" i="82" s="1"/>
  <c r="AI335" i="82" s="1"/>
  <c r="AG335" i="82"/>
  <c r="J336" i="82"/>
  <c r="K336" i="82"/>
  <c r="L336" i="82"/>
  <c r="P336" i="82"/>
  <c r="Q336" i="82"/>
  <c r="R336" i="82" s="1"/>
  <c r="AE336" i="82"/>
  <c r="AG336" i="82"/>
  <c r="J337" i="82"/>
  <c r="K337" i="82" s="1"/>
  <c r="L337" i="82" s="1"/>
  <c r="P337" i="82"/>
  <c r="Q337" i="82"/>
  <c r="R337" i="82"/>
  <c r="AE337" i="82"/>
  <c r="AG337" i="82" s="1"/>
  <c r="J338" i="82"/>
  <c r="K338" i="82" s="1"/>
  <c r="Q338" i="82"/>
  <c r="AE338" i="82"/>
  <c r="J339" i="82"/>
  <c r="K339" i="82"/>
  <c r="Q339" i="82"/>
  <c r="AE339" i="82"/>
  <c r="R339" i="82" s="1"/>
  <c r="AG339" i="82"/>
  <c r="J340" i="82"/>
  <c r="K340" i="82"/>
  <c r="Q340" i="82"/>
  <c r="AE340" i="82"/>
  <c r="J341" i="82"/>
  <c r="K341" i="82"/>
  <c r="L341" i="82"/>
  <c r="P341" i="82"/>
  <c r="Q341" i="82"/>
  <c r="R341" i="82" s="1"/>
  <c r="AH341" i="82" s="1"/>
  <c r="AI341" i="82" s="1"/>
  <c r="AE341" i="82"/>
  <c r="AG341" i="82"/>
  <c r="J342" i="82"/>
  <c r="K342" i="82" s="1"/>
  <c r="P342" i="82" s="1"/>
  <c r="L342" i="82"/>
  <c r="AI342" i="82" s="1"/>
  <c r="Q342" i="82"/>
  <c r="R342" i="82" s="1"/>
  <c r="AE342" i="82"/>
  <c r="AG342" i="82"/>
  <c r="AH342" i="82"/>
  <c r="J343" i="82"/>
  <c r="K343" i="82" s="1"/>
  <c r="Q343" i="82"/>
  <c r="R343" i="82"/>
  <c r="AE343" i="82"/>
  <c r="AG343" i="82" s="1"/>
  <c r="J344" i="82"/>
  <c r="K344" i="82" s="1"/>
  <c r="Q344" i="82"/>
  <c r="AE344" i="82"/>
  <c r="J345" i="82"/>
  <c r="K345" i="82" s="1"/>
  <c r="Q345" i="82"/>
  <c r="AE345" i="82"/>
  <c r="AG345" i="82" s="1"/>
  <c r="J346" i="82"/>
  <c r="K346" i="82" s="1"/>
  <c r="Q346" i="82"/>
  <c r="R346" i="82" s="1"/>
  <c r="AH346" i="82" s="1"/>
  <c r="AE346" i="82"/>
  <c r="AG346" i="82" s="1"/>
  <c r="J347" i="82"/>
  <c r="K347" i="82"/>
  <c r="L347" i="82"/>
  <c r="P347" i="82"/>
  <c r="Q347" i="82"/>
  <c r="R347" i="82"/>
  <c r="AH347" i="82" s="1"/>
  <c r="AE347" i="82"/>
  <c r="AG347" i="82"/>
  <c r="AI347" i="82"/>
  <c r="J348" i="82"/>
  <c r="K348" i="82" s="1"/>
  <c r="L348" i="82" s="1"/>
  <c r="P348" i="82"/>
  <c r="Q348" i="82"/>
  <c r="AE348" i="82"/>
  <c r="AG348" i="82" s="1"/>
  <c r="J349" i="82"/>
  <c r="K349" i="82"/>
  <c r="Q349" i="82"/>
  <c r="AE349" i="82"/>
  <c r="AG349" i="82"/>
  <c r="J350" i="82"/>
  <c r="K350" i="82" s="1"/>
  <c r="P350" i="82" s="1"/>
  <c r="L350" i="82"/>
  <c r="Q350" i="82"/>
  <c r="AE350" i="82"/>
  <c r="J351" i="82"/>
  <c r="K351" i="82"/>
  <c r="L351" i="82" s="1"/>
  <c r="P351" i="82"/>
  <c r="Q351" i="82"/>
  <c r="AE351" i="82"/>
  <c r="J352" i="82"/>
  <c r="K352" i="82"/>
  <c r="Q352" i="82"/>
  <c r="R352" i="82" s="1"/>
  <c r="AE352" i="82"/>
  <c r="AG352" i="82"/>
  <c r="AH352" i="82"/>
  <c r="J353" i="82"/>
  <c r="K353" i="82"/>
  <c r="L353" i="82"/>
  <c r="P353" i="82"/>
  <c r="Q353" i="82"/>
  <c r="R353" i="82"/>
  <c r="AH353" i="82" s="1"/>
  <c r="AI353" i="82" s="1"/>
  <c r="AE353" i="82"/>
  <c r="AG353" i="82"/>
  <c r="J354" i="82"/>
  <c r="K354" i="82" s="1"/>
  <c r="L354" i="82" s="1"/>
  <c r="Q354" i="82"/>
  <c r="AE354" i="82"/>
  <c r="AG354" i="82" s="1"/>
  <c r="J355" i="82"/>
  <c r="K355" i="82"/>
  <c r="Q355" i="82"/>
  <c r="R355" i="82"/>
  <c r="AE355" i="82"/>
  <c r="AG355" i="82"/>
  <c r="J356" i="82"/>
  <c r="K356" i="82" s="1"/>
  <c r="Q356" i="82"/>
  <c r="AE356" i="82"/>
  <c r="AG356" i="82" s="1"/>
  <c r="J357" i="82"/>
  <c r="K357" i="82" s="1"/>
  <c r="L357" i="82" s="1"/>
  <c r="Q357" i="82"/>
  <c r="AE357" i="82"/>
  <c r="AG357" i="82"/>
  <c r="J358" i="82"/>
  <c r="K358" i="82"/>
  <c r="Q358" i="82"/>
  <c r="R358" i="82" s="1"/>
  <c r="AE358" i="82"/>
  <c r="AG358" i="82"/>
  <c r="J359" i="82"/>
  <c r="K359" i="82" s="1"/>
  <c r="L359" i="82"/>
  <c r="P359" i="82"/>
  <c r="AI359" i="82" s="1"/>
  <c r="Q359" i="82"/>
  <c r="R359" i="82"/>
  <c r="AE359" i="82"/>
  <c r="AG359" i="82" s="1"/>
  <c r="AH359" i="82"/>
  <c r="J360" i="82"/>
  <c r="K360" i="82" s="1"/>
  <c r="L360" i="82" s="1"/>
  <c r="P360" i="82"/>
  <c r="Q360" i="82"/>
  <c r="AE360" i="82"/>
  <c r="AG360" i="82" s="1"/>
  <c r="J361" i="82"/>
  <c r="K361" i="82"/>
  <c r="Q361" i="82"/>
  <c r="R361" i="82"/>
  <c r="AE361" i="82"/>
  <c r="AG361" i="82"/>
  <c r="J362" i="82"/>
  <c r="K362" i="82" s="1"/>
  <c r="P362" i="82" s="1"/>
  <c r="Q362" i="82"/>
  <c r="AE362" i="82"/>
  <c r="R362" i="82" s="1"/>
  <c r="AH362" i="82" s="1"/>
  <c r="J363" i="82"/>
  <c r="K363" i="82" s="1"/>
  <c r="Q363" i="82"/>
  <c r="R363" i="82" s="1"/>
  <c r="AH363" i="82" s="1"/>
  <c r="AE363" i="82"/>
  <c r="AG363" i="82"/>
  <c r="J364" i="82"/>
  <c r="K364" i="82"/>
  <c r="Q364" i="82"/>
  <c r="R364" i="82" s="1"/>
  <c r="AE364" i="82"/>
  <c r="AG364" i="82"/>
  <c r="AH364" i="82"/>
  <c r="J365" i="82"/>
  <c r="K365" i="82" s="1"/>
  <c r="L365" i="82"/>
  <c r="P365" i="82"/>
  <c r="Q365" i="82"/>
  <c r="AE365" i="82"/>
  <c r="AG365" i="82" s="1"/>
  <c r="J366" i="82"/>
  <c r="K366" i="82" s="1"/>
  <c r="Q366" i="82"/>
  <c r="AE366" i="82"/>
  <c r="AG366" i="82" s="1"/>
  <c r="J367" i="82"/>
  <c r="K367" i="82"/>
  <c r="Q367" i="82"/>
  <c r="AE367" i="82"/>
  <c r="R367" i="82" s="1"/>
  <c r="AG367" i="82"/>
  <c r="J368" i="82"/>
  <c r="K368" i="82" s="1"/>
  <c r="Q368" i="82"/>
  <c r="R368" i="82"/>
  <c r="AH368" i="82" s="1"/>
  <c r="AE368" i="82"/>
  <c r="AG368" i="82"/>
  <c r="J369" i="82"/>
  <c r="K369" i="82"/>
  <c r="P369" i="82" s="1"/>
  <c r="L369" i="82"/>
  <c r="Q369" i="82"/>
  <c r="R369" i="82" s="1"/>
  <c r="AE369" i="82"/>
  <c r="AG369" i="82"/>
  <c r="AH369" i="82"/>
  <c r="J370" i="82"/>
  <c r="K370" i="82"/>
  <c r="Q370" i="82"/>
  <c r="R370" i="82" s="1"/>
  <c r="AE370" i="82"/>
  <c r="AG370" i="82"/>
  <c r="AH370" i="82"/>
  <c r="J371" i="82"/>
  <c r="K371" i="82"/>
  <c r="L371" i="82"/>
  <c r="P371" i="82"/>
  <c r="Q371" i="82"/>
  <c r="AH371" i="82" s="1"/>
  <c r="AI371" i="82" s="1"/>
  <c r="R371" i="82"/>
  <c r="AE371" i="82"/>
  <c r="AG371" i="82"/>
  <c r="J372" i="82"/>
  <c r="K372" i="82" s="1"/>
  <c r="L372" i="82" s="1"/>
  <c r="P372" i="82"/>
  <c r="Q372" i="82"/>
  <c r="AE372" i="82"/>
  <c r="AG372" i="82" s="1"/>
  <c r="J373" i="82"/>
  <c r="K373" i="82" s="1"/>
  <c r="Q373" i="82"/>
  <c r="R373" i="82"/>
  <c r="AE373" i="82"/>
  <c r="AG373" i="82"/>
  <c r="J374" i="82"/>
  <c r="K374" i="82" s="1"/>
  <c r="P374" i="82" s="1"/>
  <c r="L374" i="82"/>
  <c r="Q374" i="82"/>
  <c r="AE374" i="82"/>
  <c r="R374" i="82" s="1"/>
  <c r="AH374" i="82" s="1"/>
  <c r="AG374" i="82"/>
  <c r="J375" i="82"/>
  <c r="K375" i="82" s="1"/>
  <c r="L375" i="82" s="1"/>
  <c r="Q375" i="82"/>
  <c r="R375" i="82" s="1"/>
  <c r="AH375" i="82" s="1"/>
  <c r="AE375" i="82"/>
  <c r="AG375" i="82"/>
  <c r="J376" i="82"/>
  <c r="K376" i="82"/>
  <c r="L376" i="82" s="1"/>
  <c r="Q376" i="82"/>
  <c r="R376" i="82" s="1"/>
  <c r="AE376" i="82"/>
  <c r="AG376" i="82"/>
  <c r="AH376" i="82"/>
  <c r="J377" i="82"/>
  <c r="K377" i="82" s="1"/>
  <c r="L377" i="82"/>
  <c r="P377" i="82"/>
  <c r="Q377" i="82"/>
  <c r="AE377" i="82"/>
  <c r="AG377" i="82" s="1"/>
  <c r="J378" i="82"/>
  <c r="K378" i="82" s="1"/>
  <c r="Q378" i="82"/>
  <c r="AE378" i="82"/>
  <c r="AG378" i="82" s="1"/>
  <c r="J379" i="82"/>
  <c r="K379" i="82"/>
  <c r="Q379" i="82"/>
  <c r="AE379" i="82"/>
  <c r="R379" i="82" s="1"/>
  <c r="J380" i="82"/>
  <c r="K380" i="82" s="1"/>
  <c r="Q380" i="82"/>
  <c r="R380" i="82"/>
  <c r="AH380" i="82" s="1"/>
  <c r="AE380" i="82"/>
  <c r="AG380" i="82"/>
  <c r="J381" i="82"/>
  <c r="K381" i="82"/>
  <c r="Q381" i="82"/>
  <c r="R381" i="82" s="1"/>
  <c r="AE381" i="82"/>
  <c r="AG381" i="82"/>
  <c r="AH381" i="82"/>
  <c r="J382" i="82"/>
  <c r="K382" i="82"/>
  <c r="Q382" i="82"/>
  <c r="R382" i="82" s="1"/>
  <c r="AE382" i="82"/>
  <c r="AG382" i="82"/>
  <c r="AH382" i="82"/>
  <c r="J383" i="82"/>
  <c r="K383" i="82" s="1"/>
  <c r="P383" i="82" s="1"/>
  <c r="Q383" i="82"/>
  <c r="R383" i="82" s="1"/>
  <c r="AE383" i="82"/>
  <c r="AG383" i="82" s="1"/>
  <c r="J384" i="82"/>
  <c r="K384" i="82" s="1"/>
  <c r="Q384" i="82"/>
  <c r="AE384" i="82"/>
  <c r="AG384" i="82" s="1"/>
  <c r="J385" i="82"/>
  <c r="K385" i="82"/>
  <c r="Q385" i="82"/>
  <c r="R385" i="82"/>
  <c r="AE385" i="82"/>
  <c r="AG385" i="82"/>
  <c r="J386" i="82"/>
  <c r="K386" i="82"/>
  <c r="P386" i="82" s="1"/>
  <c r="Q386" i="82"/>
  <c r="R386" i="82"/>
  <c r="AH386" i="82" s="1"/>
  <c r="AE386" i="82"/>
  <c r="AG386" i="82"/>
  <c r="J387" i="82"/>
  <c r="K387" i="82" s="1"/>
  <c r="P387" i="82" s="1"/>
  <c r="L387" i="82"/>
  <c r="Q387" i="82"/>
  <c r="AE387" i="82"/>
  <c r="AG387" i="82"/>
  <c r="J388" i="82"/>
  <c r="K388" i="82"/>
  <c r="L388" i="82"/>
  <c r="P388" i="82"/>
  <c r="Q388" i="82"/>
  <c r="R388" i="82" s="1"/>
  <c r="AE388" i="82"/>
  <c r="AG388" i="82"/>
  <c r="AH388" i="82"/>
  <c r="AI388" i="82"/>
  <c r="J389" i="82"/>
  <c r="K389" i="82" s="1"/>
  <c r="P389" i="82" s="1"/>
  <c r="L389" i="82"/>
  <c r="Q389" i="82"/>
  <c r="R389" i="82"/>
  <c r="AE389" i="82"/>
  <c r="AG389" i="82" s="1"/>
  <c r="J390" i="82"/>
  <c r="K390" i="82" s="1"/>
  <c r="L390" i="82" s="1"/>
  <c r="P390" i="82"/>
  <c r="Q390" i="82"/>
  <c r="AE390" i="82"/>
  <c r="AG390" i="82" s="1"/>
  <c r="J391" i="82"/>
  <c r="K391" i="82" s="1"/>
  <c r="Q391" i="82"/>
  <c r="R391" i="82"/>
  <c r="AE391" i="82"/>
  <c r="AG391" i="82"/>
  <c r="J392" i="82"/>
  <c r="K392" i="82" s="1"/>
  <c r="P392" i="82" s="1"/>
  <c r="L392" i="82"/>
  <c r="Q392" i="82"/>
  <c r="AE392" i="82"/>
  <c r="R392" i="82" s="1"/>
  <c r="AH392" i="82" s="1"/>
  <c r="AG392" i="82"/>
  <c r="J393" i="82"/>
  <c r="K393" i="82" s="1"/>
  <c r="L393" i="82" s="1"/>
  <c r="Q393" i="82"/>
  <c r="R393" i="82" s="1"/>
  <c r="AH393" i="82" s="1"/>
  <c r="AE393" i="82"/>
  <c r="AG393" i="82"/>
  <c r="J394" i="82"/>
  <c r="K394" i="82"/>
  <c r="L394" i="82" s="1"/>
  <c r="Q394" i="82"/>
  <c r="R394" i="82" s="1"/>
  <c r="AE394" i="82"/>
  <c r="AG394" i="82"/>
  <c r="AH394" i="82"/>
  <c r="J395" i="82"/>
  <c r="K395" i="82" s="1"/>
  <c r="L395" i="82"/>
  <c r="P395" i="82"/>
  <c r="Q395" i="82"/>
  <c r="AE395" i="82"/>
  <c r="AG395" i="82" s="1"/>
  <c r="J396" i="82"/>
  <c r="K396" i="82" s="1"/>
  <c r="Q396" i="82"/>
  <c r="AE396" i="82"/>
  <c r="AG396" i="82" s="1"/>
  <c r="J397" i="82"/>
  <c r="K397" i="82"/>
  <c r="Q397" i="82"/>
  <c r="AE397" i="82"/>
  <c r="R397" i="82" s="1"/>
  <c r="J398" i="82"/>
  <c r="K398" i="82" s="1"/>
  <c r="Q398" i="82"/>
  <c r="R398" i="82"/>
  <c r="AH398" i="82" s="1"/>
  <c r="AE398" i="82"/>
  <c r="AG398" i="82"/>
  <c r="J399" i="82"/>
  <c r="K399" i="82"/>
  <c r="P399" i="82" s="1"/>
  <c r="L399" i="82"/>
  <c r="Q399" i="82"/>
  <c r="R399" i="82" s="1"/>
  <c r="AH399" i="82" s="1"/>
  <c r="AI399" i="82" s="1"/>
  <c r="AE399" i="82"/>
  <c r="AG399" i="82"/>
  <c r="J400" i="82"/>
  <c r="K400" i="82"/>
  <c r="Q400" i="82"/>
  <c r="AE400" i="82"/>
  <c r="AG400" i="82"/>
  <c r="J401" i="82"/>
  <c r="K401" i="82"/>
  <c r="L401" i="82"/>
  <c r="P401" i="82"/>
  <c r="Q401" i="82"/>
  <c r="R401" i="82"/>
  <c r="AH401" i="82" s="1"/>
  <c r="AE401" i="82"/>
  <c r="AG401" i="82"/>
  <c r="AI401" i="82"/>
  <c r="J402" i="82"/>
  <c r="K402" i="82" s="1"/>
  <c r="L402" i="82" s="1"/>
  <c r="P402" i="82"/>
  <c r="Q402" i="82"/>
  <c r="AE402" i="82"/>
  <c r="AG402" i="82" s="1"/>
  <c r="J403" i="82"/>
  <c r="K403" i="82"/>
  <c r="Q403" i="82"/>
  <c r="R403" i="82"/>
  <c r="AE403" i="82"/>
  <c r="AG403" i="82"/>
  <c r="J404" i="82"/>
  <c r="K404" i="82" s="1"/>
  <c r="Q404" i="82"/>
  <c r="AE404" i="82"/>
  <c r="R404" i="82" s="1"/>
  <c r="AH404" i="82" s="1"/>
  <c r="AG404" i="82"/>
  <c r="J405" i="82"/>
  <c r="K405" i="82" s="1"/>
  <c r="L405" i="82" s="1"/>
  <c r="P405" i="82"/>
  <c r="Q405" i="82"/>
  <c r="AE405" i="82"/>
  <c r="R405" i="82" s="1"/>
  <c r="AH405" i="82" s="1"/>
  <c r="AG405" i="82"/>
  <c r="J406" i="82"/>
  <c r="K406" i="82"/>
  <c r="L406" i="82" s="1"/>
  <c r="P406" i="82"/>
  <c r="Q406" i="82"/>
  <c r="R406" i="82" s="1"/>
  <c r="AE406" i="82"/>
  <c r="AG406" i="82"/>
  <c r="AH406" i="82"/>
  <c r="J407" i="82"/>
  <c r="K407" i="82"/>
  <c r="L407" i="82"/>
  <c r="P407" i="82"/>
  <c r="AI407" i="82" s="1"/>
  <c r="Q407" i="82"/>
  <c r="R407" i="82"/>
  <c r="AH407" i="82" s="1"/>
  <c r="AE407" i="82"/>
  <c r="AG407" i="82" s="1"/>
  <c r="J408" i="82"/>
  <c r="K408" i="82" s="1"/>
  <c r="L408" i="82" s="1"/>
  <c r="P408" i="82"/>
  <c r="Q408" i="82"/>
  <c r="AE408" i="82"/>
  <c r="J409" i="82"/>
  <c r="K409" i="82" s="1"/>
  <c r="Q409" i="82"/>
  <c r="R409" i="82"/>
  <c r="AE409" i="82"/>
  <c r="AG409" i="82" s="1"/>
  <c r="J410" i="82"/>
  <c r="K410" i="82"/>
  <c r="P410" i="82" s="1"/>
  <c r="L410" i="82"/>
  <c r="Q410" i="82"/>
  <c r="AE410" i="82"/>
  <c r="J411" i="82"/>
  <c r="K411" i="82" s="1"/>
  <c r="Q411" i="82"/>
  <c r="AE411" i="82"/>
  <c r="AG411" i="82"/>
  <c r="J412" i="82"/>
  <c r="K412" i="82"/>
  <c r="L412" i="82"/>
  <c r="P412" i="82"/>
  <c r="Q412" i="82"/>
  <c r="AE412" i="82"/>
  <c r="AG412" i="82"/>
  <c r="J413" i="82"/>
  <c r="K413" i="82" s="1"/>
  <c r="L413" i="82" s="1"/>
  <c r="P413" i="82"/>
  <c r="Q413" i="82"/>
  <c r="R413" i="82"/>
  <c r="AE413" i="82"/>
  <c r="AG413" i="82" s="1"/>
  <c r="AH413" i="82"/>
  <c r="J414" i="82"/>
  <c r="K414" i="82" s="1"/>
  <c r="L414" i="82" s="1"/>
  <c r="P414" i="82"/>
  <c r="Q414" i="82"/>
  <c r="AE414" i="82"/>
  <c r="AG414" i="82" s="1"/>
  <c r="J415" i="82"/>
  <c r="K415" i="82"/>
  <c r="Q415" i="82"/>
  <c r="AE415" i="82"/>
  <c r="AG415" i="82" s="1"/>
  <c r="J416" i="82"/>
  <c r="K416" i="82"/>
  <c r="Q416" i="82"/>
  <c r="AE416" i="82"/>
  <c r="R416" i="82" s="1"/>
  <c r="AG416" i="82"/>
  <c r="AH416" i="82"/>
  <c r="J417" i="82"/>
  <c r="K417" i="82"/>
  <c r="Q417" i="82"/>
  <c r="R417" i="82" s="1"/>
  <c r="AE417" i="82"/>
  <c r="AG417" i="82" s="1"/>
  <c r="AH417" i="82"/>
  <c r="J418" i="82"/>
  <c r="K418" i="82"/>
  <c r="P418" i="82" s="1"/>
  <c r="L418" i="82"/>
  <c r="Q418" i="82"/>
  <c r="R418" i="82" s="1"/>
  <c r="AE418" i="82"/>
  <c r="AG418" i="82"/>
  <c r="J419" i="82"/>
  <c r="K419" i="82" s="1"/>
  <c r="Q419" i="82"/>
  <c r="R419" i="82" s="1"/>
  <c r="AE419" i="82"/>
  <c r="AG419" i="82" s="1"/>
  <c r="J420" i="82"/>
  <c r="K420" i="82" s="1"/>
  <c r="L420" i="82" s="1"/>
  <c r="P420" i="82"/>
  <c r="Q420" i="82"/>
  <c r="R420" i="82"/>
  <c r="AE420" i="82"/>
  <c r="AG420" i="82" s="1"/>
  <c r="J421" i="82"/>
  <c r="K421" i="82" s="1"/>
  <c r="Q421" i="82"/>
  <c r="AE421" i="82"/>
  <c r="AG421" i="82"/>
  <c r="J422" i="82"/>
  <c r="K422" i="82"/>
  <c r="Q422" i="82"/>
  <c r="R422" i="82"/>
  <c r="AE422" i="82"/>
  <c r="AG422" i="82" s="1"/>
  <c r="AH422" i="82"/>
  <c r="J423" i="82"/>
  <c r="K423" i="82"/>
  <c r="L423" i="82"/>
  <c r="P423" i="82"/>
  <c r="Q423" i="82"/>
  <c r="AE423" i="82"/>
  <c r="AG423" i="82" s="1"/>
  <c r="J424" i="82"/>
  <c r="K424" i="82"/>
  <c r="P424" i="82" s="1"/>
  <c r="L424" i="82"/>
  <c r="Q424" i="82"/>
  <c r="R424" i="82" s="1"/>
  <c r="AE424" i="82"/>
  <c r="AG424" i="82"/>
  <c r="J425" i="82"/>
  <c r="K425" i="82" s="1"/>
  <c r="L425" i="82"/>
  <c r="AI425" i="82" s="1"/>
  <c r="P425" i="82"/>
  <c r="Q425" i="82"/>
  <c r="R425" i="82"/>
  <c r="AH425" i="82" s="1"/>
  <c r="AE425" i="82"/>
  <c r="AG425" i="82" s="1"/>
  <c r="J426" i="82"/>
  <c r="K426" i="82" s="1"/>
  <c r="L426" i="82" s="1"/>
  <c r="P426" i="82"/>
  <c r="Q426" i="82"/>
  <c r="AE426" i="82"/>
  <c r="J427" i="82"/>
  <c r="K427" i="82" s="1"/>
  <c r="Q427" i="82"/>
  <c r="R427" i="82"/>
  <c r="AE427" i="82"/>
  <c r="AG427" i="82" s="1"/>
  <c r="J428" i="82"/>
  <c r="K428" i="82"/>
  <c r="P428" i="82" s="1"/>
  <c r="L428" i="82"/>
  <c r="Q428" i="82"/>
  <c r="AE428" i="82"/>
  <c r="J429" i="82"/>
  <c r="K429" i="82"/>
  <c r="L429" i="82" s="1"/>
  <c r="P429" i="82"/>
  <c r="Q429" i="82"/>
  <c r="AE429" i="82"/>
  <c r="AG429" i="82"/>
  <c r="J430" i="82"/>
  <c r="K430" i="82"/>
  <c r="L430" i="82"/>
  <c r="P430" i="82"/>
  <c r="Q430" i="82"/>
  <c r="AE430" i="82"/>
  <c r="AG430" i="82"/>
  <c r="J431" i="82"/>
  <c r="K431" i="82"/>
  <c r="L431" i="82"/>
  <c r="P431" i="82"/>
  <c r="Q431" i="82"/>
  <c r="R431" i="82"/>
  <c r="AH431" i="82" s="1"/>
  <c r="AI431" i="82" s="1"/>
  <c r="AE431" i="82"/>
  <c r="AG431" i="82"/>
  <c r="J432" i="82"/>
  <c r="K432" i="82" s="1"/>
  <c r="L432" i="82" s="1"/>
  <c r="P432" i="82"/>
  <c r="Q432" i="82"/>
  <c r="R432" i="82"/>
  <c r="AE432" i="82"/>
  <c r="AG432" i="82" s="1"/>
  <c r="J433" i="82"/>
  <c r="K433" i="82" s="1"/>
  <c r="Q433" i="82"/>
  <c r="AE433" i="82"/>
  <c r="AG433" i="82"/>
  <c r="J434" i="82"/>
  <c r="K434" i="82"/>
  <c r="Q434" i="82"/>
  <c r="R434" i="82"/>
  <c r="AE434" i="82"/>
  <c r="AG434" i="82" s="1"/>
  <c r="AH434" i="82"/>
  <c r="J435" i="82"/>
  <c r="K435" i="82"/>
  <c r="L435" i="82"/>
  <c r="P435" i="82"/>
  <c r="Q435" i="82"/>
  <c r="AE435" i="82"/>
  <c r="AG435" i="82" s="1"/>
  <c r="J436" i="82"/>
  <c r="K436" i="82"/>
  <c r="P436" i="82" s="1"/>
  <c r="L436" i="82"/>
  <c r="Q436" i="82"/>
  <c r="R436" i="82" s="1"/>
  <c r="AE436" i="82"/>
  <c r="AG436" i="82"/>
  <c r="J437" i="82"/>
  <c r="K437" i="82" s="1"/>
  <c r="L437" i="82"/>
  <c r="AI437" i="82" s="1"/>
  <c r="P437" i="82"/>
  <c r="Q437" i="82"/>
  <c r="R437" i="82"/>
  <c r="AH437" i="82" s="1"/>
  <c r="AE437" i="82"/>
  <c r="AG437" i="82" s="1"/>
  <c r="J438" i="82"/>
  <c r="K438" i="82" s="1"/>
  <c r="L438" i="82" s="1"/>
  <c r="P438" i="82"/>
  <c r="Q438" i="82"/>
  <c r="AE438" i="82"/>
  <c r="J439" i="82"/>
  <c r="K439" i="82" s="1"/>
  <c r="Q439" i="82"/>
  <c r="R439" i="82"/>
  <c r="AE439" i="82"/>
  <c r="AG439" i="82" s="1"/>
  <c r="J440" i="82"/>
  <c r="K440" i="82"/>
  <c r="L440" i="82"/>
  <c r="P440" i="82"/>
  <c r="Q440" i="82"/>
  <c r="R440" i="82"/>
  <c r="AE440" i="82"/>
  <c r="AG440" i="82"/>
  <c r="AH440" i="82"/>
  <c r="AI440" i="82"/>
  <c r="J441" i="82"/>
  <c r="K441" i="82" s="1"/>
  <c r="L441" i="82" s="1"/>
  <c r="Q441" i="82"/>
  <c r="AE441" i="82"/>
  <c r="AG441" i="82" s="1"/>
  <c r="J442" i="82"/>
  <c r="K442" i="82"/>
  <c r="Q442" i="82"/>
  <c r="R442" i="82"/>
  <c r="AE442" i="82"/>
  <c r="AG442" i="82"/>
  <c r="J443" i="82"/>
  <c r="K443" i="82" s="1"/>
  <c r="P443" i="82" s="1"/>
  <c r="L443" i="82"/>
  <c r="Q443" i="82"/>
  <c r="AE443" i="82"/>
  <c r="J444" i="82"/>
  <c r="K444" i="82"/>
  <c r="L444" i="82" s="1"/>
  <c r="P444" i="82"/>
  <c r="Q444" i="82"/>
  <c r="AE444" i="82"/>
  <c r="J445" i="82"/>
  <c r="K445" i="82"/>
  <c r="P445" i="82" s="1"/>
  <c r="Q445" i="82"/>
  <c r="AE445" i="82"/>
  <c r="AG445" i="82"/>
  <c r="J446" i="82"/>
  <c r="K446" i="82"/>
  <c r="L446" i="82"/>
  <c r="P446" i="82"/>
  <c r="Q446" i="82"/>
  <c r="R446" i="82"/>
  <c r="AH446" i="82" s="1"/>
  <c r="AI446" i="82" s="1"/>
  <c r="AE446" i="82"/>
  <c r="AG446" i="82"/>
  <c r="J447" i="82"/>
  <c r="K447" i="82" s="1"/>
  <c r="L447" i="82" s="1"/>
  <c r="P447" i="82"/>
  <c r="Q447" i="82"/>
  <c r="AE447" i="82"/>
  <c r="AG447" i="82" s="1"/>
  <c r="J448" i="82"/>
  <c r="K448" i="82"/>
  <c r="Q448" i="82"/>
  <c r="R448" i="82"/>
  <c r="AE448" i="82"/>
  <c r="AG448" i="82"/>
  <c r="J449" i="82"/>
  <c r="K449" i="82" s="1"/>
  <c r="P449" i="82" s="1"/>
  <c r="Q449" i="82"/>
  <c r="R449" i="82"/>
  <c r="AE449" i="82"/>
  <c r="AG449" i="82" s="1"/>
  <c r="AH449" i="82"/>
  <c r="J450" i="82"/>
  <c r="K450" i="82" s="1"/>
  <c r="L450" i="82" s="1"/>
  <c r="P450" i="82"/>
  <c r="Q450" i="82"/>
  <c r="AE450" i="82"/>
  <c r="AG450" i="82"/>
  <c r="J451" i="82"/>
  <c r="K451" i="82"/>
  <c r="Q451" i="82"/>
  <c r="R451" i="82" s="1"/>
  <c r="AE451" i="82"/>
  <c r="AG451" i="82"/>
  <c r="AH451" i="82"/>
  <c r="J452" i="82"/>
  <c r="K452" i="82" s="1"/>
  <c r="L452" i="82" s="1"/>
  <c r="P452" i="82"/>
  <c r="Q452" i="82"/>
  <c r="R452" i="82"/>
  <c r="AE452" i="82"/>
  <c r="AG452" i="82" s="1"/>
  <c r="AH452" i="82"/>
  <c r="AI452" i="82" s="1"/>
  <c r="J453" i="82"/>
  <c r="K453" i="82" s="1"/>
  <c r="L453" i="82" s="1"/>
  <c r="P453" i="82"/>
  <c r="Q453" i="82"/>
  <c r="AE453" i="82"/>
  <c r="AG453" i="82" s="1"/>
  <c r="J454" i="82"/>
  <c r="K454" i="82"/>
  <c r="Q454" i="82"/>
  <c r="R454" i="82"/>
  <c r="AE454" i="82"/>
  <c r="AG454" i="82"/>
  <c r="J455" i="82"/>
  <c r="K455" i="82" s="1"/>
  <c r="P455" i="82" s="1"/>
  <c r="Q455" i="82"/>
  <c r="R455" i="82"/>
  <c r="AE455" i="82"/>
  <c r="AG455" i="82" s="1"/>
  <c r="AH455" i="82"/>
  <c r="J456" i="82"/>
  <c r="K456" i="82" s="1"/>
  <c r="L456" i="82" s="1"/>
  <c r="Q456" i="82"/>
  <c r="R456" i="82" s="1"/>
  <c r="AH456" i="82" s="1"/>
  <c r="AE456" i="82"/>
  <c r="AG456" i="82"/>
  <c r="J457" i="82"/>
  <c r="K457" i="82"/>
  <c r="Q457" i="82"/>
  <c r="R457" i="82" s="1"/>
  <c r="AE457" i="82"/>
  <c r="AG457" i="82"/>
  <c r="AH457" i="82"/>
  <c r="J458" i="82"/>
  <c r="K458" i="82"/>
  <c r="L458" i="82"/>
  <c r="P458" i="82"/>
  <c r="Q458" i="82"/>
  <c r="R458" i="82"/>
  <c r="AH458" i="82" s="1"/>
  <c r="AI458" i="82" s="1"/>
  <c r="AE458" i="82"/>
  <c r="AG458" i="82"/>
  <c r="J459" i="82"/>
  <c r="K459" i="82" s="1"/>
  <c r="L459" i="82" s="1"/>
  <c r="P459" i="82"/>
  <c r="Q459" i="82"/>
  <c r="AE459" i="82"/>
  <c r="AG459" i="82" s="1"/>
  <c r="J460" i="82"/>
  <c r="K460" i="82"/>
  <c r="Q460" i="82"/>
  <c r="R460" i="82" s="1"/>
  <c r="AE460" i="82"/>
  <c r="AG460" i="82"/>
  <c r="J461" i="82"/>
  <c r="K461" i="82" s="1"/>
  <c r="Q461" i="82"/>
  <c r="AE461" i="82"/>
  <c r="AG461" i="82" s="1"/>
  <c r="J462" i="82"/>
  <c r="K462" i="82" s="1"/>
  <c r="Q462" i="82"/>
  <c r="AE462" i="82"/>
  <c r="R462" i="82" s="1"/>
  <c r="AH462" i="82" s="1"/>
  <c r="J463" i="82"/>
  <c r="K463" i="82"/>
  <c r="P463" i="82" s="1"/>
  <c r="L463" i="82"/>
  <c r="Q463" i="82"/>
  <c r="R463" i="82" s="1"/>
  <c r="AE463" i="82"/>
  <c r="AG463" i="82"/>
  <c r="J464" i="82"/>
  <c r="K464" i="82"/>
  <c r="L464" i="82"/>
  <c r="P464" i="82"/>
  <c r="Q464" i="82"/>
  <c r="R464" i="82"/>
  <c r="AE464" i="82"/>
  <c r="AG464" i="82"/>
  <c r="AH464" i="82"/>
  <c r="AI464" i="82"/>
  <c r="J465" i="82"/>
  <c r="K465" i="82" s="1"/>
  <c r="L465" i="82" s="1"/>
  <c r="Q465" i="82"/>
  <c r="AE465" i="82"/>
  <c r="AG465" i="82" s="1"/>
  <c r="J466" i="82"/>
  <c r="K466" i="82"/>
  <c r="L466" i="82" s="1"/>
  <c r="P466" i="82"/>
  <c r="Q466" i="82"/>
  <c r="R466" i="82"/>
  <c r="AE466" i="82"/>
  <c r="AG466" i="82"/>
  <c r="J467" i="82"/>
  <c r="K467" i="82" s="1"/>
  <c r="P467" i="82" s="1"/>
  <c r="L467" i="82"/>
  <c r="Q467" i="82"/>
  <c r="R467" i="82" s="1"/>
  <c r="AH467" i="82" s="1"/>
  <c r="AE467" i="82"/>
  <c r="AG467" i="82" s="1"/>
  <c r="J468" i="82"/>
  <c r="K468" i="82" s="1"/>
  <c r="Q468" i="82"/>
  <c r="R468" i="82"/>
  <c r="AH468" i="82" s="1"/>
  <c r="AE468" i="82"/>
  <c r="AG468" i="82"/>
  <c r="J469" i="82"/>
  <c r="K469" i="82"/>
  <c r="P469" i="82" s="1"/>
  <c r="L469" i="82"/>
  <c r="Q469" i="82"/>
  <c r="AE469" i="82"/>
  <c r="AG469" i="82" s="1"/>
  <c r="J470" i="82"/>
  <c r="K470" i="82"/>
  <c r="L470" i="82"/>
  <c r="P470" i="82"/>
  <c r="Q470" i="82"/>
  <c r="R470" i="82"/>
  <c r="AE470" i="82"/>
  <c r="AG470" i="82"/>
  <c r="AH470" i="82"/>
  <c r="AI470" i="82" s="1"/>
  <c r="J471" i="82"/>
  <c r="K471" i="82" s="1"/>
  <c r="L471" i="82"/>
  <c r="P471" i="82"/>
  <c r="Q471" i="82"/>
  <c r="AE471" i="82"/>
  <c r="AG471" i="82" s="1"/>
  <c r="J472" i="82"/>
  <c r="K472" i="82"/>
  <c r="L472" i="82" s="1"/>
  <c r="P472" i="82"/>
  <c r="Q472" i="82"/>
  <c r="R472" i="82" s="1"/>
  <c r="AE472" i="82"/>
  <c r="AG472" i="82"/>
  <c r="J473" i="82"/>
  <c r="K473" i="82" s="1"/>
  <c r="P473" i="82" s="1"/>
  <c r="Q473" i="82"/>
  <c r="R473" i="82"/>
  <c r="AE473" i="82"/>
  <c r="AG473" i="82" s="1"/>
  <c r="AH473" i="82"/>
  <c r="J474" i="82"/>
  <c r="K474" i="82"/>
  <c r="L474" i="82" s="1"/>
  <c r="P474" i="82"/>
  <c r="Q474" i="82"/>
  <c r="R474" i="82"/>
  <c r="AH474" i="82" s="1"/>
  <c r="AI474" i="82" s="1"/>
  <c r="AE474" i="82"/>
  <c r="AG474" i="82" s="1"/>
  <c r="J475" i="82"/>
  <c r="K475" i="82" s="1"/>
  <c r="P475" i="82" s="1"/>
  <c r="L475" i="82"/>
  <c r="Q475" i="82"/>
  <c r="R475" i="82" s="1"/>
  <c r="AE475" i="82"/>
  <c r="AG475" i="82"/>
  <c r="AH475" i="82"/>
  <c r="J476" i="82"/>
  <c r="K476" i="82"/>
  <c r="L476" i="82" s="1"/>
  <c r="P476" i="82"/>
  <c r="Q476" i="82"/>
  <c r="R476" i="82"/>
  <c r="AH476" i="82" s="1"/>
  <c r="AE476" i="82"/>
  <c r="AG476" i="82"/>
  <c r="J477" i="82"/>
  <c r="K477" i="82" s="1"/>
  <c r="L477" i="82" s="1"/>
  <c r="P477" i="82"/>
  <c r="Q477" i="82"/>
  <c r="R477" i="82" s="1"/>
  <c r="AE477" i="82"/>
  <c r="AG477" i="82" s="1"/>
  <c r="AH477" i="82"/>
  <c r="J478" i="82"/>
  <c r="K478" i="82"/>
  <c r="L478" i="82" s="1"/>
  <c r="Q478" i="82"/>
  <c r="R478" i="82"/>
  <c r="AE478" i="82"/>
  <c r="AG478" i="82"/>
  <c r="J479" i="82"/>
  <c r="K479" i="82" s="1"/>
  <c r="P479" i="82" s="1"/>
  <c r="L479" i="82"/>
  <c r="Q479" i="82"/>
  <c r="R479" i="82"/>
  <c r="AE479" i="82"/>
  <c r="AG479" i="82" s="1"/>
  <c r="J480" i="82"/>
  <c r="K480" i="82" s="1"/>
  <c r="L480" i="82" s="1"/>
  <c r="P480" i="82"/>
  <c r="Q480" i="82"/>
  <c r="AE480" i="82"/>
  <c r="R480" i="82" s="1"/>
  <c r="AH480" i="82" s="1"/>
  <c r="AI480" i="82" s="1"/>
  <c r="AG480" i="82"/>
  <c r="J481" i="82"/>
  <c r="K481" i="82" s="1"/>
  <c r="Q481" i="82"/>
  <c r="AE481" i="82"/>
  <c r="AG481" i="82" s="1"/>
  <c r="J482" i="82"/>
  <c r="K482" i="82"/>
  <c r="P482" i="82" s="1"/>
  <c r="L482" i="82"/>
  <c r="Q482" i="82"/>
  <c r="R482" i="82"/>
  <c r="AE482" i="82"/>
  <c r="AG482" i="82"/>
  <c r="AH482" i="82"/>
  <c r="AI482" i="82" s="1"/>
  <c r="J483" i="82"/>
  <c r="K483" i="82" s="1"/>
  <c r="Q483" i="82"/>
  <c r="AE483" i="82"/>
  <c r="AG483" i="82" s="1"/>
  <c r="J484" i="82"/>
  <c r="K484" i="82"/>
  <c r="L484" i="82" s="1"/>
  <c r="P484" i="82"/>
  <c r="Q484" i="82"/>
  <c r="R484" i="82"/>
  <c r="AE484" i="82"/>
  <c r="AG484" i="82"/>
  <c r="J485" i="82"/>
  <c r="K485" i="82" s="1"/>
  <c r="P485" i="82" s="1"/>
  <c r="L485" i="82"/>
  <c r="Q485" i="82"/>
  <c r="R485" i="82" s="1"/>
  <c r="AH485" i="82" s="1"/>
  <c r="AI485" i="82" s="1"/>
  <c r="AE485" i="82"/>
  <c r="AG485" i="82" s="1"/>
  <c r="J486" i="82"/>
  <c r="K486" i="82" s="1"/>
  <c r="Q486" i="82"/>
  <c r="R486" i="82"/>
  <c r="AH486" i="82" s="1"/>
  <c r="AE486" i="82"/>
  <c r="AG486" i="82"/>
  <c r="J487" i="82"/>
  <c r="K487" i="82"/>
  <c r="P487" i="82" s="1"/>
  <c r="L487" i="82"/>
  <c r="Q487" i="82"/>
  <c r="AE487" i="82"/>
  <c r="AG487" i="82" s="1"/>
  <c r="J488" i="82"/>
  <c r="K488" i="82"/>
  <c r="P488" i="82" s="1"/>
  <c r="L488" i="82"/>
  <c r="Q488" i="82"/>
  <c r="R488" i="82"/>
  <c r="AE488" i="82"/>
  <c r="AG488" i="82"/>
  <c r="AH488" i="82"/>
  <c r="J489" i="82"/>
  <c r="K489" i="82" s="1"/>
  <c r="L489" i="82"/>
  <c r="P489" i="82"/>
  <c r="Q489" i="82"/>
  <c r="AE489" i="82"/>
  <c r="AG489" i="82" s="1"/>
  <c r="J490" i="82"/>
  <c r="K490" i="82"/>
  <c r="L490" i="82" s="1"/>
  <c r="P490" i="82"/>
  <c r="Q490" i="82"/>
  <c r="R490" i="82" s="1"/>
  <c r="AE490" i="82"/>
  <c r="AG490" i="82"/>
  <c r="J491" i="82"/>
  <c r="K491" i="82" s="1"/>
  <c r="P491" i="82" s="1"/>
  <c r="Q491" i="82"/>
  <c r="R491" i="82"/>
  <c r="AE491" i="82"/>
  <c r="AG491" i="82" s="1"/>
  <c r="AH491" i="82"/>
  <c r="J492" i="82"/>
  <c r="K492" i="82"/>
  <c r="L492" i="82" s="1"/>
  <c r="P492" i="82"/>
  <c r="Q492" i="82"/>
  <c r="R492" i="82"/>
  <c r="AE492" i="82"/>
  <c r="AG492" i="82" s="1"/>
  <c r="J493" i="82"/>
  <c r="K493" i="82" s="1"/>
  <c r="P493" i="82" s="1"/>
  <c r="L493" i="82"/>
  <c r="Q493" i="82"/>
  <c r="R493" i="82" s="1"/>
  <c r="AE493" i="82"/>
  <c r="AG493" i="82"/>
  <c r="AH493" i="82"/>
  <c r="J494" i="82"/>
  <c r="K494" i="82"/>
  <c r="L494" i="82" s="1"/>
  <c r="P494" i="82"/>
  <c r="Q494" i="82"/>
  <c r="R494" i="82"/>
  <c r="AH494" i="82" s="1"/>
  <c r="AE494" i="82"/>
  <c r="AG494" i="82"/>
  <c r="J495" i="82"/>
  <c r="K495" i="82" s="1"/>
  <c r="L495" i="82" s="1"/>
  <c r="P495" i="82"/>
  <c r="Q495" i="82"/>
  <c r="R495" i="82" s="1"/>
  <c r="AE495" i="82"/>
  <c r="AG495" i="82" s="1"/>
  <c r="AH495" i="82"/>
  <c r="J496" i="82"/>
  <c r="K496" i="82"/>
  <c r="L496" i="82" s="1"/>
  <c r="Q496" i="82"/>
  <c r="R496" i="82"/>
  <c r="AE496" i="82"/>
  <c r="AG496" i="82"/>
  <c r="J497" i="82"/>
  <c r="K497" i="82" s="1"/>
  <c r="P497" i="82" s="1"/>
  <c r="L497" i="82"/>
  <c r="Q497" i="82"/>
  <c r="R497" i="82"/>
  <c r="AE497" i="82"/>
  <c r="AG497" i="82" s="1"/>
  <c r="J498" i="82"/>
  <c r="K498" i="82" s="1"/>
  <c r="P498" i="82" s="1"/>
  <c r="Q498" i="82"/>
  <c r="AE498" i="82"/>
  <c r="AG498" i="82" s="1"/>
  <c r="J499" i="82"/>
  <c r="K499" i="82"/>
  <c r="L499" i="82" s="1"/>
  <c r="P499" i="82"/>
  <c r="Q499" i="82"/>
  <c r="R499" i="82" s="1"/>
  <c r="AH499" i="82" s="1"/>
  <c r="AI499" i="82" s="1"/>
  <c r="AE499" i="82"/>
  <c r="AG499" i="82"/>
  <c r="J500" i="82"/>
  <c r="K500" i="82"/>
  <c r="L500" i="82"/>
  <c r="P500" i="82"/>
  <c r="Q500" i="82"/>
  <c r="AE500" i="82"/>
  <c r="AG500" i="82"/>
  <c r="J501" i="82"/>
  <c r="K501" i="82" s="1"/>
  <c r="Q501" i="82"/>
  <c r="R501" i="82"/>
  <c r="AE501" i="82"/>
  <c r="AG501" i="82" s="1"/>
  <c r="J502" i="82"/>
  <c r="K502" i="82" s="1"/>
  <c r="Q502" i="82"/>
  <c r="AE502" i="82"/>
  <c r="AG502" i="82" s="1"/>
  <c r="J503" i="82"/>
  <c r="K503" i="82"/>
  <c r="Q503" i="82"/>
  <c r="AH503" i="82" s="1"/>
  <c r="R503" i="82"/>
  <c r="AE503" i="82"/>
  <c r="AG503" i="82"/>
  <c r="J504" i="82"/>
  <c r="K504" i="82" s="1"/>
  <c r="P504" i="82" s="1"/>
  <c r="Q504" i="82"/>
  <c r="AE504" i="82"/>
  <c r="J505" i="82"/>
  <c r="K505" i="82"/>
  <c r="L505" i="82" s="1"/>
  <c r="Q505" i="82"/>
  <c r="R505" i="82" s="1"/>
  <c r="AH505" i="82" s="1"/>
  <c r="AE505" i="82"/>
  <c r="AG505" i="82"/>
  <c r="J506" i="82"/>
  <c r="K506" i="82"/>
  <c r="L506" i="82"/>
  <c r="P506" i="82"/>
  <c r="Q506" i="82"/>
  <c r="R506" i="82" s="1"/>
  <c r="AE506" i="82"/>
  <c r="AG506" i="82"/>
  <c r="J507" i="82"/>
  <c r="K507" i="82" s="1"/>
  <c r="L507" i="82" s="1"/>
  <c r="P507" i="82"/>
  <c r="Q507" i="82"/>
  <c r="R507" i="82"/>
  <c r="AE507" i="82"/>
  <c r="AG507" i="82" s="1"/>
  <c r="J508" i="82"/>
  <c r="K508" i="82" s="1"/>
  <c r="Q508" i="82"/>
  <c r="AE508" i="82"/>
  <c r="AG508" i="82" s="1"/>
  <c r="J509" i="82"/>
  <c r="K509" i="82"/>
  <c r="Q509" i="82"/>
  <c r="R509" i="82"/>
  <c r="AE509" i="82"/>
  <c r="AG509" i="82"/>
  <c r="J510" i="82"/>
  <c r="K510" i="82" s="1"/>
  <c r="P510" i="82" s="1"/>
  <c r="L510" i="82"/>
  <c r="Q510" i="82"/>
  <c r="AE510" i="82"/>
  <c r="J511" i="82"/>
  <c r="K511" i="82"/>
  <c r="L511" i="82" s="1"/>
  <c r="P511" i="82"/>
  <c r="Q511" i="82"/>
  <c r="R511" i="82" s="1"/>
  <c r="AH511" i="82" s="1"/>
  <c r="AE511" i="82"/>
  <c r="AG511" i="82"/>
  <c r="AI511" i="82"/>
  <c r="J512" i="82"/>
  <c r="K512" i="82"/>
  <c r="L512" i="82"/>
  <c r="P512" i="82"/>
  <c r="Q512" i="82"/>
  <c r="R512" i="82" s="1"/>
  <c r="AE512" i="82"/>
  <c r="AG512" i="82"/>
  <c r="J513" i="82"/>
  <c r="K513" i="82" s="1"/>
  <c r="L513" i="82" s="1"/>
  <c r="Q513" i="82"/>
  <c r="AH513" i="82" s="1"/>
  <c r="R513" i="82"/>
  <c r="AE513" i="82"/>
  <c r="AG513" i="82" s="1"/>
  <c r="J514" i="82"/>
  <c r="K514" i="82" s="1"/>
  <c r="Q514" i="82"/>
  <c r="AE514" i="82"/>
  <c r="AG514" i="82" s="1"/>
  <c r="J515" i="82"/>
  <c r="K515" i="82"/>
  <c r="Q515" i="82"/>
  <c r="AH515" i="82" s="1"/>
  <c r="R515" i="82"/>
  <c r="AE515" i="82"/>
  <c r="AG515" i="82"/>
  <c r="J516" i="82"/>
  <c r="K516" i="82" s="1"/>
  <c r="P516" i="82" s="1"/>
  <c r="Q516" i="82"/>
  <c r="AE516" i="82"/>
  <c r="J517" i="82"/>
  <c r="K517" i="82"/>
  <c r="L517" i="82" s="1"/>
  <c r="Q517" i="82"/>
  <c r="R517" i="82" s="1"/>
  <c r="AH517" i="82" s="1"/>
  <c r="AE517" i="82"/>
  <c r="AG517" i="82"/>
  <c r="M192" i="82"/>
  <c r="BA461" i="4"/>
  <c r="FM6" i="86"/>
  <c r="FL6" i="86"/>
  <c r="FK6" i="86"/>
  <c r="BA475" i="4"/>
  <c r="BC475" i="4" s="1"/>
  <c r="BA476" i="4"/>
  <c r="BC476" i="4" s="1"/>
  <c r="BA477" i="4"/>
  <c r="BC477" i="4" s="1"/>
  <c r="BA478" i="4"/>
  <c r="BC478" i="4" s="1"/>
  <c r="BA479" i="4"/>
  <c r="BC479" i="4" s="1"/>
  <c r="BA480" i="4"/>
  <c r="BC480" i="4" s="1"/>
  <c r="BA481" i="4"/>
  <c r="BC481" i="4" s="1"/>
  <c r="BA482" i="4"/>
  <c r="BC482" i="4" s="1"/>
  <c r="BA483" i="4"/>
  <c r="BC483" i="4" s="1"/>
  <c r="BA484" i="4"/>
  <c r="BC484" i="4" s="1"/>
  <c r="BA485" i="4"/>
  <c r="BC485" i="4" s="1"/>
  <c r="BA486" i="4"/>
  <c r="BC486" i="4" s="1"/>
  <c r="BA487" i="4"/>
  <c r="BC487" i="4" s="1"/>
  <c r="BA488" i="4"/>
  <c r="BC488" i="4" s="1"/>
  <c r="BA489" i="4"/>
  <c r="BC489" i="4" s="1"/>
  <c r="BA490" i="4"/>
  <c r="BC490" i="4" s="1"/>
  <c r="BA491" i="4"/>
  <c r="BC491" i="4" s="1"/>
  <c r="BA492" i="4"/>
  <c r="BC492" i="4" s="1"/>
  <c r="BA493" i="4"/>
  <c r="BC493" i="4" s="1"/>
  <c r="BA494" i="4"/>
  <c r="BC494" i="4" s="1"/>
  <c r="BA495" i="4"/>
  <c r="BC495" i="4" s="1"/>
  <c r="BA496" i="4"/>
  <c r="BC496" i="4" s="1"/>
  <c r="BA497" i="4"/>
  <c r="BC497" i="4" s="1"/>
  <c r="BA498" i="4"/>
  <c r="BC498" i="4" s="1"/>
  <c r="BA499" i="4"/>
  <c r="BC499" i="4" s="1"/>
  <c r="BA500" i="4"/>
  <c r="BC500" i="4" s="1"/>
  <c r="BA501" i="4"/>
  <c r="BC501" i="4" s="1"/>
  <c r="BA502" i="4"/>
  <c r="BC502" i="4" s="1"/>
  <c r="BA503" i="4"/>
  <c r="BC503" i="4" s="1"/>
  <c r="BA504" i="4"/>
  <c r="BC504" i="4" s="1"/>
  <c r="BA505" i="4"/>
  <c r="BC505" i="4" s="1"/>
  <c r="BA506" i="4"/>
  <c r="BC506" i="4" s="1"/>
  <c r="BA507" i="4"/>
  <c r="BC507" i="4" s="1"/>
  <c r="BA508" i="4"/>
  <c r="BC508" i="4" s="1"/>
  <c r="BA509" i="4"/>
  <c r="BC509" i="4" s="1"/>
  <c r="BA510" i="4"/>
  <c r="BC510" i="4" s="1"/>
  <c r="BA511" i="4"/>
  <c r="BC511" i="4" s="1"/>
  <c r="BA512" i="4"/>
  <c r="BC512" i="4" s="1"/>
  <c r="BA513" i="4"/>
  <c r="BC513" i="4" s="1"/>
  <c r="BA514" i="4"/>
  <c r="BC514" i="4" s="1"/>
  <c r="BA515" i="4"/>
  <c r="BC515" i="4" s="1"/>
  <c r="BA516" i="4"/>
  <c r="BC516" i="4" s="1"/>
  <c r="BA517" i="4"/>
  <c r="BC517" i="4" s="1"/>
  <c r="BA518" i="4"/>
  <c r="BC518" i="4" s="1"/>
  <c r="BA519" i="4"/>
  <c r="BC519" i="4" s="1"/>
  <c r="BA520" i="4"/>
  <c r="BC520" i="4" s="1"/>
  <c r="BA521" i="4"/>
  <c r="BC521" i="4" s="1"/>
  <c r="BA522" i="4"/>
  <c r="BC522" i="4" s="1"/>
  <c r="BA523" i="4"/>
  <c r="BC523" i="4" s="1"/>
  <c r="BA524" i="4"/>
  <c r="BC524" i="4" s="1"/>
  <c r="BA525" i="4"/>
  <c r="BC525" i="4" s="1"/>
  <c r="BA526" i="4"/>
  <c r="BC526" i="4" s="1"/>
  <c r="BA527" i="4"/>
  <c r="BC527" i="4" s="1"/>
  <c r="BA528" i="4"/>
  <c r="BC528" i="4" s="1"/>
  <c r="BA529" i="4"/>
  <c r="BC529" i="4" s="1"/>
  <c r="BA530" i="4"/>
  <c r="BC530" i="4" s="1"/>
  <c r="BA531" i="4"/>
  <c r="BC531" i="4" s="1"/>
  <c r="BA532" i="4"/>
  <c r="BC532" i="4" s="1"/>
  <c r="BA533" i="4"/>
  <c r="BC533" i="4" s="1"/>
  <c r="BA534" i="4"/>
  <c r="BC534" i="4" s="1"/>
  <c r="BA535" i="4"/>
  <c r="BC535" i="4" s="1"/>
  <c r="BA536" i="4"/>
  <c r="BC536" i="4" s="1"/>
  <c r="BA537" i="4"/>
  <c r="BC537" i="4" s="1"/>
  <c r="BA538" i="4"/>
  <c r="BC538" i="4" s="1"/>
  <c r="BA539" i="4"/>
  <c r="BC539" i="4" s="1"/>
  <c r="BA540" i="4"/>
  <c r="BC540" i="4" s="1"/>
  <c r="BA541" i="4"/>
  <c r="BC541" i="4" s="1"/>
  <c r="BA542" i="4"/>
  <c r="BC542" i="4" s="1"/>
  <c r="BA543" i="4"/>
  <c r="BC543" i="4" s="1"/>
  <c r="BA544" i="4"/>
  <c r="BC544" i="4" s="1"/>
  <c r="BA545" i="4"/>
  <c r="BC545" i="4" s="1"/>
  <c r="BA546" i="4"/>
  <c r="BC546" i="4" s="1"/>
  <c r="BA547" i="4"/>
  <c r="BC547" i="4" s="1"/>
  <c r="BA548" i="4"/>
  <c r="BC548" i="4" s="1"/>
  <c r="BA549" i="4"/>
  <c r="BC549" i="4" s="1"/>
  <c r="BA550" i="4"/>
  <c r="BC550" i="4" s="1"/>
  <c r="BA551" i="4"/>
  <c r="BC551" i="4" s="1"/>
  <c r="BA552" i="4"/>
  <c r="BC552" i="4" s="1"/>
  <c r="BA553" i="4"/>
  <c r="BC553" i="4" s="1"/>
  <c r="BA554" i="4"/>
  <c r="BC554" i="4" s="1"/>
  <c r="AQ475" i="4"/>
  <c r="AR475" i="4"/>
  <c r="AS475" i="4"/>
  <c r="AQ476" i="4"/>
  <c r="AR476" i="4"/>
  <c r="AS476" i="4"/>
  <c r="AQ477" i="4"/>
  <c r="AR477" i="4"/>
  <c r="AS477" i="4"/>
  <c r="AQ478" i="4"/>
  <c r="AR478" i="4"/>
  <c r="AS478" i="4"/>
  <c r="AQ479" i="4"/>
  <c r="AR479" i="4"/>
  <c r="AS479" i="4"/>
  <c r="AQ480" i="4"/>
  <c r="AR480" i="4"/>
  <c r="AS480" i="4"/>
  <c r="AQ481" i="4"/>
  <c r="AR481" i="4"/>
  <c r="AS481" i="4"/>
  <c r="AQ482" i="4"/>
  <c r="AR482" i="4"/>
  <c r="AS482" i="4"/>
  <c r="AQ483" i="4"/>
  <c r="AR483" i="4"/>
  <c r="AS483" i="4"/>
  <c r="AQ484" i="4"/>
  <c r="AR484" i="4"/>
  <c r="AS484" i="4"/>
  <c r="AQ485" i="4"/>
  <c r="AT485" i="4" s="1"/>
  <c r="AX485" i="4" s="1"/>
  <c r="AR485" i="4"/>
  <c r="AS485" i="4"/>
  <c r="AQ486" i="4"/>
  <c r="AR486" i="4"/>
  <c r="AS486" i="4"/>
  <c r="AQ487" i="4"/>
  <c r="AR487" i="4"/>
  <c r="AS487" i="4"/>
  <c r="AQ488" i="4"/>
  <c r="AR488" i="4"/>
  <c r="AS488" i="4"/>
  <c r="AQ489" i="4"/>
  <c r="AR489" i="4"/>
  <c r="AS489" i="4"/>
  <c r="AQ490" i="4"/>
  <c r="AR490" i="4"/>
  <c r="AS490" i="4"/>
  <c r="AQ491" i="4"/>
  <c r="AR491" i="4"/>
  <c r="AS491" i="4"/>
  <c r="AQ492" i="4"/>
  <c r="AR492" i="4"/>
  <c r="AS492" i="4"/>
  <c r="AQ493" i="4"/>
  <c r="AR493" i="4"/>
  <c r="AS493" i="4"/>
  <c r="AQ494" i="4"/>
  <c r="AR494" i="4"/>
  <c r="AS494" i="4"/>
  <c r="AQ495" i="4"/>
  <c r="AR495" i="4"/>
  <c r="AS495" i="4"/>
  <c r="AQ496" i="4"/>
  <c r="AR496" i="4"/>
  <c r="AS496" i="4"/>
  <c r="AQ497" i="4"/>
  <c r="AR497" i="4"/>
  <c r="AS497" i="4"/>
  <c r="AQ498" i="4"/>
  <c r="AR498" i="4"/>
  <c r="AS498" i="4"/>
  <c r="AT498" i="4" s="1"/>
  <c r="AX498" i="4" s="1"/>
  <c r="AQ499" i="4"/>
  <c r="AR499" i="4"/>
  <c r="AS499" i="4"/>
  <c r="AQ500" i="4"/>
  <c r="AR500" i="4"/>
  <c r="AS500" i="4"/>
  <c r="AQ501" i="4"/>
  <c r="AR501" i="4"/>
  <c r="AS501" i="4"/>
  <c r="AQ502" i="4"/>
  <c r="AR502" i="4"/>
  <c r="AS502" i="4"/>
  <c r="AQ503" i="4"/>
  <c r="AR503" i="4"/>
  <c r="AS503" i="4"/>
  <c r="AQ504" i="4"/>
  <c r="AR504" i="4"/>
  <c r="AS504" i="4"/>
  <c r="AQ505" i="4"/>
  <c r="AR505" i="4"/>
  <c r="AS505" i="4"/>
  <c r="AQ506" i="4"/>
  <c r="AR506" i="4"/>
  <c r="AS506" i="4"/>
  <c r="AQ507" i="4"/>
  <c r="AR507" i="4"/>
  <c r="AS507" i="4"/>
  <c r="AQ508" i="4"/>
  <c r="AR508" i="4"/>
  <c r="AS508" i="4"/>
  <c r="AQ509" i="4"/>
  <c r="AR509" i="4"/>
  <c r="AS509" i="4"/>
  <c r="AQ510" i="4"/>
  <c r="AR510" i="4"/>
  <c r="AS510" i="4"/>
  <c r="AQ511" i="4"/>
  <c r="AR511" i="4"/>
  <c r="AS511" i="4"/>
  <c r="AQ512" i="4"/>
  <c r="AR512" i="4"/>
  <c r="AS512" i="4"/>
  <c r="AQ513" i="4"/>
  <c r="AR513" i="4"/>
  <c r="AS513" i="4"/>
  <c r="AQ514" i="4"/>
  <c r="AR514" i="4"/>
  <c r="AS514" i="4"/>
  <c r="AQ515" i="4"/>
  <c r="AR515" i="4"/>
  <c r="AS515" i="4"/>
  <c r="AQ516" i="4"/>
  <c r="AR516" i="4"/>
  <c r="AS516" i="4"/>
  <c r="AQ517" i="4"/>
  <c r="AR517" i="4"/>
  <c r="AS517" i="4"/>
  <c r="AQ518" i="4"/>
  <c r="AR518" i="4"/>
  <c r="AS518" i="4"/>
  <c r="AQ519" i="4"/>
  <c r="AR519" i="4"/>
  <c r="AS519" i="4"/>
  <c r="AQ520" i="4"/>
  <c r="AR520" i="4"/>
  <c r="AS520" i="4"/>
  <c r="AQ521" i="4"/>
  <c r="AR521" i="4"/>
  <c r="AS521" i="4"/>
  <c r="AQ522" i="4"/>
  <c r="AR522" i="4"/>
  <c r="AS522" i="4"/>
  <c r="AQ523" i="4"/>
  <c r="AR523" i="4"/>
  <c r="AS523" i="4"/>
  <c r="AQ524" i="4"/>
  <c r="AR524" i="4"/>
  <c r="AS524" i="4"/>
  <c r="AQ525" i="4"/>
  <c r="AR525" i="4"/>
  <c r="AS525" i="4"/>
  <c r="AQ526" i="4"/>
  <c r="AR526" i="4"/>
  <c r="AS526" i="4"/>
  <c r="AQ527" i="4"/>
  <c r="AR527" i="4"/>
  <c r="AS527" i="4"/>
  <c r="AQ528" i="4"/>
  <c r="AR528" i="4"/>
  <c r="AS528" i="4"/>
  <c r="AQ529" i="4"/>
  <c r="AR529" i="4"/>
  <c r="AS529" i="4"/>
  <c r="AQ530" i="4"/>
  <c r="AR530" i="4"/>
  <c r="AS530" i="4"/>
  <c r="AQ531" i="4"/>
  <c r="AR531" i="4"/>
  <c r="AS531" i="4"/>
  <c r="AQ532" i="4"/>
  <c r="AR532" i="4"/>
  <c r="AS532" i="4"/>
  <c r="AQ533" i="4"/>
  <c r="AR533" i="4"/>
  <c r="AS533" i="4"/>
  <c r="AQ534" i="4"/>
  <c r="AR534" i="4"/>
  <c r="AS534" i="4"/>
  <c r="AQ535" i="4"/>
  <c r="AR535" i="4"/>
  <c r="AS535" i="4"/>
  <c r="AQ536" i="4"/>
  <c r="AR536" i="4"/>
  <c r="AS536" i="4"/>
  <c r="AQ537" i="4"/>
  <c r="AR537" i="4"/>
  <c r="AS537" i="4"/>
  <c r="AQ538" i="4"/>
  <c r="AR538" i="4"/>
  <c r="AS538" i="4"/>
  <c r="AQ539" i="4"/>
  <c r="AR539" i="4"/>
  <c r="AS539" i="4"/>
  <c r="AQ540" i="4"/>
  <c r="AR540" i="4"/>
  <c r="AS540" i="4"/>
  <c r="AQ541" i="4"/>
  <c r="AR541" i="4"/>
  <c r="AS541" i="4"/>
  <c r="AQ542" i="4"/>
  <c r="AR542" i="4"/>
  <c r="AS542" i="4"/>
  <c r="AQ543" i="4"/>
  <c r="AR543" i="4"/>
  <c r="AS543" i="4"/>
  <c r="AQ544" i="4"/>
  <c r="AR544" i="4"/>
  <c r="AS544" i="4"/>
  <c r="AQ545" i="4"/>
  <c r="AR545" i="4"/>
  <c r="AS545" i="4"/>
  <c r="AQ546" i="4"/>
  <c r="AR546" i="4"/>
  <c r="AS546" i="4"/>
  <c r="AK475" i="4"/>
  <c r="AM475" i="4" s="1"/>
  <c r="AL475" i="4"/>
  <c r="AK476" i="4"/>
  <c r="AM476" i="4" s="1"/>
  <c r="AL476" i="4"/>
  <c r="AK477" i="4"/>
  <c r="AM477" i="4" s="1"/>
  <c r="AL477" i="4"/>
  <c r="AK478" i="4"/>
  <c r="AM478" i="4" s="1"/>
  <c r="AL478" i="4"/>
  <c r="AK479" i="4"/>
  <c r="AM479" i="4" s="1"/>
  <c r="AL479" i="4"/>
  <c r="AK480" i="4"/>
  <c r="AM480" i="4" s="1"/>
  <c r="AL480" i="4"/>
  <c r="AK481" i="4"/>
  <c r="AM481" i="4" s="1"/>
  <c r="AL481" i="4"/>
  <c r="AK482" i="4"/>
  <c r="AM482" i="4" s="1"/>
  <c r="AL482" i="4"/>
  <c r="AK483" i="4"/>
  <c r="AL483" i="4"/>
  <c r="AM483" i="4"/>
  <c r="AK484" i="4"/>
  <c r="AM484" i="4" s="1"/>
  <c r="AL484" i="4"/>
  <c r="AK485" i="4"/>
  <c r="AM485" i="4" s="1"/>
  <c r="AL485" i="4"/>
  <c r="AK486" i="4"/>
  <c r="AM486" i="4" s="1"/>
  <c r="AL486" i="4"/>
  <c r="AK487" i="4"/>
  <c r="AM487" i="4" s="1"/>
  <c r="AL487" i="4"/>
  <c r="AK488" i="4"/>
  <c r="AM488" i="4" s="1"/>
  <c r="AL488" i="4"/>
  <c r="AK489" i="4"/>
  <c r="AM489" i="4" s="1"/>
  <c r="AL489" i="4"/>
  <c r="AK490" i="4"/>
  <c r="AM490" i="4" s="1"/>
  <c r="AL490" i="4"/>
  <c r="AK491" i="4"/>
  <c r="AM491" i="4" s="1"/>
  <c r="AL491" i="4"/>
  <c r="AK492" i="4"/>
  <c r="AM492" i="4" s="1"/>
  <c r="AL492" i="4"/>
  <c r="AK493" i="4"/>
  <c r="AL493" i="4"/>
  <c r="AM493" i="4"/>
  <c r="AK494" i="4"/>
  <c r="AM494" i="4" s="1"/>
  <c r="AL494" i="4"/>
  <c r="AK495" i="4"/>
  <c r="AM495" i="4" s="1"/>
  <c r="AL495" i="4"/>
  <c r="AK496" i="4"/>
  <c r="AM496" i="4" s="1"/>
  <c r="AL496" i="4"/>
  <c r="AK497" i="4"/>
  <c r="AM497" i="4" s="1"/>
  <c r="AL497" i="4"/>
  <c r="AK498" i="4"/>
  <c r="AM498" i="4" s="1"/>
  <c r="AL498" i="4"/>
  <c r="AK499" i="4"/>
  <c r="AM499" i="4" s="1"/>
  <c r="AL499" i="4"/>
  <c r="AK500" i="4"/>
  <c r="AM500" i="4" s="1"/>
  <c r="AL500" i="4"/>
  <c r="AK501" i="4"/>
  <c r="AM501" i="4" s="1"/>
  <c r="AL501" i="4"/>
  <c r="AK502" i="4"/>
  <c r="AM502" i="4" s="1"/>
  <c r="AL502" i="4"/>
  <c r="AK503" i="4"/>
  <c r="AM503" i="4" s="1"/>
  <c r="AL503" i="4"/>
  <c r="AK504" i="4"/>
  <c r="AM504" i="4" s="1"/>
  <c r="AL504" i="4"/>
  <c r="AK505" i="4"/>
  <c r="AM505" i="4" s="1"/>
  <c r="AL505" i="4"/>
  <c r="AK506" i="4"/>
  <c r="AM506" i="4" s="1"/>
  <c r="AL506" i="4"/>
  <c r="AK507" i="4"/>
  <c r="AM507" i="4" s="1"/>
  <c r="AL507" i="4"/>
  <c r="AK508" i="4"/>
  <c r="AM508" i="4" s="1"/>
  <c r="AL508" i="4"/>
  <c r="AK509" i="4"/>
  <c r="AM509" i="4" s="1"/>
  <c r="AL509" i="4"/>
  <c r="AK510" i="4"/>
  <c r="AM510" i="4" s="1"/>
  <c r="AL510" i="4"/>
  <c r="AK511" i="4"/>
  <c r="AM511" i="4" s="1"/>
  <c r="AL511" i="4"/>
  <c r="AK512" i="4"/>
  <c r="AM512" i="4" s="1"/>
  <c r="AL512" i="4"/>
  <c r="AK513" i="4"/>
  <c r="AM513" i="4" s="1"/>
  <c r="AL513" i="4"/>
  <c r="AK514" i="4"/>
  <c r="AM514" i="4" s="1"/>
  <c r="AL514" i="4"/>
  <c r="AK515" i="4"/>
  <c r="AM515" i="4" s="1"/>
  <c r="AL515" i="4"/>
  <c r="AK516" i="4"/>
  <c r="AM516" i="4" s="1"/>
  <c r="AL516" i="4"/>
  <c r="AK517" i="4"/>
  <c r="AM517" i="4" s="1"/>
  <c r="AL517" i="4"/>
  <c r="AK518" i="4"/>
  <c r="AM518" i="4" s="1"/>
  <c r="AL518" i="4"/>
  <c r="AK519" i="4"/>
  <c r="AM519" i="4" s="1"/>
  <c r="AL519" i="4"/>
  <c r="AK520" i="4"/>
  <c r="AM520" i="4" s="1"/>
  <c r="AL520" i="4"/>
  <c r="AK521" i="4"/>
  <c r="AM521" i="4" s="1"/>
  <c r="AL521" i="4"/>
  <c r="AK522" i="4"/>
  <c r="AM522" i="4" s="1"/>
  <c r="AL522" i="4"/>
  <c r="AK523" i="4"/>
  <c r="AM523" i="4" s="1"/>
  <c r="AL523" i="4"/>
  <c r="AK524" i="4"/>
  <c r="AM524" i="4" s="1"/>
  <c r="AL524" i="4"/>
  <c r="AK525" i="4"/>
  <c r="AM525" i="4" s="1"/>
  <c r="AL525" i="4"/>
  <c r="AK526" i="4"/>
  <c r="AM526" i="4" s="1"/>
  <c r="AL526" i="4"/>
  <c r="AK527" i="4"/>
  <c r="AM527" i="4" s="1"/>
  <c r="AL527" i="4"/>
  <c r="AK528" i="4"/>
  <c r="AM528" i="4" s="1"/>
  <c r="AL528" i="4"/>
  <c r="AK529" i="4"/>
  <c r="AM529" i="4" s="1"/>
  <c r="AL529" i="4"/>
  <c r="AK530" i="4"/>
  <c r="AM530" i="4" s="1"/>
  <c r="AL530" i="4"/>
  <c r="AK531" i="4"/>
  <c r="AM531" i="4" s="1"/>
  <c r="AL531" i="4"/>
  <c r="AK532" i="4"/>
  <c r="AM532" i="4" s="1"/>
  <c r="AL532" i="4"/>
  <c r="AK533" i="4"/>
  <c r="AM533" i="4" s="1"/>
  <c r="AL533" i="4"/>
  <c r="AK534" i="4"/>
  <c r="AM534" i="4" s="1"/>
  <c r="AL534" i="4"/>
  <c r="AK535" i="4"/>
  <c r="AM535" i="4" s="1"/>
  <c r="AL535" i="4"/>
  <c r="AK536" i="4"/>
  <c r="AM536" i="4" s="1"/>
  <c r="AL536" i="4"/>
  <c r="AK537" i="4"/>
  <c r="AM537" i="4" s="1"/>
  <c r="AL537" i="4"/>
  <c r="AK538" i="4"/>
  <c r="AM538" i="4" s="1"/>
  <c r="AL538" i="4"/>
  <c r="AK539" i="4"/>
  <c r="AM539" i="4" s="1"/>
  <c r="AL539" i="4"/>
  <c r="AK540" i="4"/>
  <c r="AM540" i="4" s="1"/>
  <c r="AL540" i="4"/>
  <c r="AK541" i="4"/>
  <c r="AM541" i="4" s="1"/>
  <c r="AL541" i="4"/>
  <c r="AK542" i="4"/>
  <c r="AM542" i="4" s="1"/>
  <c r="AL542" i="4"/>
  <c r="AK543" i="4"/>
  <c r="AM543" i="4" s="1"/>
  <c r="AL543" i="4"/>
  <c r="AK544" i="4"/>
  <c r="AM544" i="4" s="1"/>
  <c r="AL544" i="4"/>
  <c r="AK545" i="4"/>
  <c r="AM545" i="4" s="1"/>
  <c r="AL545" i="4"/>
  <c r="AK546" i="4"/>
  <c r="AM546" i="4" s="1"/>
  <c r="AL546" i="4"/>
  <c r="AK547" i="4"/>
  <c r="AM547" i="4" s="1"/>
  <c r="AL547" i="4"/>
  <c r="AK548" i="4"/>
  <c r="AM548" i="4" s="1"/>
  <c r="AL548" i="4"/>
  <c r="AK549" i="4"/>
  <c r="AM549" i="4" s="1"/>
  <c r="AL549" i="4"/>
  <c r="AK550" i="4"/>
  <c r="AM550" i="4" s="1"/>
  <c r="AL550" i="4"/>
  <c r="AK551" i="4"/>
  <c r="AM551" i="4" s="1"/>
  <c r="AL551" i="4"/>
  <c r="AK552" i="4"/>
  <c r="AM552" i="4" s="1"/>
  <c r="AL552" i="4"/>
  <c r="AK553" i="4"/>
  <c r="AM553" i="4" s="1"/>
  <c r="AL553" i="4"/>
  <c r="Q475" i="4"/>
  <c r="Q476" i="4"/>
  <c r="R476" i="4" s="1"/>
  <c r="Q477" i="4"/>
  <c r="Q478" i="4"/>
  <c r="R478" i="4" s="1"/>
  <c r="Q479" i="4"/>
  <c r="Q480" i="4"/>
  <c r="R480" i="4" s="1"/>
  <c r="Q481" i="4"/>
  <c r="Q482" i="4"/>
  <c r="Q483" i="4"/>
  <c r="Q484" i="4"/>
  <c r="Q485" i="4"/>
  <c r="Q486" i="4"/>
  <c r="R486" i="4" s="1"/>
  <c r="Q487" i="4"/>
  <c r="R487" i="4" s="1"/>
  <c r="Q488" i="4"/>
  <c r="Q489" i="4"/>
  <c r="Q490" i="4"/>
  <c r="R490" i="4" s="1"/>
  <c r="Q491" i="4"/>
  <c r="Q492" i="4"/>
  <c r="Q493" i="4"/>
  <c r="Q494" i="4"/>
  <c r="R494" i="4" s="1"/>
  <c r="Q495" i="4"/>
  <c r="Q496" i="4"/>
  <c r="R496" i="4" s="1"/>
  <c r="Q497" i="4"/>
  <c r="Q498" i="4"/>
  <c r="R498" i="4" s="1"/>
  <c r="Q499" i="4"/>
  <c r="Q500" i="4"/>
  <c r="Q501" i="4"/>
  <c r="Q502" i="4"/>
  <c r="Q503" i="4"/>
  <c r="Q504" i="4"/>
  <c r="R504" i="4" s="1"/>
  <c r="Q505" i="4"/>
  <c r="R505" i="4"/>
  <c r="Q506" i="4"/>
  <c r="Q507" i="4"/>
  <c r="Q508" i="4"/>
  <c r="R508" i="4" s="1"/>
  <c r="Q509" i="4"/>
  <c r="Q510" i="4"/>
  <c r="Q511" i="4"/>
  <c r="Q512" i="4"/>
  <c r="R512" i="4" s="1"/>
  <c r="Q513" i="4"/>
  <c r="Q514" i="4"/>
  <c r="R514" i="4" s="1"/>
  <c r="Q515" i="4"/>
  <c r="Q516" i="4"/>
  <c r="R516" i="4" s="1"/>
  <c r="Q517" i="4"/>
  <c r="Q518" i="4"/>
  <c r="Q519" i="4"/>
  <c r="Q520" i="4"/>
  <c r="Q521" i="4"/>
  <c r="Q522" i="4"/>
  <c r="R522" i="4" s="1"/>
  <c r="Q523" i="4"/>
  <c r="R523" i="4" s="1"/>
  <c r="Q524" i="4"/>
  <c r="Q525" i="4"/>
  <c r="Q526" i="4"/>
  <c r="R526" i="4" s="1"/>
  <c r="Q527" i="4"/>
  <c r="Q528" i="4"/>
  <c r="Q529" i="4"/>
  <c r="Q530" i="4"/>
  <c r="R530" i="4" s="1"/>
  <c r="Q531" i="4"/>
  <c r="Q532" i="4"/>
  <c r="R532" i="4" s="1"/>
  <c r="Q533" i="4"/>
  <c r="Q534" i="4"/>
  <c r="R534" i="4" s="1"/>
  <c r="Q535" i="4"/>
  <c r="R535" i="4" s="1"/>
  <c r="Q536" i="4"/>
  <c r="Q537" i="4"/>
  <c r="Q538" i="4"/>
  <c r="Q539" i="4"/>
  <c r="R539" i="4" s="1"/>
  <c r="Q540" i="4"/>
  <c r="R540" i="4" s="1"/>
  <c r="Q541" i="4"/>
  <c r="R541" i="4"/>
  <c r="Q542" i="4"/>
  <c r="Q543" i="4"/>
  <c r="R543" i="4" s="1"/>
  <c r="Q544" i="4"/>
  <c r="R544" i="4" s="1"/>
  <c r="Q545" i="4"/>
  <c r="Q546" i="4"/>
  <c r="Q547" i="4"/>
  <c r="J475" i="4"/>
  <c r="J476" i="4"/>
  <c r="BE476" i="4" s="1"/>
  <c r="J477" i="4"/>
  <c r="BE477" i="4" s="1"/>
  <c r="K477" i="4"/>
  <c r="BD477" i="4" s="1"/>
  <c r="J478" i="4"/>
  <c r="J479" i="4"/>
  <c r="BE479" i="4" s="1"/>
  <c r="J480" i="4"/>
  <c r="J481" i="4"/>
  <c r="J482" i="4"/>
  <c r="BE482" i="4" s="1"/>
  <c r="K482" i="4"/>
  <c r="J483" i="4"/>
  <c r="BE483" i="4" s="1"/>
  <c r="J484" i="4"/>
  <c r="J485" i="4"/>
  <c r="J486" i="4"/>
  <c r="BE486" i="4" s="1"/>
  <c r="K486" i="4"/>
  <c r="J487" i="4"/>
  <c r="J488" i="4"/>
  <c r="BE488" i="4" s="1"/>
  <c r="J489" i="4"/>
  <c r="BE489" i="4" s="1"/>
  <c r="J490" i="4"/>
  <c r="J491" i="4"/>
  <c r="J492" i="4"/>
  <c r="J493" i="4"/>
  <c r="J494" i="4"/>
  <c r="BE494" i="4" s="1"/>
  <c r="J495" i="4"/>
  <c r="BE495" i="4" s="1"/>
  <c r="J496" i="4"/>
  <c r="J497" i="4"/>
  <c r="BE497" i="4" s="1"/>
  <c r="J498" i="4"/>
  <c r="J499" i="4"/>
  <c r="J500" i="4"/>
  <c r="BE500" i="4" s="1"/>
  <c r="K500" i="4"/>
  <c r="J501" i="4"/>
  <c r="BE501" i="4" s="1"/>
  <c r="J502" i="4"/>
  <c r="J503" i="4"/>
  <c r="J504" i="4"/>
  <c r="BE504" i="4" s="1"/>
  <c r="J505" i="4"/>
  <c r="J506" i="4"/>
  <c r="BE506" i="4" s="1"/>
  <c r="J507" i="4"/>
  <c r="BE507" i="4" s="1"/>
  <c r="J508" i="4"/>
  <c r="J509" i="4"/>
  <c r="J510" i="4"/>
  <c r="J511" i="4"/>
  <c r="J512" i="4"/>
  <c r="BE512" i="4" s="1"/>
  <c r="J513" i="4"/>
  <c r="BE513" i="4" s="1"/>
  <c r="J514" i="4"/>
  <c r="J515" i="4"/>
  <c r="BE515" i="4" s="1"/>
  <c r="J516" i="4"/>
  <c r="J517" i="4"/>
  <c r="J518" i="4"/>
  <c r="BE518" i="4" s="1"/>
  <c r="K518" i="4"/>
  <c r="J519" i="4"/>
  <c r="BE519" i="4" s="1"/>
  <c r="J520" i="4"/>
  <c r="K520" i="4" s="1"/>
  <c r="BD520" i="4" s="1"/>
  <c r="J521" i="4"/>
  <c r="J522" i="4"/>
  <c r="BE522" i="4" s="1"/>
  <c r="K522" i="4"/>
  <c r="J523" i="4"/>
  <c r="J524" i="4"/>
  <c r="BE524" i="4" s="1"/>
  <c r="J525" i="4"/>
  <c r="BE525" i="4" s="1"/>
  <c r="J526" i="4"/>
  <c r="J527" i="4"/>
  <c r="J528" i="4"/>
  <c r="J529" i="4"/>
  <c r="J530" i="4"/>
  <c r="BE530" i="4" s="1"/>
  <c r="BF530" i="4" s="1"/>
  <c r="J531" i="4"/>
  <c r="BE531" i="4" s="1"/>
  <c r="J532" i="4"/>
  <c r="J533" i="4"/>
  <c r="BE533" i="4" s="1"/>
  <c r="J534" i="4"/>
  <c r="J535" i="4"/>
  <c r="J536" i="4"/>
  <c r="BE536" i="4" s="1"/>
  <c r="K536" i="4"/>
  <c r="J537" i="4"/>
  <c r="BE537" i="4" s="1"/>
  <c r="J538" i="4"/>
  <c r="J539" i="4"/>
  <c r="J540" i="4"/>
  <c r="BE540" i="4" s="1"/>
  <c r="J541" i="4"/>
  <c r="J542" i="4"/>
  <c r="BE542" i="4" s="1"/>
  <c r="J543" i="4"/>
  <c r="BE543" i="4" s="1"/>
  <c r="J544" i="4"/>
  <c r="J545" i="4"/>
  <c r="J546" i="4"/>
  <c r="J547" i="4"/>
  <c r="FM5" i="86"/>
  <c r="FN5" i="86" s="1"/>
  <c r="FO5" i="86" s="1"/>
  <c r="M460" i="4"/>
  <c r="Q460" i="4" s="1"/>
  <c r="J454" i="4"/>
  <c r="K454" i="4" s="1"/>
  <c r="L454" i="4" s="1"/>
  <c r="FJ6" i="86"/>
  <c r="FI6" i="86"/>
  <c r="FG6" i="86"/>
  <c r="FK5" i="86"/>
  <c r="FL5" i="86" s="1"/>
  <c r="FI5" i="86"/>
  <c r="FJ5" i="86" s="1"/>
  <c r="FH5" i="86"/>
  <c r="FG5" i="86"/>
  <c r="Q452" i="4"/>
  <c r="Q453" i="4"/>
  <c r="Q454" i="4"/>
  <c r="Q455" i="4"/>
  <c r="Q456" i="4"/>
  <c r="Q457" i="4"/>
  <c r="Q458" i="4"/>
  <c r="Q459" i="4"/>
  <c r="Q461" i="4"/>
  <c r="Q462" i="4"/>
  <c r="Q463" i="4"/>
  <c r="Q464" i="4"/>
  <c r="Q465" i="4"/>
  <c r="Q466" i="4"/>
  <c r="Q467" i="4"/>
  <c r="Q468" i="4"/>
  <c r="Q469" i="4"/>
  <c r="Q470" i="4"/>
  <c r="Q471" i="4"/>
  <c r="Q472" i="4"/>
  <c r="Q473" i="4"/>
  <c r="Q474" i="4"/>
  <c r="Q548" i="4"/>
  <c r="Q549" i="4"/>
  <c r="Q550" i="4"/>
  <c r="Q551" i="4"/>
  <c r="Q552" i="4"/>
  <c r="Q553" i="4"/>
  <c r="Q554" i="4"/>
  <c r="M448" i="4"/>
  <c r="FH6" i="86" s="1"/>
  <c r="AI186" i="82"/>
  <c r="AI187" i="82"/>
  <c r="AI189" i="82"/>
  <c r="AI190" i="82"/>
  <c r="AI197" i="82"/>
  <c r="AI198" i="82"/>
  <c r="AI199" i="82"/>
  <c r="AI200" i="82"/>
  <c r="AI201" i="82"/>
  <c r="AI202" i="82"/>
  <c r="AI203" i="82"/>
  <c r="AI204" i="82"/>
  <c r="AI205" i="82"/>
  <c r="M185" i="82"/>
  <c r="I185" i="82"/>
  <c r="FF6" i="86"/>
  <c r="FE6" i="86"/>
  <c r="FD6" i="86"/>
  <c r="K504" i="4" l="1"/>
  <c r="K494" i="4"/>
  <c r="K489" i="4"/>
  <c r="BD489" i="4" s="1"/>
  <c r="K476" i="4"/>
  <c r="K488" i="4"/>
  <c r="P488" i="4" s="1"/>
  <c r="AT540" i="4"/>
  <c r="AX540" i="4" s="1"/>
  <c r="AT534" i="4"/>
  <c r="AX534" i="4" s="1"/>
  <c r="AT510" i="4"/>
  <c r="AX510" i="4" s="1"/>
  <c r="AT522" i="4"/>
  <c r="AX522" i="4" s="1"/>
  <c r="K524" i="4"/>
  <c r="K506" i="4"/>
  <c r="P506" i="4" s="1"/>
  <c r="K483" i="4"/>
  <c r="BD483" i="4" s="1"/>
  <c r="K479" i="4"/>
  <c r="BD479" i="4" s="1"/>
  <c r="AP540" i="4"/>
  <c r="AP534" i="4"/>
  <c r="AP476" i="4"/>
  <c r="K542" i="4"/>
  <c r="BD542" i="4" s="1"/>
  <c r="K519" i="4"/>
  <c r="BD519" i="4" s="1"/>
  <c r="K515" i="4"/>
  <c r="BD515" i="4" s="1"/>
  <c r="AT496" i="4"/>
  <c r="AX496" i="4" s="1"/>
  <c r="AT492" i="4"/>
  <c r="AX492" i="4" s="1"/>
  <c r="AT535" i="4"/>
  <c r="AX535" i="4" s="1"/>
  <c r="AT484" i="4"/>
  <c r="AX484" i="4" s="1"/>
  <c r="AT482" i="4"/>
  <c r="AX482" i="4" s="1"/>
  <c r="AP486" i="4"/>
  <c r="K540" i="4"/>
  <c r="K530" i="4"/>
  <c r="BD530" i="4" s="1"/>
  <c r="K525" i="4"/>
  <c r="BD525" i="4" s="1"/>
  <c r="K513" i="4"/>
  <c r="BD513" i="4" s="1"/>
  <c r="AP541" i="4"/>
  <c r="AP535" i="4"/>
  <c r="AP526" i="4"/>
  <c r="AP514" i="4"/>
  <c r="AP508" i="4"/>
  <c r="AT479" i="4"/>
  <c r="AX479" i="4" s="1"/>
  <c r="AI517" i="82"/>
  <c r="R508" i="82"/>
  <c r="AH508" i="82"/>
  <c r="L501" i="82"/>
  <c r="P501" i="82"/>
  <c r="L462" i="82"/>
  <c r="P462" i="82"/>
  <c r="R414" i="82"/>
  <c r="AH414" i="82" s="1"/>
  <c r="AI414" i="82" s="1"/>
  <c r="AI386" i="82"/>
  <c r="P517" i="82"/>
  <c r="L516" i="82"/>
  <c r="L515" i="82"/>
  <c r="P515" i="82"/>
  <c r="AI515" i="82" s="1"/>
  <c r="AH509" i="82"/>
  <c r="L508" i="82"/>
  <c r="P508" i="82"/>
  <c r="AG504" i="82"/>
  <c r="R504" i="82"/>
  <c r="AH504" i="82" s="1"/>
  <c r="R502" i="82"/>
  <c r="AH502" i="82"/>
  <c r="L498" i="82"/>
  <c r="AI488" i="82"/>
  <c r="L468" i="82"/>
  <c r="P468" i="82"/>
  <c r="L460" i="82"/>
  <c r="P460" i="82"/>
  <c r="P456" i="82"/>
  <c r="AI456" i="82" s="1"/>
  <c r="R445" i="82"/>
  <c r="AH445" i="82"/>
  <c r="AG408" i="82"/>
  <c r="R408" i="82"/>
  <c r="AH408" i="82" s="1"/>
  <c r="AI408" i="82" s="1"/>
  <c r="R400" i="82"/>
  <c r="AH400" i="82" s="1"/>
  <c r="AI400" i="82" s="1"/>
  <c r="L373" i="82"/>
  <c r="P373" i="82"/>
  <c r="R349" i="82"/>
  <c r="AH349" i="82" s="1"/>
  <c r="AI349" i="82" s="1"/>
  <c r="L326" i="82"/>
  <c r="P326" i="82"/>
  <c r="AH295" i="82"/>
  <c r="AI295" i="82" s="1"/>
  <c r="R295" i="82"/>
  <c r="L486" i="82"/>
  <c r="P486" i="82"/>
  <c r="AI486" i="82" s="1"/>
  <c r="AI346" i="82"/>
  <c r="AH512" i="82"/>
  <c r="AI512" i="82" s="1"/>
  <c r="L509" i="82"/>
  <c r="P509" i="82"/>
  <c r="L502" i="82"/>
  <c r="P502" i="82"/>
  <c r="AI473" i="82"/>
  <c r="P457" i="82"/>
  <c r="L457" i="82"/>
  <c r="AH415" i="82"/>
  <c r="AI415" i="82" s="1"/>
  <c r="R415" i="82"/>
  <c r="L411" i="82"/>
  <c r="P411" i="82"/>
  <c r="L403" i="82"/>
  <c r="P403" i="82"/>
  <c r="AH396" i="82"/>
  <c r="AI396" i="82" s="1"/>
  <c r="R396" i="82"/>
  <c r="AI369" i="82"/>
  <c r="L363" i="82"/>
  <c r="P363" i="82"/>
  <c r="R351" i="82"/>
  <c r="AH351" i="82" s="1"/>
  <c r="AI351" i="82" s="1"/>
  <c r="AG351" i="82"/>
  <c r="L331" i="82"/>
  <c r="P331" i="82"/>
  <c r="AG510" i="82"/>
  <c r="R510" i="82"/>
  <c r="AH510" i="82" s="1"/>
  <c r="AI510" i="82" s="1"/>
  <c r="AI376" i="82"/>
  <c r="AH506" i="82"/>
  <c r="AI506" i="82" s="1"/>
  <c r="P505" i="82"/>
  <c r="AI505" i="82" s="1"/>
  <c r="L504" i="82"/>
  <c r="L503" i="82"/>
  <c r="P503" i="82"/>
  <c r="AI503" i="82" s="1"/>
  <c r="AI494" i="82"/>
  <c r="L483" i="82"/>
  <c r="P483" i="82"/>
  <c r="P481" i="82"/>
  <c r="L481" i="82"/>
  <c r="AI476" i="82"/>
  <c r="AI467" i="82"/>
  <c r="P461" i="82"/>
  <c r="L461" i="82"/>
  <c r="AG443" i="82"/>
  <c r="R443" i="82"/>
  <c r="AH443" i="82" s="1"/>
  <c r="AI443" i="82" s="1"/>
  <c r="P404" i="82"/>
  <c r="L404" i="82"/>
  <c r="L364" i="82"/>
  <c r="AI364" i="82" s="1"/>
  <c r="P364" i="82"/>
  <c r="R308" i="82"/>
  <c r="AH308" i="82" s="1"/>
  <c r="AI308" i="82" s="1"/>
  <c r="R303" i="82"/>
  <c r="AH303" i="82" s="1"/>
  <c r="AI303" i="82" s="1"/>
  <c r="L302" i="82"/>
  <c r="P302" i="82"/>
  <c r="R500" i="82"/>
  <c r="AH500" i="82"/>
  <c r="AI500" i="82" s="1"/>
  <c r="AH487" i="82"/>
  <c r="AI487" i="82" s="1"/>
  <c r="R444" i="82"/>
  <c r="AH444" i="82" s="1"/>
  <c r="AI444" i="82" s="1"/>
  <c r="AG444" i="82"/>
  <c r="L391" i="82"/>
  <c r="P391" i="82"/>
  <c r="P381" i="82"/>
  <c r="AI381" i="82" s="1"/>
  <c r="L381" i="82"/>
  <c r="P380" i="82"/>
  <c r="L380" i="82"/>
  <c r="AG264" i="82"/>
  <c r="R264" i="82"/>
  <c r="AH264" i="82" s="1"/>
  <c r="P254" i="82"/>
  <c r="L254" i="82"/>
  <c r="P246" i="82"/>
  <c r="L246" i="82"/>
  <c r="L514" i="82"/>
  <c r="P514" i="82"/>
  <c r="AG516" i="82"/>
  <c r="R516" i="82"/>
  <c r="AH516" i="82" s="1"/>
  <c r="R514" i="82"/>
  <c r="AH514" i="82" s="1"/>
  <c r="AI514" i="82" s="1"/>
  <c r="P513" i="82"/>
  <c r="AI513" i="82" s="1"/>
  <c r="AH507" i="82"/>
  <c r="AI507" i="82" s="1"/>
  <c r="AH501" i="82"/>
  <c r="AI501" i="82" s="1"/>
  <c r="AH497" i="82"/>
  <c r="AI497" i="82" s="1"/>
  <c r="AI495" i="82"/>
  <c r="AH479" i="82"/>
  <c r="AI479" i="82" s="1"/>
  <c r="AI477" i="82"/>
  <c r="AI468" i="82"/>
  <c r="P451" i="82"/>
  <c r="L451" i="82"/>
  <c r="AI451" i="82" s="1"/>
  <c r="AG344" i="82"/>
  <c r="R344" i="82"/>
  <c r="L343" i="82"/>
  <c r="P343" i="82"/>
  <c r="R324" i="82"/>
  <c r="AH324" i="82"/>
  <c r="AI324" i="82" s="1"/>
  <c r="P289" i="82"/>
  <c r="L289" i="82"/>
  <c r="AI493" i="82"/>
  <c r="L454" i="82"/>
  <c r="P454" i="82"/>
  <c r="L448" i="82"/>
  <c r="P448" i="82"/>
  <c r="L439" i="82"/>
  <c r="P439" i="82"/>
  <c r="AI406" i="82"/>
  <c r="R365" i="82"/>
  <c r="AH365" i="82"/>
  <c r="AI365" i="82" s="1"/>
  <c r="P334" i="82"/>
  <c r="AI334" i="82" s="1"/>
  <c r="L334" i="82"/>
  <c r="R287" i="82"/>
  <c r="AH287" i="82" s="1"/>
  <c r="AI287" i="82" s="1"/>
  <c r="R283" i="82"/>
  <c r="AH283" i="82"/>
  <c r="L275" i="82"/>
  <c r="P275" i="82"/>
  <c r="P271" i="82"/>
  <c r="AI271" i="82" s="1"/>
  <c r="L271" i="82"/>
  <c r="R483" i="82"/>
  <c r="R481" i="82"/>
  <c r="AH481" i="82" s="1"/>
  <c r="AI481" i="82" s="1"/>
  <c r="AH478" i="82"/>
  <c r="AI478" i="82" s="1"/>
  <c r="R465" i="82"/>
  <c r="R461" i="82"/>
  <c r="AH461" i="82" s="1"/>
  <c r="AI461" i="82" s="1"/>
  <c r="AH442" i="82"/>
  <c r="R441" i="82"/>
  <c r="AH441" i="82" s="1"/>
  <c r="AI441" i="82" s="1"/>
  <c r="AH433" i="82"/>
  <c r="R433" i="82"/>
  <c r="R421" i="82"/>
  <c r="AH421" i="82" s="1"/>
  <c r="AI421" i="82" s="1"/>
  <c r="L419" i="82"/>
  <c r="P419" i="82"/>
  <c r="L417" i="82"/>
  <c r="AI417" i="82" s="1"/>
  <c r="P417" i="82"/>
  <c r="P416" i="82"/>
  <c r="L416" i="82"/>
  <c r="AI416" i="82" s="1"/>
  <c r="AI404" i="82"/>
  <c r="R402" i="82"/>
  <c r="AH402" i="82" s="1"/>
  <c r="AI402" i="82" s="1"/>
  <c r="P398" i="82"/>
  <c r="L398" i="82"/>
  <c r="AI394" i="82"/>
  <c r="R384" i="82"/>
  <c r="L355" i="82"/>
  <c r="P355" i="82"/>
  <c r="R340" i="82"/>
  <c r="AH340" i="82" s="1"/>
  <c r="AG340" i="82"/>
  <c r="L338" i="82"/>
  <c r="P338" i="82"/>
  <c r="L319" i="82"/>
  <c r="P319" i="82"/>
  <c r="P309" i="82"/>
  <c r="L309" i="82"/>
  <c r="L296" i="82"/>
  <c r="P296" i="82"/>
  <c r="AH288" i="82"/>
  <c r="AI288" i="82" s="1"/>
  <c r="R288" i="82"/>
  <c r="P273" i="82"/>
  <c r="L273" i="82"/>
  <c r="P496" i="82"/>
  <c r="L491" i="82"/>
  <c r="AI491" i="82" s="1"/>
  <c r="P478" i="82"/>
  <c r="L473" i="82"/>
  <c r="P465" i="82"/>
  <c r="L442" i="82"/>
  <c r="P442" i="82"/>
  <c r="P441" i="82"/>
  <c r="AG438" i="82"/>
  <c r="R438" i="82"/>
  <c r="P434" i="82"/>
  <c r="AI434" i="82" s="1"/>
  <c r="L434" i="82"/>
  <c r="L433" i="82"/>
  <c r="P433" i="82"/>
  <c r="AG426" i="82"/>
  <c r="R426" i="82"/>
  <c r="P422" i="82"/>
  <c r="AI422" i="82" s="1"/>
  <c r="L422" i="82"/>
  <c r="L421" i="82"/>
  <c r="P421" i="82"/>
  <c r="AI413" i="82"/>
  <c r="L409" i="82"/>
  <c r="P409" i="82"/>
  <c r="AI405" i="82"/>
  <c r="AG397" i="82"/>
  <c r="R395" i="82"/>
  <c r="AH395" i="82"/>
  <c r="AI395" i="82" s="1"/>
  <c r="AI392" i="82"/>
  <c r="R390" i="82"/>
  <c r="AH390" i="82" s="1"/>
  <c r="AI390" i="82" s="1"/>
  <c r="AH389" i="82"/>
  <c r="AI389" i="82" s="1"/>
  <c r="L386" i="82"/>
  <c r="AH385" i="82"/>
  <c r="AI385" i="82" s="1"/>
  <c r="L383" i="82"/>
  <c r="L382" i="82"/>
  <c r="P382" i="82"/>
  <c r="AI382" i="82" s="1"/>
  <c r="AI380" i="82"/>
  <c r="L379" i="82"/>
  <c r="P379" i="82"/>
  <c r="L378" i="82"/>
  <c r="P378" i="82"/>
  <c r="P376" i="82"/>
  <c r="P375" i="82"/>
  <c r="AI375" i="82" s="1"/>
  <c r="R366" i="82"/>
  <c r="AH366" i="82" s="1"/>
  <c r="AI366" i="82" s="1"/>
  <c r="AI363" i="82"/>
  <c r="L362" i="82"/>
  <c r="P358" i="82"/>
  <c r="L358" i="82"/>
  <c r="P357" i="82"/>
  <c r="P352" i="82"/>
  <c r="AI352" i="82" s="1"/>
  <c r="L352" i="82"/>
  <c r="R325" i="82"/>
  <c r="AH325" i="82" s="1"/>
  <c r="AI325" i="82" s="1"/>
  <c r="AH313" i="82"/>
  <c r="AI313" i="82" s="1"/>
  <c r="R305" i="82"/>
  <c r="AH305" i="82"/>
  <c r="AI305" i="82" s="1"/>
  <c r="R302" i="82"/>
  <c r="AG302" i="82"/>
  <c r="P301" i="82"/>
  <c r="L301" i="82"/>
  <c r="AG277" i="82"/>
  <c r="R277" i="82"/>
  <c r="AH277" i="82" s="1"/>
  <c r="L276" i="82"/>
  <c r="P276" i="82"/>
  <c r="AI475" i="82"/>
  <c r="L427" i="82"/>
  <c r="P427" i="82"/>
  <c r="AI362" i="82"/>
  <c r="L333" i="82"/>
  <c r="P333" i="82"/>
  <c r="R498" i="82"/>
  <c r="AH498" i="82" s="1"/>
  <c r="AH496" i="82"/>
  <c r="AI496" i="82" s="1"/>
  <c r="R378" i="82"/>
  <c r="AH378" i="82" s="1"/>
  <c r="AI378" i="82" s="1"/>
  <c r="P356" i="82"/>
  <c r="L356" i="82"/>
  <c r="R345" i="82"/>
  <c r="AH345" i="82" s="1"/>
  <c r="L323" i="82"/>
  <c r="AI323" i="82" s="1"/>
  <c r="P323" i="82"/>
  <c r="L278" i="82"/>
  <c r="P278" i="82"/>
  <c r="P228" i="82"/>
  <c r="L228" i="82"/>
  <c r="AI228" i="82" s="1"/>
  <c r="P216" i="82"/>
  <c r="AI216" i="82" s="1"/>
  <c r="L216" i="82"/>
  <c r="AH490" i="82"/>
  <c r="AI490" i="82" s="1"/>
  <c r="AH472" i="82"/>
  <c r="AI472" i="82" s="1"/>
  <c r="AH463" i="82"/>
  <c r="AI463" i="82" s="1"/>
  <c r="AH460" i="82"/>
  <c r="AI460" i="82" s="1"/>
  <c r="R459" i="82"/>
  <c r="AH459" i="82" s="1"/>
  <c r="AI459" i="82" s="1"/>
  <c r="AH450" i="82"/>
  <c r="AI450" i="82" s="1"/>
  <c r="R430" i="82"/>
  <c r="AH430" i="82" s="1"/>
  <c r="AI430" i="82" s="1"/>
  <c r="R428" i="82"/>
  <c r="AH428" i="82" s="1"/>
  <c r="AI428" i="82" s="1"/>
  <c r="AG428" i="82"/>
  <c r="AH419" i="82"/>
  <c r="AH418" i="82"/>
  <c r="AI418" i="82" s="1"/>
  <c r="L384" i="82"/>
  <c r="P384" i="82"/>
  <c r="L370" i="82"/>
  <c r="AI370" i="82" s="1"/>
  <c r="P370" i="82"/>
  <c r="L367" i="82"/>
  <c r="P367" i="82"/>
  <c r="L366" i="82"/>
  <c r="P366" i="82"/>
  <c r="L361" i="82"/>
  <c r="P361" i="82"/>
  <c r="AG350" i="82"/>
  <c r="R350" i="82"/>
  <c r="AH350" i="82" s="1"/>
  <c r="AI350" i="82" s="1"/>
  <c r="R348" i="82"/>
  <c r="AH348" i="82"/>
  <c r="AI348" i="82" s="1"/>
  <c r="P340" i="82"/>
  <c r="L340" i="82"/>
  <c r="AI322" i="82"/>
  <c r="R320" i="82"/>
  <c r="AH320" i="82" s="1"/>
  <c r="AI320" i="82" s="1"/>
  <c r="R293" i="82"/>
  <c r="AH293" i="82"/>
  <c r="AI293" i="82" s="1"/>
  <c r="R285" i="82"/>
  <c r="AH285" i="82"/>
  <c r="AI285" i="82" s="1"/>
  <c r="L284" i="82"/>
  <c r="P284" i="82"/>
  <c r="AH270" i="82"/>
  <c r="R270" i="82"/>
  <c r="L245" i="82"/>
  <c r="P245" i="82"/>
  <c r="AH492" i="82"/>
  <c r="AI492" i="82" s="1"/>
  <c r="R489" i="82"/>
  <c r="AH489" i="82" s="1"/>
  <c r="AI489" i="82" s="1"/>
  <c r="R487" i="82"/>
  <c r="AH484" i="82"/>
  <c r="AI484" i="82" s="1"/>
  <c r="AH483" i="82"/>
  <c r="R471" i="82"/>
  <c r="AH471" i="82" s="1"/>
  <c r="AI471" i="82" s="1"/>
  <c r="R469" i="82"/>
  <c r="AH469" i="82" s="1"/>
  <c r="AI469" i="82" s="1"/>
  <c r="AH466" i="82"/>
  <c r="AI466" i="82" s="1"/>
  <c r="AH465" i="82"/>
  <c r="AI465" i="82" s="1"/>
  <c r="AG462" i="82"/>
  <c r="AI457" i="82"/>
  <c r="L455" i="82"/>
  <c r="AI455" i="82" s="1"/>
  <c r="AH454" i="82"/>
  <c r="AI454" i="82" s="1"/>
  <c r="R453" i="82"/>
  <c r="AH453" i="82"/>
  <c r="AI453" i="82" s="1"/>
  <c r="L449" i="82"/>
  <c r="AI449" i="82" s="1"/>
  <c r="AH448" i="82"/>
  <c r="R447" i="82"/>
  <c r="AH447" i="82" s="1"/>
  <c r="AI447" i="82" s="1"/>
  <c r="L445" i="82"/>
  <c r="L415" i="82"/>
  <c r="P415" i="82"/>
  <c r="R412" i="82"/>
  <c r="AH412" i="82"/>
  <c r="AI412" i="82" s="1"/>
  <c r="R410" i="82"/>
  <c r="AH410" i="82" s="1"/>
  <c r="AI410" i="82" s="1"/>
  <c r="AG410" i="82"/>
  <c r="L400" i="82"/>
  <c r="P400" i="82"/>
  <c r="AI398" i="82"/>
  <c r="L397" i="82"/>
  <c r="P397" i="82"/>
  <c r="L396" i="82"/>
  <c r="P396" i="82"/>
  <c r="P394" i="82"/>
  <c r="P393" i="82"/>
  <c r="AI393" i="82" s="1"/>
  <c r="AH383" i="82"/>
  <c r="AI383" i="82" s="1"/>
  <c r="AG379" i="82"/>
  <c r="R377" i="82"/>
  <c r="AH377" i="82" s="1"/>
  <c r="AI377" i="82" s="1"/>
  <c r="AI374" i="82"/>
  <c r="R372" i="82"/>
  <c r="AH372" i="82" s="1"/>
  <c r="AI372" i="82" s="1"/>
  <c r="P368" i="82"/>
  <c r="AI368" i="82" s="1"/>
  <c r="L368" i="82"/>
  <c r="AG362" i="82"/>
  <c r="P354" i="82"/>
  <c r="L332" i="82"/>
  <c r="P332" i="82"/>
  <c r="P328" i="82"/>
  <c r="L328" i="82"/>
  <c r="AI328" i="82" s="1"/>
  <c r="L327" i="82"/>
  <c r="AI327" i="82" s="1"/>
  <c r="P327" i="82"/>
  <c r="R318" i="82"/>
  <c r="AH318" i="82" s="1"/>
  <c r="AI318" i="82" s="1"/>
  <c r="R316" i="82"/>
  <c r="AH316" i="82" s="1"/>
  <c r="AI316" i="82" s="1"/>
  <c r="AG316" i="82"/>
  <c r="AH315" i="82"/>
  <c r="L311" i="82"/>
  <c r="P311" i="82"/>
  <c r="AH300" i="82"/>
  <c r="AI300" i="82" s="1"/>
  <c r="R300" i="82"/>
  <c r="R450" i="82"/>
  <c r="AH439" i="82"/>
  <c r="AI439" i="82" s="1"/>
  <c r="AH427" i="82"/>
  <c r="AH409" i="82"/>
  <c r="AI409" i="82" s="1"/>
  <c r="R387" i="82"/>
  <c r="AH387" i="82" s="1"/>
  <c r="AI387" i="82" s="1"/>
  <c r="L385" i="82"/>
  <c r="P385" i="82"/>
  <c r="AH384" i="82"/>
  <c r="AI384" i="82" s="1"/>
  <c r="L349" i="82"/>
  <c r="P349" i="82"/>
  <c r="AG338" i="82"/>
  <c r="R338" i="82"/>
  <c r="AH321" i="82"/>
  <c r="AH314" i="82"/>
  <c r="AI314" i="82" s="1"/>
  <c r="R314" i="82"/>
  <c r="L292" i="82"/>
  <c r="P292" i="82"/>
  <c r="AI292" i="82" s="1"/>
  <c r="R282" i="82"/>
  <c r="AH282" i="82" s="1"/>
  <c r="AI282" i="82" s="1"/>
  <c r="AI254" i="82"/>
  <c r="P217" i="82"/>
  <c r="AH438" i="82"/>
  <c r="AI438" i="82" s="1"/>
  <c r="R429" i="82"/>
  <c r="AH429" i="82" s="1"/>
  <c r="AI429" i="82" s="1"/>
  <c r="AH426" i="82"/>
  <c r="AI426" i="82" s="1"/>
  <c r="R411" i="82"/>
  <c r="AH411" i="82" s="1"/>
  <c r="AI411" i="82" s="1"/>
  <c r="AH397" i="82"/>
  <c r="AH379" i="82"/>
  <c r="AH367" i="82"/>
  <c r="AI367" i="82" s="1"/>
  <c r="R357" i="82"/>
  <c r="AH357" i="82" s="1"/>
  <c r="AI357" i="82" s="1"/>
  <c r="R356" i="82"/>
  <c r="AH356" i="82" s="1"/>
  <c r="AI356" i="82" s="1"/>
  <c r="L345" i="82"/>
  <c r="P345" i="82"/>
  <c r="L321" i="82"/>
  <c r="P321" i="82"/>
  <c r="AI317" i="82"/>
  <c r="R315" i="82"/>
  <c r="AG315" i="82"/>
  <c r="L314" i="82"/>
  <c r="P314" i="82"/>
  <c r="AI309" i="82"/>
  <c r="AI304" i="82"/>
  <c r="R301" i="82"/>
  <c r="AH301" i="82"/>
  <c r="L294" i="82"/>
  <c r="P294" i="82"/>
  <c r="AI273" i="82"/>
  <c r="R255" i="82"/>
  <c r="AH255" i="82" s="1"/>
  <c r="AI255" i="82" s="1"/>
  <c r="AH232" i="82"/>
  <c r="AI232" i="82" s="1"/>
  <c r="L226" i="82"/>
  <c r="P226" i="82"/>
  <c r="L224" i="82"/>
  <c r="P224" i="82"/>
  <c r="R221" i="82"/>
  <c r="AH221" i="82" s="1"/>
  <c r="AI221" i="82" s="1"/>
  <c r="R218" i="82"/>
  <c r="AH218" i="82" s="1"/>
  <c r="AI218" i="82" s="1"/>
  <c r="AH436" i="82"/>
  <c r="AI436" i="82" s="1"/>
  <c r="R435" i="82"/>
  <c r="AH435" i="82" s="1"/>
  <c r="AI435" i="82" s="1"/>
  <c r="AH432" i="82"/>
  <c r="AI432" i="82" s="1"/>
  <c r="AH424" i="82"/>
  <c r="AI424" i="82" s="1"/>
  <c r="R423" i="82"/>
  <c r="AH423" i="82" s="1"/>
  <c r="AI423" i="82" s="1"/>
  <c r="AH420" i="82"/>
  <c r="AI420" i="82" s="1"/>
  <c r="AH403" i="82"/>
  <c r="AI403" i="82" s="1"/>
  <c r="AH391" i="82"/>
  <c r="AI391" i="82" s="1"/>
  <c r="AH373" i="82"/>
  <c r="AH361" i="82"/>
  <c r="AI361" i="82" s="1"/>
  <c r="R360" i="82"/>
  <c r="AH360" i="82" s="1"/>
  <c r="AI360" i="82" s="1"/>
  <c r="AH358" i="82"/>
  <c r="AH355" i="82"/>
  <c r="AI355" i="82" s="1"/>
  <c r="R354" i="82"/>
  <c r="AH354" i="82"/>
  <c r="P346" i="82"/>
  <c r="L346" i="82"/>
  <c r="L339" i="82"/>
  <c r="P339" i="82"/>
  <c r="AI333" i="82"/>
  <c r="AH319" i="82"/>
  <c r="R319" i="82"/>
  <c r="L315" i="82"/>
  <c r="P315" i="82"/>
  <c r="AI312" i="82"/>
  <c r="AH306" i="82"/>
  <c r="AI306" i="82" s="1"/>
  <c r="P297" i="82"/>
  <c r="L297" i="82"/>
  <c r="R284" i="82"/>
  <c r="AG284" i="82"/>
  <c r="P283" i="82"/>
  <c r="L283" i="82"/>
  <c r="R265" i="82"/>
  <c r="AH265" i="82" s="1"/>
  <c r="AI265" i="82" s="1"/>
  <c r="AG265" i="82"/>
  <c r="R250" i="82"/>
  <c r="AH250" i="82" s="1"/>
  <c r="AI250" i="82" s="1"/>
  <c r="AH344" i="82"/>
  <c r="AH343" i="82"/>
  <c r="AI343" i="82" s="1"/>
  <c r="AH336" i="82"/>
  <c r="AI336" i="82" s="1"/>
  <c r="L306" i="82"/>
  <c r="P306" i="82"/>
  <c r="R279" i="82"/>
  <c r="AH279" i="82" s="1"/>
  <c r="AI279" i="82" s="1"/>
  <c r="P277" i="82"/>
  <c r="L277" i="82"/>
  <c r="AI267" i="82"/>
  <c r="P240" i="82"/>
  <c r="AI240" i="82" s="1"/>
  <c r="L240" i="82"/>
  <c r="L239" i="82"/>
  <c r="P239" i="82"/>
  <c r="L344" i="82"/>
  <c r="P344" i="82"/>
  <c r="AH339" i="82"/>
  <c r="AH338" i="82"/>
  <c r="AI338" i="82" s="1"/>
  <c r="AH337" i="82"/>
  <c r="AI337" i="82" s="1"/>
  <c r="R260" i="82"/>
  <c r="AH260" i="82" s="1"/>
  <c r="AI260" i="82" s="1"/>
  <c r="R258" i="82"/>
  <c r="AH258" i="82" s="1"/>
  <c r="AI258" i="82" s="1"/>
  <c r="AG258" i="82"/>
  <c r="R257" i="82"/>
  <c r="AH257" i="82" s="1"/>
  <c r="AI257" i="82" s="1"/>
  <c r="P252" i="82"/>
  <c r="L252" i="82"/>
  <c r="L230" i="82"/>
  <c r="P230" i="82"/>
  <c r="L227" i="82"/>
  <c r="P227" i="82"/>
  <c r="AH332" i="82"/>
  <c r="AI332" i="82" s="1"/>
  <c r="AH331" i="82"/>
  <c r="AH326" i="82"/>
  <c r="L320" i="82"/>
  <c r="P320" i="82"/>
  <c r="R291" i="82"/>
  <c r="AH291" i="82"/>
  <c r="AI291" i="82" s="1"/>
  <c r="AH290" i="82"/>
  <c r="AI290" i="82" s="1"/>
  <c r="AG289" i="82"/>
  <c r="R289" i="82"/>
  <c r="AH289" i="82" s="1"/>
  <c r="L270" i="82"/>
  <c r="P270" i="82"/>
  <c r="AI252" i="82"/>
  <c r="AH251" i="82"/>
  <c r="R251" i="82"/>
  <c r="AI246" i="82"/>
  <c r="AH245" i="82"/>
  <c r="AI245" i="82" s="1"/>
  <c r="R245" i="82"/>
  <c r="AG232" i="82"/>
  <c r="R232" i="82"/>
  <c r="R311" i="82"/>
  <c r="AH311" i="82" s="1"/>
  <c r="R281" i="82"/>
  <c r="AH281" i="82" s="1"/>
  <c r="AI281" i="82" s="1"/>
  <c r="AH278" i="82"/>
  <c r="AI278" i="82" s="1"/>
  <c r="L257" i="82"/>
  <c r="P257" i="82"/>
  <c r="R253" i="82"/>
  <c r="AH253" i="82" s="1"/>
  <c r="AI253" i="82" s="1"/>
  <c r="AG253" i="82"/>
  <c r="L251" i="82"/>
  <c r="P251" i="82"/>
  <c r="AG238" i="82"/>
  <c r="R238" i="82"/>
  <c r="AH238" i="82" s="1"/>
  <c r="AI238" i="82" s="1"/>
  <c r="L236" i="82"/>
  <c r="P236" i="82"/>
  <c r="AH233" i="82"/>
  <c r="R233" i="82"/>
  <c r="P222" i="82"/>
  <c r="L222" i="82"/>
  <c r="AI222" i="82" s="1"/>
  <c r="L218" i="82"/>
  <c r="P218" i="82"/>
  <c r="L214" i="82"/>
  <c r="P214" i="82"/>
  <c r="R209" i="82"/>
  <c r="AH209" i="82" s="1"/>
  <c r="AI209" i="82" s="1"/>
  <c r="R307" i="82"/>
  <c r="AH307" i="82" s="1"/>
  <c r="AI307" i="82" s="1"/>
  <c r="AH302" i="82"/>
  <c r="R299" i="82"/>
  <c r="AH299" i="82" s="1"/>
  <c r="AI299" i="82" s="1"/>
  <c r="R297" i="82"/>
  <c r="AH297" i="82" s="1"/>
  <c r="AI297" i="82" s="1"/>
  <c r="AH294" i="82"/>
  <c r="AI294" i="82" s="1"/>
  <c r="AH284" i="82"/>
  <c r="P269" i="82"/>
  <c r="AH268" i="82"/>
  <c r="AI268" i="82" s="1"/>
  <c r="AH263" i="82"/>
  <c r="R263" i="82"/>
  <c r="R247" i="82"/>
  <c r="AH247" i="82" s="1"/>
  <c r="AI247" i="82" s="1"/>
  <c r="AG247" i="82"/>
  <c r="L233" i="82"/>
  <c r="P233" i="82"/>
  <c r="L223" i="82"/>
  <c r="P223" i="82"/>
  <c r="R212" i="82"/>
  <c r="AH212" i="82"/>
  <c r="AI212" i="82" s="1"/>
  <c r="L209" i="82"/>
  <c r="P209" i="82"/>
  <c r="AH276" i="82"/>
  <c r="AI276" i="82" s="1"/>
  <c r="R275" i="82"/>
  <c r="AH275" i="82"/>
  <c r="P264" i="82"/>
  <c r="L264" i="82"/>
  <c r="L263" i="82"/>
  <c r="P263" i="82"/>
  <c r="AI259" i="82"/>
  <c r="AG256" i="82"/>
  <c r="R256" i="82"/>
  <c r="L253" i="82"/>
  <c r="P253" i="82"/>
  <c r="R217" i="82"/>
  <c r="AH217" i="82" s="1"/>
  <c r="AI217" i="82" s="1"/>
  <c r="AG217" i="82"/>
  <c r="L215" i="82"/>
  <c r="P215" i="82"/>
  <c r="R236" i="82"/>
  <c r="AH236" i="82" s="1"/>
  <c r="AI236" i="82" s="1"/>
  <c r="R235" i="82"/>
  <c r="AH235" i="82" s="1"/>
  <c r="AI235" i="82" s="1"/>
  <c r="AG235" i="82"/>
  <c r="L212" i="82"/>
  <c r="P212" i="82"/>
  <c r="R206" i="82"/>
  <c r="AH206" i="82"/>
  <c r="AH256" i="82"/>
  <c r="AI256" i="82" s="1"/>
  <c r="R239" i="82"/>
  <c r="AH239" i="82" s="1"/>
  <c r="AI239" i="82" s="1"/>
  <c r="R227" i="82"/>
  <c r="AH227" i="82" s="1"/>
  <c r="AI227" i="82" s="1"/>
  <c r="R223" i="82"/>
  <c r="AH223" i="82" s="1"/>
  <c r="AI223" i="82" s="1"/>
  <c r="AG223" i="82"/>
  <c r="AH220" i="82"/>
  <c r="AI220" i="82" s="1"/>
  <c r="AI210" i="82"/>
  <c r="L206" i="82"/>
  <c r="P206" i="82"/>
  <c r="AH269" i="82"/>
  <c r="AI269" i="82" s="1"/>
  <c r="AH266" i="82"/>
  <c r="AI266" i="82" s="1"/>
  <c r="AH262" i="82"/>
  <c r="AI262" i="82" s="1"/>
  <c r="AH248" i="82"/>
  <c r="AI248" i="82" s="1"/>
  <c r="AH244" i="82"/>
  <c r="AI244" i="82" s="1"/>
  <c r="R242" i="82"/>
  <c r="AH242" i="82"/>
  <c r="AI242" i="82" s="1"/>
  <c r="R241" i="82"/>
  <c r="AH241" i="82" s="1"/>
  <c r="AI241" i="82" s="1"/>
  <c r="AG241" i="82"/>
  <c r="R230" i="82"/>
  <c r="AH230" i="82" s="1"/>
  <c r="AI230" i="82" s="1"/>
  <c r="R229" i="82"/>
  <c r="AH229" i="82" s="1"/>
  <c r="AI229" i="82" s="1"/>
  <c r="AG229" i="82"/>
  <c r="R224" i="82"/>
  <c r="AH224" i="82"/>
  <c r="L221" i="82"/>
  <c r="P221" i="82"/>
  <c r="R215" i="82"/>
  <c r="AH215" i="82" s="1"/>
  <c r="AI215" i="82" s="1"/>
  <c r="R211" i="82"/>
  <c r="AH211" i="82" s="1"/>
  <c r="AI211" i="82" s="1"/>
  <c r="AG211" i="82"/>
  <c r="AH208" i="82"/>
  <c r="AI208" i="82" s="1"/>
  <c r="R226" i="82"/>
  <c r="AH226" i="82" s="1"/>
  <c r="AI226" i="82" s="1"/>
  <c r="R220" i="82"/>
  <c r="R214" i="82"/>
  <c r="AH214" i="82" s="1"/>
  <c r="AI214" i="82" s="1"/>
  <c r="R208" i="82"/>
  <c r="AT524" i="4"/>
  <c r="AX524" i="4" s="1"/>
  <c r="K543" i="4"/>
  <c r="BD543" i="4" s="1"/>
  <c r="BF536" i="4"/>
  <c r="K531" i="4"/>
  <c r="BD531" i="4" s="1"/>
  <c r="K501" i="4"/>
  <c r="BD501" i="4" s="1"/>
  <c r="K497" i="4"/>
  <c r="BD497" i="4" s="1"/>
  <c r="AP539" i="4"/>
  <c r="AP530" i="4"/>
  <c r="AP512" i="4"/>
  <c r="AP494" i="4"/>
  <c r="AT539" i="4"/>
  <c r="AX539" i="4" s="1"/>
  <c r="AT503" i="4"/>
  <c r="AX503" i="4" s="1"/>
  <c r="AT480" i="4"/>
  <c r="AX480" i="4" s="1"/>
  <c r="AT491" i="4"/>
  <c r="AX491" i="4" s="1"/>
  <c r="K537" i="4"/>
  <c r="K533" i="4"/>
  <c r="BD533" i="4" s="1"/>
  <c r="K507" i="4"/>
  <c r="BD507" i="4" s="1"/>
  <c r="K495" i="4"/>
  <c r="AT527" i="4"/>
  <c r="AX527" i="4" s="1"/>
  <c r="AT517" i="4"/>
  <c r="AX517" i="4" s="1"/>
  <c r="AT515" i="4"/>
  <c r="AX515" i="4" s="1"/>
  <c r="AT502" i="4"/>
  <c r="AX502" i="4" s="1"/>
  <c r="AT487" i="4"/>
  <c r="AX487" i="4" s="1"/>
  <c r="AT475" i="4"/>
  <c r="AX475" i="4" s="1"/>
  <c r="AT528" i="4"/>
  <c r="AX528" i="4" s="1"/>
  <c r="AT497" i="4"/>
  <c r="AX497" i="4" s="1"/>
  <c r="AP543" i="4"/>
  <c r="AP522" i="4"/>
  <c r="AP516" i="4"/>
  <c r="AP504" i="4"/>
  <c r="AP498" i="4"/>
  <c r="AP480" i="4"/>
  <c r="AT536" i="4"/>
  <c r="AX536" i="4" s="1"/>
  <c r="AT533" i="4"/>
  <c r="AX533" i="4" s="1"/>
  <c r="AT531" i="4"/>
  <c r="AX531" i="4" s="1"/>
  <c r="AT529" i="4"/>
  <c r="AX529" i="4" s="1"/>
  <c r="AT504" i="4"/>
  <c r="AX504" i="4" s="1"/>
  <c r="AT483" i="4"/>
  <c r="AX483" i="4" s="1"/>
  <c r="P520" i="4"/>
  <c r="AT545" i="4"/>
  <c r="AX545" i="4" s="1"/>
  <c r="AT543" i="4"/>
  <c r="AX543" i="4" s="1"/>
  <c r="AT541" i="4"/>
  <c r="AX541" i="4" s="1"/>
  <c r="K544" i="4"/>
  <c r="BE544" i="4"/>
  <c r="BF544" i="4" s="1"/>
  <c r="BD536" i="4"/>
  <c r="P536" i="4"/>
  <c r="BE528" i="4"/>
  <c r="BF528" i="4" s="1"/>
  <c r="K528" i="4"/>
  <c r="BE503" i="4"/>
  <c r="K503" i="4"/>
  <c r="K490" i="4"/>
  <c r="BE490" i="4"/>
  <c r="BF490" i="4" s="1"/>
  <c r="R518" i="4"/>
  <c r="AN518" i="4" s="1"/>
  <c r="R502" i="4"/>
  <c r="AN502" i="4" s="1"/>
  <c r="R491" i="4"/>
  <c r="AP491" i="4" s="1"/>
  <c r="AN491" i="4"/>
  <c r="R475" i="4"/>
  <c r="AP475" i="4" s="1"/>
  <c r="BE527" i="4"/>
  <c r="BF527" i="4" s="1"/>
  <c r="K527" i="4"/>
  <c r="BD494" i="4"/>
  <c r="P494" i="4"/>
  <c r="K535" i="4"/>
  <c r="BE535" i="4"/>
  <c r="BF535" i="4" s="1"/>
  <c r="K526" i="4"/>
  <c r="BE526" i="4"/>
  <c r="BF526" i="4" s="1"/>
  <c r="BD518" i="4"/>
  <c r="P518" i="4"/>
  <c r="BE510" i="4"/>
  <c r="BF510" i="4" s="1"/>
  <c r="K510" i="4"/>
  <c r="R538" i="4"/>
  <c r="AN538" i="4" s="1"/>
  <c r="R527" i="4"/>
  <c r="AN527" i="4" s="1"/>
  <c r="R511" i="4"/>
  <c r="AN511" i="4" s="1"/>
  <c r="R500" i="4"/>
  <c r="AN500" i="4"/>
  <c r="AP538" i="4"/>
  <c r="AP532" i="4"/>
  <c r="AP505" i="4"/>
  <c r="AP496" i="4"/>
  <c r="K547" i="4"/>
  <c r="BE547" i="4"/>
  <c r="BF547" i="4" s="1"/>
  <c r="P542" i="4"/>
  <c r="BE534" i="4"/>
  <c r="BF534" i="4" s="1"/>
  <c r="K534" i="4"/>
  <c r="BE509" i="4"/>
  <c r="BF509" i="4" s="1"/>
  <c r="K509" i="4"/>
  <c r="K505" i="4"/>
  <c r="BE505" i="4"/>
  <c r="K493" i="4"/>
  <c r="BE493" i="4"/>
  <c r="BD488" i="4"/>
  <c r="BE480" i="4"/>
  <c r="BF480" i="4" s="1"/>
  <c r="K480" i="4"/>
  <c r="BD476" i="4"/>
  <c r="P476" i="4"/>
  <c r="P519" i="4"/>
  <c r="P477" i="4"/>
  <c r="R537" i="4"/>
  <c r="AN537" i="4" s="1"/>
  <c r="AN505" i="4"/>
  <c r="AN478" i="4"/>
  <c r="AP478" i="4"/>
  <c r="K517" i="4"/>
  <c r="BE517" i="4"/>
  <c r="K508" i="4"/>
  <c r="BE508" i="4"/>
  <c r="BF508" i="4" s="1"/>
  <c r="BD500" i="4"/>
  <c r="P500" i="4"/>
  <c r="R547" i="4"/>
  <c r="AN547" i="4" s="1"/>
  <c r="R536" i="4"/>
  <c r="AP536" i="4" s="1"/>
  <c r="R520" i="4"/>
  <c r="AP520" i="4" s="1"/>
  <c r="R509" i="4"/>
  <c r="AN509" i="4" s="1"/>
  <c r="R493" i="4"/>
  <c r="AN493" i="4" s="1"/>
  <c r="R482" i="4"/>
  <c r="AP482" i="4" s="1"/>
  <c r="AP490" i="4"/>
  <c r="AP487" i="4"/>
  <c r="BD540" i="4"/>
  <c r="P540" i="4"/>
  <c r="K499" i="4"/>
  <c r="BE499" i="4"/>
  <c r="BF499" i="4" s="1"/>
  <c r="BD486" i="4"/>
  <c r="P486" i="4"/>
  <c r="BD482" i="4"/>
  <c r="P482" i="4"/>
  <c r="R545" i="4"/>
  <c r="AP545" i="4" s="1"/>
  <c r="AN545" i="4"/>
  <c r="R529" i="4"/>
  <c r="AN529" i="4" s="1"/>
  <c r="AP500" i="4"/>
  <c r="K523" i="4"/>
  <c r="BE523" i="4"/>
  <c r="K511" i="4"/>
  <c r="BE511" i="4"/>
  <c r="BF511" i="4" s="1"/>
  <c r="BD506" i="4"/>
  <c r="BE498" i="4"/>
  <c r="BF498" i="4" s="1"/>
  <c r="K498" i="4"/>
  <c r="R533" i="4"/>
  <c r="AP533" i="4" s="1"/>
  <c r="R528" i="4"/>
  <c r="AP528" i="4" s="1"/>
  <c r="AN523" i="4"/>
  <c r="R506" i="4"/>
  <c r="AP506" i="4" s="1"/>
  <c r="AN506" i="4"/>
  <c r="R501" i="4"/>
  <c r="AN501" i="4" s="1"/>
  <c r="AN496" i="4"/>
  <c r="R479" i="4"/>
  <c r="AN479" i="4" s="1"/>
  <c r="BE539" i="4"/>
  <c r="BF539" i="4" s="1"/>
  <c r="K539" i="4"/>
  <c r="P522" i="4"/>
  <c r="BD522" i="4"/>
  <c r="BE485" i="4"/>
  <c r="BF485" i="4" s="1"/>
  <c r="K485" i="4"/>
  <c r="K481" i="4"/>
  <c r="BE481" i="4"/>
  <c r="R484" i="4"/>
  <c r="AN484" i="4" s="1"/>
  <c r="AP544" i="4"/>
  <c r="AP523" i="4"/>
  <c r="P489" i="4"/>
  <c r="R542" i="4"/>
  <c r="AN542" i="4" s="1"/>
  <c r="AO542" i="4" s="1"/>
  <c r="AN532" i="4"/>
  <c r="R515" i="4"/>
  <c r="AP515" i="4" s="1"/>
  <c r="R510" i="4"/>
  <c r="AP510" i="4" s="1"/>
  <c r="R488" i="4"/>
  <c r="AN488" i="4"/>
  <c r="R483" i="4"/>
  <c r="AP483" i="4" s="1"/>
  <c r="AP488" i="4"/>
  <c r="BE546" i="4"/>
  <c r="BF546" i="4" s="1"/>
  <c r="K546" i="4"/>
  <c r="BE521" i="4"/>
  <c r="BF521" i="4" s="1"/>
  <c r="K521" i="4"/>
  <c r="BD504" i="4"/>
  <c r="P504" i="4"/>
  <c r="BE492" i="4"/>
  <c r="BF492" i="4" s="1"/>
  <c r="K492" i="4"/>
  <c r="BE545" i="4"/>
  <c r="BF545" i="4" s="1"/>
  <c r="K545" i="4"/>
  <c r="K541" i="4"/>
  <c r="BE541" i="4"/>
  <c r="BF541" i="4" s="1"/>
  <c r="K529" i="4"/>
  <c r="BE529" i="4"/>
  <c r="BF529" i="4" s="1"/>
  <c r="BD524" i="4"/>
  <c r="P524" i="4"/>
  <c r="BE516" i="4"/>
  <c r="BF516" i="4" s="1"/>
  <c r="K516" i="4"/>
  <c r="K512" i="4"/>
  <c r="BE491" i="4"/>
  <c r="BF491" i="4" s="1"/>
  <c r="K491" i="4"/>
  <c r="K487" i="4"/>
  <c r="BE487" i="4"/>
  <c r="BF487" i="4" s="1"/>
  <c r="K475" i="4"/>
  <c r="BE475" i="4"/>
  <c r="BF475" i="4" s="1"/>
  <c r="P525" i="4"/>
  <c r="R546" i="4"/>
  <c r="AP546" i="4" s="1"/>
  <c r="AN541" i="4"/>
  <c r="R524" i="4"/>
  <c r="AP524" i="4" s="1"/>
  <c r="R519" i="4"/>
  <c r="AP519" i="4" s="1"/>
  <c r="AN514" i="4"/>
  <c r="R497" i="4"/>
  <c r="AP497" i="4" s="1"/>
  <c r="R492" i="4"/>
  <c r="AP492" i="4" s="1"/>
  <c r="AN487" i="4"/>
  <c r="AN544" i="4"/>
  <c r="AN540" i="4"/>
  <c r="AN534" i="4"/>
  <c r="AN512" i="4"/>
  <c r="AN494" i="4"/>
  <c r="AN476" i="4"/>
  <c r="R521" i="4"/>
  <c r="AP521" i="4" s="1"/>
  <c r="R503" i="4"/>
  <c r="AP503" i="4" s="1"/>
  <c r="R485" i="4"/>
  <c r="AN485" i="4" s="1"/>
  <c r="K538" i="4"/>
  <c r="BE538" i="4"/>
  <c r="BF538" i="4" s="1"/>
  <c r="K502" i="4"/>
  <c r="BE502" i="4"/>
  <c r="BF502" i="4" s="1"/>
  <c r="K484" i="4"/>
  <c r="BE484" i="4"/>
  <c r="BF484" i="4" s="1"/>
  <c r="R525" i="4"/>
  <c r="AP525" i="4" s="1"/>
  <c r="R507" i="4"/>
  <c r="AP507" i="4" s="1"/>
  <c r="R489" i="4"/>
  <c r="AP489" i="4" s="1"/>
  <c r="BF503" i="4"/>
  <c r="BF493" i="4"/>
  <c r="AN526" i="4"/>
  <c r="AN508" i="4"/>
  <c r="AN490" i="4"/>
  <c r="AT546" i="4"/>
  <c r="AX546" i="4" s="1"/>
  <c r="AT544" i="4"/>
  <c r="AX544" i="4" s="1"/>
  <c r="BF517" i="4"/>
  <c r="AN543" i="4"/>
  <c r="AN539" i="4"/>
  <c r="AN535" i="4"/>
  <c r="AT542" i="4"/>
  <c r="AX542" i="4" s="1"/>
  <c r="AT537" i="4"/>
  <c r="AX537" i="4" s="1"/>
  <c r="AT516" i="4"/>
  <c r="AX516" i="4" s="1"/>
  <c r="AT514" i="4"/>
  <c r="AX514" i="4" s="1"/>
  <c r="AT509" i="4"/>
  <c r="AX509" i="4" s="1"/>
  <c r="AT481" i="4"/>
  <c r="AX481" i="4" s="1"/>
  <c r="BF524" i="4"/>
  <c r="BF481" i="4"/>
  <c r="BF476" i="4"/>
  <c r="AN522" i="4"/>
  <c r="AN516" i="4"/>
  <c r="AN504" i="4"/>
  <c r="AO504" i="4" s="1"/>
  <c r="AN498" i="4"/>
  <c r="AN486" i="4"/>
  <c r="AN480" i="4"/>
  <c r="AT505" i="4"/>
  <c r="AX505" i="4" s="1"/>
  <c r="BE520" i="4"/>
  <c r="BF520" i="4" s="1"/>
  <c r="K532" i="4"/>
  <c r="BE532" i="4"/>
  <c r="BF532" i="4" s="1"/>
  <c r="K514" i="4"/>
  <c r="BE514" i="4"/>
  <c r="BF514" i="4" s="1"/>
  <c r="K496" i="4"/>
  <c r="BE496" i="4"/>
  <c r="BF496" i="4" s="1"/>
  <c r="K478" i="4"/>
  <c r="BE478" i="4"/>
  <c r="BF478" i="4" s="1"/>
  <c r="R531" i="4"/>
  <c r="AN531" i="4" s="1"/>
  <c r="R517" i="4"/>
  <c r="AP517" i="4" s="1"/>
  <c r="R513" i="4"/>
  <c r="AP513" i="4" s="1"/>
  <c r="R499" i="4"/>
  <c r="AP499" i="4" s="1"/>
  <c r="R495" i="4"/>
  <c r="AN495" i="4" s="1"/>
  <c r="R481" i="4"/>
  <c r="AN481" i="4" s="1"/>
  <c r="R477" i="4"/>
  <c r="AP477" i="4" s="1"/>
  <c r="AN530" i="4"/>
  <c r="AT526" i="4"/>
  <c r="AX526" i="4" s="1"/>
  <c r="AT521" i="4"/>
  <c r="AX521" i="4" s="1"/>
  <c r="AT519" i="4"/>
  <c r="AX519" i="4" s="1"/>
  <c r="AT486" i="4"/>
  <c r="AX486" i="4" s="1"/>
  <c r="BF542" i="4"/>
  <c r="BF505" i="4"/>
  <c r="AT538" i="4"/>
  <c r="AX538" i="4" s="1"/>
  <c r="AT530" i="4"/>
  <c r="AX530" i="4" s="1"/>
  <c r="AT525" i="4"/>
  <c r="AX525" i="4" s="1"/>
  <c r="AT520" i="4"/>
  <c r="AX520" i="4" s="1"/>
  <c r="AT518" i="4"/>
  <c r="AX518" i="4" s="1"/>
  <c r="AT513" i="4"/>
  <c r="AX513" i="4" s="1"/>
  <c r="AT506" i="4"/>
  <c r="AX506" i="4" s="1"/>
  <c r="AT477" i="4"/>
  <c r="AX477" i="4" s="1"/>
  <c r="BF482" i="4"/>
  <c r="BF477" i="4"/>
  <c r="AT501" i="4"/>
  <c r="AX501" i="4" s="1"/>
  <c r="AT499" i="4"/>
  <c r="AX499" i="4" s="1"/>
  <c r="AT494" i="4"/>
  <c r="AX494" i="4" s="1"/>
  <c r="AT489" i="4"/>
  <c r="AX489" i="4" s="1"/>
  <c r="BF500" i="4"/>
  <c r="AT512" i="4"/>
  <c r="AX512" i="4" s="1"/>
  <c r="AT507" i="4"/>
  <c r="AX507" i="4" s="1"/>
  <c r="AT478" i="4"/>
  <c r="AX478" i="4" s="1"/>
  <c r="AT476" i="4"/>
  <c r="AX476" i="4" s="1"/>
  <c r="BF540" i="4"/>
  <c r="BF495" i="4"/>
  <c r="BF543" i="4"/>
  <c r="BF523" i="4"/>
  <c r="BF518" i="4"/>
  <c r="AT532" i="4"/>
  <c r="AX532" i="4" s="1"/>
  <c r="AT523" i="4"/>
  <c r="AX523" i="4" s="1"/>
  <c r="AT511" i="4"/>
  <c r="AX511" i="4" s="1"/>
  <c r="AT508" i="4"/>
  <c r="AX508" i="4" s="1"/>
  <c r="AT500" i="4"/>
  <c r="AX500" i="4" s="1"/>
  <c r="AT495" i="4"/>
  <c r="AX495" i="4" s="1"/>
  <c r="AT493" i="4"/>
  <c r="AX493" i="4" s="1"/>
  <c r="AT490" i="4"/>
  <c r="AX490" i="4" s="1"/>
  <c r="AT488" i="4"/>
  <c r="AX488" i="4" s="1"/>
  <c r="BF513" i="4"/>
  <c r="BF506" i="4"/>
  <c r="BF488" i="4"/>
  <c r="BF533" i="4"/>
  <c r="BF525" i="4"/>
  <c r="BF519" i="4"/>
  <c r="BF501" i="4"/>
  <c r="BF483" i="4"/>
  <c r="BF522" i="4"/>
  <c r="BF512" i="4"/>
  <c r="BF504" i="4"/>
  <c r="BF494" i="4"/>
  <c r="BF486" i="4"/>
  <c r="BF537" i="4"/>
  <c r="BF531" i="4"/>
  <c r="BF515" i="4"/>
  <c r="BF507" i="4"/>
  <c r="BF497" i="4"/>
  <c r="BF489" i="4"/>
  <c r="BF479" i="4"/>
  <c r="AQ434" i="4"/>
  <c r="AS435" i="4"/>
  <c r="AS436" i="4"/>
  <c r="AS437" i="4"/>
  <c r="AS438" i="4"/>
  <c r="AS439" i="4"/>
  <c r="AS440" i="4"/>
  <c r="AS441" i="4"/>
  <c r="AS442" i="4"/>
  <c r="AS443" i="4"/>
  <c r="AS444" i="4"/>
  <c r="AS445" i="4"/>
  <c r="AS446" i="4"/>
  <c r="AS447" i="4"/>
  <c r="AS448" i="4"/>
  <c r="AS449" i="4"/>
  <c r="AS450" i="4"/>
  <c r="AS451" i="4"/>
  <c r="AS452" i="4"/>
  <c r="AS453" i="4"/>
  <c r="AS454" i="4"/>
  <c r="AS455" i="4"/>
  <c r="AS456" i="4"/>
  <c r="AS457" i="4"/>
  <c r="AS458" i="4"/>
  <c r="AS459" i="4"/>
  <c r="AS460" i="4"/>
  <c r="AS461" i="4"/>
  <c r="AS462" i="4"/>
  <c r="AS463" i="4"/>
  <c r="AS464" i="4"/>
  <c r="AS465" i="4"/>
  <c r="AS466" i="4"/>
  <c r="AS467" i="4"/>
  <c r="AS468" i="4"/>
  <c r="AS469" i="4"/>
  <c r="AS470" i="4"/>
  <c r="AS471" i="4"/>
  <c r="AS472" i="4"/>
  <c r="AS473" i="4"/>
  <c r="AS474" i="4"/>
  <c r="AS547" i="4"/>
  <c r="AS548" i="4"/>
  <c r="AS549" i="4"/>
  <c r="AS550" i="4"/>
  <c r="AS551" i="4"/>
  <c r="AS552" i="4"/>
  <c r="AS553" i="4"/>
  <c r="AS554" i="4"/>
  <c r="AR435" i="4"/>
  <c r="AR436" i="4"/>
  <c r="AR437" i="4"/>
  <c r="AR438" i="4"/>
  <c r="AR439" i="4"/>
  <c r="AR440" i="4"/>
  <c r="AR441" i="4"/>
  <c r="AR442" i="4"/>
  <c r="AR443" i="4"/>
  <c r="AR444" i="4"/>
  <c r="AR445" i="4"/>
  <c r="AR446" i="4"/>
  <c r="AR447" i="4"/>
  <c r="AR448" i="4"/>
  <c r="AR449" i="4"/>
  <c r="AR450" i="4"/>
  <c r="AR451" i="4"/>
  <c r="AR452" i="4"/>
  <c r="AR453" i="4"/>
  <c r="AR454" i="4"/>
  <c r="AR455" i="4"/>
  <c r="AR456" i="4"/>
  <c r="AR457" i="4"/>
  <c r="AR458" i="4"/>
  <c r="AR459" i="4"/>
  <c r="AR460" i="4"/>
  <c r="AR461" i="4"/>
  <c r="AR462" i="4"/>
  <c r="AR463" i="4"/>
  <c r="AR464" i="4"/>
  <c r="AR465" i="4"/>
  <c r="AR466" i="4"/>
  <c r="AR467" i="4"/>
  <c r="AR468" i="4"/>
  <c r="AR469" i="4"/>
  <c r="AR470" i="4"/>
  <c r="AR471" i="4"/>
  <c r="AR472" i="4"/>
  <c r="AR473" i="4"/>
  <c r="AR474" i="4"/>
  <c r="AR547" i="4"/>
  <c r="AR548" i="4"/>
  <c r="AR549" i="4"/>
  <c r="AR550" i="4"/>
  <c r="AR551" i="4"/>
  <c r="AR552" i="4"/>
  <c r="AR553" i="4"/>
  <c r="AR554" i="4"/>
  <c r="AQ435" i="4"/>
  <c r="AT435" i="4" s="1"/>
  <c r="AQ436" i="4"/>
  <c r="AT436" i="4" s="1"/>
  <c r="AQ437" i="4"/>
  <c r="AT437" i="4" s="1"/>
  <c r="AQ438" i="4"/>
  <c r="AQ439" i="4"/>
  <c r="AQ440" i="4"/>
  <c r="AT440" i="4" s="1"/>
  <c r="AQ441" i="4"/>
  <c r="AQ442" i="4"/>
  <c r="AT442" i="4" s="1"/>
  <c r="AQ443" i="4"/>
  <c r="AT443" i="4" s="1"/>
  <c r="AQ444" i="4"/>
  <c r="AT444" i="4" s="1"/>
  <c r="AQ445" i="4"/>
  <c r="AT445" i="4" s="1"/>
  <c r="AQ446" i="4"/>
  <c r="AT446" i="4" s="1"/>
  <c r="AQ447" i="4"/>
  <c r="AQ448" i="4"/>
  <c r="AQ449" i="4"/>
  <c r="AQ450" i="4"/>
  <c r="AQ451" i="4"/>
  <c r="AT451" i="4" s="1"/>
  <c r="AQ452" i="4"/>
  <c r="AQ453" i="4"/>
  <c r="AQ454" i="4"/>
  <c r="AQ455" i="4"/>
  <c r="AQ456" i="4"/>
  <c r="AT456" i="4" s="1"/>
  <c r="AQ457" i="4"/>
  <c r="AT457" i="4" s="1"/>
  <c r="AQ458" i="4"/>
  <c r="AQ459" i="4"/>
  <c r="AT459" i="4" s="1"/>
  <c r="AQ460" i="4"/>
  <c r="AQ461" i="4"/>
  <c r="AQ462" i="4"/>
  <c r="AT462" i="4" s="1"/>
  <c r="AQ463" i="4"/>
  <c r="AT463" i="4" s="1"/>
  <c r="AQ464" i="4"/>
  <c r="AT464" i="4" s="1"/>
  <c r="AQ465" i="4"/>
  <c r="AT465" i="4" s="1"/>
  <c r="AQ466" i="4"/>
  <c r="AQ467" i="4"/>
  <c r="AQ468" i="4"/>
  <c r="AT468" i="4" s="1"/>
  <c r="AQ469" i="4"/>
  <c r="AQ470" i="4"/>
  <c r="AQ471" i="4"/>
  <c r="AQ472" i="4"/>
  <c r="AQ473" i="4"/>
  <c r="AT473" i="4" s="1"/>
  <c r="AQ474" i="4"/>
  <c r="AT474" i="4" s="1"/>
  <c r="AQ547" i="4"/>
  <c r="AT547" i="4" s="1"/>
  <c r="AQ548" i="4"/>
  <c r="AT548" i="4" s="1"/>
  <c r="AQ549" i="4"/>
  <c r="AQ550" i="4"/>
  <c r="AT550" i="4" s="1"/>
  <c r="AQ551" i="4"/>
  <c r="AT551" i="4" s="1"/>
  <c r="AQ552" i="4"/>
  <c r="AT552" i="4" s="1"/>
  <c r="AQ553" i="4"/>
  <c r="AT553" i="4" s="1"/>
  <c r="AQ554" i="4"/>
  <c r="AT554" i="4" s="1"/>
  <c r="AQ433" i="4"/>
  <c r="AQ432" i="4"/>
  <c r="M183" i="82"/>
  <c r="FC6" i="86"/>
  <c r="FB6" i="86"/>
  <c r="FA6" i="86"/>
  <c r="M182" i="82"/>
  <c r="M179" i="82"/>
  <c r="EZ6" i="86"/>
  <c r="EY6" i="86"/>
  <c r="EW6" i="86"/>
  <c r="EV6" i="86"/>
  <c r="M419" i="4"/>
  <c r="EX6" i="86" s="1"/>
  <c r="EU6" i="86"/>
  <c r="M171" i="82"/>
  <c r="M172" i="82"/>
  <c r="ET6" i="86"/>
  <c r="ES6" i="86"/>
  <c r="ER6" i="86"/>
  <c r="EQ6" i="86"/>
  <c r="M170" i="82"/>
  <c r="AO476" i="4" l="1"/>
  <c r="AP479" i="4"/>
  <c r="AN524" i="4"/>
  <c r="AO524" i="4" s="1"/>
  <c r="P513" i="4"/>
  <c r="P530" i="4"/>
  <c r="AO530" i="4" s="1"/>
  <c r="P533" i="4"/>
  <c r="AN489" i="4"/>
  <c r="AN503" i="4"/>
  <c r="AN492" i="4"/>
  <c r="P543" i="4"/>
  <c r="AP501" i="4"/>
  <c r="AN536" i="4"/>
  <c r="AO536" i="4" s="1"/>
  <c r="AP531" i="4"/>
  <c r="AP484" i="4"/>
  <c r="P479" i="4"/>
  <c r="AO479" i="4" s="1"/>
  <c r="AO540" i="4"/>
  <c r="AN515" i="4"/>
  <c r="AP529" i="4"/>
  <c r="AN528" i="4"/>
  <c r="AP527" i="4"/>
  <c r="P501" i="4"/>
  <c r="AO501" i="4" s="1"/>
  <c r="AP511" i="4"/>
  <c r="AO518" i="4"/>
  <c r="AN477" i="4"/>
  <c r="AO522" i="4"/>
  <c r="AN525" i="4"/>
  <c r="AO525" i="4" s="1"/>
  <c r="P515" i="4"/>
  <c r="AN483" i="4"/>
  <c r="P483" i="4"/>
  <c r="AT472" i="4"/>
  <c r="AT469" i="4"/>
  <c r="AT471" i="4"/>
  <c r="AT470" i="4"/>
  <c r="AI206" i="82"/>
  <c r="AI275" i="82"/>
  <c r="AI311" i="82"/>
  <c r="AI289" i="82"/>
  <c r="AI358" i="82"/>
  <c r="AI345" i="82"/>
  <c r="AI283" i="82"/>
  <c r="AI264" i="82"/>
  <c r="AI508" i="82"/>
  <c r="AI326" i="82"/>
  <c r="AI483" i="82"/>
  <c r="AI340" i="82"/>
  <c r="AI315" i="82"/>
  <c r="AI284" i="82"/>
  <c r="AI339" i="82"/>
  <c r="AI321" i="82"/>
  <c r="AI448" i="82"/>
  <c r="AI498" i="82"/>
  <c r="AI442" i="82"/>
  <c r="AI502" i="82"/>
  <c r="AI509" i="82"/>
  <c r="AI251" i="82"/>
  <c r="AI331" i="82"/>
  <c r="AI319" i="82"/>
  <c r="AI379" i="82"/>
  <c r="AI504" i="82"/>
  <c r="AI462" i="82"/>
  <c r="AI224" i="82"/>
  <c r="AI263" i="82"/>
  <c r="AI233" i="82"/>
  <c r="AI354" i="82"/>
  <c r="AI301" i="82"/>
  <c r="AI397" i="82"/>
  <c r="AI270" i="82"/>
  <c r="AI277" i="82"/>
  <c r="AI433" i="82"/>
  <c r="AI445" i="82"/>
  <c r="AI302" i="82"/>
  <c r="AI344" i="82"/>
  <c r="AI373" i="82"/>
  <c r="AI427" i="82"/>
  <c r="AI419" i="82"/>
  <c r="AI296" i="82"/>
  <c r="AI516" i="82"/>
  <c r="AT466" i="4"/>
  <c r="AT467" i="4"/>
  <c r="AO543" i="4"/>
  <c r="AN497" i="4"/>
  <c r="AO497" i="4" s="1"/>
  <c r="AN533" i="4"/>
  <c r="AO533" i="4" s="1"/>
  <c r="P497" i="4"/>
  <c r="AP481" i="4"/>
  <c r="AN475" i="4"/>
  <c r="BD537" i="4"/>
  <c r="P537" i="4"/>
  <c r="AO537" i="4" s="1"/>
  <c r="P531" i="4"/>
  <c r="AO531" i="4" s="1"/>
  <c r="AP537" i="4"/>
  <c r="AN513" i="4"/>
  <c r="AO513" i="4" s="1"/>
  <c r="AN519" i="4"/>
  <c r="AO519" i="4" s="1"/>
  <c r="P507" i="4"/>
  <c r="AN482" i="4"/>
  <c r="AO482" i="4" s="1"/>
  <c r="AP547" i="4"/>
  <c r="AP518" i="4"/>
  <c r="BD495" i="4"/>
  <c r="P495" i="4"/>
  <c r="AO495" i="4" s="1"/>
  <c r="BD529" i="4"/>
  <c r="P529" i="4"/>
  <c r="AO529" i="4" s="1"/>
  <c r="BD481" i="4"/>
  <c r="P481" i="4"/>
  <c r="AO481" i="4" s="1"/>
  <c r="BD517" i="4"/>
  <c r="P517" i="4"/>
  <c r="AO477" i="4"/>
  <c r="BD538" i="4"/>
  <c r="P538" i="4"/>
  <c r="AO538" i="4" s="1"/>
  <c r="AP485" i="4"/>
  <c r="BD503" i="4"/>
  <c r="P503" i="4"/>
  <c r="BD514" i="4"/>
  <c r="P514" i="4"/>
  <c r="AO514" i="4" s="1"/>
  <c r="AN507" i="4"/>
  <c r="AN521" i="4"/>
  <c r="AN546" i="4"/>
  <c r="BD521" i="4"/>
  <c r="P521" i="4"/>
  <c r="AN510" i="4"/>
  <c r="BD539" i="4"/>
  <c r="P539" i="4"/>
  <c r="AO539" i="4" s="1"/>
  <c r="BD498" i="4"/>
  <c r="P498" i="4"/>
  <c r="AO498" i="4" s="1"/>
  <c r="AP495" i="4"/>
  <c r="BD480" i="4"/>
  <c r="P480" i="4"/>
  <c r="AO480" i="4" s="1"/>
  <c r="BD534" i="4"/>
  <c r="P534" i="4"/>
  <c r="AO534" i="4" s="1"/>
  <c r="BD535" i="4"/>
  <c r="P535" i="4"/>
  <c r="AO535" i="4" s="1"/>
  <c r="AP509" i="4"/>
  <c r="BD523" i="4"/>
  <c r="P523" i="4"/>
  <c r="AO523" i="4" s="1"/>
  <c r="AT461" i="4"/>
  <c r="BD502" i="4"/>
  <c r="P502" i="4"/>
  <c r="AO502" i="4" s="1"/>
  <c r="BD512" i="4"/>
  <c r="P512" i="4"/>
  <c r="AO512" i="4" s="1"/>
  <c r="BD532" i="4"/>
  <c r="P532" i="4"/>
  <c r="AO532" i="4" s="1"/>
  <c r="AN499" i="4"/>
  <c r="BD475" i="4"/>
  <c r="P475" i="4"/>
  <c r="BD485" i="4"/>
  <c r="P485" i="4"/>
  <c r="AO485" i="4" s="1"/>
  <c r="AN520" i="4"/>
  <c r="AO520" i="4" s="1"/>
  <c r="BD509" i="4"/>
  <c r="P509" i="4"/>
  <c r="AO509" i="4" s="1"/>
  <c r="BD496" i="4"/>
  <c r="P496" i="4"/>
  <c r="AO496" i="4" s="1"/>
  <c r="AO486" i="4"/>
  <c r="AO489" i="4"/>
  <c r="AO494" i="4"/>
  <c r="BD487" i="4"/>
  <c r="P487" i="4"/>
  <c r="AO487" i="4" s="1"/>
  <c r="BD545" i="4"/>
  <c r="P545" i="4"/>
  <c r="AO545" i="4" s="1"/>
  <c r="AO488" i="4"/>
  <c r="AP502" i="4"/>
  <c r="AP493" i="4"/>
  <c r="AO506" i="4"/>
  <c r="AP542" i="4"/>
  <c r="BD499" i="4"/>
  <c r="P499" i="4"/>
  <c r="AO505" i="4"/>
  <c r="BD526" i="4"/>
  <c r="P526" i="4"/>
  <c r="AO526" i="4" s="1"/>
  <c r="BD527" i="4"/>
  <c r="P527" i="4"/>
  <c r="AO527" i="4" s="1"/>
  <c r="BD544" i="4"/>
  <c r="P544" i="4"/>
  <c r="AO544" i="4" s="1"/>
  <c r="BD505" i="4"/>
  <c r="P505" i="4"/>
  <c r="BD478" i="4"/>
  <c r="P478" i="4"/>
  <c r="AO478" i="4" s="1"/>
  <c r="BD516" i="4"/>
  <c r="P516" i="4"/>
  <c r="AO516" i="4" s="1"/>
  <c r="BD492" i="4"/>
  <c r="P492" i="4"/>
  <c r="BD546" i="4"/>
  <c r="P546" i="4"/>
  <c r="BD490" i="4"/>
  <c r="P490" i="4"/>
  <c r="AO490" i="4" s="1"/>
  <c r="BD541" i="4"/>
  <c r="P541" i="4"/>
  <c r="AO541" i="4" s="1"/>
  <c r="AO500" i="4"/>
  <c r="BD484" i="4"/>
  <c r="P484" i="4"/>
  <c r="AO484" i="4" s="1"/>
  <c r="AN517" i="4"/>
  <c r="AO517" i="4" s="1"/>
  <c r="BD491" i="4"/>
  <c r="P491" i="4"/>
  <c r="AO491" i="4" s="1"/>
  <c r="BD511" i="4"/>
  <c r="P511" i="4"/>
  <c r="AO511" i="4" s="1"/>
  <c r="BD508" i="4"/>
  <c r="P508" i="4"/>
  <c r="AO508" i="4" s="1"/>
  <c r="BD493" i="4"/>
  <c r="P493" i="4"/>
  <c r="AO493" i="4" s="1"/>
  <c r="BD547" i="4"/>
  <c r="P547" i="4"/>
  <c r="BD510" i="4"/>
  <c r="P510" i="4"/>
  <c r="BD528" i="4"/>
  <c r="P528" i="4"/>
  <c r="AT549" i="4"/>
  <c r="AT448" i="4"/>
  <c r="AT460" i="4"/>
  <c r="AT455" i="4"/>
  <c r="AT458" i="4"/>
  <c r="AT454" i="4"/>
  <c r="AT453" i="4"/>
  <c r="AT452" i="4"/>
  <c r="AT450" i="4"/>
  <c r="AT449" i="4"/>
  <c r="AT447" i="4"/>
  <c r="AT441" i="4"/>
  <c r="AT438" i="4"/>
  <c r="AT439" i="4"/>
  <c r="EP6" i="86"/>
  <c r="M169" i="82"/>
  <c r="AO499" i="4" l="1"/>
  <c r="AO492" i="4"/>
  <c r="AO475" i="4"/>
  <c r="AO507" i="4"/>
  <c r="AO515" i="4"/>
  <c r="AO503" i="4"/>
  <c r="AO483" i="4"/>
  <c r="AO528" i="4"/>
  <c r="AO510" i="4"/>
  <c r="AO521" i="4"/>
  <c r="AO546" i="4"/>
  <c r="EO6" i="86"/>
  <c r="EM6" i="86"/>
  <c r="EL6" i="86"/>
  <c r="EN6" i="86"/>
  <c r="M168" i="82"/>
  <c r="E168" i="82"/>
  <c r="E392" i="4"/>
  <c r="E387" i="4" l="1"/>
  <c r="M166" i="82"/>
  <c r="M165" i="82"/>
  <c r="EK6" i="86"/>
  <c r="E386" i="4"/>
  <c r="F384" i="4"/>
  <c r="BA391" i="4"/>
  <c r="BC391" i="4" s="1"/>
  <c r="BA392" i="4"/>
  <c r="BC392" i="4" s="1"/>
  <c r="BA393" i="4"/>
  <c r="BC393" i="4" s="1"/>
  <c r="BA394" i="4"/>
  <c r="BC394" i="4" s="1"/>
  <c r="BA395" i="4"/>
  <c r="BC395" i="4" s="1"/>
  <c r="BA396" i="4"/>
  <c r="BC396" i="4" s="1"/>
  <c r="BA397" i="4"/>
  <c r="BC397" i="4" s="1"/>
  <c r="BA398" i="4"/>
  <c r="BC398" i="4" s="1"/>
  <c r="BA399" i="4"/>
  <c r="BC399" i="4" s="1"/>
  <c r="BA400" i="4"/>
  <c r="BC400" i="4" s="1"/>
  <c r="BA401" i="4"/>
  <c r="BC401" i="4" s="1"/>
  <c r="BA402" i="4"/>
  <c r="BC402" i="4" s="1"/>
  <c r="BA403" i="4"/>
  <c r="BC403" i="4" s="1"/>
  <c r="BA404" i="4"/>
  <c r="BC404" i="4" s="1"/>
  <c r="BA405" i="4"/>
  <c r="BC405" i="4" s="1"/>
  <c r="BA406" i="4"/>
  <c r="BC406" i="4" s="1"/>
  <c r="BA407" i="4"/>
  <c r="BC407" i="4" s="1"/>
  <c r="BA408" i="4"/>
  <c r="BC408" i="4" s="1"/>
  <c r="BA409" i="4"/>
  <c r="BC409" i="4" s="1"/>
  <c r="BA410" i="4"/>
  <c r="BC410" i="4" s="1"/>
  <c r="BA411" i="4"/>
  <c r="BC411" i="4" s="1"/>
  <c r="BA412" i="4"/>
  <c r="BC412" i="4" s="1"/>
  <c r="BA413" i="4"/>
  <c r="BC413" i="4" s="1"/>
  <c r="BA414" i="4"/>
  <c r="BC414" i="4" s="1"/>
  <c r="BA415" i="4"/>
  <c r="BC415" i="4" s="1"/>
  <c r="BA416" i="4"/>
  <c r="BC416" i="4" s="1"/>
  <c r="BA417" i="4"/>
  <c r="BC417" i="4" s="1"/>
  <c r="BA418" i="4"/>
  <c r="BC418" i="4" s="1"/>
  <c r="BA419" i="4"/>
  <c r="BC419" i="4" s="1"/>
  <c r="BA420" i="4"/>
  <c r="BC420" i="4" s="1"/>
  <c r="BA421" i="4"/>
  <c r="BC421" i="4" s="1"/>
  <c r="BA422" i="4"/>
  <c r="BC422" i="4" s="1"/>
  <c r="BA423" i="4"/>
  <c r="BC423" i="4" s="1"/>
  <c r="BA424" i="4"/>
  <c r="BC424" i="4" s="1"/>
  <c r="BA425" i="4"/>
  <c r="BC425" i="4" s="1"/>
  <c r="BA426" i="4"/>
  <c r="BC426" i="4" s="1"/>
  <c r="BA427" i="4"/>
  <c r="BC427" i="4" s="1"/>
  <c r="BA428" i="4"/>
  <c r="BC428" i="4" s="1"/>
  <c r="BA429" i="4"/>
  <c r="BC429" i="4" s="1"/>
  <c r="BA430" i="4"/>
  <c r="BC430" i="4" s="1"/>
  <c r="BA431" i="4"/>
  <c r="BC431" i="4" s="1"/>
  <c r="BA432" i="4"/>
  <c r="BC432" i="4" s="1"/>
  <c r="BA433" i="4"/>
  <c r="BC433" i="4" s="1"/>
  <c r="BA434" i="4"/>
  <c r="BC434" i="4" s="1"/>
  <c r="BA435" i="4"/>
  <c r="BC435" i="4" s="1"/>
  <c r="BA436" i="4"/>
  <c r="BC436" i="4" s="1"/>
  <c r="BA437" i="4"/>
  <c r="BC437" i="4" s="1"/>
  <c r="BA438" i="4"/>
  <c r="BC438" i="4" s="1"/>
  <c r="BA439" i="4"/>
  <c r="BC439" i="4" s="1"/>
  <c r="BA440" i="4"/>
  <c r="BC440" i="4" s="1"/>
  <c r="BA441" i="4"/>
  <c r="BC441" i="4" s="1"/>
  <c r="BA442" i="4"/>
  <c r="BC442" i="4" s="1"/>
  <c r="BA443" i="4"/>
  <c r="BC443" i="4" s="1"/>
  <c r="BA444" i="4"/>
  <c r="BC444" i="4" s="1"/>
  <c r="BA445" i="4"/>
  <c r="BC445" i="4" s="1"/>
  <c r="BA446" i="4"/>
  <c r="BC446" i="4" s="1"/>
  <c r="BA447" i="4"/>
  <c r="BC447" i="4" s="1"/>
  <c r="BA448" i="4"/>
  <c r="BC448" i="4" s="1"/>
  <c r="BA449" i="4"/>
  <c r="BC449" i="4" s="1"/>
  <c r="BA450" i="4"/>
  <c r="BC450" i="4" s="1"/>
  <c r="BA451" i="4"/>
  <c r="BC451" i="4" s="1"/>
  <c r="BA452" i="4"/>
  <c r="BC452" i="4" s="1"/>
  <c r="BA453" i="4"/>
  <c r="BC453" i="4" s="1"/>
  <c r="BA454" i="4"/>
  <c r="BC454" i="4" s="1"/>
  <c r="BA455" i="4"/>
  <c r="BC455" i="4" s="1"/>
  <c r="BA456" i="4"/>
  <c r="BC456" i="4" s="1"/>
  <c r="BA457" i="4"/>
  <c r="BC457" i="4" s="1"/>
  <c r="BA458" i="4"/>
  <c r="BC458" i="4" s="1"/>
  <c r="FL9" i="86" s="1"/>
  <c r="BA459" i="4"/>
  <c r="BC459" i="4" s="1"/>
  <c r="BA460" i="4"/>
  <c r="BC460" i="4" s="1"/>
  <c r="BC461" i="4"/>
  <c r="BA462" i="4"/>
  <c r="BC462" i="4" s="1"/>
  <c r="BA463" i="4"/>
  <c r="BC463" i="4" s="1"/>
  <c r="BA464" i="4"/>
  <c r="BC464" i="4" s="1"/>
  <c r="BA465" i="4"/>
  <c r="BC465" i="4" s="1"/>
  <c r="BA466" i="4"/>
  <c r="BC466" i="4" s="1"/>
  <c r="BA467" i="4"/>
  <c r="BC467" i="4" s="1"/>
  <c r="BA468" i="4"/>
  <c r="BC468" i="4" s="1"/>
  <c r="BA469" i="4"/>
  <c r="BC469" i="4" s="1"/>
  <c r="BA470" i="4"/>
  <c r="BC470" i="4" s="1"/>
  <c r="BA471" i="4"/>
  <c r="BC471" i="4" s="1"/>
  <c r="BA472" i="4"/>
  <c r="BC472" i="4" s="1"/>
  <c r="BA473" i="4"/>
  <c r="BC473" i="4" s="1"/>
  <c r="BA474" i="4"/>
  <c r="BC474" i="4" s="1"/>
  <c r="AQ391" i="4"/>
  <c r="AR391" i="4"/>
  <c r="AS391" i="4"/>
  <c r="AQ392" i="4"/>
  <c r="AR392" i="4"/>
  <c r="AS392" i="4"/>
  <c r="AQ393" i="4"/>
  <c r="AR393" i="4"/>
  <c r="AS393" i="4"/>
  <c r="AQ394" i="4"/>
  <c r="AR394" i="4"/>
  <c r="AS394" i="4"/>
  <c r="AQ395" i="4"/>
  <c r="AR395" i="4"/>
  <c r="AS395" i="4"/>
  <c r="AQ396" i="4"/>
  <c r="AR396" i="4"/>
  <c r="AS396" i="4"/>
  <c r="AQ397" i="4"/>
  <c r="AR397" i="4"/>
  <c r="AS397" i="4"/>
  <c r="AQ398" i="4"/>
  <c r="AR398" i="4"/>
  <c r="AS398" i="4"/>
  <c r="AQ399" i="4"/>
  <c r="AR399" i="4"/>
  <c r="AS399" i="4"/>
  <c r="AQ400" i="4"/>
  <c r="AR400" i="4"/>
  <c r="AS400" i="4"/>
  <c r="AQ401" i="4"/>
  <c r="AR401" i="4"/>
  <c r="AS401" i="4"/>
  <c r="AQ402" i="4"/>
  <c r="AR402" i="4"/>
  <c r="AS402" i="4"/>
  <c r="AQ403" i="4"/>
  <c r="AR403" i="4"/>
  <c r="AS403" i="4"/>
  <c r="AQ404" i="4"/>
  <c r="AR404" i="4"/>
  <c r="AS404" i="4"/>
  <c r="AQ405" i="4"/>
  <c r="AR405" i="4"/>
  <c r="AS405" i="4"/>
  <c r="AQ406" i="4"/>
  <c r="AR406" i="4"/>
  <c r="AS406" i="4"/>
  <c r="AQ407" i="4"/>
  <c r="AR407" i="4"/>
  <c r="AS407" i="4"/>
  <c r="AQ408" i="4"/>
  <c r="AR408" i="4"/>
  <c r="AS408" i="4"/>
  <c r="AQ409" i="4"/>
  <c r="AR409" i="4"/>
  <c r="AS409" i="4"/>
  <c r="AQ410" i="4"/>
  <c r="AR410" i="4"/>
  <c r="AS410" i="4"/>
  <c r="AQ411" i="4"/>
  <c r="AR411" i="4"/>
  <c r="AS411" i="4"/>
  <c r="AQ412" i="4"/>
  <c r="AR412" i="4"/>
  <c r="AS412" i="4"/>
  <c r="AQ413" i="4"/>
  <c r="AR413" i="4"/>
  <c r="AS413" i="4"/>
  <c r="AQ414" i="4"/>
  <c r="AR414" i="4"/>
  <c r="AS414" i="4"/>
  <c r="AQ415" i="4"/>
  <c r="AR415" i="4"/>
  <c r="AS415" i="4"/>
  <c r="AQ416" i="4"/>
  <c r="AR416" i="4"/>
  <c r="AS416" i="4"/>
  <c r="AQ417" i="4"/>
  <c r="AR417" i="4"/>
  <c r="AS417" i="4"/>
  <c r="AQ418" i="4"/>
  <c r="AR418" i="4"/>
  <c r="AS418" i="4"/>
  <c r="AQ419" i="4"/>
  <c r="AR419" i="4"/>
  <c r="AS419" i="4"/>
  <c r="AQ420" i="4"/>
  <c r="AR420" i="4"/>
  <c r="AS420" i="4"/>
  <c r="AQ421" i="4"/>
  <c r="AR421" i="4"/>
  <c r="AS421" i="4"/>
  <c r="AQ422" i="4"/>
  <c r="AR422" i="4"/>
  <c r="AS422" i="4"/>
  <c r="AQ423" i="4"/>
  <c r="AR423" i="4"/>
  <c r="AS423" i="4"/>
  <c r="AQ424" i="4"/>
  <c r="AR424" i="4"/>
  <c r="AS424" i="4"/>
  <c r="AQ425" i="4"/>
  <c r="AR425" i="4"/>
  <c r="AS425" i="4"/>
  <c r="AQ426" i="4"/>
  <c r="AR426" i="4"/>
  <c r="AS426" i="4"/>
  <c r="AQ427" i="4"/>
  <c r="AR427" i="4"/>
  <c r="AS427" i="4"/>
  <c r="AQ428" i="4"/>
  <c r="AR428" i="4"/>
  <c r="AS428" i="4"/>
  <c r="AQ429" i="4"/>
  <c r="AR429" i="4"/>
  <c r="AS429" i="4"/>
  <c r="AQ430" i="4"/>
  <c r="AR430" i="4"/>
  <c r="AS430" i="4"/>
  <c r="AQ431" i="4"/>
  <c r="AR431" i="4"/>
  <c r="AS431" i="4"/>
  <c r="AR432" i="4"/>
  <c r="AS432" i="4"/>
  <c r="AR433" i="4"/>
  <c r="AS433" i="4"/>
  <c r="AR434" i="4"/>
  <c r="AS434" i="4"/>
  <c r="AX436" i="4"/>
  <c r="AX455" i="4"/>
  <c r="AX462" i="4"/>
  <c r="AX464" i="4"/>
  <c r="AX466" i="4"/>
  <c r="AX468" i="4"/>
  <c r="AK391" i="4"/>
  <c r="AM391" i="4" s="1"/>
  <c r="AL391" i="4"/>
  <c r="AK392" i="4"/>
  <c r="AL392" i="4"/>
  <c r="AK393" i="4"/>
  <c r="AM393" i="4" s="1"/>
  <c r="AL393" i="4"/>
  <c r="AK394" i="4"/>
  <c r="AM394" i="4" s="1"/>
  <c r="AL394" i="4"/>
  <c r="AK395" i="4"/>
  <c r="AL395" i="4"/>
  <c r="AK396" i="4"/>
  <c r="AM396" i="4" s="1"/>
  <c r="AL396" i="4"/>
  <c r="AK397" i="4"/>
  <c r="AM397" i="4" s="1"/>
  <c r="AL397" i="4"/>
  <c r="AK398" i="4"/>
  <c r="AL398" i="4"/>
  <c r="AK399" i="4"/>
  <c r="AM399" i="4" s="1"/>
  <c r="AL399" i="4"/>
  <c r="AK400" i="4"/>
  <c r="AM400" i="4" s="1"/>
  <c r="AL400" i="4"/>
  <c r="AK401" i="4"/>
  <c r="AL401" i="4"/>
  <c r="AK402" i="4"/>
  <c r="AM402" i="4" s="1"/>
  <c r="AL402" i="4"/>
  <c r="AK403" i="4"/>
  <c r="AM403" i="4" s="1"/>
  <c r="AL403" i="4"/>
  <c r="AK404" i="4"/>
  <c r="AL404" i="4"/>
  <c r="AK405" i="4"/>
  <c r="AM405" i="4" s="1"/>
  <c r="AL405" i="4"/>
  <c r="AK406" i="4"/>
  <c r="AM406" i="4" s="1"/>
  <c r="AL406" i="4"/>
  <c r="AK407" i="4"/>
  <c r="AM407" i="4" s="1"/>
  <c r="AL407" i="4"/>
  <c r="AK408" i="4"/>
  <c r="AM408" i="4" s="1"/>
  <c r="AL408" i="4"/>
  <c r="AK409" i="4"/>
  <c r="AL409" i="4"/>
  <c r="AK410" i="4"/>
  <c r="AM410" i="4" s="1"/>
  <c r="AL410" i="4"/>
  <c r="AK411" i="4"/>
  <c r="AM411" i="4" s="1"/>
  <c r="AL411" i="4"/>
  <c r="AK412" i="4"/>
  <c r="AL412" i="4"/>
  <c r="AK413" i="4"/>
  <c r="AM413" i="4" s="1"/>
  <c r="AL413" i="4"/>
  <c r="AK414" i="4"/>
  <c r="AM414" i="4" s="1"/>
  <c r="AL414" i="4"/>
  <c r="AK415" i="4"/>
  <c r="AL415" i="4"/>
  <c r="AK416" i="4"/>
  <c r="AM416" i="4" s="1"/>
  <c r="AL416" i="4"/>
  <c r="AK417" i="4"/>
  <c r="AM417" i="4" s="1"/>
  <c r="AL417" i="4"/>
  <c r="AK418" i="4"/>
  <c r="AL418" i="4"/>
  <c r="AK419" i="4"/>
  <c r="AM419" i="4" s="1"/>
  <c r="AL419" i="4"/>
  <c r="AK420" i="4"/>
  <c r="AM420" i="4" s="1"/>
  <c r="AL420" i="4"/>
  <c r="AK421" i="4"/>
  <c r="AL421" i="4"/>
  <c r="AK422" i="4"/>
  <c r="AM422" i="4" s="1"/>
  <c r="AL422" i="4"/>
  <c r="AK423" i="4"/>
  <c r="AM423" i="4" s="1"/>
  <c r="AL423" i="4"/>
  <c r="AK424" i="4"/>
  <c r="AL424" i="4"/>
  <c r="AK425" i="4"/>
  <c r="AM425" i="4" s="1"/>
  <c r="AL425" i="4"/>
  <c r="AK426" i="4"/>
  <c r="AL426" i="4"/>
  <c r="AK427" i="4"/>
  <c r="AM427" i="4" s="1"/>
  <c r="AL427" i="4"/>
  <c r="AK428" i="4"/>
  <c r="AM428" i="4" s="1"/>
  <c r="AL428" i="4"/>
  <c r="AK429" i="4"/>
  <c r="AL429" i="4"/>
  <c r="AK430" i="4"/>
  <c r="AM430" i="4" s="1"/>
  <c r="AL430" i="4"/>
  <c r="AK431" i="4"/>
  <c r="AM431" i="4" s="1"/>
  <c r="AL431" i="4"/>
  <c r="AK432" i="4"/>
  <c r="AL432" i="4"/>
  <c r="AK433" i="4"/>
  <c r="AM433" i="4" s="1"/>
  <c r="AL433" i="4"/>
  <c r="AK434" i="4"/>
  <c r="AM434" i="4" s="1"/>
  <c r="AL434" i="4"/>
  <c r="AK435" i="4"/>
  <c r="AL435" i="4"/>
  <c r="AK436" i="4"/>
  <c r="AM436" i="4" s="1"/>
  <c r="AL436" i="4"/>
  <c r="AK437" i="4"/>
  <c r="AM437" i="4" s="1"/>
  <c r="AL437" i="4"/>
  <c r="AK438" i="4"/>
  <c r="AL438" i="4"/>
  <c r="AK439" i="4"/>
  <c r="AM439" i="4" s="1"/>
  <c r="AL439" i="4"/>
  <c r="AK440" i="4"/>
  <c r="AM440" i="4" s="1"/>
  <c r="AL440" i="4"/>
  <c r="AK441" i="4"/>
  <c r="AL441" i="4"/>
  <c r="AK442" i="4"/>
  <c r="AM442" i="4" s="1"/>
  <c r="AL442" i="4"/>
  <c r="AK443" i="4"/>
  <c r="AL443" i="4"/>
  <c r="AK444" i="4"/>
  <c r="AM444" i="4" s="1"/>
  <c r="AL444" i="4"/>
  <c r="AK445" i="4"/>
  <c r="AM445" i="4" s="1"/>
  <c r="AL445" i="4"/>
  <c r="AK446" i="4"/>
  <c r="AL446" i="4"/>
  <c r="AK447" i="4"/>
  <c r="AM447" i="4" s="1"/>
  <c r="AL447" i="4"/>
  <c r="AK448" i="4"/>
  <c r="AM448" i="4" s="1"/>
  <c r="AL448" i="4"/>
  <c r="AK449" i="4"/>
  <c r="AL449" i="4"/>
  <c r="AK450" i="4"/>
  <c r="AM450" i="4" s="1"/>
  <c r="AL450" i="4"/>
  <c r="AK451" i="4"/>
  <c r="AM451" i="4" s="1"/>
  <c r="AL451" i="4"/>
  <c r="AK452" i="4"/>
  <c r="AL452" i="4"/>
  <c r="AK453" i="4"/>
  <c r="AM453" i="4" s="1"/>
  <c r="AL453" i="4"/>
  <c r="AK454" i="4"/>
  <c r="AM454" i="4" s="1"/>
  <c r="AL454" i="4"/>
  <c r="AK455" i="4"/>
  <c r="AL455" i="4"/>
  <c r="AK456" i="4"/>
  <c r="AM456" i="4" s="1"/>
  <c r="AL456" i="4"/>
  <c r="AK457" i="4"/>
  <c r="AM457" i="4" s="1"/>
  <c r="AL457" i="4"/>
  <c r="AK458" i="4"/>
  <c r="AL458" i="4"/>
  <c r="AK459" i="4"/>
  <c r="AM459" i="4" s="1"/>
  <c r="AL459" i="4"/>
  <c r="AK460" i="4"/>
  <c r="AM460" i="4" s="1"/>
  <c r="AL460" i="4"/>
  <c r="AK461" i="4"/>
  <c r="AM461" i="4" s="1"/>
  <c r="AL461" i="4"/>
  <c r="AK462" i="4"/>
  <c r="AL462" i="4"/>
  <c r="AK463" i="4"/>
  <c r="AL463" i="4"/>
  <c r="AK464" i="4"/>
  <c r="AM464" i="4" s="1"/>
  <c r="AL464" i="4"/>
  <c r="AK465" i="4"/>
  <c r="AM465" i="4" s="1"/>
  <c r="AL465" i="4"/>
  <c r="AK466" i="4"/>
  <c r="AL466" i="4"/>
  <c r="AK467" i="4"/>
  <c r="AM467" i="4" s="1"/>
  <c r="AL467" i="4"/>
  <c r="AK468" i="4"/>
  <c r="AM468" i="4" s="1"/>
  <c r="AL468" i="4"/>
  <c r="AK469" i="4"/>
  <c r="AL469" i="4"/>
  <c r="AK470" i="4"/>
  <c r="AM470" i="4" s="1"/>
  <c r="AL470" i="4"/>
  <c r="AK471" i="4"/>
  <c r="AM471" i="4" s="1"/>
  <c r="AL471" i="4"/>
  <c r="AK472" i="4"/>
  <c r="AM472" i="4" s="1"/>
  <c r="AL472" i="4"/>
  <c r="AK473" i="4"/>
  <c r="AM473" i="4" s="1"/>
  <c r="AL473" i="4"/>
  <c r="AK474" i="4"/>
  <c r="AM474" i="4" s="1"/>
  <c r="AL474" i="4"/>
  <c r="Q391" i="4"/>
  <c r="Q392" i="4"/>
  <c r="Q393" i="4"/>
  <c r="Q394" i="4"/>
  <c r="Q395" i="4"/>
  <c r="R395" i="4" s="1"/>
  <c r="Q396" i="4"/>
  <c r="R396" i="4" s="1"/>
  <c r="Q397" i="4"/>
  <c r="Q398" i="4"/>
  <c r="R398" i="4" s="1"/>
  <c r="AN398" i="4" s="1"/>
  <c r="Q399" i="4"/>
  <c r="R399" i="4" s="1"/>
  <c r="Q400" i="4"/>
  <c r="R400" i="4" s="1"/>
  <c r="Q401" i="4"/>
  <c r="R401" i="4" s="1"/>
  <c r="Q402" i="4"/>
  <c r="Q403" i="4"/>
  <c r="Q404" i="4"/>
  <c r="Q405" i="4"/>
  <c r="R405" i="4" s="1"/>
  <c r="AN405" i="4" s="1"/>
  <c r="Q406" i="4"/>
  <c r="R406" i="4" s="1"/>
  <c r="Q407" i="4"/>
  <c r="R407" i="4" s="1"/>
  <c r="Q408" i="4"/>
  <c r="Q409" i="4"/>
  <c r="Q410" i="4"/>
  <c r="Q411" i="4"/>
  <c r="R411" i="4" s="1"/>
  <c r="AN411" i="4" s="1"/>
  <c r="Q412" i="4"/>
  <c r="R412" i="4" s="1"/>
  <c r="AN412" i="4" s="1"/>
  <c r="Q413" i="4"/>
  <c r="Q414" i="4"/>
  <c r="R414" i="4" s="1"/>
  <c r="Q415" i="4"/>
  <c r="Q416" i="4"/>
  <c r="R416" i="4" s="1"/>
  <c r="AN416" i="4" s="1"/>
  <c r="Q417" i="4"/>
  <c r="R417" i="4" s="1"/>
  <c r="Q418" i="4"/>
  <c r="Q419" i="4"/>
  <c r="R419" i="4" s="1"/>
  <c r="Q420" i="4"/>
  <c r="Q421" i="4"/>
  <c r="Q422" i="4"/>
  <c r="Q423" i="4"/>
  <c r="R423" i="4" s="1"/>
  <c r="AN423" i="4" s="1"/>
  <c r="Q424" i="4"/>
  <c r="R424" i="4" s="1"/>
  <c r="Q425" i="4"/>
  <c r="R425" i="4" s="1"/>
  <c r="AN425" i="4" s="1"/>
  <c r="Q426" i="4"/>
  <c r="R426" i="4" s="1"/>
  <c r="AN426" i="4" s="1"/>
  <c r="Q427" i="4"/>
  <c r="Q428" i="4"/>
  <c r="R428" i="4" s="1"/>
  <c r="AN428" i="4" s="1"/>
  <c r="Q429" i="4"/>
  <c r="Q430" i="4"/>
  <c r="R430" i="4" s="1"/>
  <c r="Q431" i="4"/>
  <c r="R431" i="4" s="1"/>
  <c r="Q432" i="4"/>
  <c r="R432" i="4" s="1"/>
  <c r="Q433" i="4"/>
  <c r="Q434" i="4"/>
  <c r="R434" i="4" s="1"/>
  <c r="AN434" i="4" s="1"/>
  <c r="Q435" i="4"/>
  <c r="R435" i="4" s="1"/>
  <c r="Q436" i="4"/>
  <c r="R436" i="4" s="1"/>
  <c r="Q437" i="4"/>
  <c r="Q438" i="4"/>
  <c r="R438" i="4" s="1"/>
  <c r="Q439" i="4"/>
  <c r="R439" i="4" s="1"/>
  <c r="Q440" i="4"/>
  <c r="Q441" i="4"/>
  <c r="R441" i="4" s="1"/>
  <c r="AN441" i="4" s="1"/>
  <c r="Q442" i="4"/>
  <c r="R442" i="4" s="1"/>
  <c r="Q443" i="4"/>
  <c r="R443" i="4" s="1"/>
  <c r="AN443" i="4" s="1"/>
  <c r="Q444" i="4"/>
  <c r="R444" i="4" s="1"/>
  <c r="Q445" i="4"/>
  <c r="Q446" i="4"/>
  <c r="R446" i="4" s="1"/>
  <c r="AN446" i="4" s="1"/>
  <c r="Q447" i="4"/>
  <c r="R447" i="4" s="1"/>
  <c r="AN447" i="4" s="1"/>
  <c r="Q448" i="4"/>
  <c r="Q449" i="4"/>
  <c r="R449" i="4" s="1"/>
  <c r="Q450" i="4"/>
  <c r="R450" i="4" s="1"/>
  <c r="Q451" i="4"/>
  <c r="R455" i="4"/>
  <c r="AN455" i="4" s="1"/>
  <c r="R458" i="4"/>
  <c r="AN458" i="4" s="1"/>
  <c r="R459" i="4"/>
  <c r="AN459" i="4" s="1"/>
  <c r="R461" i="4"/>
  <c r="R462" i="4"/>
  <c r="R464" i="4"/>
  <c r="AN464" i="4" s="1"/>
  <c r="R467" i="4"/>
  <c r="AN467" i="4" s="1"/>
  <c r="R468" i="4"/>
  <c r="R470" i="4"/>
  <c r="AN470" i="4" s="1"/>
  <c r="R471" i="4"/>
  <c r="AN471" i="4" s="1"/>
  <c r="R473" i="4"/>
  <c r="AN473" i="4" s="1"/>
  <c r="R391" i="4"/>
  <c r="R392" i="4"/>
  <c r="R393" i="4"/>
  <c r="AN393" i="4" s="1"/>
  <c r="R394" i="4"/>
  <c r="R453" i="4"/>
  <c r="R454" i="4"/>
  <c r="R460" i="4"/>
  <c r="R465" i="4"/>
  <c r="AN465" i="4" s="1"/>
  <c r="R466" i="4"/>
  <c r="AN466" i="4" s="1"/>
  <c r="R472" i="4"/>
  <c r="AN472" i="4" s="1"/>
  <c r="J391" i="4"/>
  <c r="J392" i="4"/>
  <c r="K392" i="4" s="1"/>
  <c r="BD392" i="4" s="1"/>
  <c r="J393" i="4"/>
  <c r="K393" i="4" s="1"/>
  <c r="L393" i="4" s="1"/>
  <c r="J394" i="4"/>
  <c r="BE394" i="4" s="1"/>
  <c r="J395" i="4"/>
  <c r="K395" i="4" s="1"/>
  <c r="J396" i="4"/>
  <c r="K396" i="4" s="1"/>
  <c r="BD396" i="4" s="1"/>
  <c r="J397" i="4"/>
  <c r="BE397" i="4" s="1"/>
  <c r="J398" i="4"/>
  <c r="BE398" i="4" s="1"/>
  <c r="J399" i="4"/>
  <c r="J400" i="4"/>
  <c r="BE400" i="4" s="1"/>
  <c r="J401" i="4"/>
  <c r="BE401" i="4" s="1"/>
  <c r="J402" i="4"/>
  <c r="J403" i="4"/>
  <c r="J404" i="4"/>
  <c r="BE404" i="4" s="1"/>
  <c r="J405" i="4"/>
  <c r="J406" i="4"/>
  <c r="BE406" i="4" s="1"/>
  <c r="J407" i="4"/>
  <c r="BE407" i="4" s="1"/>
  <c r="J408" i="4"/>
  <c r="J409" i="4"/>
  <c r="BE409" i="4" s="1"/>
  <c r="J410" i="4"/>
  <c r="J411" i="4"/>
  <c r="J412" i="4"/>
  <c r="BE412" i="4" s="1"/>
  <c r="J413" i="4"/>
  <c r="BE413" i="4" s="1"/>
  <c r="J414" i="4"/>
  <c r="J415" i="4"/>
  <c r="BE415" i="4" s="1"/>
  <c r="J416" i="4"/>
  <c r="BE416" i="4" s="1"/>
  <c r="J417" i="4"/>
  <c r="J418" i="4"/>
  <c r="K418" i="4" s="1"/>
  <c r="P418" i="4" s="1"/>
  <c r="J419" i="4"/>
  <c r="BE419" i="4" s="1"/>
  <c r="J420" i="4"/>
  <c r="J421" i="4"/>
  <c r="J422" i="4"/>
  <c r="BE422" i="4" s="1"/>
  <c r="J423" i="4"/>
  <c r="K423" i="4" s="1"/>
  <c r="J424" i="4"/>
  <c r="BE424" i="4" s="1"/>
  <c r="J425" i="4"/>
  <c r="K425" i="4" s="1"/>
  <c r="J426" i="4"/>
  <c r="J427" i="4"/>
  <c r="BE427" i="4" s="1"/>
  <c r="J428" i="4"/>
  <c r="J429" i="4"/>
  <c r="J430" i="4"/>
  <c r="BE430" i="4" s="1"/>
  <c r="J431" i="4"/>
  <c r="BE431" i="4" s="1"/>
  <c r="J432" i="4"/>
  <c r="J433" i="4"/>
  <c r="BE433" i="4" s="1"/>
  <c r="J434" i="4"/>
  <c r="BE434" i="4" s="1"/>
  <c r="J435" i="4"/>
  <c r="J436" i="4"/>
  <c r="BE436" i="4" s="1"/>
  <c r="J437" i="4"/>
  <c r="BE437" i="4" s="1"/>
  <c r="J438" i="4"/>
  <c r="J439" i="4"/>
  <c r="J440" i="4"/>
  <c r="BE440" i="4" s="1"/>
  <c r="J441" i="4"/>
  <c r="J442" i="4"/>
  <c r="BE442" i="4" s="1"/>
  <c r="J443" i="4"/>
  <c r="BE443" i="4" s="1"/>
  <c r="J444" i="4"/>
  <c r="J445" i="4"/>
  <c r="BE445" i="4" s="1"/>
  <c r="J446" i="4"/>
  <c r="J447" i="4"/>
  <c r="K447" i="4" s="1"/>
  <c r="J448" i="4"/>
  <c r="BE448" i="4" s="1"/>
  <c r="J449" i="4"/>
  <c r="BE449" i="4" s="1"/>
  <c r="J450" i="4"/>
  <c r="K450" i="4" s="1"/>
  <c r="BD450" i="4" s="1"/>
  <c r="J451" i="4"/>
  <c r="BE451" i="4" s="1"/>
  <c r="J452" i="4"/>
  <c r="K452" i="4" s="1"/>
  <c r="J453" i="4"/>
  <c r="J455" i="4"/>
  <c r="BE455" i="4" s="1"/>
  <c r="J456" i="4"/>
  <c r="J457" i="4"/>
  <c r="J458" i="4"/>
  <c r="BE458" i="4" s="1"/>
  <c r="J459" i="4"/>
  <c r="K459" i="4" s="1"/>
  <c r="P459" i="4" s="1"/>
  <c r="J460" i="4"/>
  <c r="BE460" i="4" s="1"/>
  <c r="J461" i="4"/>
  <c r="BE461" i="4" s="1"/>
  <c r="J462" i="4"/>
  <c r="K462" i="4" s="1"/>
  <c r="P462" i="4" s="1"/>
  <c r="J463" i="4"/>
  <c r="BE463" i="4" s="1"/>
  <c r="J464" i="4"/>
  <c r="J465" i="4"/>
  <c r="K465" i="4" s="1"/>
  <c r="J466" i="4"/>
  <c r="BE466" i="4" s="1"/>
  <c r="J467" i="4"/>
  <c r="BE467" i="4" s="1"/>
  <c r="J468" i="4"/>
  <c r="J469" i="4"/>
  <c r="BE469" i="4" s="1"/>
  <c r="J470" i="4"/>
  <c r="BE470" i="4" s="1"/>
  <c r="J471" i="4"/>
  <c r="J472" i="4"/>
  <c r="BE472" i="4" s="1"/>
  <c r="J473" i="4"/>
  <c r="BE473" i="4" s="1"/>
  <c r="J474" i="4"/>
  <c r="M164" i="82"/>
  <c r="EJ6" i="86"/>
  <c r="EI6" i="86"/>
  <c r="M161" i="82"/>
  <c r="M159" i="82"/>
  <c r="M160" i="82"/>
  <c r="I160" i="82"/>
  <c r="EH6" i="86"/>
  <c r="EG6" i="86"/>
  <c r="EE6" i="86"/>
  <c r="M367" i="4"/>
  <c r="EF6" i="86" s="1"/>
  <c r="H9" i="67" l="1"/>
  <c r="H7" i="67"/>
  <c r="FM9" i="86"/>
  <c r="AM458" i="4"/>
  <c r="FL7" i="86"/>
  <c r="FK9" i="86"/>
  <c r="AM469" i="4"/>
  <c r="FP7" i="86"/>
  <c r="AM466" i="4"/>
  <c r="FO7" i="86"/>
  <c r="AM463" i="4"/>
  <c r="FN7" i="86"/>
  <c r="FO9" i="86"/>
  <c r="AM455" i="4"/>
  <c r="FK7" i="86"/>
  <c r="FL11" i="86"/>
  <c r="FP9" i="86"/>
  <c r="FN9" i="86"/>
  <c r="AM462" i="4"/>
  <c r="FM7" i="86"/>
  <c r="AP466" i="4"/>
  <c r="AP472" i="4"/>
  <c r="AP473" i="4"/>
  <c r="AP470" i="4"/>
  <c r="AP467" i="4"/>
  <c r="AP471" i="4"/>
  <c r="AP468" i="4"/>
  <c r="AN468" i="4"/>
  <c r="K427" i="4"/>
  <c r="L427" i="4" s="1"/>
  <c r="K416" i="4"/>
  <c r="BD416" i="4" s="1"/>
  <c r="FC9" i="86"/>
  <c r="FA9" i="86"/>
  <c r="FI9" i="86"/>
  <c r="FG9" i="86"/>
  <c r="FJ9" i="86"/>
  <c r="ET9" i="86"/>
  <c r="AM441" i="4"/>
  <c r="AP441" i="4" s="1"/>
  <c r="FF7" i="86"/>
  <c r="AM438" i="4"/>
  <c r="AP438" i="4" s="1"/>
  <c r="FE7" i="86"/>
  <c r="AM435" i="4"/>
  <c r="AP435" i="4" s="1"/>
  <c r="FD7" i="86"/>
  <c r="AM432" i="4"/>
  <c r="AP432" i="4" s="1"/>
  <c r="FC7" i="86"/>
  <c r="AM421" i="4"/>
  <c r="EY7" i="86"/>
  <c r="AM418" i="4"/>
  <c r="EX7" i="86"/>
  <c r="AM415" i="4"/>
  <c r="EW7" i="86"/>
  <c r="AM412" i="4"/>
  <c r="AP412" i="4" s="1"/>
  <c r="EV7" i="86"/>
  <c r="FE9" i="86"/>
  <c r="AM424" i="4"/>
  <c r="AP424" i="4" s="1"/>
  <c r="EZ7" i="86"/>
  <c r="AM429" i="4"/>
  <c r="FB7" i="86"/>
  <c r="AM426" i="4"/>
  <c r="AP426" i="4" s="1"/>
  <c r="FA7" i="86"/>
  <c r="K472" i="4"/>
  <c r="P472" i="4" s="1"/>
  <c r="K397" i="4"/>
  <c r="L397" i="4" s="1"/>
  <c r="AM452" i="4"/>
  <c r="FJ7" i="86"/>
  <c r="AM449" i="4"/>
  <c r="AP449" i="4" s="1"/>
  <c r="FI7" i="86"/>
  <c r="AM446" i="4"/>
  <c r="AP446" i="4" s="1"/>
  <c r="FH7" i="86"/>
  <c r="AM443" i="4"/>
  <c r="AP443" i="4" s="1"/>
  <c r="FG7" i="86"/>
  <c r="FF9" i="86"/>
  <c r="EZ9" i="86"/>
  <c r="EX9" i="86"/>
  <c r="EV9" i="86"/>
  <c r="K466" i="4"/>
  <c r="FH9" i="86"/>
  <c r="FD9" i="86"/>
  <c r="FB9" i="86"/>
  <c r="ET7" i="86"/>
  <c r="ET13" i="86" s="1"/>
  <c r="ET14" i="86" s="1"/>
  <c r="EY9" i="86"/>
  <c r="EW9" i="86"/>
  <c r="BF458" i="4"/>
  <c r="K451" i="4"/>
  <c r="BD451" i="4" s="1"/>
  <c r="K442" i="4"/>
  <c r="BD442" i="4" s="1"/>
  <c r="K437" i="4"/>
  <c r="BD437" i="4" s="1"/>
  <c r="AT434" i="4"/>
  <c r="AX434" i="4" s="1"/>
  <c r="BF434" i="4"/>
  <c r="AT432" i="4"/>
  <c r="AX432" i="4" s="1"/>
  <c r="AT431" i="4"/>
  <c r="AX431" i="4" s="1"/>
  <c r="AT430" i="4"/>
  <c r="AX430" i="4" s="1"/>
  <c r="K431" i="4"/>
  <c r="P431" i="4" s="1"/>
  <c r="K430" i="4"/>
  <c r="BD430" i="4" s="1"/>
  <c r="AT428" i="4"/>
  <c r="AX428" i="4" s="1"/>
  <c r="AT426" i="4"/>
  <c r="AX426" i="4" s="1"/>
  <c r="AT425" i="4"/>
  <c r="AX425" i="4" s="1"/>
  <c r="AT419" i="4"/>
  <c r="AX419" i="4" s="1"/>
  <c r="K412" i="4"/>
  <c r="BD412" i="4" s="1"/>
  <c r="K413" i="4"/>
  <c r="BD413" i="4" s="1"/>
  <c r="K470" i="4"/>
  <c r="P470" i="4" s="1"/>
  <c r="K460" i="4"/>
  <c r="K455" i="4"/>
  <c r="BD455" i="4" s="1"/>
  <c r="K406" i="4"/>
  <c r="L406" i="4" s="1"/>
  <c r="K401" i="4"/>
  <c r="BD401" i="4" s="1"/>
  <c r="L450" i="4"/>
  <c r="K433" i="4"/>
  <c r="BD433" i="4" s="1"/>
  <c r="R429" i="4"/>
  <c r="AT424" i="4"/>
  <c r="AX424" i="4" s="1"/>
  <c r="AT422" i="4"/>
  <c r="AX422" i="4" s="1"/>
  <c r="AT420" i="4"/>
  <c r="AX420" i="4" s="1"/>
  <c r="ER9" i="86"/>
  <c r="K473" i="4"/>
  <c r="K448" i="4"/>
  <c r="BD448" i="4" s="1"/>
  <c r="K434" i="4"/>
  <c r="L434" i="4" s="1"/>
  <c r="K422" i="4"/>
  <c r="L422" i="4" s="1"/>
  <c r="ET8" i="86"/>
  <c r="AM404" i="4"/>
  <c r="ES7" i="86"/>
  <c r="AM401" i="4"/>
  <c r="AP401" i="4" s="1"/>
  <c r="ER7" i="86"/>
  <c r="P450" i="4"/>
  <c r="AP465" i="4"/>
  <c r="AM409" i="4"/>
  <c r="EU7" i="86"/>
  <c r="AM398" i="4"/>
  <c r="AP398" i="4" s="1"/>
  <c r="EQ7" i="86"/>
  <c r="ES9" i="86"/>
  <c r="EQ9" i="86"/>
  <c r="AX461" i="4"/>
  <c r="EU9" i="86"/>
  <c r="K467" i="4"/>
  <c r="K463" i="4"/>
  <c r="P463" i="4" s="1"/>
  <c r="K424" i="4"/>
  <c r="L424" i="4" s="1"/>
  <c r="L462" i="4"/>
  <c r="AN430" i="4"/>
  <c r="AT393" i="4"/>
  <c r="AX393" i="4" s="1"/>
  <c r="AT391" i="4"/>
  <c r="AX391" i="4" s="1"/>
  <c r="K458" i="4"/>
  <c r="BD458" i="4" s="1"/>
  <c r="K449" i="4"/>
  <c r="BD449" i="4" s="1"/>
  <c r="K445" i="4"/>
  <c r="P445" i="4" s="1"/>
  <c r="K409" i="4"/>
  <c r="P409" i="4" s="1"/>
  <c r="AT405" i="4"/>
  <c r="AX405" i="4" s="1"/>
  <c r="K404" i="4"/>
  <c r="BD404" i="4" s="1"/>
  <c r="AT403" i="4"/>
  <c r="AX403" i="4" s="1"/>
  <c r="AT399" i="4"/>
  <c r="AX399" i="4" s="1"/>
  <c r="AN400" i="4"/>
  <c r="R404" i="4"/>
  <c r="AN404" i="4" s="1"/>
  <c r="AN419" i="4"/>
  <c r="AP442" i="4"/>
  <c r="AP423" i="4"/>
  <c r="AX471" i="4"/>
  <c r="AX469" i="4"/>
  <c r="BF470" i="4"/>
  <c r="BF466" i="4"/>
  <c r="R410" i="4"/>
  <c r="AN410" i="4" s="1"/>
  <c r="AN454" i="4"/>
  <c r="AN436" i="4"/>
  <c r="AP447" i="4"/>
  <c r="BE452" i="4"/>
  <c r="BF424" i="4"/>
  <c r="BF422" i="4"/>
  <c r="K469" i="4"/>
  <c r="P469" i="4" s="1"/>
  <c r="K440" i="4"/>
  <c r="BD440" i="4" s="1"/>
  <c r="K419" i="4"/>
  <c r="BD419" i="4" s="1"/>
  <c r="K415" i="4"/>
  <c r="K398" i="4"/>
  <c r="P398" i="4" s="1"/>
  <c r="K394" i="4"/>
  <c r="L394" i="4" s="1"/>
  <c r="R448" i="4"/>
  <c r="AN448" i="4" s="1"/>
  <c r="R437" i="4"/>
  <c r="AP437" i="4" s="1"/>
  <c r="R418" i="4"/>
  <c r="AN418" i="4" s="1"/>
  <c r="AX441" i="4"/>
  <c r="AX439" i="4"/>
  <c r="AX435" i="4"/>
  <c r="AT433" i="4"/>
  <c r="AX433" i="4" s="1"/>
  <c r="AT400" i="4"/>
  <c r="AX400" i="4" s="1"/>
  <c r="AT398" i="4"/>
  <c r="AX398" i="4" s="1"/>
  <c r="AT394" i="4"/>
  <c r="AX394" i="4" s="1"/>
  <c r="BF455" i="4"/>
  <c r="BE423" i="4"/>
  <c r="BF423" i="4" s="1"/>
  <c r="AX449" i="4"/>
  <c r="BE454" i="4"/>
  <c r="BF448" i="4"/>
  <c r="AX472" i="4"/>
  <c r="AX470" i="4"/>
  <c r="BE447" i="4"/>
  <c r="BF447" i="4" s="1"/>
  <c r="BE425" i="4"/>
  <c r="EZ11" i="86" s="1"/>
  <c r="BE418" i="4"/>
  <c r="AX460" i="4"/>
  <c r="AX458" i="4"/>
  <c r="AX456" i="4"/>
  <c r="AT413" i="4"/>
  <c r="AX413" i="4" s="1"/>
  <c r="BE450" i="4"/>
  <c r="FI11" i="86" s="1"/>
  <c r="K438" i="4"/>
  <c r="BE438" i="4"/>
  <c r="BE446" i="4"/>
  <c r="K446" i="4"/>
  <c r="K420" i="4"/>
  <c r="BE420" i="4"/>
  <c r="BF420" i="4" s="1"/>
  <c r="K399" i="4"/>
  <c r="BE399" i="4"/>
  <c r="BF399" i="4" s="1"/>
  <c r="R421" i="4"/>
  <c r="AN421" i="4" s="1"/>
  <c r="R403" i="4"/>
  <c r="AN403" i="4" s="1"/>
  <c r="K457" i="4"/>
  <c r="BE457" i="4"/>
  <c r="BF457" i="4" s="1"/>
  <c r="BE403" i="4"/>
  <c r="BF403" i="4" s="1"/>
  <c r="K403" i="4"/>
  <c r="AN444" i="4"/>
  <c r="R408" i="4"/>
  <c r="AN408" i="4" s="1"/>
  <c r="BF467" i="4"/>
  <c r="BF430" i="4"/>
  <c r="BF404" i="4"/>
  <c r="K417" i="4"/>
  <c r="BE417" i="4"/>
  <c r="BF417" i="4" s="1"/>
  <c r="K474" i="4"/>
  <c r="P474" i="4" s="1"/>
  <c r="BE474" i="4"/>
  <c r="BF474" i="4" s="1"/>
  <c r="BD454" i="4"/>
  <c r="BE421" i="4"/>
  <c r="K421" i="4"/>
  <c r="K453" i="4"/>
  <c r="BE453" i="4"/>
  <c r="BF453" i="4" s="1"/>
  <c r="R463" i="4"/>
  <c r="AN463" i="4" s="1"/>
  <c r="R451" i="4"/>
  <c r="AP451" i="4" s="1"/>
  <c r="R433" i="4"/>
  <c r="AN433" i="4" s="1"/>
  <c r="R415" i="4"/>
  <c r="AN415" i="4" s="1"/>
  <c r="AN391" i="4"/>
  <c r="BE428" i="4"/>
  <c r="BF428" i="4" s="1"/>
  <c r="K428" i="4"/>
  <c r="AN450" i="4"/>
  <c r="AN432" i="4"/>
  <c r="AN414" i="4"/>
  <c r="R456" i="4"/>
  <c r="AN456" i="4" s="1"/>
  <c r="AN461" i="4"/>
  <c r="P454" i="4"/>
  <c r="AN439" i="4"/>
  <c r="AP464" i="4"/>
  <c r="AP439" i="4"/>
  <c r="AP419" i="4"/>
  <c r="K471" i="4"/>
  <c r="P471" i="4" s="1"/>
  <c r="BE471" i="4"/>
  <c r="BF471" i="4" s="1"/>
  <c r="BD425" i="4"/>
  <c r="L425" i="4"/>
  <c r="L416" i="4"/>
  <c r="P416" i="4"/>
  <c r="BE391" i="4"/>
  <c r="BF391" i="4" s="1"/>
  <c r="K391" i="4"/>
  <c r="BD391" i="4" s="1"/>
  <c r="P425" i="4"/>
  <c r="R469" i="4"/>
  <c r="AN469" i="4" s="1"/>
  <c r="R457" i="4"/>
  <c r="AN457" i="4" s="1"/>
  <c r="R445" i="4"/>
  <c r="AP445" i="4" s="1"/>
  <c r="R427" i="4"/>
  <c r="AN427" i="4" s="1"/>
  <c r="R409" i="4"/>
  <c r="AN409" i="4" s="1"/>
  <c r="L452" i="4"/>
  <c r="BD452" i="4"/>
  <c r="AN462" i="4"/>
  <c r="AN438" i="4"/>
  <c r="R402" i="4"/>
  <c r="AN402" i="4" s="1"/>
  <c r="K456" i="4"/>
  <c r="BE456" i="4"/>
  <c r="BF456" i="4" s="1"/>
  <c r="K435" i="4"/>
  <c r="BE435" i="4"/>
  <c r="K402" i="4"/>
  <c r="BE402" i="4"/>
  <c r="BF402" i="4" s="1"/>
  <c r="R474" i="4"/>
  <c r="AN474" i="4" s="1"/>
  <c r="R420" i="4"/>
  <c r="AN420" i="4" s="1"/>
  <c r="BE464" i="4"/>
  <c r="BF464" i="4" s="1"/>
  <c r="K464" i="4"/>
  <c r="BE439" i="4"/>
  <c r="BF439" i="4" s="1"/>
  <c r="K439" i="4"/>
  <c r="BD418" i="4"/>
  <c r="L418" i="4"/>
  <c r="BE410" i="4"/>
  <c r="BF410" i="4" s="1"/>
  <c r="K410" i="4"/>
  <c r="P452" i="4"/>
  <c r="K441" i="4"/>
  <c r="BE441" i="4"/>
  <c r="AP436" i="4"/>
  <c r="AP405" i="4"/>
  <c r="AP400" i="4"/>
  <c r="AX467" i="4"/>
  <c r="AX465" i="4"/>
  <c r="AX463" i="4"/>
  <c r="AX454" i="4"/>
  <c r="AX452" i="4"/>
  <c r="AX450" i="4"/>
  <c r="AT407" i="4"/>
  <c r="AX407" i="4" s="1"/>
  <c r="AT401" i="4"/>
  <c r="AX401" i="4" s="1"/>
  <c r="BE465" i="4"/>
  <c r="BF465" i="4" s="1"/>
  <c r="BE462" i="4"/>
  <c r="BF462" i="4" s="1"/>
  <c r="BF460" i="4"/>
  <c r="AP434" i="4"/>
  <c r="AP431" i="4"/>
  <c r="AP416" i="4"/>
  <c r="BD423" i="4"/>
  <c r="P423" i="4"/>
  <c r="K405" i="4"/>
  <c r="BE405" i="4"/>
  <c r="BF405" i="4" s="1"/>
  <c r="AN449" i="4"/>
  <c r="AN431" i="4"/>
  <c r="R413" i="4"/>
  <c r="AN413" i="4" s="1"/>
  <c r="AN407" i="4"/>
  <c r="AP455" i="4"/>
  <c r="K426" i="4"/>
  <c r="BE426" i="4"/>
  <c r="K408" i="4"/>
  <c r="BE408" i="4"/>
  <c r="ET11" i="86" s="1"/>
  <c r="AP460" i="4"/>
  <c r="BD465" i="4"/>
  <c r="P465" i="4"/>
  <c r="K461" i="4"/>
  <c r="BD447" i="4"/>
  <c r="P447" i="4"/>
  <c r="K443" i="4"/>
  <c r="BF440" i="4"/>
  <c r="K436" i="4"/>
  <c r="K429" i="4"/>
  <c r="BE429" i="4"/>
  <c r="K411" i="4"/>
  <c r="BE411" i="4"/>
  <c r="BF411" i="4" s="1"/>
  <c r="K407" i="4"/>
  <c r="K400" i="4"/>
  <c r="L465" i="4"/>
  <c r="L459" i="4"/>
  <c r="AO459" i="4" s="1"/>
  <c r="L447" i="4"/>
  <c r="L423" i="4"/>
  <c r="R452" i="4"/>
  <c r="R440" i="4"/>
  <c r="AN440" i="4" s="1"/>
  <c r="R422" i="4"/>
  <c r="AN422" i="4" s="1"/>
  <c r="AN453" i="4"/>
  <c r="AN435" i="4"/>
  <c r="AN417" i="4"/>
  <c r="AN399" i="4"/>
  <c r="AN401" i="4"/>
  <c r="AP462" i="4"/>
  <c r="AP454" i="4"/>
  <c r="AP399" i="4"/>
  <c r="AX473" i="4"/>
  <c r="BD462" i="4"/>
  <c r="BE459" i="4"/>
  <c r="BF459" i="4" s="1"/>
  <c r="BF416" i="4"/>
  <c r="BD393" i="4"/>
  <c r="K444" i="4"/>
  <c r="BE444" i="4"/>
  <c r="BF444" i="4" s="1"/>
  <c r="AN460" i="4"/>
  <c r="AN442" i="4"/>
  <c r="AN424" i="4"/>
  <c r="AN406" i="4"/>
  <c r="AN394" i="4"/>
  <c r="AP407" i="4"/>
  <c r="K468" i="4"/>
  <c r="P468" i="4" s="1"/>
  <c r="BE468" i="4"/>
  <c r="BF468" i="4" s="1"/>
  <c r="K432" i="4"/>
  <c r="BE432" i="4"/>
  <c r="K414" i="4"/>
  <c r="BE414" i="4"/>
  <c r="BF414" i="4" s="1"/>
  <c r="AP461" i="4"/>
  <c r="AP459" i="4"/>
  <c r="AP430" i="4"/>
  <c r="AP417" i="4"/>
  <c r="AP414" i="4"/>
  <c r="AP411" i="4"/>
  <c r="BD459" i="4"/>
  <c r="BF445" i="4"/>
  <c r="BF419" i="4"/>
  <c r="BF398" i="4"/>
  <c r="AP450" i="4"/>
  <c r="BF473" i="4"/>
  <c r="BF431" i="4"/>
  <c r="BF442" i="4"/>
  <c r="BF427" i="4"/>
  <c r="BF406" i="4"/>
  <c r="AP458" i="4"/>
  <c r="AP453" i="4"/>
  <c r="AP428" i="4"/>
  <c r="AP425" i="4"/>
  <c r="AP406" i="4"/>
  <c r="AX443" i="4"/>
  <c r="AX437" i="4"/>
  <c r="AT429" i="4"/>
  <c r="AX429" i="4" s="1"/>
  <c r="AT427" i="4"/>
  <c r="AX427" i="4" s="1"/>
  <c r="AT418" i="4"/>
  <c r="AX418" i="4" s="1"/>
  <c r="AT416" i="4"/>
  <c r="AX416" i="4" s="1"/>
  <c r="AT414" i="4"/>
  <c r="AX414" i="4" s="1"/>
  <c r="BF449" i="4"/>
  <c r="AX459" i="4"/>
  <c r="AX457" i="4"/>
  <c r="AX448" i="4"/>
  <c r="AX446" i="4"/>
  <c r="AX444" i="4"/>
  <c r="AT423" i="4"/>
  <c r="AX423" i="4" s="1"/>
  <c r="AT421" i="4"/>
  <c r="AX421" i="4" s="1"/>
  <c r="AT412" i="4"/>
  <c r="AX412" i="4" s="1"/>
  <c r="AT410" i="4"/>
  <c r="AX410" i="4" s="1"/>
  <c r="AT408" i="4"/>
  <c r="AX408" i="4" s="1"/>
  <c r="AP444" i="4"/>
  <c r="AX474" i="4"/>
  <c r="AX453" i="4"/>
  <c r="AX451" i="4"/>
  <c r="AX442" i="4"/>
  <c r="AX440" i="4"/>
  <c r="AX438" i="4"/>
  <c r="AT417" i="4"/>
  <c r="AX417" i="4" s="1"/>
  <c r="AT415" i="4"/>
  <c r="AX415" i="4" s="1"/>
  <c r="AT406" i="4"/>
  <c r="AX406" i="4" s="1"/>
  <c r="AT404" i="4"/>
  <c r="AX404" i="4" s="1"/>
  <c r="AT402" i="4"/>
  <c r="AX402" i="4" s="1"/>
  <c r="BF413" i="4"/>
  <c r="EO9" i="86"/>
  <c r="AM395" i="4"/>
  <c r="AP395" i="4" s="1"/>
  <c r="EP7" i="86"/>
  <c r="AM392" i="4"/>
  <c r="AP392" i="4" s="1"/>
  <c r="EO7" i="86"/>
  <c r="AX447" i="4"/>
  <c r="AX445" i="4"/>
  <c r="AT411" i="4"/>
  <c r="AX411" i="4" s="1"/>
  <c r="AT409" i="4"/>
  <c r="AX409" i="4" s="1"/>
  <c r="BF463" i="4"/>
  <c r="EP9" i="86"/>
  <c r="AT397" i="4"/>
  <c r="AX397" i="4" s="1"/>
  <c r="R397" i="4"/>
  <c r="AN397" i="4" s="1"/>
  <c r="AT396" i="4"/>
  <c r="AX396" i="4" s="1"/>
  <c r="AN396" i="4"/>
  <c r="AP396" i="4"/>
  <c r="AT395" i="4"/>
  <c r="AX395" i="4" s="1"/>
  <c r="AN395" i="4"/>
  <c r="BD395" i="4"/>
  <c r="P395" i="4"/>
  <c r="L395" i="4"/>
  <c r="P396" i="4"/>
  <c r="BE395" i="4"/>
  <c r="BE396" i="4"/>
  <c r="BF396" i="4" s="1"/>
  <c r="L396" i="4"/>
  <c r="AP394" i="4"/>
  <c r="AP393" i="4"/>
  <c r="AN392" i="4"/>
  <c r="AT392" i="4"/>
  <c r="AX392" i="4" s="1"/>
  <c r="BE392" i="4"/>
  <c r="BF392" i="4" s="1"/>
  <c r="P393" i="4"/>
  <c r="AO393" i="4" s="1"/>
  <c r="BF394" i="4"/>
  <c r="BE393" i="4"/>
  <c r="BF393" i="4" s="1"/>
  <c r="P392" i="4"/>
  <c r="L392" i="4"/>
  <c r="AP391" i="4"/>
  <c r="BF472" i="4"/>
  <c r="BF469" i="4"/>
  <c r="BF461" i="4"/>
  <c r="BF436" i="4"/>
  <c r="BF433" i="4"/>
  <c r="BF400" i="4"/>
  <c r="BF397" i="4"/>
  <c r="BF437" i="4"/>
  <c r="BF412" i="4"/>
  <c r="BF409" i="4"/>
  <c r="BF401" i="4"/>
  <c r="BF451" i="4"/>
  <c r="BF443" i="4"/>
  <c r="BF415" i="4"/>
  <c r="BF407" i="4"/>
  <c r="ED6" i="86"/>
  <c r="EC6" i="86"/>
  <c r="M156" i="82"/>
  <c r="FL10" i="86" l="1"/>
  <c r="FL15" i="86" s="1"/>
  <c r="FN11" i="86"/>
  <c r="BF395" i="4"/>
  <c r="H11" i="67"/>
  <c r="H13" i="67"/>
  <c r="H14" i="67" s="1"/>
  <c r="H8" i="67"/>
  <c r="FO11" i="86"/>
  <c r="FN13" i="86"/>
  <c r="FN14" i="86" s="1"/>
  <c r="FN8" i="86"/>
  <c r="FM11" i="86"/>
  <c r="FK11" i="86"/>
  <c r="FO13" i="86"/>
  <c r="FO14" i="86" s="1"/>
  <c r="FO8" i="86"/>
  <c r="FP8" i="86"/>
  <c r="FP13" i="86"/>
  <c r="FP14" i="86" s="1"/>
  <c r="FL8" i="86"/>
  <c r="FL13" i="86"/>
  <c r="FL14" i="86" s="1"/>
  <c r="P460" i="4"/>
  <c r="BD460" i="4"/>
  <c r="FP11" i="86"/>
  <c r="AP469" i="4"/>
  <c r="FM13" i="86"/>
  <c r="FM14" i="86" s="1"/>
  <c r="FM8" i="86"/>
  <c r="P397" i="4"/>
  <c r="L472" i="4"/>
  <c r="AO472" i="4" s="1"/>
  <c r="BD473" i="4"/>
  <c r="P473" i="4"/>
  <c r="AP474" i="4"/>
  <c r="BD467" i="4"/>
  <c r="P467" i="4"/>
  <c r="BD466" i="4"/>
  <c r="P466" i="4"/>
  <c r="P427" i="4"/>
  <c r="AO427" i="4" s="1"/>
  <c r="BD427" i="4"/>
  <c r="P391" i="4"/>
  <c r="BF408" i="4"/>
  <c r="BD406" i="4"/>
  <c r="BD472" i="4"/>
  <c r="L455" i="4"/>
  <c r="BD397" i="4"/>
  <c r="BD470" i="4"/>
  <c r="P434" i="4"/>
  <c r="AO434" i="4" s="1"/>
  <c r="P401" i="4"/>
  <c r="L463" i="4"/>
  <c r="AO463" i="4" s="1"/>
  <c r="P404" i="4"/>
  <c r="BD431" i="4"/>
  <c r="P430" i="4"/>
  <c r="AP421" i="4"/>
  <c r="P437" i="4"/>
  <c r="L466" i="4"/>
  <c r="L437" i="4"/>
  <c r="BF425" i="4"/>
  <c r="L430" i="4"/>
  <c r="P406" i="4"/>
  <c r="AO406" i="4" s="1"/>
  <c r="AP429" i="4"/>
  <c r="BD394" i="4"/>
  <c r="EO10" i="86" s="1"/>
  <c r="EO15" i="86" s="1"/>
  <c r="AP452" i="4"/>
  <c r="L431" i="4"/>
  <c r="AO431" i="4" s="1"/>
  <c r="P451" i="4"/>
  <c r="L451" i="4"/>
  <c r="EW11" i="86"/>
  <c r="EX13" i="86"/>
  <c r="EX14" i="86" s="1"/>
  <c r="EX8" i="86"/>
  <c r="P419" i="4"/>
  <c r="BF441" i="4"/>
  <c r="FF11" i="86"/>
  <c r="BF421" i="4"/>
  <c r="EY11" i="86"/>
  <c r="EQ11" i="86"/>
  <c r="FG8" i="86"/>
  <c r="FG13" i="86"/>
  <c r="FG14" i="86" s="1"/>
  <c r="FK13" i="86"/>
  <c r="FK14" i="86" s="1"/>
  <c r="FK8" i="86"/>
  <c r="FG11" i="86"/>
  <c r="EZ8" i="86"/>
  <c r="EZ13" i="86"/>
  <c r="EZ14" i="86" s="1"/>
  <c r="FI10" i="86"/>
  <c r="FI16" i="86" s="1"/>
  <c r="FD13" i="86"/>
  <c r="FD14" i="86" s="1"/>
  <c r="FD8" i="86"/>
  <c r="EP10" i="86"/>
  <c r="EP15" i="86" s="1"/>
  <c r="P448" i="4"/>
  <c r="BF426" i="4"/>
  <c r="FA11" i="86"/>
  <c r="AP410" i="4"/>
  <c r="AN445" i="4"/>
  <c r="L470" i="4"/>
  <c r="AO470" i="4" s="1"/>
  <c r="BF438" i="4"/>
  <c r="FE11" i="86"/>
  <c r="EV8" i="86"/>
  <c r="EV13" i="86"/>
  <c r="EV14" i="86" s="1"/>
  <c r="EY8" i="86"/>
  <c r="EY13" i="86"/>
  <c r="EY14" i="86" s="1"/>
  <c r="FE13" i="86"/>
  <c r="FE14" i="86" s="1"/>
  <c r="FE8" i="86"/>
  <c r="BF429" i="4"/>
  <c r="FB11" i="86"/>
  <c r="BF435" i="4"/>
  <c r="FD11" i="86"/>
  <c r="AO416" i="4"/>
  <c r="FH8" i="86"/>
  <c r="FH13" i="86"/>
  <c r="FH14" i="86" s="1"/>
  <c r="FJ13" i="86"/>
  <c r="FJ14" i="86" s="1"/>
  <c r="FJ8" i="86"/>
  <c r="FA13" i="86"/>
  <c r="FA14" i="86" s="1"/>
  <c r="FA8" i="86"/>
  <c r="EV11" i="86"/>
  <c r="BF418" i="4"/>
  <c r="EX11" i="86"/>
  <c r="EW8" i="86"/>
  <c r="EW13" i="86"/>
  <c r="EW14" i="86" s="1"/>
  <c r="FC13" i="86"/>
  <c r="FC14" i="86" s="1"/>
  <c r="FC8" i="86"/>
  <c r="FF8" i="86"/>
  <c r="FF13" i="86"/>
  <c r="FF14" i="86" s="1"/>
  <c r="BF432" i="4"/>
  <c r="FC11" i="86"/>
  <c r="FI13" i="86"/>
  <c r="FI14" i="86" s="1"/>
  <c r="FI8" i="86"/>
  <c r="FB13" i="86"/>
  <c r="FB14" i="86" s="1"/>
  <c r="FB8" i="86"/>
  <c r="L460" i="4"/>
  <c r="AO460" i="4" s="1"/>
  <c r="AP463" i="4"/>
  <c r="BF452" i="4"/>
  <c r="BF450" i="4"/>
  <c r="BF446" i="4"/>
  <c r="FH11" i="86"/>
  <c r="L448" i="4"/>
  <c r="P458" i="4"/>
  <c r="AP457" i="4"/>
  <c r="P455" i="4"/>
  <c r="BF454" i="4"/>
  <c r="FJ11" i="86"/>
  <c r="AP448" i="4"/>
  <c r="AO450" i="4"/>
  <c r="L442" i="4"/>
  <c r="P442" i="4"/>
  <c r="P440" i="4"/>
  <c r="AP440" i="4"/>
  <c r="P433" i="4"/>
  <c r="AN429" i="4"/>
  <c r="P424" i="4"/>
  <c r="AO424" i="4" s="1"/>
  <c r="L419" i="4"/>
  <c r="P413" i="4"/>
  <c r="L413" i="4"/>
  <c r="L412" i="4"/>
  <c r="P412" i="4"/>
  <c r="P449" i="4"/>
  <c r="BD409" i="4"/>
  <c r="L467" i="4"/>
  <c r="AP418" i="4"/>
  <c r="L458" i="4"/>
  <c r="AO458" i="4" s="1"/>
  <c r="L401" i="4"/>
  <c r="BD422" i="4"/>
  <c r="BD434" i="4"/>
  <c r="L409" i="4"/>
  <c r="AO409" i="4" s="1"/>
  <c r="BD463" i="4"/>
  <c r="FN10" i="86" s="1"/>
  <c r="FN15" i="86" s="1"/>
  <c r="L433" i="4"/>
  <c r="P422" i="4"/>
  <c r="AO422" i="4" s="1"/>
  <c r="AP420" i="4"/>
  <c r="P394" i="4"/>
  <c r="AO394" i="4" s="1"/>
  <c r="AP415" i="4"/>
  <c r="BD424" i="4"/>
  <c r="EZ10" i="86" s="1"/>
  <c r="L391" i="4"/>
  <c r="AO462" i="4"/>
  <c r="L449" i="4"/>
  <c r="AO454" i="4"/>
  <c r="AO418" i="4"/>
  <c r="AN437" i="4"/>
  <c r="BD445" i="4"/>
  <c r="L445" i="4"/>
  <c r="EU13" i="86"/>
  <c r="EU14" i="86" s="1"/>
  <c r="EU8" i="86"/>
  <c r="ES13" i="86"/>
  <c r="ES14" i="86" s="1"/>
  <c r="ES8" i="86"/>
  <c r="L440" i="4"/>
  <c r="AO465" i="4"/>
  <c r="L473" i="4"/>
  <c r="ER11" i="86"/>
  <c r="AO425" i="4"/>
  <c r="ES11" i="86"/>
  <c r="EQ8" i="86"/>
  <c r="EQ13" i="86"/>
  <c r="EQ14" i="86" s="1"/>
  <c r="ER8" i="86"/>
  <c r="ER13" i="86"/>
  <c r="ER14" i="86" s="1"/>
  <c r="EU11" i="86"/>
  <c r="AP409" i="4"/>
  <c r="AP404" i="4"/>
  <c r="L404" i="4"/>
  <c r="AP408" i="4"/>
  <c r="AP403" i="4"/>
  <c r="BD398" i="4"/>
  <c r="L398" i="4"/>
  <c r="AO398" i="4" s="1"/>
  <c r="AN452" i="4"/>
  <c r="AO452" i="4" s="1"/>
  <c r="L469" i="4"/>
  <c r="AO469" i="4" s="1"/>
  <c r="BD469" i="4"/>
  <c r="AO423" i="4"/>
  <c r="BD415" i="4"/>
  <c r="P415" i="4"/>
  <c r="L415" i="4"/>
  <c r="AO447" i="4"/>
  <c r="AN451" i="4"/>
  <c r="AP413" i="4"/>
  <c r="BD411" i="4"/>
  <c r="P411" i="4"/>
  <c r="L411" i="4"/>
  <c r="BD408" i="4"/>
  <c r="P408" i="4"/>
  <c r="L408" i="4"/>
  <c r="BD468" i="4"/>
  <c r="L468" i="4"/>
  <c r="AO468" i="4" s="1"/>
  <c r="BD405" i="4"/>
  <c r="P405" i="4"/>
  <c r="L405" i="4"/>
  <c r="BD417" i="4"/>
  <c r="P417" i="4"/>
  <c r="L417" i="4"/>
  <c r="P399" i="4"/>
  <c r="L399" i="4"/>
  <c r="BD399" i="4"/>
  <c r="H10" i="67" s="1"/>
  <c r="AP422" i="4"/>
  <c r="AP402" i="4"/>
  <c r="BD461" i="4"/>
  <c r="L461" i="4"/>
  <c r="P461" i="4"/>
  <c r="BD471" i="4"/>
  <c r="L471" i="4"/>
  <c r="AO471" i="4" s="1"/>
  <c r="EP11" i="86"/>
  <c r="EO13" i="86"/>
  <c r="EO14" i="86" s="1"/>
  <c r="EO8" i="86"/>
  <c r="AP456" i="4"/>
  <c r="AP427" i="4"/>
  <c r="BD414" i="4"/>
  <c r="EV10" i="86" s="1"/>
  <c r="P414" i="4"/>
  <c r="L414" i="4"/>
  <c r="BD400" i="4"/>
  <c r="L400" i="4"/>
  <c r="P400" i="4"/>
  <c r="BD436" i="4"/>
  <c r="P436" i="4"/>
  <c r="L436" i="4"/>
  <c r="AP433" i="4"/>
  <c r="P441" i="4"/>
  <c r="BD441" i="4"/>
  <c r="FF10" i="86" s="1"/>
  <c r="L441" i="4"/>
  <c r="BD439" i="4"/>
  <c r="P439" i="4"/>
  <c r="L439" i="4"/>
  <c r="BD403" i="4"/>
  <c r="L403" i="4"/>
  <c r="P403" i="4"/>
  <c r="BD420" i="4"/>
  <c r="EX10" i="86" s="1"/>
  <c r="P420" i="4"/>
  <c r="L420" i="4"/>
  <c r="BD438" i="4"/>
  <c r="P438" i="4"/>
  <c r="L438" i="4"/>
  <c r="P457" i="4"/>
  <c r="BD457" i="4"/>
  <c r="L457" i="4"/>
  <c r="BD429" i="4"/>
  <c r="P429" i="4"/>
  <c r="L429" i="4"/>
  <c r="BD426" i="4"/>
  <c r="P426" i="4"/>
  <c r="L426" i="4"/>
  <c r="P435" i="4"/>
  <c r="BD435" i="4"/>
  <c r="L435" i="4"/>
  <c r="BD446" i="4"/>
  <c r="FH10" i="86" s="1"/>
  <c r="L446" i="4"/>
  <c r="P446" i="4"/>
  <c r="EO11" i="86"/>
  <c r="BD407" i="4"/>
  <c r="P407" i="4"/>
  <c r="L407" i="4"/>
  <c r="P402" i="4"/>
  <c r="BD402" i="4"/>
  <c r="L402" i="4"/>
  <c r="BD456" i="4"/>
  <c r="P456" i="4"/>
  <c r="L456" i="4"/>
  <c r="L428" i="4"/>
  <c r="P428" i="4"/>
  <c r="BD428" i="4"/>
  <c r="BD474" i="4"/>
  <c r="L474" i="4"/>
  <c r="AO474" i="4" s="1"/>
  <c r="BD453" i="4"/>
  <c r="P453" i="4"/>
  <c r="L453" i="4"/>
  <c r="BD410" i="4"/>
  <c r="L410" i="4"/>
  <c r="P410" i="4"/>
  <c r="AO396" i="4"/>
  <c r="EP13" i="86"/>
  <c r="EP14" i="86" s="1"/>
  <c r="EP8" i="86"/>
  <c r="BD432" i="4"/>
  <c r="P432" i="4"/>
  <c r="L432" i="4"/>
  <c r="BD444" i="4"/>
  <c r="P444" i="4"/>
  <c r="L444" i="4"/>
  <c r="P443" i="4"/>
  <c r="L443" i="4"/>
  <c r="BD443" i="4"/>
  <c r="BD464" i="4"/>
  <c r="L464" i="4"/>
  <c r="P464" i="4"/>
  <c r="BD421" i="4"/>
  <c r="P421" i="4"/>
  <c r="L421" i="4"/>
  <c r="AP397" i="4"/>
  <c r="AO397" i="4"/>
  <c r="AO395" i="4"/>
  <c r="AO392" i="4"/>
  <c r="EB6" i="86"/>
  <c r="EA6" i="86"/>
  <c r="DZ6" i="86"/>
  <c r="DY6" i="86"/>
  <c r="I153" i="82"/>
  <c r="M153" i="82"/>
  <c r="AE150" i="82"/>
  <c r="AG150" i="82" s="1"/>
  <c r="Q150" i="82"/>
  <c r="M150" i="82"/>
  <c r="J150" i="82"/>
  <c r="K150" i="82" s="1"/>
  <c r="L150" i="82" s="1"/>
  <c r="M151" i="82"/>
  <c r="I152" i="82"/>
  <c r="DX6" i="86"/>
  <c r="AQ337" i="4"/>
  <c r="DW6" i="86"/>
  <c r="DU6" i="86"/>
  <c r="AE146" i="82"/>
  <c r="AE147" i="82"/>
  <c r="AE148" i="82"/>
  <c r="AE149" i="82"/>
  <c r="AE151" i="82"/>
  <c r="AE152" i="82"/>
  <c r="AE153" i="82"/>
  <c r="AE154" i="82"/>
  <c r="AE155" i="82"/>
  <c r="AE156" i="82"/>
  <c r="AE157" i="82"/>
  <c r="AE158" i="82"/>
  <c r="AE159" i="82"/>
  <c r="AE160" i="82"/>
  <c r="AE161" i="82"/>
  <c r="AE162" i="82"/>
  <c r="AE163" i="82"/>
  <c r="AE164" i="82"/>
  <c r="AE165" i="82"/>
  <c r="AE166" i="82"/>
  <c r="AE167" i="82"/>
  <c r="AE168" i="82"/>
  <c r="AE169" i="82"/>
  <c r="AE170" i="82"/>
  <c r="AE171" i="82"/>
  <c r="AE172" i="82"/>
  <c r="AE173" i="82"/>
  <c r="AE174" i="82"/>
  <c r="AE175" i="82"/>
  <c r="AE176" i="82"/>
  <c r="AE177" i="82"/>
  <c r="AE178" i="82"/>
  <c r="AE179" i="82"/>
  <c r="AE180" i="82"/>
  <c r="AE181" i="82"/>
  <c r="AE182" i="82"/>
  <c r="AE183" i="82"/>
  <c r="AE184" i="82"/>
  <c r="AE185" i="82"/>
  <c r="AE186" i="82"/>
  <c r="AE187" i="82"/>
  <c r="AE188" i="82"/>
  <c r="AE189" i="82"/>
  <c r="AE190" i="82"/>
  <c r="AE191" i="82"/>
  <c r="AE192" i="82"/>
  <c r="AE193" i="82"/>
  <c r="AE194" i="82"/>
  <c r="AE195" i="82"/>
  <c r="AE196" i="82"/>
  <c r="AE197" i="82"/>
  <c r="AE198" i="82"/>
  <c r="AE199" i="82"/>
  <c r="AE200" i="82"/>
  <c r="AE201" i="82"/>
  <c r="AE202" i="82"/>
  <c r="AE203" i="82"/>
  <c r="AE204" i="82"/>
  <c r="AE205" i="82"/>
  <c r="W146" i="82"/>
  <c r="M146" i="82"/>
  <c r="M337" i="4"/>
  <c r="AE145" i="82"/>
  <c r="H16" i="67" l="1"/>
  <c r="H15" i="67"/>
  <c r="FK10" i="86"/>
  <c r="H17" i="67"/>
  <c r="FL16" i="86"/>
  <c r="FL17" i="86" s="1"/>
  <c r="H12" i="67"/>
  <c r="FL12" i="86"/>
  <c r="FO10" i="86"/>
  <c r="FM10" i="86"/>
  <c r="FM15" i="86" s="1"/>
  <c r="FP10" i="86"/>
  <c r="FP12" i="86" s="1"/>
  <c r="FN12" i="86"/>
  <c r="FN16" i="86"/>
  <c r="FN17" i="86" s="1"/>
  <c r="FB10" i="86"/>
  <c r="FB16" i="86" s="1"/>
  <c r="AO473" i="4"/>
  <c r="AO391" i="4"/>
  <c r="AO467" i="4"/>
  <c r="AO466" i="4"/>
  <c r="AO442" i="4"/>
  <c r="AO404" i="4"/>
  <c r="AO401" i="4"/>
  <c r="ES10" i="86"/>
  <c r="ES16" i="86" s="1"/>
  <c r="AO455" i="4"/>
  <c r="EY10" i="86"/>
  <c r="EY16" i="86" s="1"/>
  <c r="EP16" i="86"/>
  <c r="EP17" i="86" s="1"/>
  <c r="AO440" i="4"/>
  <c r="AO430" i="4"/>
  <c r="AO419" i="4"/>
  <c r="FC10" i="86"/>
  <c r="FC12" i="86" s="1"/>
  <c r="FA10" i="86"/>
  <c r="FA15" i="86" s="1"/>
  <c r="AO445" i="4"/>
  <c r="AO451" i="4"/>
  <c r="EU10" i="86"/>
  <c r="EU15" i="86" s="1"/>
  <c r="AO413" i="4"/>
  <c r="AO437" i="4"/>
  <c r="FI15" i="86"/>
  <c r="FI17" i="86" s="1"/>
  <c r="AO400" i="4"/>
  <c r="EV12" i="86"/>
  <c r="EV16" i="86"/>
  <c r="EV15" i="86"/>
  <c r="EX16" i="86"/>
  <c r="EX12" i="86"/>
  <c r="EX15" i="86"/>
  <c r="DV6" i="86"/>
  <c r="G6" i="67"/>
  <c r="FG10" i="86"/>
  <c r="FD10" i="86"/>
  <c r="FF16" i="86"/>
  <c r="FF12" i="86"/>
  <c r="AO448" i="4"/>
  <c r="AO402" i="4"/>
  <c r="AO446" i="4"/>
  <c r="FB12" i="86"/>
  <c r="FE10" i="86"/>
  <c r="FJ10" i="86"/>
  <c r="FJ15" i="86" s="1"/>
  <c r="AO407" i="4"/>
  <c r="EW10" i="86"/>
  <c r="EZ12" i="86"/>
  <c r="EZ16" i="86"/>
  <c r="AO433" i="4"/>
  <c r="FI12" i="86"/>
  <c r="FB15" i="86"/>
  <c r="FF15" i="86"/>
  <c r="EZ15" i="86"/>
  <c r="FK16" i="86"/>
  <c r="FK12" i="86"/>
  <c r="FK15" i="86"/>
  <c r="FH12" i="86"/>
  <c r="FH15" i="86"/>
  <c r="FH16" i="86"/>
  <c r="AO456" i="4"/>
  <c r="EP12" i="86"/>
  <c r="AO435" i="4"/>
  <c r="AO412" i="4"/>
  <c r="ER10" i="86"/>
  <c r="ER15" i="86" s="1"/>
  <c r="EO12" i="86"/>
  <c r="AO429" i="4"/>
  <c r="AO403" i="4"/>
  <c r="AO449" i="4"/>
  <c r="AO444" i="4"/>
  <c r="AO421" i="4"/>
  <c r="AO461" i="4"/>
  <c r="EQ10" i="86"/>
  <c r="AO443" i="4"/>
  <c r="AO415" i="4"/>
  <c r="AO464" i="4"/>
  <c r="AO410" i="4"/>
  <c r="AO417" i="4"/>
  <c r="ET10" i="86"/>
  <c r="AO399" i="4"/>
  <c r="AO438" i="4"/>
  <c r="AO408" i="4"/>
  <c r="AO420" i="4"/>
  <c r="AO439" i="4"/>
  <c r="AO453" i="4"/>
  <c r="AO457" i="4"/>
  <c r="AO436" i="4"/>
  <c r="AO414" i="4"/>
  <c r="AO432" i="4"/>
  <c r="AO411" i="4"/>
  <c r="AO428" i="4"/>
  <c r="AO426" i="4"/>
  <c r="AO441" i="4"/>
  <c r="AO405" i="4"/>
  <c r="EO16" i="86"/>
  <c r="EO17" i="86" s="1"/>
  <c r="P150" i="82"/>
  <c r="R150" i="82"/>
  <c r="AH150" i="82" s="1"/>
  <c r="AI150" i="82" s="1"/>
  <c r="DT6" i="86"/>
  <c r="AE144" i="82"/>
  <c r="DS6" i="86"/>
  <c r="M142" i="82"/>
  <c r="I142" i="82"/>
  <c r="DR6" i="86"/>
  <c r="I324" i="4"/>
  <c r="J324" i="4" s="1"/>
  <c r="BE324" i="4" s="1"/>
  <c r="I325" i="4"/>
  <c r="J325" i="4" s="1"/>
  <c r="K325" i="4" s="1"/>
  <c r="P325" i="4" s="1"/>
  <c r="BA325" i="4"/>
  <c r="BC325" i="4" s="1"/>
  <c r="AS325" i="4"/>
  <c r="AR325" i="4"/>
  <c r="AQ325" i="4"/>
  <c r="AL325" i="4"/>
  <c r="AK325" i="4"/>
  <c r="AM325" i="4" s="1"/>
  <c r="Q325" i="4"/>
  <c r="R325" i="4" s="1"/>
  <c r="AN325" i="4" s="1"/>
  <c r="DQ6" i="86"/>
  <c r="DP6" i="86"/>
  <c r="DO6" i="86"/>
  <c r="DN6" i="86"/>
  <c r="M136" i="82"/>
  <c r="I136" i="82"/>
  <c r="DM6" i="86"/>
  <c r="DL6" i="86"/>
  <c r="E307" i="4"/>
  <c r="BA307" i="4"/>
  <c r="BC307" i="4" s="1"/>
  <c r="BA308" i="4"/>
  <c r="BC308" i="4" s="1"/>
  <c r="BA309" i="4"/>
  <c r="BC309" i="4" s="1"/>
  <c r="BA310" i="4"/>
  <c r="BC310" i="4" s="1"/>
  <c r="BA311" i="4"/>
  <c r="BC311" i="4" s="1"/>
  <c r="BA312" i="4"/>
  <c r="BC312" i="4" s="1"/>
  <c r="BA313" i="4"/>
  <c r="BC313" i="4" s="1"/>
  <c r="BA314" i="4"/>
  <c r="BC314" i="4" s="1"/>
  <c r="BA315" i="4"/>
  <c r="BC315" i="4" s="1"/>
  <c r="BA316" i="4"/>
  <c r="BC316" i="4" s="1"/>
  <c r="BA317" i="4"/>
  <c r="BC317" i="4" s="1"/>
  <c r="BA318" i="4"/>
  <c r="BC318" i="4" s="1"/>
  <c r="BA319" i="4"/>
  <c r="BC319" i="4" s="1"/>
  <c r="BA320" i="4"/>
  <c r="BC320" i="4" s="1"/>
  <c r="BA321" i="4"/>
  <c r="BC321" i="4" s="1"/>
  <c r="BA322" i="4"/>
  <c r="BC322" i="4" s="1"/>
  <c r="BA323" i="4"/>
  <c r="BC323" i="4" s="1"/>
  <c r="BA324" i="4"/>
  <c r="BC324" i="4" s="1"/>
  <c r="BA326" i="4"/>
  <c r="BC326" i="4" s="1"/>
  <c r="BA327" i="4"/>
  <c r="BC327" i="4" s="1"/>
  <c r="BA328" i="4"/>
  <c r="BC328" i="4" s="1"/>
  <c r="BA329" i="4"/>
  <c r="BC329" i="4" s="1"/>
  <c r="BA330" i="4"/>
  <c r="BC330" i="4" s="1"/>
  <c r="BA331" i="4"/>
  <c r="BC331" i="4" s="1"/>
  <c r="BA332" i="4"/>
  <c r="BC332" i="4" s="1"/>
  <c r="BA333" i="4"/>
  <c r="BC333" i="4" s="1"/>
  <c r="BA334" i="4"/>
  <c r="BC334" i="4" s="1"/>
  <c r="BA335" i="4"/>
  <c r="BC335" i="4" s="1"/>
  <c r="BA336" i="4"/>
  <c r="BC336" i="4" s="1"/>
  <c r="BA337" i="4"/>
  <c r="BC337" i="4" s="1"/>
  <c r="BA338" i="4"/>
  <c r="BC338" i="4" s="1"/>
  <c r="BA339" i="4"/>
  <c r="BC339" i="4" s="1"/>
  <c r="BA340" i="4"/>
  <c r="BC340" i="4" s="1"/>
  <c r="BA341" i="4"/>
  <c r="BC341" i="4" s="1"/>
  <c r="BA342" i="4"/>
  <c r="BC342" i="4" s="1"/>
  <c r="BA343" i="4"/>
  <c r="BC343" i="4" s="1"/>
  <c r="BA344" i="4"/>
  <c r="BC344" i="4" s="1"/>
  <c r="BA345" i="4"/>
  <c r="BC345" i="4" s="1"/>
  <c r="BA346" i="4"/>
  <c r="BC346" i="4" s="1"/>
  <c r="BA347" i="4"/>
  <c r="BC347" i="4" s="1"/>
  <c r="BA348" i="4"/>
  <c r="BC348" i="4" s="1"/>
  <c r="BA349" i="4"/>
  <c r="BC349" i="4" s="1"/>
  <c r="BA350" i="4"/>
  <c r="BC350" i="4" s="1"/>
  <c r="BA351" i="4"/>
  <c r="BC351" i="4" s="1"/>
  <c r="BA352" i="4"/>
  <c r="BC352" i="4" s="1"/>
  <c r="BA353" i="4"/>
  <c r="BC353" i="4" s="1"/>
  <c r="BA354" i="4"/>
  <c r="BC354" i="4" s="1"/>
  <c r="BA355" i="4"/>
  <c r="BC355" i="4" s="1"/>
  <c r="BA356" i="4"/>
  <c r="BC356" i="4" s="1"/>
  <c r="BA357" i="4"/>
  <c r="BC357" i="4" s="1"/>
  <c r="BA358" i="4"/>
  <c r="BC358" i="4" s="1"/>
  <c r="BA359" i="4"/>
  <c r="BC359" i="4" s="1"/>
  <c r="BA360" i="4"/>
  <c r="BC360" i="4" s="1"/>
  <c r="BA361" i="4"/>
  <c r="BC361" i="4" s="1"/>
  <c r="BA362" i="4"/>
  <c r="BC362" i="4" s="1"/>
  <c r="BA363" i="4"/>
  <c r="BC363" i="4" s="1"/>
  <c r="BA364" i="4"/>
  <c r="BC364" i="4" s="1"/>
  <c r="BA365" i="4"/>
  <c r="BC365" i="4" s="1"/>
  <c r="BA366" i="4"/>
  <c r="BC366" i="4" s="1"/>
  <c r="BA367" i="4"/>
  <c r="BC367" i="4" s="1"/>
  <c r="BA368" i="4"/>
  <c r="BC368" i="4" s="1"/>
  <c r="BA369" i="4"/>
  <c r="BC369" i="4" s="1"/>
  <c r="BA370" i="4"/>
  <c r="BC370" i="4" s="1"/>
  <c r="BA371" i="4"/>
  <c r="BC371" i="4" s="1"/>
  <c r="BA372" i="4"/>
  <c r="BC372" i="4" s="1"/>
  <c r="BA373" i="4"/>
  <c r="BC373" i="4" s="1"/>
  <c r="BA374" i="4"/>
  <c r="BC374" i="4" s="1"/>
  <c r="BA375" i="4"/>
  <c r="BC375" i="4" s="1"/>
  <c r="BA376" i="4"/>
  <c r="BC376" i="4" s="1"/>
  <c r="BA377" i="4"/>
  <c r="BC377" i="4" s="1"/>
  <c r="BA378" i="4"/>
  <c r="BC378" i="4" s="1"/>
  <c r="BA379" i="4"/>
  <c r="BC379" i="4" s="1"/>
  <c r="BA380" i="4"/>
  <c r="BC380" i="4" s="1"/>
  <c r="BA381" i="4"/>
  <c r="BC381" i="4" s="1"/>
  <c r="BA382" i="4"/>
  <c r="BC382" i="4" s="1"/>
  <c r="BA383" i="4"/>
  <c r="BC383" i="4" s="1"/>
  <c r="BA384" i="4"/>
  <c r="BC384" i="4" s="1"/>
  <c r="BA385" i="4"/>
  <c r="BC385" i="4" s="1"/>
  <c r="BA386" i="4"/>
  <c r="BC386" i="4" s="1"/>
  <c r="BA387" i="4"/>
  <c r="BC387" i="4" s="1"/>
  <c r="BA388" i="4"/>
  <c r="BC388" i="4" s="1"/>
  <c r="BA389" i="4"/>
  <c r="BC389" i="4" s="1"/>
  <c r="BA390" i="4"/>
  <c r="BC390" i="4" s="1"/>
  <c r="EN9" i="86" s="1"/>
  <c r="AK307" i="4"/>
  <c r="AM307" i="4" s="1"/>
  <c r="AL307" i="4"/>
  <c r="AQ307" i="4"/>
  <c r="AR307" i="4"/>
  <c r="AS307" i="4"/>
  <c r="AK308" i="4"/>
  <c r="AM308" i="4" s="1"/>
  <c r="AL308" i="4"/>
  <c r="AQ308" i="4"/>
  <c r="AR308" i="4"/>
  <c r="AS308" i="4"/>
  <c r="AK309" i="4"/>
  <c r="AM309" i="4" s="1"/>
  <c r="AL309" i="4"/>
  <c r="AQ309" i="4"/>
  <c r="AR309" i="4"/>
  <c r="AS309" i="4"/>
  <c r="AK310" i="4"/>
  <c r="AM310" i="4" s="1"/>
  <c r="AL310" i="4"/>
  <c r="AQ310" i="4"/>
  <c r="AR310" i="4"/>
  <c r="AS310" i="4"/>
  <c r="AK311" i="4"/>
  <c r="AM311" i="4" s="1"/>
  <c r="AL311" i="4"/>
  <c r="AQ311" i="4"/>
  <c r="AR311" i="4"/>
  <c r="AS311" i="4"/>
  <c r="AK312" i="4"/>
  <c r="AM312" i="4" s="1"/>
  <c r="AL312" i="4"/>
  <c r="AQ312" i="4"/>
  <c r="AR312" i="4"/>
  <c r="AS312" i="4"/>
  <c r="AK313" i="4"/>
  <c r="AM313" i="4" s="1"/>
  <c r="AL313" i="4"/>
  <c r="AQ313" i="4"/>
  <c r="AR313" i="4"/>
  <c r="AS313" i="4"/>
  <c r="AK314" i="4"/>
  <c r="AM314" i="4" s="1"/>
  <c r="AL314" i="4"/>
  <c r="AQ314" i="4"/>
  <c r="AR314" i="4"/>
  <c r="AS314" i="4"/>
  <c r="AK315" i="4"/>
  <c r="AM315" i="4" s="1"/>
  <c r="AL315" i="4"/>
  <c r="AQ315" i="4"/>
  <c r="AR315" i="4"/>
  <c r="AS315" i="4"/>
  <c r="AK316" i="4"/>
  <c r="AM316" i="4" s="1"/>
  <c r="AL316" i="4"/>
  <c r="AQ316" i="4"/>
  <c r="AR316" i="4"/>
  <c r="AS316" i="4"/>
  <c r="AK317" i="4"/>
  <c r="AM317" i="4" s="1"/>
  <c r="AL317" i="4"/>
  <c r="AQ317" i="4"/>
  <c r="AR317" i="4"/>
  <c r="AS317" i="4"/>
  <c r="AK318" i="4"/>
  <c r="AM318" i="4" s="1"/>
  <c r="AL318" i="4"/>
  <c r="AQ318" i="4"/>
  <c r="AR318" i="4"/>
  <c r="AS318" i="4"/>
  <c r="AK319" i="4"/>
  <c r="AM319" i="4" s="1"/>
  <c r="AL319" i="4"/>
  <c r="AQ319" i="4"/>
  <c r="AR319" i="4"/>
  <c r="AS319" i="4"/>
  <c r="AK320" i="4"/>
  <c r="AM320" i="4" s="1"/>
  <c r="AL320" i="4"/>
  <c r="AQ320" i="4"/>
  <c r="AR320" i="4"/>
  <c r="AS320" i="4"/>
  <c r="AK321" i="4"/>
  <c r="AM321" i="4" s="1"/>
  <c r="AL321" i="4"/>
  <c r="AQ321" i="4"/>
  <c r="AR321" i="4"/>
  <c r="AS321" i="4"/>
  <c r="AK322" i="4"/>
  <c r="AL322" i="4"/>
  <c r="AQ322" i="4"/>
  <c r="AR322" i="4"/>
  <c r="AS322" i="4"/>
  <c r="AK323" i="4"/>
  <c r="AM323" i="4" s="1"/>
  <c r="AL323" i="4"/>
  <c r="AQ323" i="4"/>
  <c r="AR323" i="4"/>
  <c r="AS323" i="4"/>
  <c r="AK324" i="4"/>
  <c r="AL324" i="4"/>
  <c r="AQ324" i="4"/>
  <c r="AR324" i="4"/>
  <c r="AS324" i="4"/>
  <c r="AK326" i="4"/>
  <c r="AM326" i="4" s="1"/>
  <c r="AL326" i="4"/>
  <c r="AQ326" i="4"/>
  <c r="AR326" i="4"/>
  <c r="AS326" i="4"/>
  <c r="AK327" i="4"/>
  <c r="AM327" i="4" s="1"/>
  <c r="AL327" i="4"/>
  <c r="AQ327" i="4"/>
  <c r="AR327" i="4"/>
  <c r="AS327" i="4"/>
  <c r="AK328" i="4"/>
  <c r="AM328" i="4" s="1"/>
  <c r="AL328" i="4"/>
  <c r="AQ328" i="4"/>
  <c r="AR328" i="4"/>
  <c r="AS328" i="4"/>
  <c r="AK329" i="4"/>
  <c r="AM329" i="4" s="1"/>
  <c r="AL329" i="4"/>
  <c r="AQ329" i="4"/>
  <c r="AR329" i="4"/>
  <c r="AS329" i="4"/>
  <c r="AK330" i="4"/>
  <c r="AM330" i="4" s="1"/>
  <c r="AL330" i="4"/>
  <c r="AQ330" i="4"/>
  <c r="AR330" i="4"/>
  <c r="AS330" i="4"/>
  <c r="AK331" i="4"/>
  <c r="AM331" i="4" s="1"/>
  <c r="AL331" i="4"/>
  <c r="AQ331" i="4"/>
  <c r="AR331" i="4"/>
  <c r="AS331" i="4"/>
  <c r="AK332" i="4"/>
  <c r="AM332" i="4" s="1"/>
  <c r="AL332" i="4"/>
  <c r="AQ332" i="4"/>
  <c r="AR332" i="4"/>
  <c r="AS332" i="4"/>
  <c r="AK333" i="4"/>
  <c r="AM333" i="4" s="1"/>
  <c r="AL333" i="4"/>
  <c r="AQ333" i="4"/>
  <c r="AR333" i="4"/>
  <c r="AS333" i="4"/>
  <c r="AK334" i="4"/>
  <c r="AL334" i="4"/>
  <c r="AQ334" i="4"/>
  <c r="AR334" i="4"/>
  <c r="AS334" i="4"/>
  <c r="AK335" i="4"/>
  <c r="AM335" i="4" s="1"/>
  <c r="AL335" i="4"/>
  <c r="AQ335" i="4"/>
  <c r="AR335" i="4"/>
  <c r="AS335" i="4"/>
  <c r="AK336" i="4"/>
  <c r="AM336" i="4" s="1"/>
  <c r="AL336" i="4"/>
  <c r="AQ336" i="4"/>
  <c r="AR336" i="4"/>
  <c r="AS336" i="4"/>
  <c r="AK337" i="4"/>
  <c r="AL337" i="4"/>
  <c r="AR337" i="4"/>
  <c r="AS337" i="4"/>
  <c r="AK338" i="4"/>
  <c r="AM338" i="4" s="1"/>
  <c r="AL338" i="4"/>
  <c r="AQ338" i="4"/>
  <c r="AR338" i="4"/>
  <c r="AS338" i="4"/>
  <c r="AK339" i="4"/>
  <c r="AM339" i="4" s="1"/>
  <c r="AL339" i="4"/>
  <c r="AQ339" i="4"/>
  <c r="AR339" i="4"/>
  <c r="AS339" i="4"/>
  <c r="AK340" i="4"/>
  <c r="AL340" i="4"/>
  <c r="AQ340" i="4"/>
  <c r="AR340" i="4"/>
  <c r="AS340" i="4"/>
  <c r="AK341" i="4"/>
  <c r="AM341" i="4" s="1"/>
  <c r="AL341" i="4"/>
  <c r="AQ341" i="4"/>
  <c r="AR341" i="4"/>
  <c r="AS341" i="4"/>
  <c r="AK342" i="4"/>
  <c r="AL342" i="4"/>
  <c r="AQ342" i="4"/>
  <c r="AR342" i="4"/>
  <c r="AS342" i="4"/>
  <c r="AK343" i="4"/>
  <c r="AM343" i="4" s="1"/>
  <c r="AL343" i="4"/>
  <c r="AQ343" i="4"/>
  <c r="AR343" i="4"/>
  <c r="AS343" i="4"/>
  <c r="AK344" i="4"/>
  <c r="AM344" i="4" s="1"/>
  <c r="AL344" i="4"/>
  <c r="AQ344" i="4"/>
  <c r="AR344" i="4"/>
  <c r="AS344" i="4"/>
  <c r="AK345" i="4"/>
  <c r="AL345" i="4"/>
  <c r="AQ345" i="4"/>
  <c r="AR345" i="4"/>
  <c r="AS345" i="4"/>
  <c r="AK346" i="4"/>
  <c r="AM346" i="4" s="1"/>
  <c r="AL346" i="4"/>
  <c r="AQ346" i="4"/>
  <c r="AR346" i="4"/>
  <c r="AS346" i="4"/>
  <c r="AK347" i="4"/>
  <c r="AM347" i="4" s="1"/>
  <c r="AL347" i="4"/>
  <c r="AQ347" i="4"/>
  <c r="AR347" i="4"/>
  <c r="AS347" i="4"/>
  <c r="AK348" i="4"/>
  <c r="AL348" i="4"/>
  <c r="AQ348" i="4"/>
  <c r="AR348" i="4"/>
  <c r="AS348" i="4"/>
  <c r="AK349" i="4"/>
  <c r="AM349" i="4" s="1"/>
  <c r="AL349" i="4"/>
  <c r="AQ349" i="4"/>
  <c r="AR349" i="4"/>
  <c r="AS349" i="4"/>
  <c r="AK350" i="4"/>
  <c r="AM350" i="4" s="1"/>
  <c r="AL350" i="4"/>
  <c r="AQ350" i="4"/>
  <c r="AR350" i="4"/>
  <c r="AS350" i="4"/>
  <c r="AK351" i="4"/>
  <c r="AL351" i="4"/>
  <c r="AQ351" i="4"/>
  <c r="AR351" i="4"/>
  <c r="AS351" i="4"/>
  <c r="AK352" i="4"/>
  <c r="AM352" i="4" s="1"/>
  <c r="AL352" i="4"/>
  <c r="AQ352" i="4"/>
  <c r="AR352" i="4"/>
  <c r="AS352" i="4"/>
  <c r="AK353" i="4"/>
  <c r="AM353" i="4" s="1"/>
  <c r="AL353" i="4"/>
  <c r="AQ353" i="4"/>
  <c r="AR353" i="4"/>
  <c r="AS353" i="4"/>
  <c r="AK354" i="4"/>
  <c r="AL354" i="4"/>
  <c r="AQ354" i="4"/>
  <c r="AR354" i="4"/>
  <c r="AS354" i="4"/>
  <c r="AK355" i="4"/>
  <c r="AM355" i="4" s="1"/>
  <c r="AL355" i="4"/>
  <c r="AQ355" i="4"/>
  <c r="AR355" i="4"/>
  <c r="AS355" i="4"/>
  <c r="AK356" i="4"/>
  <c r="AL356" i="4"/>
  <c r="AQ356" i="4"/>
  <c r="AR356" i="4"/>
  <c r="AS356" i="4"/>
  <c r="AK357" i="4"/>
  <c r="AM357" i="4" s="1"/>
  <c r="AL357" i="4"/>
  <c r="AQ357" i="4"/>
  <c r="AR357" i="4"/>
  <c r="AS357" i="4"/>
  <c r="AK358" i="4"/>
  <c r="AM358" i="4" s="1"/>
  <c r="AL358" i="4"/>
  <c r="AQ358" i="4"/>
  <c r="AR358" i="4"/>
  <c r="AS358" i="4"/>
  <c r="AK359" i="4"/>
  <c r="AL359" i="4"/>
  <c r="AQ359" i="4"/>
  <c r="AR359" i="4"/>
  <c r="AS359" i="4"/>
  <c r="AK360" i="4"/>
  <c r="AM360" i="4" s="1"/>
  <c r="AL360" i="4"/>
  <c r="AQ360" i="4"/>
  <c r="AR360" i="4"/>
  <c r="AS360" i="4"/>
  <c r="AK361" i="4"/>
  <c r="AM361" i="4" s="1"/>
  <c r="AL361" i="4"/>
  <c r="AQ361" i="4"/>
  <c r="AR361" i="4"/>
  <c r="AS361" i="4"/>
  <c r="AK362" i="4"/>
  <c r="AL362" i="4"/>
  <c r="AQ362" i="4"/>
  <c r="AR362" i="4"/>
  <c r="AS362" i="4"/>
  <c r="AK363" i="4"/>
  <c r="AM363" i="4" s="1"/>
  <c r="AL363" i="4"/>
  <c r="AQ363" i="4"/>
  <c r="AR363" i="4"/>
  <c r="AS363" i="4"/>
  <c r="AK364" i="4"/>
  <c r="AM364" i="4" s="1"/>
  <c r="AL364" i="4"/>
  <c r="AQ364" i="4"/>
  <c r="AR364" i="4"/>
  <c r="AS364" i="4"/>
  <c r="AK365" i="4"/>
  <c r="AL365" i="4"/>
  <c r="AQ365" i="4"/>
  <c r="AR365" i="4"/>
  <c r="AS365" i="4"/>
  <c r="AK366" i="4"/>
  <c r="AM366" i="4" s="1"/>
  <c r="AL366" i="4"/>
  <c r="AQ366" i="4"/>
  <c r="AR366" i="4"/>
  <c r="AS366" i="4"/>
  <c r="AK367" i="4"/>
  <c r="AM367" i="4" s="1"/>
  <c r="AL367" i="4"/>
  <c r="AQ367" i="4"/>
  <c r="AR367" i="4"/>
  <c r="AS367" i="4"/>
  <c r="AK368" i="4"/>
  <c r="AM368" i="4" s="1"/>
  <c r="AL368" i="4"/>
  <c r="AQ368" i="4"/>
  <c r="AR368" i="4"/>
  <c r="AS368" i="4"/>
  <c r="AK369" i="4"/>
  <c r="AM369" i="4" s="1"/>
  <c r="AL369" i="4"/>
  <c r="AQ369" i="4"/>
  <c r="AR369" i="4"/>
  <c r="AS369" i="4"/>
  <c r="AK370" i="4"/>
  <c r="AL370" i="4"/>
  <c r="AQ370" i="4"/>
  <c r="AR370" i="4"/>
  <c r="AS370" i="4"/>
  <c r="AK371" i="4"/>
  <c r="AM371" i="4" s="1"/>
  <c r="AL371" i="4"/>
  <c r="AQ371" i="4"/>
  <c r="AR371" i="4"/>
  <c r="AS371" i="4"/>
  <c r="AK372" i="4"/>
  <c r="AM372" i="4" s="1"/>
  <c r="AL372" i="4"/>
  <c r="AQ372" i="4"/>
  <c r="AR372" i="4"/>
  <c r="AS372" i="4"/>
  <c r="AK373" i="4"/>
  <c r="AL373" i="4"/>
  <c r="AQ373" i="4"/>
  <c r="AR373" i="4"/>
  <c r="AS373" i="4"/>
  <c r="AK374" i="4"/>
  <c r="AM374" i="4" s="1"/>
  <c r="AL374" i="4"/>
  <c r="AQ374" i="4"/>
  <c r="AR374" i="4"/>
  <c r="AS374" i="4"/>
  <c r="AK375" i="4"/>
  <c r="AL375" i="4"/>
  <c r="AQ375" i="4"/>
  <c r="AR375" i="4"/>
  <c r="AS375" i="4"/>
  <c r="AK376" i="4"/>
  <c r="AM376" i="4" s="1"/>
  <c r="AL376" i="4"/>
  <c r="AQ376" i="4"/>
  <c r="AR376" i="4"/>
  <c r="AS376" i="4"/>
  <c r="AK377" i="4"/>
  <c r="AM377" i="4" s="1"/>
  <c r="AL377" i="4"/>
  <c r="AQ377" i="4"/>
  <c r="AR377" i="4"/>
  <c r="AS377" i="4"/>
  <c r="AK378" i="4"/>
  <c r="AL378" i="4"/>
  <c r="AQ378" i="4"/>
  <c r="AR378" i="4"/>
  <c r="AS378" i="4"/>
  <c r="AK379" i="4"/>
  <c r="AM379" i="4" s="1"/>
  <c r="AL379" i="4"/>
  <c r="AQ379" i="4"/>
  <c r="AR379" i="4"/>
  <c r="AS379" i="4"/>
  <c r="AK380" i="4"/>
  <c r="AM380" i="4" s="1"/>
  <c r="AL380" i="4"/>
  <c r="AQ380" i="4"/>
  <c r="AR380" i="4"/>
  <c r="AS380" i="4"/>
  <c r="AK381" i="4"/>
  <c r="AL381" i="4"/>
  <c r="AQ381" i="4"/>
  <c r="AR381" i="4"/>
  <c r="AS381" i="4"/>
  <c r="AK382" i="4"/>
  <c r="AM382" i="4" s="1"/>
  <c r="AL382" i="4"/>
  <c r="AQ382" i="4"/>
  <c r="AR382" i="4"/>
  <c r="AS382" i="4"/>
  <c r="AK383" i="4"/>
  <c r="AM383" i="4" s="1"/>
  <c r="AL383" i="4"/>
  <c r="AQ383" i="4"/>
  <c r="AR383" i="4"/>
  <c r="AS383" i="4"/>
  <c r="AK384" i="4"/>
  <c r="AL384" i="4"/>
  <c r="AQ384" i="4"/>
  <c r="AR384" i="4"/>
  <c r="AS384" i="4"/>
  <c r="AK385" i="4"/>
  <c r="AM385" i="4" s="1"/>
  <c r="AL385" i="4"/>
  <c r="AQ385" i="4"/>
  <c r="AR385" i="4"/>
  <c r="AS385" i="4"/>
  <c r="AK386" i="4"/>
  <c r="AM386" i="4" s="1"/>
  <c r="AL386" i="4"/>
  <c r="AQ386" i="4"/>
  <c r="AR386" i="4"/>
  <c r="AS386" i="4"/>
  <c r="AK387" i="4"/>
  <c r="AL387" i="4"/>
  <c r="AQ387" i="4"/>
  <c r="AR387" i="4"/>
  <c r="AS387" i="4"/>
  <c r="AK388" i="4"/>
  <c r="AM388" i="4" s="1"/>
  <c r="AL388" i="4"/>
  <c r="AQ388" i="4"/>
  <c r="AR388" i="4"/>
  <c r="AS388" i="4"/>
  <c r="AK389" i="4"/>
  <c r="AM389" i="4" s="1"/>
  <c r="AL389" i="4"/>
  <c r="AQ389" i="4"/>
  <c r="AR389" i="4"/>
  <c r="AS389" i="4"/>
  <c r="AK390" i="4"/>
  <c r="AL390" i="4"/>
  <c r="AQ390" i="4"/>
  <c r="AR390" i="4"/>
  <c r="AS390" i="4"/>
  <c r="AK554" i="4"/>
  <c r="AM554" i="4" s="1"/>
  <c r="AL554" i="4"/>
  <c r="Q307" i="4"/>
  <c r="R307" i="4" s="1"/>
  <c r="Q308" i="4"/>
  <c r="R308" i="4" s="1"/>
  <c r="Q309" i="4"/>
  <c r="R309" i="4" s="1"/>
  <c r="AN309" i="4" s="1"/>
  <c r="Q310" i="4"/>
  <c r="R310" i="4" s="1"/>
  <c r="Q311" i="4"/>
  <c r="Q312" i="4"/>
  <c r="R312" i="4" s="1"/>
  <c r="Q313" i="4"/>
  <c r="R313" i="4" s="1"/>
  <c r="Q314" i="4"/>
  <c r="Q315" i="4"/>
  <c r="Q316" i="4"/>
  <c r="R316" i="4" s="1"/>
  <c r="AN316" i="4" s="1"/>
  <c r="Q317" i="4"/>
  <c r="R317" i="4" s="1"/>
  <c r="Q318" i="4"/>
  <c r="R318" i="4" s="1"/>
  <c r="Q319" i="4"/>
  <c r="Q320" i="4"/>
  <c r="R320" i="4" s="1"/>
  <c r="Q321" i="4"/>
  <c r="Q322" i="4"/>
  <c r="R322" i="4" s="1"/>
  <c r="Q323" i="4"/>
  <c r="R323" i="4" s="1"/>
  <c r="Q324" i="4"/>
  <c r="Q326" i="4"/>
  <c r="R326" i="4" s="1"/>
  <c r="Q327" i="4"/>
  <c r="Q328" i="4"/>
  <c r="Q329" i="4"/>
  <c r="R329" i="4" s="1"/>
  <c r="Q330" i="4"/>
  <c r="R330" i="4" s="1"/>
  <c r="Q331" i="4"/>
  <c r="Q332" i="4"/>
  <c r="R332" i="4" s="1"/>
  <c r="Q333" i="4"/>
  <c r="Q334" i="4"/>
  <c r="Q335" i="4"/>
  <c r="R335" i="4" s="1"/>
  <c r="Q336" i="4"/>
  <c r="R336" i="4" s="1"/>
  <c r="AN336" i="4" s="1"/>
  <c r="Q337" i="4"/>
  <c r="R337" i="4" s="1"/>
  <c r="Q338" i="4"/>
  <c r="R338" i="4" s="1"/>
  <c r="Q339" i="4"/>
  <c r="R339" i="4" s="1"/>
  <c r="Q340" i="4"/>
  <c r="Q341" i="4"/>
  <c r="R341" i="4" s="1"/>
  <c r="Q342" i="4"/>
  <c r="R342" i="4" s="1"/>
  <c r="Q343" i="4"/>
  <c r="R343" i="4" s="1"/>
  <c r="AN343" i="4" s="1"/>
  <c r="Q344" i="4"/>
  <c r="R344" i="4" s="1"/>
  <c r="Q345" i="4"/>
  <c r="Q346" i="4"/>
  <c r="Q347" i="4"/>
  <c r="R347" i="4" s="1"/>
  <c r="Q348" i="4"/>
  <c r="R348" i="4" s="1"/>
  <c r="Q349" i="4"/>
  <c r="Q350" i="4"/>
  <c r="Q351" i="4"/>
  <c r="R351" i="4" s="1"/>
  <c r="Q352" i="4"/>
  <c r="Q353" i="4"/>
  <c r="Q354" i="4"/>
  <c r="Q355" i="4"/>
  <c r="Q356" i="4"/>
  <c r="R356" i="4" s="1"/>
  <c r="Q357" i="4"/>
  <c r="Q358" i="4"/>
  <c r="Q359" i="4"/>
  <c r="R359" i="4" s="1"/>
  <c r="Q360" i="4"/>
  <c r="R360" i="4" s="1"/>
  <c r="Q361" i="4"/>
  <c r="R361" i="4" s="1"/>
  <c r="Q362" i="4"/>
  <c r="R362" i="4" s="1"/>
  <c r="Q363" i="4"/>
  <c r="R363" i="4" s="1"/>
  <c r="Q364" i="4"/>
  <c r="Q365" i="4"/>
  <c r="R365" i="4" s="1"/>
  <c r="Q366" i="4"/>
  <c r="Q367" i="4"/>
  <c r="R367" i="4" s="1"/>
  <c r="Q368" i="4"/>
  <c r="Q369" i="4"/>
  <c r="Q370" i="4"/>
  <c r="R370" i="4" s="1"/>
  <c r="Q371" i="4"/>
  <c r="R371" i="4" s="1"/>
  <c r="Q372" i="4"/>
  <c r="R372" i="4" s="1"/>
  <c r="Q373" i="4"/>
  <c r="R373" i="4" s="1"/>
  <c r="AN373" i="4" s="1"/>
  <c r="Q374" i="4"/>
  <c r="Q375" i="4"/>
  <c r="Q376" i="4"/>
  <c r="Q377" i="4"/>
  <c r="R377" i="4" s="1"/>
  <c r="Q378" i="4"/>
  <c r="R378" i="4" s="1"/>
  <c r="Q379" i="4"/>
  <c r="Q380" i="4"/>
  <c r="Q381" i="4"/>
  <c r="Q382" i="4"/>
  <c r="R382" i="4" s="1"/>
  <c r="Q383" i="4"/>
  <c r="R383" i="4" s="1"/>
  <c r="AN383" i="4" s="1"/>
  <c r="Q384" i="4"/>
  <c r="Q385" i="4"/>
  <c r="Q386" i="4"/>
  <c r="Q387" i="4"/>
  <c r="J307" i="4"/>
  <c r="BE307" i="4" s="1"/>
  <c r="J308" i="4"/>
  <c r="K308" i="4" s="1"/>
  <c r="J309" i="4"/>
  <c r="K309" i="4" s="1"/>
  <c r="J310" i="4"/>
  <c r="J311" i="4"/>
  <c r="BE311" i="4" s="1"/>
  <c r="J312" i="4"/>
  <c r="BE312" i="4" s="1"/>
  <c r="J313" i="4"/>
  <c r="BE313" i="4" s="1"/>
  <c r="J314" i="4"/>
  <c r="BE314" i="4" s="1"/>
  <c r="J315" i="4"/>
  <c r="K315" i="4" s="1"/>
  <c r="J316" i="4"/>
  <c r="BE316" i="4" s="1"/>
  <c r="J317" i="4"/>
  <c r="BE317" i="4" s="1"/>
  <c r="J318" i="4"/>
  <c r="K318" i="4" s="1"/>
  <c r="J319" i="4"/>
  <c r="K319" i="4" s="1"/>
  <c r="L319" i="4" s="1"/>
  <c r="J320" i="4"/>
  <c r="BE320" i="4" s="1"/>
  <c r="J321" i="4"/>
  <c r="K321" i="4" s="1"/>
  <c r="J322" i="4"/>
  <c r="J323" i="4"/>
  <c r="BE323" i="4" s="1"/>
  <c r="J326" i="4"/>
  <c r="BE326" i="4" s="1"/>
  <c r="J327" i="4"/>
  <c r="BE327" i="4" s="1"/>
  <c r="J328" i="4"/>
  <c r="BE328" i="4" s="1"/>
  <c r="J329" i="4"/>
  <c r="BE329" i="4" s="1"/>
  <c r="J330" i="4"/>
  <c r="K330" i="4" s="1"/>
  <c r="J331" i="4"/>
  <c r="K331" i="4" s="1"/>
  <c r="J332" i="4"/>
  <c r="BE332" i="4" s="1"/>
  <c r="J333" i="4"/>
  <c r="BE333" i="4" s="1"/>
  <c r="J334" i="4"/>
  <c r="BE334" i="4" s="1"/>
  <c r="J335" i="4"/>
  <c r="BE335" i="4" s="1"/>
  <c r="J336" i="4"/>
  <c r="K336" i="4" s="1"/>
  <c r="J337" i="4"/>
  <c r="K337" i="4" s="1"/>
  <c r="J338" i="4"/>
  <c r="BE338" i="4" s="1"/>
  <c r="J339" i="4"/>
  <c r="BE339" i="4" s="1"/>
  <c r="J340" i="4"/>
  <c r="BE340" i="4" s="1"/>
  <c r="J341" i="4"/>
  <c r="BE341" i="4" s="1"/>
  <c r="J342" i="4"/>
  <c r="BE342" i="4" s="1"/>
  <c r="J343" i="4"/>
  <c r="K343" i="4" s="1"/>
  <c r="J344" i="4"/>
  <c r="BE344" i="4" s="1"/>
  <c r="J345" i="4"/>
  <c r="BE345" i="4" s="1"/>
  <c r="J346" i="4"/>
  <c r="BE346" i="4" s="1"/>
  <c r="J347" i="4"/>
  <c r="BE347" i="4" s="1"/>
  <c r="J348" i="4"/>
  <c r="K348" i="4" s="1"/>
  <c r="P348" i="4" s="1"/>
  <c r="J349" i="4"/>
  <c r="BE349" i="4" s="1"/>
  <c r="J350" i="4"/>
  <c r="BE350" i="4" s="1"/>
  <c r="J351" i="4"/>
  <c r="BE351" i="4" s="1"/>
  <c r="J352" i="4"/>
  <c r="BE352" i="4" s="1"/>
  <c r="J353" i="4"/>
  <c r="BE353" i="4" s="1"/>
  <c r="J354" i="4"/>
  <c r="K354" i="4" s="1"/>
  <c r="J355" i="4"/>
  <c r="K355" i="4" s="1"/>
  <c r="J356" i="4"/>
  <c r="BE356" i="4" s="1"/>
  <c r="J357" i="4"/>
  <c r="BE357" i="4" s="1"/>
  <c r="J358" i="4"/>
  <c r="BE358" i="4" s="1"/>
  <c r="J359" i="4"/>
  <c r="BE359" i="4" s="1"/>
  <c r="J360" i="4"/>
  <c r="BE360" i="4" s="1"/>
  <c r="J361" i="4"/>
  <c r="K361" i="4" s="1"/>
  <c r="J362" i="4"/>
  <c r="BE362" i="4" s="1"/>
  <c r="J363" i="4"/>
  <c r="BE363" i="4" s="1"/>
  <c r="J364" i="4"/>
  <c r="BE364" i="4" s="1"/>
  <c r="J365" i="4"/>
  <c r="BE365" i="4" s="1"/>
  <c r="J366" i="4"/>
  <c r="K366" i="4" s="1"/>
  <c r="J367" i="4"/>
  <c r="BE367" i="4" s="1"/>
  <c r="J368" i="4"/>
  <c r="BE368" i="4" s="1"/>
  <c r="J369" i="4"/>
  <c r="BE369" i="4" s="1"/>
  <c r="J370" i="4"/>
  <c r="BE370" i="4" s="1"/>
  <c r="J371" i="4"/>
  <c r="BE371" i="4" s="1"/>
  <c r="J372" i="4"/>
  <c r="K372" i="4" s="1"/>
  <c r="P372" i="4" s="1"/>
  <c r="J373" i="4"/>
  <c r="K373" i="4" s="1"/>
  <c r="J374" i="4"/>
  <c r="BE374" i="4" s="1"/>
  <c r="J375" i="4"/>
  <c r="BE375" i="4" s="1"/>
  <c r="J376" i="4"/>
  <c r="K376" i="4" s="1"/>
  <c r="J377" i="4"/>
  <c r="BE377" i="4" s="1"/>
  <c r="J378" i="4"/>
  <c r="K378" i="4" s="1"/>
  <c r="J379" i="4"/>
  <c r="K379" i="4" s="1"/>
  <c r="J380" i="4"/>
  <c r="BE380" i="4" s="1"/>
  <c r="J381" i="4"/>
  <c r="BE381" i="4" s="1"/>
  <c r="J382" i="4"/>
  <c r="BE382" i="4" s="1"/>
  <c r="J383" i="4"/>
  <c r="BE383" i="4" s="1"/>
  <c r="J384" i="4"/>
  <c r="K384" i="4" s="1"/>
  <c r="J385" i="4"/>
  <c r="BE385" i="4" s="1"/>
  <c r="J386" i="4"/>
  <c r="BE386" i="4" s="1"/>
  <c r="J387" i="4"/>
  <c r="BE387" i="4" s="1"/>
  <c r="J388" i="4"/>
  <c r="BE388" i="4" s="1"/>
  <c r="J389" i="4"/>
  <c r="BE389" i="4" s="1"/>
  <c r="J390" i="4"/>
  <c r="K390" i="4" s="1"/>
  <c r="J548" i="4"/>
  <c r="BE548" i="4" s="1"/>
  <c r="BF548" i="4" s="1"/>
  <c r="J549" i="4"/>
  <c r="BE549" i="4" s="1"/>
  <c r="BF549" i="4" s="1"/>
  <c r="J550" i="4"/>
  <c r="BE550" i="4" s="1"/>
  <c r="BF550" i="4" s="1"/>
  <c r="J551" i="4"/>
  <c r="BE551" i="4" s="1"/>
  <c r="BF551" i="4" s="1"/>
  <c r="J552" i="4"/>
  <c r="J553" i="4"/>
  <c r="J554" i="4"/>
  <c r="BE554" i="4" s="1"/>
  <c r="BF554" i="4" s="1"/>
  <c r="M132" i="82"/>
  <c r="I132" i="82"/>
  <c r="DJ6" i="86"/>
  <c r="M306" i="4"/>
  <c r="DK6" i="86" s="1"/>
  <c r="E305" i="4"/>
  <c r="DI6" i="86"/>
  <c r="E299" i="4"/>
  <c r="ES15" i="86" l="1"/>
  <c r="FP16" i="86"/>
  <c r="FP15" i="86"/>
  <c r="FM12" i="86"/>
  <c r="FO12" i="86"/>
  <c r="FO16" i="86"/>
  <c r="FO15" i="86"/>
  <c r="K553" i="4"/>
  <c r="L553" i="4" s="1"/>
  <c r="BE553" i="4"/>
  <c r="BF553" i="4" s="1"/>
  <c r="FA16" i="86"/>
  <c r="FA17" i="86" s="1"/>
  <c r="EY12" i="86"/>
  <c r="K552" i="4"/>
  <c r="L552" i="4" s="1"/>
  <c r="BE552" i="4"/>
  <c r="BF552" i="4" s="1"/>
  <c r="EU16" i="86"/>
  <c r="EU17" i="86" s="1"/>
  <c r="FA12" i="86"/>
  <c r="ES12" i="86"/>
  <c r="FC15" i="86"/>
  <c r="FC16" i="86"/>
  <c r="EZ17" i="86"/>
  <c r="EU12" i="86"/>
  <c r="EY15" i="86"/>
  <c r="EY17" i="86" s="1"/>
  <c r="EV17" i="86"/>
  <c r="FJ16" i="86"/>
  <c r="FJ17" i="86" s="1"/>
  <c r="FF17" i="86"/>
  <c r="EX17" i="86"/>
  <c r="FB17" i="86"/>
  <c r="FJ12" i="86"/>
  <c r="EW12" i="86"/>
  <c r="EW16" i="86"/>
  <c r="EW15" i="86"/>
  <c r="FD12" i="86"/>
  <c r="FD16" i="86"/>
  <c r="FD15" i="86"/>
  <c r="FE16" i="86"/>
  <c r="FE12" i="86"/>
  <c r="FE15" i="86"/>
  <c r="FG12" i="86"/>
  <c r="FG16" i="86"/>
  <c r="FG15" i="86"/>
  <c r="FK17" i="86"/>
  <c r="FH17" i="86"/>
  <c r="ER16" i="86"/>
  <c r="ER17" i="86" s="1"/>
  <c r="ER12" i="86"/>
  <c r="ES17" i="86"/>
  <c r="EQ15" i="86"/>
  <c r="EQ16" i="86"/>
  <c r="EQ12" i="86"/>
  <c r="ET12" i="86"/>
  <c r="ET16" i="86"/>
  <c r="ET15" i="86"/>
  <c r="EK11" i="86"/>
  <c r="EM11" i="86"/>
  <c r="AM324" i="4"/>
  <c r="G7" i="67"/>
  <c r="G9" i="67"/>
  <c r="AM384" i="4"/>
  <c r="EL7" i="86"/>
  <c r="EM9" i="86"/>
  <c r="AM390" i="4"/>
  <c r="EN7" i="86"/>
  <c r="AM387" i="4"/>
  <c r="EM7" i="86"/>
  <c r="AM381" i="4"/>
  <c r="EK7" i="86"/>
  <c r="EL9" i="86"/>
  <c r="EK9" i="86"/>
  <c r="L390" i="4"/>
  <c r="P390" i="4"/>
  <c r="R387" i="4"/>
  <c r="R386" i="4"/>
  <c r="AP386" i="4" s="1"/>
  <c r="R385" i="4"/>
  <c r="AP385" i="4" s="1"/>
  <c r="R384" i="4"/>
  <c r="L384" i="4"/>
  <c r="P384" i="4"/>
  <c r="EA11" i="86"/>
  <c r="DY11" i="86"/>
  <c r="EG9" i="86"/>
  <c r="AM378" i="4"/>
  <c r="AP378" i="4" s="1"/>
  <c r="EJ7" i="86"/>
  <c r="AM354" i="4"/>
  <c r="EB7" i="86"/>
  <c r="EE11" i="86"/>
  <c r="AM373" i="4"/>
  <c r="AP373" i="4" s="1"/>
  <c r="EH7" i="86"/>
  <c r="EI9" i="86"/>
  <c r="EA9" i="86"/>
  <c r="DY9" i="86"/>
  <c r="EE9" i="86"/>
  <c r="EC9" i="86"/>
  <c r="AM348" i="4"/>
  <c r="AP348" i="4" s="1"/>
  <c r="DZ7" i="86"/>
  <c r="EC11" i="86"/>
  <c r="AM362" i="4"/>
  <c r="AP362" i="4" s="1"/>
  <c r="EE7" i="86"/>
  <c r="AM356" i="4"/>
  <c r="AP356" i="4" s="1"/>
  <c r="EC7" i="86"/>
  <c r="AM375" i="4"/>
  <c r="EI7" i="86"/>
  <c r="AM351" i="4"/>
  <c r="AP351" i="4" s="1"/>
  <c r="EA7" i="86"/>
  <c r="AM345" i="4"/>
  <c r="DY7" i="86"/>
  <c r="EH9" i="86"/>
  <c r="AM370" i="4"/>
  <c r="AP370" i="4" s="1"/>
  <c r="EG7" i="86"/>
  <c r="EJ9" i="86"/>
  <c r="EB9" i="86"/>
  <c r="DZ9" i="86"/>
  <c r="K369" i="4"/>
  <c r="L369" i="4" s="1"/>
  <c r="AM365" i="4"/>
  <c r="AP365" i="4" s="1"/>
  <c r="EF7" i="86"/>
  <c r="AM359" i="4"/>
  <c r="AP359" i="4" s="1"/>
  <c r="ED7" i="86"/>
  <c r="EF9" i="86"/>
  <c r="ED9" i="86"/>
  <c r="K347" i="4"/>
  <c r="L347" i="4" s="1"/>
  <c r="K383" i="4"/>
  <c r="L383" i="4" s="1"/>
  <c r="K381" i="4"/>
  <c r="P381" i="4" s="1"/>
  <c r="K365" i="4"/>
  <c r="L365" i="4" s="1"/>
  <c r="K389" i="4"/>
  <c r="AM342" i="4"/>
  <c r="AP342" i="4" s="1"/>
  <c r="DX7" i="86"/>
  <c r="DX9" i="86"/>
  <c r="AT361" i="4"/>
  <c r="AX361" i="4" s="1"/>
  <c r="AT355" i="4"/>
  <c r="AX355" i="4" s="1"/>
  <c r="K387" i="4"/>
  <c r="BE325" i="4"/>
  <c r="DR11" i="86" s="1"/>
  <c r="K351" i="4"/>
  <c r="L351" i="4" s="1"/>
  <c r="K551" i="4"/>
  <c r="K377" i="4"/>
  <c r="P377" i="4" s="1"/>
  <c r="K359" i="4"/>
  <c r="BD359" i="4" s="1"/>
  <c r="K341" i="4"/>
  <c r="P341" i="4" s="1"/>
  <c r="AT379" i="4"/>
  <c r="AX379" i="4" s="1"/>
  <c r="K363" i="4"/>
  <c r="P363" i="4" s="1"/>
  <c r="K345" i="4"/>
  <c r="P345" i="4" s="1"/>
  <c r="K311" i="4"/>
  <c r="L311" i="4" s="1"/>
  <c r="K371" i="4"/>
  <c r="L371" i="4" s="1"/>
  <c r="K353" i="4"/>
  <c r="BD353" i="4" s="1"/>
  <c r="K549" i="4"/>
  <c r="K375" i="4"/>
  <c r="BD375" i="4" s="1"/>
  <c r="K357" i="4"/>
  <c r="BD357" i="4" s="1"/>
  <c r="K339" i="4"/>
  <c r="P339" i="4" s="1"/>
  <c r="K554" i="4"/>
  <c r="K386" i="4"/>
  <c r="K374" i="4"/>
  <c r="L374" i="4" s="1"/>
  <c r="K362" i="4"/>
  <c r="L362" i="4" s="1"/>
  <c r="K350" i="4"/>
  <c r="L350" i="4" s="1"/>
  <c r="K314" i="4"/>
  <c r="L314" i="4" s="1"/>
  <c r="DW9" i="86"/>
  <c r="DO9" i="86"/>
  <c r="DT9" i="86"/>
  <c r="DS9" i="86"/>
  <c r="DR9" i="86"/>
  <c r="K548" i="4"/>
  <c r="K380" i="4"/>
  <c r="P380" i="4" s="1"/>
  <c r="K368" i="4"/>
  <c r="L368" i="4" s="1"/>
  <c r="K356" i="4"/>
  <c r="P356" i="4" s="1"/>
  <c r="K344" i="4"/>
  <c r="P344" i="4" s="1"/>
  <c r="DW11" i="86"/>
  <c r="K329" i="4"/>
  <c r="L329" i="4" s="1"/>
  <c r="K307" i="4"/>
  <c r="L307" i="4" s="1"/>
  <c r="AT343" i="4"/>
  <c r="AX343" i="4" s="1"/>
  <c r="AT362" i="4"/>
  <c r="AX362" i="4" s="1"/>
  <c r="AT357" i="4"/>
  <c r="AX357" i="4" s="1"/>
  <c r="AM334" i="4"/>
  <c r="DU7" i="86"/>
  <c r="AT359" i="4"/>
  <c r="AX359" i="4" s="1"/>
  <c r="AM340" i="4"/>
  <c r="DW7" i="86"/>
  <c r="AT345" i="4"/>
  <c r="AX345" i="4" s="1"/>
  <c r="AT338" i="4"/>
  <c r="AX338" i="4" s="1"/>
  <c r="AM337" i="4"/>
  <c r="AP337" i="4" s="1"/>
  <c r="DV7" i="86"/>
  <c r="DS7" i="86"/>
  <c r="DS13" i="86" s="1"/>
  <c r="DS14" i="86" s="1"/>
  <c r="DT7" i="86"/>
  <c r="DT8" i="86" s="1"/>
  <c r="AT328" i="4"/>
  <c r="AX328" i="4" s="1"/>
  <c r="DV9" i="86"/>
  <c r="DU9" i="86"/>
  <c r="DL9" i="86"/>
  <c r="AT325" i="4"/>
  <c r="AX325" i="4" s="1"/>
  <c r="AT330" i="4"/>
  <c r="AX330" i="4" s="1"/>
  <c r="AP377" i="4"/>
  <c r="AT351" i="4"/>
  <c r="AX351" i="4" s="1"/>
  <c r="AP320" i="4"/>
  <c r="AT389" i="4"/>
  <c r="AX389" i="4" s="1"/>
  <c r="AT312" i="4"/>
  <c r="AX312" i="4" s="1"/>
  <c r="DR7" i="86"/>
  <c r="DR13" i="86" s="1"/>
  <c r="DR14" i="86" s="1"/>
  <c r="AT341" i="4"/>
  <c r="AX341" i="4" s="1"/>
  <c r="AP339" i="4"/>
  <c r="K338" i="4"/>
  <c r="BD338" i="4" s="1"/>
  <c r="AT337" i="4"/>
  <c r="AX337" i="4" s="1"/>
  <c r="K335" i="4"/>
  <c r="L335" i="4" s="1"/>
  <c r="AT333" i="4"/>
  <c r="AX333" i="4" s="1"/>
  <c r="K333" i="4"/>
  <c r="L333" i="4" s="1"/>
  <c r="K332" i="4"/>
  <c r="P332" i="4" s="1"/>
  <c r="K327" i="4"/>
  <c r="P327" i="4" s="1"/>
  <c r="K326" i="4"/>
  <c r="L326" i="4" s="1"/>
  <c r="AP325" i="4"/>
  <c r="BD325" i="4"/>
  <c r="L325" i="4"/>
  <c r="AO325" i="4" s="1"/>
  <c r="AN378" i="4"/>
  <c r="AN342" i="4"/>
  <c r="AN330" i="4"/>
  <c r="R375" i="4"/>
  <c r="AN375" i="4" s="1"/>
  <c r="R366" i="4"/>
  <c r="AN366" i="4" s="1"/>
  <c r="R327" i="4"/>
  <c r="AN327" i="4" s="1"/>
  <c r="AX553" i="4"/>
  <c r="AX547" i="4"/>
  <c r="AT372" i="4"/>
  <c r="AX372" i="4" s="1"/>
  <c r="AP347" i="4"/>
  <c r="AT324" i="4"/>
  <c r="AX324" i="4" s="1"/>
  <c r="AT309" i="4"/>
  <c r="AX309" i="4" s="1"/>
  <c r="DP9" i="86"/>
  <c r="AN335" i="4"/>
  <c r="AN329" i="4"/>
  <c r="R374" i="4"/>
  <c r="AN374" i="4" s="1"/>
  <c r="R354" i="4"/>
  <c r="AN354" i="4" s="1"/>
  <c r="AX554" i="4"/>
  <c r="AX549" i="4"/>
  <c r="AT381" i="4"/>
  <c r="AX381" i="4" s="1"/>
  <c r="AT373" i="4"/>
  <c r="AX373" i="4" s="1"/>
  <c r="AP363" i="4"/>
  <c r="AT353" i="4"/>
  <c r="AX353" i="4" s="1"/>
  <c r="AP330" i="4"/>
  <c r="DN9" i="86"/>
  <c r="AT385" i="4"/>
  <c r="AX385" i="4" s="1"/>
  <c r="AP371" i="4"/>
  <c r="AT367" i="4"/>
  <c r="AX367" i="4" s="1"/>
  <c r="AT352" i="4"/>
  <c r="AX352" i="4" s="1"/>
  <c r="AN351" i="4"/>
  <c r="AN341" i="4"/>
  <c r="AP338" i="4"/>
  <c r="AT335" i="4"/>
  <c r="AX335" i="4" s="1"/>
  <c r="AT334" i="4"/>
  <c r="AX334" i="4" s="1"/>
  <c r="AN344" i="4"/>
  <c r="AN326" i="4"/>
  <c r="AN361" i="4"/>
  <c r="AN337" i="4"/>
  <c r="R368" i="4"/>
  <c r="AP368" i="4" s="1"/>
  <c r="R349" i="4"/>
  <c r="AN349" i="4" s="1"/>
  <c r="AT388" i="4"/>
  <c r="AX388" i="4" s="1"/>
  <c r="BF385" i="4"/>
  <c r="AN377" i="4"/>
  <c r="AN371" i="4"/>
  <c r="AN365" i="4"/>
  <c r="AN359" i="4"/>
  <c r="AN347" i="4"/>
  <c r="R353" i="4"/>
  <c r="AN353" i="4" s="1"/>
  <c r="AN363" i="4"/>
  <c r="AN339" i="4"/>
  <c r="R380" i="4"/>
  <c r="AP380" i="4" s="1"/>
  <c r="AX551" i="4"/>
  <c r="AT387" i="4"/>
  <c r="AX387" i="4" s="1"/>
  <c r="AT329" i="4"/>
  <c r="AX329" i="4" s="1"/>
  <c r="AT314" i="4"/>
  <c r="AX314" i="4" s="1"/>
  <c r="BD390" i="4"/>
  <c r="EN10" i="86" s="1"/>
  <c r="EN15" i="86" s="1"/>
  <c r="BF377" i="4"/>
  <c r="BE372" i="4"/>
  <c r="BF372" i="4" s="1"/>
  <c r="AN362" i="4"/>
  <c r="AN338" i="4"/>
  <c r="AN332" i="4"/>
  <c r="R350" i="4"/>
  <c r="AP350" i="4" s="1"/>
  <c r="AT349" i="4"/>
  <c r="AX349" i="4" s="1"/>
  <c r="AP341" i="4"/>
  <c r="BE376" i="4"/>
  <c r="BF376" i="4" s="1"/>
  <c r="AT370" i="4"/>
  <c r="AX370" i="4" s="1"/>
  <c r="AP367" i="4"/>
  <c r="AP335" i="4"/>
  <c r="AT331" i="4"/>
  <c r="AX331" i="4" s="1"/>
  <c r="AP329" i="4"/>
  <c r="BE384" i="4"/>
  <c r="BE366" i="4"/>
  <c r="BF366" i="4" s="1"/>
  <c r="DM9" i="86"/>
  <c r="R324" i="4"/>
  <c r="AN324" i="4" s="1"/>
  <c r="AP308" i="4"/>
  <c r="AN360" i="4"/>
  <c r="AM322" i="4"/>
  <c r="AP322" i="4" s="1"/>
  <c r="DQ7" i="86"/>
  <c r="BF347" i="4"/>
  <c r="L354" i="4"/>
  <c r="BD354" i="4"/>
  <c r="P354" i="4"/>
  <c r="BE310" i="4"/>
  <c r="DM11" i="86" s="1"/>
  <c r="K310" i="4"/>
  <c r="L310" i="4" s="1"/>
  <c r="L376" i="4"/>
  <c r="P376" i="4"/>
  <c r="BD376" i="4"/>
  <c r="L336" i="4"/>
  <c r="BD336" i="4"/>
  <c r="P336" i="4"/>
  <c r="AP336" i="4"/>
  <c r="L378" i="4"/>
  <c r="BD378" i="4"/>
  <c r="L337" i="4"/>
  <c r="P337" i="4"/>
  <c r="BD337" i="4"/>
  <c r="AN356" i="4"/>
  <c r="BD384" i="4"/>
  <c r="AP360" i="4"/>
  <c r="BF389" i="4"/>
  <c r="BF371" i="4"/>
  <c r="R334" i="4"/>
  <c r="AN334" i="4" s="1"/>
  <c r="L343" i="4"/>
  <c r="BD343" i="4"/>
  <c r="P343" i="4"/>
  <c r="R376" i="4"/>
  <c r="AN376" i="4" s="1"/>
  <c r="R364" i="4"/>
  <c r="AN364" i="4" s="1"/>
  <c r="R352" i="4"/>
  <c r="AN352" i="4" s="1"/>
  <c r="R340" i="4"/>
  <c r="AN340" i="4" s="1"/>
  <c r="R328" i="4"/>
  <c r="AP328" i="4" s="1"/>
  <c r="L330" i="4"/>
  <c r="BD330" i="4"/>
  <c r="P330" i="4"/>
  <c r="R358" i="4"/>
  <c r="AN358" i="4" s="1"/>
  <c r="L361" i="4"/>
  <c r="P361" i="4"/>
  <c r="BD361" i="4"/>
  <c r="L547" i="4"/>
  <c r="AO547" i="4" s="1"/>
  <c r="L366" i="4"/>
  <c r="BD366" i="4"/>
  <c r="P378" i="4"/>
  <c r="AN370" i="4"/>
  <c r="BF360" i="4"/>
  <c r="L372" i="4"/>
  <c r="BD372" i="4"/>
  <c r="L348" i="4"/>
  <c r="BD348" i="4"/>
  <c r="BF332" i="4"/>
  <c r="DQ9" i="86"/>
  <c r="BE322" i="4"/>
  <c r="DQ11" i="86" s="1"/>
  <c r="K322" i="4"/>
  <c r="L322" i="4" s="1"/>
  <c r="P366" i="4"/>
  <c r="AN372" i="4"/>
  <c r="AN348" i="4"/>
  <c r="AN382" i="4"/>
  <c r="L373" i="4"/>
  <c r="P373" i="4"/>
  <c r="BD373" i="4"/>
  <c r="L379" i="4"/>
  <c r="BD379" i="4"/>
  <c r="P379" i="4"/>
  <c r="L355" i="4"/>
  <c r="P355" i="4"/>
  <c r="BD355" i="4"/>
  <c r="L331" i="4"/>
  <c r="P331" i="4"/>
  <c r="BD331" i="4"/>
  <c r="AT380" i="4"/>
  <c r="AX380" i="4" s="1"/>
  <c r="AT375" i="4"/>
  <c r="AX375" i="4" s="1"/>
  <c r="AT346" i="4"/>
  <c r="AX346" i="4" s="1"/>
  <c r="AP332" i="4"/>
  <c r="BE373" i="4"/>
  <c r="DP7" i="86"/>
  <c r="DP13" i="86" s="1"/>
  <c r="DP14" i="86" s="1"/>
  <c r="K550" i="4"/>
  <c r="K388" i="4"/>
  <c r="K382" i="4"/>
  <c r="K370" i="4"/>
  <c r="K364" i="4"/>
  <c r="K358" i="4"/>
  <c r="K352" i="4"/>
  <c r="K346" i="4"/>
  <c r="K340" i="4"/>
  <c r="K334" i="4"/>
  <c r="K328" i="4"/>
  <c r="K320" i="4"/>
  <c r="L320" i="4" s="1"/>
  <c r="R346" i="4"/>
  <c r="AN346" i="4" s="1"/>
  <c r="AX552" i="4"/>
  <c r="AP382" i="4"/>
  <c r="AN367" i="4"/>
  <c r="AT365" i="4"/>
  <c r="AX365" i="4" s="1"/>
  <c r="AT360" i="4"/>
  <c r="AX360" i="4" s="1"/>
  <c r="AP343" i="4"/>
  <c r="AT336" i="4"/>
  <c r="AX336" i="4" s="1"/>
  <c r="AT308" i="4"/>
  <c r="AX308" i="4" s="1"/>
  <c r="BF356" i="4"/>
  <c r="BE348" i="4"/>
  <c r="BF338" i="4"/>
  <c r="BE331" i="4"/>
  <c r="BF374" i="4"/>
  <c r="R381" i="4"/>
  <c r="R369" i="4"/>
  <c r="AP369" i="4" s="1"/>
  <c r="R357" i="4"/>
  <c r="AP357" i="4" s="1"/>
  <c r="R345" i="4"/>
  <c r="AN345" i="4" s="1"/>
  <c r="R333" i="4"/>
  <c r="AP333" i="4" s="1"/>
  <c r="AT383" i="4"/>
  <c r="AX383" i="4" s="1"/>
  <c r="AT378" i="4"/>
  <c r="AX378" i="4" s="1"/>
  <c r="AP372" i="4"/>
  <c r="AT363" i="4"/>
  <c r="AX363" i="4" s="1"/>
  <c r="AT347" i="4"/>
  <c r="AX347" i="4" s="1"/>
  <c r="AT344" i="4"/>
  <c r="AX344" i="4" s="1"/>
  <c r="AT339" i="4"/>
  <c r="AX339" i="4" s="1"/>
  <c r="BE390" i="4"/>
  <c r="BE355" i="4"/>
  <c r="BF355" i="4" s="1"/>
  <c r="BF345" i="4"/>
  <c r="BE337" i="4"/>
  <c r="DL7" i="86"/>
  <c r="DL13" i="86" s="1"/>
  <c r="DL14" i="86" s="1"/>
  <c r="R379" i="4"/>
  <c r="AN379" i="4" s="1"/>
  <c r="R355" i="4"/>
  <c r="AN355" i="4" s="1"/>
  <c r="R331" i="4"/>
  <c r="AP331" i="4" s="1"/>
  <c r="AT368" i="4"/>
  <c r="AX368" i="4" s="1"/>
  <c r="AT342" i="4"/>
  <c r="AX342" i="4" s="1"/>
  <c r="BE379" i="4"/>
  <c r="BF379" i="4" s="1"/>
  <c r="DO7" i="86"/>
  <c r="DO13" i="86" s="1"/>
  <c r="DO14" i="86" s="1"/>
  <c r="AT386" i="4"/>
  <c r="AX386" i="4" s="1"/>
  <c r="AT350" i="4"/>
  <c r="AX350" i="4" s="1"/>
  <c r="AT326" i="4"/>
  <c r="AX326" i="4" s="1"/>
  <c r="BE361" i="4"/>
  <c r="BF361" i="4" s="1"/>
  <c r="BE354" i="4"/>
  <c r="BE330" i="4"/>
  <c r="BF330" i="4" s="1"/>
  <c r="AX550" i="4"/>
  <c r="AT371" i="4"/>
  <c r="AX371" i="4" s="1"/>
  <c r="AT366" i="4"/>
  <c r="AX366" i="4" s="1"/>
  <c r="AT358" i="4"/>
  <c r="AX358" i="4" s="1"/>
  <c r="AP344" i="4"/>
  <c r="BE343" i="4"/>
  <c r="BF343" i="4" s="1"/>
  <c r="BE336" i="4"/>
  <c r="BF336" i="4" s="1"/>
  <c r="K385" i="4"/>
  <c r="K367" i="4"/>
  <c r="K349" i="4"/>
  <c r="K324" i="4"/>
  <c r="AN307" i="4"/>
  <c r="AT384" i="4"/>
  <c r="AX384" i="4" s="1"/>
  <c r="AP383" i="4"/>
  <c r="AT376" i="4"/>
  <c r="AX376" i="4" s="1"/>
  <c r="AT369" i="4"/>
  <c r="AX369" i="4" s="1"/>
  <c r="AT348" i="4"/>
  <c r="AX348" i="4" s="1"/>
  <c r="AT323" i="4"/>
  <c r="AX323" i="4" s="1"/>
  <c r="BF368" i="4"/>
  <c r="BF358" i="4"/>
  <c r="BF340" i="4"/>
  <c r="BF333" i="4"/>
  <c r="BE309" i="4"/>
  <c r="BF309" i="4" s="1"/>
  <c r="AX548" i="4"/>
  <c r="AT356" i="4"/>
  <c r="AX356" i="4" s="1"/>
  <c r="AT332" i="4"/>
  <c r="AX332" i="4" s="1"/>
  <c r="AT327" i="4"/>
  <c r="AX327" i="4" s="1"/>
  <c r="BE378" i="4"/>
  <c r="BF375" i="4"/>
  <c r="DN7" i="86"/>
  <c r="K360" i="4"/>
  <c r="K342" i="4"/>
  <c r="AT377" i="4"/>
  <c r="AX377" i="4" s="1"/>
  <c r="AT374" i="4"/>
  <c r="AX374" i="4" s="1"/>
  <c r="AT364" i="4"/>
  <c r="AX364" i="4" s="1"/>
  <c r="AT340" i="4"/>
  <c r="AX340" i="4" s="1"/>
  <c r="AP326" i="4"/>
  <c r="DM7" i="86"/>
  <c r="DM13" i="86" s="1"/>
  <c r="DM14" i="86" s="1"/>
  <c r="AT390" i="4"/>
  <c r="AX390" i="4" s="1"/>
  <c r="AT382" i="4"/>
  <c r="AX382" i="4" s="1"/>
  <c r="AP361" i="4"/>
  <c r="AT354" i="4"/>
  <c r="AX354" i="4" s="1"/>
  <c r="AN323" i="4"/>
  <c r="AP323" i="4"/>
  <c r="AT322" i="4"/>
  <c r="AX322" i="4" s="1"/>
  <c r="AN322" i="4"/>
  <c r="K323" i="4"/>
  <c r="AN320" i="4"/>
  <c r="AT320" i="4"/>
  <c r="AX320" i="4" s="1"/>
  <c r="AT321" i="4"/>
  <c r="AX321" i="4" s="1"/>
  <c r="R321" i="4"/>
  <c r="AN321" i="4" s="1"/>
  <c r="AT319" i="4"/>
  <c r="AX319" i="4" s="1"/>
  <c r="AN319" i="4"/>
  <c r="AP319" i="4"/>
  <c r="L321" i="4"/>
  <c r="BD321" i="4"/>
  <c r="P321" i="4"/>
  <c r="BE321" i="4"/>
  <c r="BF321" i="4" s="1"/>
  <c r="BE319" i="4"/>
  <c r="BF319" i="4" s="1"/>
  <c r="BF320" i="4"/>
  <c r="BD319" i="4"/>
  <c r="P319" i="4"/>
  <c r="AT318" i="4"/>
  <c r="AX318" i="4" s="1"/>
  <c r="AN318" i="4"/>
  <c r="AP318" i="4"/>
  <c r="AT317" i="4"/>
  <c r="AX317" i="4" s="1"/>
  <c r="AN317" i="4"/>
  <c r="AP317" i="4"/>
  <c r="AT316" i="4"/>
  <c r="AX316" i="4" s="1"/>
  <c r="AP316" i="4"/>
  <c r="L318" i="4"/>
  <c r="BD318" i="4"/>
  <c r="P318" i="4"/>
  <c r="K317" i="4"/>
  <c r="K316" i="4"/>
  <c r="BE318" i="4"/>
  <c r="BF318" i="4" s="1"/>
  <c r="AT315" i="4"/>
  <c r="AX315" i="4" s="1"/>
  <c r="R315" i="4"/>
  <c r="AP315" i="4" s="1"/>
  <c r="R314" i="4"/>
  <c r="AP314" i="4" s="1"/>
  <c r="AT313" i="4"/>
  <c r="AX313" i="4" s="1"/>
  <c r="AN313" i="4"/>
  <c r="AP313" i="4"/>
  <c r="L315" i="4"/>
  <c r="BD315" i="4"/>
  <c r="P315" i="4"/>
  <c r="K313" i="4"/>
  <c r="L313" i="4" s="1"/>
  <c r="BE315" i="4"/>
  <c r="DN11" i="86" s="1"/>
  <c r="BF313" i="4"/>
  <c r="BF312" i="4"/>
  <c r="AN312" i="4"/>
  <c r="AP312" i="4"/>
  <c r="AT311" i="4"/>
  <c r="AX311" i="4" s="1"/>
  <c r="R311" i="4"/>
  <c r="AN311" i="4" s="1"/>
  <c r="AP310" i="4"/>
  <c r="AT310" i="4"/>
  <c r="AX310" i="4" s="1"/>
  <c r="AN310" i="4"/>
  <c r="K312" i="4"/>
  <c r="AP309" i="4"/>
  <c r="AN308" i="4"/>
  <c r="AT307" i="4"/>
  <c r="AX307" i="4" s="1"/>
  <c r="AP307" i="4"/>
  <c r="L309" i="4"/>
  <c r="P309" i="4"/>
  <c r="BD309" i="4"/>
  <c r="L308" i="4"/>
  <c r="BD308" i="4"/>
  <c r="P308" i="4"/>
  <c r="BE308" i="4"/>
  <c r="BF388" i="4"/>
  <c r="BF386" i="4"/>
  <c r="BF381" i="4"/>
  <c r="BF370" i="4"/>
  <c r="BF363" i="4"/>
  <c r="BF351" i="4"/>
  <c r="BF349" i="4"/>
  <c r="BF335" i="4"/>
  <c r="BF327" i="4"/>
  <c r="BF324" i="4"/>
  <c r="BF317" i="4"/>
  <c r="BF387" i="4"/>
  <c r="BF382" i="4"/>
  <c r="BF380" i="4"/>
  <c r="BF369" i="4"/>
  <c r="BF364" i="4"/>
  <c r="BF359" i="4"/>
  <c r="BF352" i="4"/>
  <c r="BF350" i="4"/>
  <c r="BF341" i="4"/>
  <c r="BF328" i="4"/>
  <c r="BF326" i="4"/>
  <c r="BF323" i="4"/>
  <c r="BF311" i="4"/>
  <c r="BF367" i="4"/>
  <c r="BF362" i="4"/>
  <c r="BF357" i="4"/>
  <c r="BF339" i="4"/>
  <c r="BF334" i="4"/>
  <c r="BF316" i="4"/>
  <c r="BF383" i="4"/>
  <c r="BF365" i="4"/>
  <c r="BF353" i="4"/>
  <c r="BF346" i="4"/>
  <c r="BF344" i="4"/>
  <c r="BF342" i="4"/>
  <c r="BF329" i="4"/>
  <c r="BF314" i="4"/>
  <c r="BF307" i="4"/>
  <c r="M298" i="4"/>
  <c r="DH6" i="86" s="1"/>
  <c r="AK298" i="4"/>
  <c r="AC298" i="4"/>
  <c r="W129" i="82"/>
  <c r="M129" i="82"/>
  <c r="I129" i="82"/>
  <c r="DG6" i="86"/>
  <c r="DE6" i="86"/>
  <c r="W128" i="82"/>
  <c r="M128" i="82"/>
  <c r="I128" i="82"/>
  <c r="M291" i="4"/>
  <c r="M290" i="4"/>
  <c r="DD6" i="86"/>
  <c r="M126" i="82"/>
  <c r="I126" i="82"/>
  <c r="M285" i="4"/>
  <c r="DC6" i="86" s="1"/>
  <c r="I127" i="82"/>
  <c r="J286" i="4"/>
  <c r="K286" i="4" s="1"/>
  <c r="Q286" i="4"/>
  <c r="R286" i="4" s="1"/>
  <c r="F125" i="82"/>
  <c r="I125" i="82"/>
  <c r="M125" i="82"/>
  <c r="DB6" i="86"/>
  <c r="DA6" i="86"/>
  <c r="M124" i="82"/>
  <c r="FP17" i="86" l="1"/>
  <c r="FO17" i="86"/>
  <c r="FC17" i="86"/>
  <c r="L549" i="4"/>
  <c r="BD549" i="4"/>
  <c r="P549" i="4"/>
  <c r="BD551" i="4"/>
  <c r="P551" i="4"/>
  <c r="BD550" i="4"/>
  <c r="P550" i="4"/>
  <c r="BD552" i="4"/>
  <c r="P552" i="4"/>
  <c r="L554" i="4"/>
  <c r="BD554" i="4"/>
  <c r="P554" i="4"/>
  <c r="BD548" i="4"/>
  <c r="P548" i="4"/>
  <c r="BD553" i="4"/>
  <c r="P553" i="4"/>
  <c r="EW17" i="86"/>
  <c r="AP381" i="4"/>
  <c r="FG17" i="86"/>
  <c r="FD17" i="86"/>
  <c r="FE17" i="86"/>
  <c r="ET17" i="86"/>
  <c r="AP384" i="4"/>
  <c r="EQ17" i="86"/>
  <c r="G11" i="67"/>
  <c r="G13" i="67"/>
  <c r="G14" i="67" s="1"/>
  <c r="G8" i="67"/>
  <c r="AP387" i="4"/>
  <c r="BF384" i="4"/>
  <c r="EL11" i="86"/>
  <c r="EM13" i="86"/>
  <c r="EM14" i="86" s="1"/>
  <c r="EM8" i="86"/>
  <c r="BF390" i="4"/>
  <c r="EN11" i="86"/>
  <c r="EN12" i="86" s="1"/>
  <c r="BF325" i="4"/>
  <c r="EN13" i="86"/>
  <c r="EN14" i="86" s="1"/>
  <c r="EN8" i="86"/>
  <c r="EL8" i="86"/>
  <c r="EL13" i="86"/>
  <c r="EL14" i="86" s="1"/>
  <c r="P383" i="4"/>
  <c r="AO383" i="4" s="1"/>
  <c r="EK8" i="86"/>
  <c r="EK13" i="86"/>
  <c r="EK14" i="86" s="1"/>
  <c r="AN387" i="4"/>
  <c r="L389" i="4"/>
  <c r="P389" i="4"/>
  <c r="P388" i="4"/>
  <c r="L388" i="4"/>
  <c r="P387" i="4"/>
  <c r="L387" i="4"/>
  <c r="AN386" i="4"/>
  <c r="AN385" i="4"/>
  <c r="AN384" i="4"/>
  <c r="AO384" i="4" s="1"/>
  <c r="P385" i="4"/>
  <c r="L385" i="4"/>
  <c r="P386" i="4"/>
  <c r="L386" i="4"/>
  <c r="BD339" i="4"/>
  <c r="DV10" i="86" s="1"/>
  <c r="DV15" i="86" s="1"/>
  <c r="P347" i="4"/>
  <c r="AO347" i="4" s="1"/>
  <c r="BD341" i="4"/>
  <c r="L548" i="4"/>
  <c r="BD351" i="4"/>
  <c r="P369" i="4"/>
  <c r="BD369" i="4"/>
  <c r="L339" i="4"/>
  <c r="AO339" i="4" s="1"/>
  <c r="AP327" i="4"/>
  <c r="BD365" i="4"/>
  <c r="P371" i="4"/>
  <c r="AO371" i="4" s="1"/>
  <c r="BD389" i="4"/>
  <c r="L341" i="4"/>
  <c r="AO341" i="4" s="1"/>
  <c r="BD387" i="4"/>
  <c r="EB10" i="86"/>
  <c r="EG11" i="86"/>
  <c r="EF11" i="86"/>
  <c r="P359" i="4"/>
  <c r="EI11" i="86"/>
  <c r="ED11" i="86"/>
  <c r="EA8" i="86"/>
  <c r="EA13" i="86"/>
  <c r="EA14" i="86" s="1"/>
  <c r="EE8" i="86"/>
  <c r="EE13" i="86"/>
  <c r="EE14" i="86" s="1"/>
  <c r="ED8" i="86"/>
  <c r="ED13" i="86"/>
  <c r="ED14" i="86" s="1"/>
  <c r="BD383" i="4"/>
  <c r="BF373" i="4"/>
  <c r="EH11" i="86"/>
  <c r="BD347" i="4"/>
  <c r="L551" i="4"/>
  <c r="AO343" i="4"/>
  <c r="EF8" i="86"/>
  <c r="EF13" i="86"/>
  <c r="EF14" i="86" s="1"/>
  <c r="BF354" i="4"/>
  <c r="EB11" i="86"/>
  <c r="EI13" i="86"/>
  <c r="EI14" i="86" s="1"/>
  <c r="EI8" i="86"/>
  <c r="EB8" i="86"/>
  <c r="EB13" i="86"/>
  <c r="EB14" i="86" s="1"/>
  <c r="BF378" i="4"/>
  <c r="EJ11" i="86"/>
  <c r="BD362" i="4"/>
  <c r="EG8" i="86"/>
  <c r="EG13" i="86"/>
  <c r="EG14" i="86" s="1"/>
  <c r="DY13" i="86"/>
  <c r="DY14" i="86" s="1"/>
  <c r="DY8" i="86"/>
  <c r="EC8" i="86"/>
  <c r="EC13" i="86"/>
  <c r="EC14" i="86" s="1"/>
  <c r="DZ8" i="86"/>
  <c r="DZ13" i="86"/>
  <c r="DZ14" i="86" s="1"/>
  <c r="EJ13" i="86"/>
  <c r="EJ14" i="86" s="1"/>
  <c r="EJ8" i="86"/>
  <c r="BF348" i="4"/>
  <c r="DZ11" i="86"/>
  <c r="P362" i="4"/>
  <c r="AO362" i="4" s="1"/>
  <c r="EH13" i="86"/>
  <c r="EH14" i="86" s="1"/>
  <c r="EH8" i="86"/>
  <c r="BD381" i="4"/>
  <c r="L381" i="4"/>
  <c r="L375" i="4"/>
  <c r="AO373" i="4"/>
  <c r="P365" i="4"/>
  <c r="AO365" i="4" s="1"/>
  <c r="L353" i="4"/>
  <c r="P353" i="4"/>
  <c r="DX11" i="86"/>
  <c r="BD307" i="4"/>
  <c r="DL10" i="86" s="1"/>
  <c r="P307" i="4"/>
  <c r="AO307" i="4" s="1"/>
  <c r="L359" i="4"/>
  <c r="L338" i="4"/>
  <c r="BD329" i="4"/>
  <c r="L377" i="4"/>
  <c r="AO377" i="4" s="1"/>
  <c r="DX8" i="86"/>
  <c r="DX13" i="86"/>
  <c r="DX14" i="86" s="1"/>
  <c r="BD371" i="4"/>
  <c r="P338" i="4"/>
  <c r="AO338" i="4" s="1"/>
  <c r="BD311" i="4"/>
  <c r="P329" i="4"/>
  <c r="AO329" i="4" s="1"/>
  <c r="P314" i="4"/>
  <c r="P357" i="4"/>
  <c r="BD377" i="4"/>
  <c r="EI10" i="86" s="1"/>
  <c r="L357" i="4"/>
  <c r="L363" i="4"/>
  <c r="AO363" i="4" s="1"/>
  <c r="BD356" i="4"/>
  <c r="P375" i="4"/>
  <c r="AO375" i="4" s="1"/>
  <c r="P351" i="4"/>
  <c r="AO351" i="4" s="1"/>
  <c r="L356" i="4"/>
  <c r="AO356" i="4" s="1"/>
  <c r="BD335" i="4"/>
  <c r="BD363" i="4"/>
  <c r="BD326" i="4"/>
  <c r="BD345" i="4"/>
  <c r="BD344" i="4"/>
  <c r="L345" i="4"/>
  <c r="AO345" i="4" s="1"/>
  <c r="DT13" i="86"/>
  <c r="DT14" i="86" s="1"/>
  <c r="P374" i="4"/>
  <c r="AO374" i="4" s="1"/>
  <c r="AO336" i="4"/>
  <c r="AP352" i="4"/>
  <c r="BD374" i="4"/>
  <c r="EH10" i="86" s="1"/>
  <c r="P311" i="4"/>
  <c r="AO311" i="4" s="1"/>
  <c r="P368" i="4"/>
  <c r="BF315" i="4"/>
  <c r="BD380" i="4"/>
  <c r="EJ10" i="86" s="1"/>
  <c r="BD368" i="4"/>
  <c r="BD310" i="4"/>
  <c r="AO355" i="4"/>
  <c r="AP374" i="4"/>
  <c r="BD386" i="4"/>
  <c r="L344" i="4"/>
  <c r="AO344" i="4" s="1"/>
  <c r="AN380" i="4"/>
  <c r="BD314" i="4"/>
  <c r="BD332" i="4"/>
  <c r="BD350" i="4"/>
  <c r="AP345" i="4"/>
  <c r="BF310" i="4"/>
  <c r="P350" i="4"/>
  <c r="AO379" i="4"/>
  <c r="L380" i="4"/>
  <c r="P335" i="4"/>
  <c r="AO335" i="4" s="1"/>
  <c r="DW8" i="86"/>
  <c r="DW13" i="86"/>
  <c r="DW14" i="86" s="1"/>
  <c r="BF337" i="4"/>
  <c r="DV11" i="86"/>
  <c r="BF331" i="4"/>
  <c r="DT11" i="86"/>
  <c r="DV13" i="86"/>
  <c r="DV14" i="86" s="1"/>
  <c r="DV8" i="86"/>
  <c r="AO348" i="4"/>
  <c r="AO354" i="4"/>
  <c r="DU11" i="86"/>
  <c r="P322" i="4"/>
  <c r="AO322" i="4" s="1"/>
  <c r="AO372" i="4"/>
  <c r="AO376" i="4"/>
  <c r="AO361" i="4"/>
  <c r="AO378" i="4"/>
  <c r="DS8" i="86"/>
  <c r="DR8" i="86"/>
  <c r="DU13" i="86"/>
  <c r="DU14" i="86" s="1"/>
  <c r="DU8" i="86"/>
  <c r="DS11" i="86"/>
  <c r="AO366" i="4"/>
  <c r="BD313" i="4"/>
  <c r="AP349" i="4"/>
  <c r="BD327" i="4"/>
  <c r="AN368" i="4"/>
  <c r="AP358" i="4"/>
  <c r="L327" i="4"/>
  <c r="AO327" i="4" s="1"/>
  <c r="BF322" i="4"/>
  <c r="AO337" i="4"/>
  <c r="P333" i="4"/>
  <c r="BD333" i="4"/>
  <c r="L332" i="4"/>
  <c r="AO332" i="4" s="1"/>
  <c r="AN328" i="4"/>
  <c r="P326" i="4"/>
  <c r="AO326" i="4" s="1"/>
  <c r="AO330" i="4"/>
  <c r="AP354" i="4"/>
  <c r="AN350" i="4"/>
  <c r="AO309" i="4"/>
  <c r="P310" i="4"/>
  <c r="AO310" i="4" s="1"/>
  <c r="BD322" i="4"/>
  <c r="AP376" i="4"/>
  <c r="AP355" i="4"/>
  <c r="AP340" i="4"/>
  <c r="AP366" i="4"/>
  <c r="AP353" i="4"/>
  <c r="DL11" i="86"/>
  <c r="BD320" i="4"/>
  <c r="DP10" i="86" s="1"/>
  <c r="AP375" i="4"/>
  <c r="P320" i="4"/>
  <c r="AO320" i="4" s="1"/>
  <c r="AP364" i="4"/>
  <c r="AO308" i="4"/>
  <c r="DM8" i="86"/>
  <c r="AP324" i="4"/>
  <c r="AP334" i="4"/>
  <c r="L382" i="4"/>
  <c r="BD382" i="4"/>
  <c r="P382" i="4"/>
  <c r="BD388" i="4"/>
  <c r="L550" i="4"/>
  <c r="L370" i="4"/>
  <c r="P370" i="4"/>
  <c r="BD370" i="4"/>
  <c r="BF308" i="4"/>
  <c r="DP8" i="86"/>
  <c r="AP346" i="4"/>
  <c r="DN8" i="86"/>
  <c r="DN13" i="86"/>
  <c r="DN14" i="86" s="1"/>
  <c r="AN333" i="4"/>
  <c r="AO318" i="4"/>
  <c r="AO321" i="4"/>
  <c r="L349" i="4"/>
  <c r="P349" i="4"/>
  <c r="BD349" i="4"/>
  <c r="L334" i="4"/>
  <c r="BD334" i="4"/>
  <c r="P334" i="4"/>
  <c r="DO8" i="86"/>
  <c r="AP379" i="4"/>
  <c r="L364" i="4"/>
  <c r="BD364" i="4"/>
  <c r="P364" i="4"/>
  <c r="L324" i="4"/>
  <c r="P324" i="4"/>
  <c r="BD324" i="4"/>
  <c r="L367" i="4"/>
  <c r="BD367" i="4"/>
  <c r="P367" i="4"/>
  <c r="AN331" i="4"/>
  <c r="AO331" i="4" s="1"/>
  <c r="DO11" i="86"/>
  <c r="AN357" i="4"/>
  <c r="L328" i="4"/>
  <c r="P328" i="4"/>
  <c r="BD328" i="4"/>
  <c r="L340" i="4"/>
  <c r="P340" i="4"/>
  <c r="BD340" i="4"/>
  <c r="DL8" i="86"/>
  <c r="BD385" i="4"/>
  <c r="L346" i="4"/>
  <c r="BD346" i="4"/>
  <c r="P346" i="4"/>
  <c r="AN369" i="4"/>
  <c r="DP11" i="86"/>
  <c r="L342" i="4"/>
  <c r="BD342" i="4"/>
  <c r="P342" i="4"/>
  <c r="L352" i="4"/>
  <c r="P352" i="4"/>
  <c r="BD352" i="4"/>
  <c r="AN381" i="4"/>
  <c r="DQ8" i="86"/>
  <c r="DQ13" i="86"/>
  <c r="DQ14" i="86" s="1"/>
  <c r="L360" i="4"/>
  <c r="BD360" i="4"/>
  <c r="ED10" i="86" s="1"/>
  <c r="P360" i="4"/>
  <c r="L358" i="4"/>
  <c r="BD358" i="4"/>
  <c r="P358" i="4"/>
  <c r="L323" i="4"/>
  <c r="P323" i="4"/>
  <c r="BD323" i="4"/>
  <c r="AP321" i="4"/>
  <c r="AO319" i="4"/>
  <c r="L317" i="4"/>
  <c r="P317" i="4"/>
  <c r="BD317" i="4"/>
  <c r="L316" i="4"/>
  <c r="BD316" i="4"/>
  <c r="P316" i="4"/>
  <c r="AN315" i="4"/>
  <c r="AO315" i="4" s="1"/>
  <c r="AN314" i="4"/>
  <c r="P313" i="4"/>
  <c r="AO313" i="4" s="1"/>
  <c r="AP311" i="4"/>
  <c r="L312" i="4"/>
  <c r="P312" i="4"/>
  <c r="BD312" i="4"/>
  <c r="DF6" i="86"/>
  <c r="L286" i="4"/>
  <c r="P286" i="4"/>
  <c r="CZ6" i="86"/>
  <c r="CY6" i="86"/>
  <c r="J269" i="4"/>
  <c r="CX6" i="86"/>
  <c r="CW6" i="86"/>
  <c r="DS10" i="86" l="1"/>
  <c r="DS16" i="86" s="1"/>
  <c r="EL10" i="86"/>
  <c r="EL16" i="86" s="1"/>
  <c r="AO387" i="4"/>
  <c r="G10" i="67"/>
  <c r="EM10" i="86"/>
  <c r="EA10" i="86"/>
  <c r="EA16" i="86" s="1"/>
  <c r="EK10" i="86"/>
  <c r="EN16" i="86"/>
  <c r="EN17" i="86" s="1"/>
  <c r="AO386" i="4"/>
  <c r="AO385" i="4"/>
  <c r="EB12" i="86"/>
  <c r="DW10" i="86"/>
  <c r="DW12" i="86" s="1"/>
  <c r="AO369" i="4"/>
  <c r="AO381" i="4"/>
  <c r="DX10" i="86"/>
  <c r="DX15" i="86" s="1"/>
  <c r="EB16" i="86"/>
  <c r="EF10" i="86"/>
  <c r="EF15" i="86" s="1"/>
  <c r="EB15" i="86"/>
  <c r="AO353" i="4"/>
  <c r="EE10" i="86"/>
  <c r="EE12" i="86" s="1"/>
  <c r="DY10" i="86"/>
  <c r="DY16" i="86" s="1"/>
  <c r="DZ10" i="86"/>
  <c r="DZ12" i="86" s="1"/>
  <c r="EG10" i="86"/>
  <c r="EG12" i="86" s="1"/>
  <c r="EI12" i="86"/>
  <c r="EH15" i="86"/>
  <c r="EH16" i="86"/>
  <c r="EJ15" i="86"/>
  <c r="EJ16" i="86"/>
  <c r="EJ12" i="86"/>
  <c r="ED12" i="86"/>
  <c r="ED16" i="86"/>
  <c r="ED15" i="86"/>
  <c r="EC10" i="86"/>
  <c r="EI15" i="86"/>
  <c r="EI16" i="86"/>
  <c r="AO359" i="4"/>
  <c r="EH12" i="86"/>
  <c r="AO350" i="4"/>
  <c r="AO314" i="4"/>
  <c r="DU10" i="86"/>
  <c r="DU12" i="86" s="1"/>
  <c r="DM10" i="86"/>
  <c r="DM15" i="86" s="1"/>
  <c r="AO357" i="4"/>
  <c r="AO370" i="4"/>
  <c r="AO340" i="4"/>
  <c r="AO323" i="4"/>
  <c r="DQ10" i="86"/>
  <c r="DQ16" i="86" s="1"/>
  <c r="AO360" i="4"/>
  <c r="AO342" i="4"/>
  <c r="AO364" i="4"/>
  <c r="AO368" i="4"/>
  <c r="AO380" i="4"/>
  <c r="AO316" i="4"/>
  <c r="AO349" i="4"/>
  <c r="DN10" i="86"/>
  <c r="DN16" i="86" s="1"/>
  <c r="AO382" i="4"/>
  <c r="AO358" i="4"/>
  <c r="AO352" i="4"/>
  <c r="AO346" i="4"/>
  <c r="AO367" i="4"/>
  <c r="DT10" i="86"/>
  <c r="DT12" i="86" s="1"/>
  <c r="DR10" i="86"/>
  <c r="DS15" i="86"/>
  <c r="DV12" i="86"/>
  <c r="DV16" i="86"/>
  <c r="DV17" i="86" s="1"/>
  <c r="AO334" i="4"/>
  <c r="AO333" i="4"/>
  <c r="AO328" i="4"/>
  <c r="DL15" i="86"/>
  <c r="DL16" i="86"/>
  <c r="DO10" i="86"/>
  <c r="DP12" i="86"/>
  <c r="DP16" i="86"/>
  <c r="DP15" i="86"/>
  <c r="AO312" i="4"/>
  <c r="AO317" i="4"/>
  <c r="DL12" i="86"/>
  <c r="AO324" i="4"/>
  <c r="CV6" i="86"/>
  <c r="E269" i="4"/>
  <c r="K269" i="4" s="1"/>
  <c r="BA271" i="4"/>
  <c r="BC271" i="4" s="1"/>
  <c r="CX9" i="86" s="1"/>
  <c r="BA272" i="4"/>
  <c r="BC272" i="4" s="1"/>
  <c r="BA273" i="4"/>
  <c r="BC273" i="4" s="1"/>
  <c r="BA274" i="4"/>
  <c r="BC274" i="4" s="1"/>
  <c r="BA275" i="4"/>
  <c r="BC275" i="4" s="1"/>
  <c r="BA276" i="4"/>
  <c r="BC276" i="4" s="1"/>
  <c r="BA277" i="4"/>
  <c r="BC277" i="4" s="1"/>
  <c r="BA278" i="4"/>
  <c r="BC278" i="4" s="1"/>
  <c r="BA279" i="4"/>
  <c r="BC279" i="4" s="1"/>
  <c r="BA280" i="4"/>
  <c r="BC280" i="4" s="1"/>
  <c r="BA281" i="4"/>
  <c r="BC281" i="4" s="1"/>
  <c r="BA282" i="4"/>
  <c r="BC282" i="4" s="1"/>
  <c r="BA283" i="4"/>
  <c r="BC283" i="4" s="1"/>
  <c r="BA284" i="4"/>
  <c r="BC284" i="4" s="1"/>
  <c r="BA285" i="4"/>
  <c r="BC285" i="4" s="1"/>
  <c r="BA286" i="4"/>
  <c r="BC286" i="4" s="1"/>
  <c r="BA287" i="4"/>
  <c r="BC287" i="4" s="1"/>
  <c r="BA288" i="4"/>
  <c r="BC288" i="4" s="1"/>
  <c r="BA289" i="4"/>
  <c r="BC289" i="4" s="1"/>
  <c r="DE9" i="86" s="1"/>
  <c r="BA290" i="4"/>
  <c r="BC290" i="4" s="1"/>
  <c r="BA291" i="4"/>
  <c r="BC291" i="4" s="1"/>
  <c r="BA292" i="4"/>
  <c r="BC292" i="4" s="1"/>
  <c r="BA293" i="4"/>
  <c r="BC293" i="4" s="1"/>
  <c r="BA294" i="4"/>
  <c r="BC294" i="4" s="1"/>
  <c r="BA295" i="4"/>
  <c r="BC295" i="4" s="1"/>
  <c r="BA296" i="4"/>
  <c r="BC296" i="4" s="1"/>
  <c r="BA297" i="4"/>
  <c r="BC297" i="4" s="1"/>
  <c r="BA298" i="4"/>
  <c r="BC298" i="4" s="1"/>
  <c r="BA299" i="4"/>
  <c r="BC299" i="4" s="1"/>
  <c r="BA300" i="4"/>
  <c r="BC300" i="4" s="1"/>
  <c r="BA301" i="4"/>
  <c r="BC301" i="4" s="1"/>
  <c r="BA302" i="4"/>
  <c r="BC302" i="4" s="1"/>
  <c r="BA303" i="4"/>
  <c r="BC303" i="4" s="1"/>
  <c r="BA304" i="4"/>
  <c r="BC304" i="4" s="1"/>
  <c r="BA305" i="4"/>
  <c r="BC305" i="4" s="1"/>
  <c r="BA306" i="4"/>
  <c r="BC306" i="4" s="1"/>
  <c r="AQ271" i="4"/>
  <c r="AR271" i="4"/>
  <c r="AS271" i="4"/>
  <c r="AQ272" i="4"/>
  <c r="AR272" i="4"/>
  <c r="AS272" i="4"/>
  <c r="AQ273" i="4"/>
  <c r="AR273" i="4"/>
  <c r="AS273" i="4"/>
  <c r="AQ274" i="4"/>
  <c r="AR274" i="4"/>
  <c r="AS274" i="4"/>
  <c r="AQ275" i="4"/>
  <c r="AR275" i="4"/>
  <c r="AS275" i="4"/>
  <c r="AQ276" i="4"/>
  <c r="AR276" i="4"/>
  <c r="AS276" i="4"/>
  <c r="AQ277" i="4"/>
  <c r="AR277" i="4"/>
  <c r="AS277" i="4"/>
  <c r="AQ278" i="4"/>
  <c r="AR278" i="4"/>
  <c r="AS278" i="4"/>
  <c r="AQ279" i="4"/>
  <c r="AR279" i="4"/>
  <c r="AS279" i="4"/>
  <c r="AQ280" i="4"/>
  <c r="AR280" i="4"/>
  <c r="AS280" i="4"/>
  <c r="AQ281" i="4"/>
  <c r="AR281" i="4"/>
  <c r="AS281" i="4"/>
  <c r="AQ282" i="4"/>
  <c r="AR282" i="4"/>
  <c r="AS282" i="4"/>
  <c r="AQ283" i="4"/>
  <c r="AR283" i="4"/>
  <c r="AS283" i="4"/>
  <c r="AQ284" i="4"/>
  <c r="AR284" i="4"/>
  <c r="AS284" i="4"/>
  <c r="AQ285" i="4"/>
  <c r="AR285" i="4"/>
  <c r="AS285" i="4"/>
  <c r="AQ286" i="4"/>
  <c r="AR286" i="4"/>
  <c r="AS286" i="4"/>
  <c r="AQ287" i="4"/>
  <c r="AR287" i="4"/>
  <c r="AS287" i="4"/>
  <c r="AQ288" i="4"/>
  <c r="AR288" i="4"/>
  <c r="AS288" i="4"/>
  <c r="AQ289" i="4"/>
  <c r="AR289" i="4"/>
  <c r="AS289" i="4"/>
  <c r="AQ290" i="4"/>
  <c r="AR290" i="4"/>
  <c r="AS290" i="4"/>
  <c r="AQ291" i="4"/>
  <c r="AR291" i="4"/>
  <c r="AS291" i="4"/>
  <c r="AQ292" i="4"/>
  <c r="AR292" i="4"/>
  <c r="AS292" i="4"/>
  <c r="AQ293" i="4"/>
  <c r="AR293" i="4"/>
  <c r="AS293" i="4"/>
  <c r="AQ294" i="4"/>
  <c r="AR294" i="4"/>
  <c r="AS294" i="4"/>
  <c r="AQ295" i="4"/>
  <c r="AR295" i="4"/>
  <c r="AS295" i="4"/>
  <c r="AQ296" i="4"/>
  <c r="AR296" i="4"/>
  <c r="AS296" i="4"/>
  <c r="AQ297" i="4"/>
  <c r="AR297" i="4"/>
  <c r="AS297" i="4"/>
  <c r="AQ298" i="4"/>
  <c r="AR298" i="4"/>
  <c r="AS298" i="4"/>
  <c r="AQ299" i="4"/>
  <c r="AR299" i="4"/>
  <c r="AS299" i="4"/>
  <c r="AQ300" i="4"/>
  <c r="AR300" i="4"/>
  <c r="AS300" i="4"/>
  <c r="AQ301" i="4"/>
  <c r="AR301" i="4"/>
  <c r="AS301" i="4"/>
  <c r="AQ302" i="4"/>
  <c r="AR302" i="4"/>
  <c r="AS302" i="4"/>
  <c r="AQ303" i="4"/>
  <c r="AR303" i="4"/>
  <c r="AS303" i="4"/>
  <c r="AQ304" i="4"/>
  <c r="AR304" i="4"/>
  <c r="AS304" i="4"/>
  <c r="AQ305" i="4"/>
  <c r="AR305" i="4"/>
  <c r="AS305" i="4"/>
  <c r="AQ306" i="4"/>
  <c r="AR306" i="4"/>
  <c r="AS306" i="4"/>
  <c r="AK271" i="4"/>
  <c r="CX7" i="86" s="1"/>
  <c r="AL271" i="4"/>
  <c r="AK272" i="4"/>
  <c r="AL272" i="4"/>
  <c r="AK273" i="4"/>
  <c r="AM273" i="4" s="1"/>
  <c r="AL273" i="4"/>
  <c r="AK274" i="4"/>
  <c r="AM274" i="4" s="1"/>
  <c r="AL274" i="4"/>
  <c r="AK275" i="4"/>
  <c r="AL275" i="4"/>
  <c r="AK276" i="4"/>
  <c r="AM276" i="4" s="1"/>
  <c r="AL276" i="4"/>
  <c r="AK277" i="4"/>
  <c r="AM277" i="4" s="1"/>
  <c r="AL277" i="4"/>
  <c r="AK278" i="4"/>
  <c r="AL278" i="4"/>
  <c r="AK279" i="4"/>
  <c r="AM279" i="4" s="1"/>
  <c r="AL279" i="4"/>
  <c r="AK280" i="4"/>
  <c r="AM280" i="4" s="1"/>
  <c r="AL280" i="4"/>
  <c r="AK281" i="4"/>
  <c r="AL281" i="4"/>
  <c r="AK282" i="4"/>
  <c r="AM282" i="4" s="1"/>
  <c r="AL282" i="4"/>
  <c r="AK283" i="4"/>
  <c r="AM283" i="4" s="1"/>
  <c r="AL283" i="4"/>
  <c r="AK284" i="4"/>
  <c r="AL284" i="4"/>
  <c r="AK285" i="4"/>
  <c r="AM285" i="4" s="1"/>
  <c r="AL285" i="4"/>
  <c r="AK286" i="4"/>
  <c r="AM286" i="4" s="1"/>
  <c r="AL286" i="4"/>
  <c r="AK287" i="4"/>
  <c r="AL287" i="4"/>
  <c r="AK288" i="4"/>
  <c r="AM288" i="4" s="1"/>
  <c r="AL288" i="4"/>
  <c r="AK289" i="4"/>
  <c r="AL289" i="4"/>
  <c r="AK290" i="4"/>
  <c r="AL290" i="4"/>
  <c r="AK291" i="4"/>
  <c r="AM291" i="4" s="1"/>
  <c r="AL291" i="4"/>
  <c r="AK292" i="4"/>
  <c r="AM292" i="4" s="1"/>
  <c r="AL292" i="4"/>
  <c r="AK293" i="4"/>
  <c r="AL293" i="4"/>
  <c r="AK294" i="4"/>
  <c r="AM294" i="4" s="1"/>
  <c r="AL294" i="4"/>
  <c r="AK295" i="4"/>
  <c r="AM295" i="4" s="1"/>
  <c r="AL295" i="4"/>
  <c r="AK296" i="4"/>
  <c r="AL296" i="4"/>
  <c r="AK297" i="4"/>
  <c r="AM297" i="4" s="1"/>
  <c r="AL297" i="4"/>
  <c r="AM298" i="4"/>
  <c r="AL298" i="4"/>
  <c r="AK299" i="4"/>
  <c r="AL299" i="4"/>
  <c r="AK300" i="4"/>
  <c r="AM300" i="4" s="1"/>
  <c r="AL300" i="4"/>
  <c r="AK301" i="4"/>
  <c r="AM301" i="4" s="1"/>
  <c r="AL301" i="4"/>
  <c r="AK302" i="4"/>
  <c r="AL302" i="4"/>
  <c r="AK303" i="4"/>
  <c r="AM303" i="4" s="1"/>
  <c r="AL303" i="4"/>
  <c r="AK304" i="4"/>
  <c r="AM304" i="4" s="1"/>
  <c r="AL304" i="4"/>
  <c r="AK305" i="4"/>
  <c r="AL305" i="4"/>
  <c r="AK306" i="4"/>
  <c r="AM306" i="4" s="1"/>
  <c r="AL306" i="4"/>
  <c r="J271" i="4"/>
  <c r="J272" i="4"/>
  <c r="BE272" i="4" s="1"/>
  <c r="J273" i="4"/>
  <c r="J274" i="4"/>
  <c r="K274" i="4" s="1"/>
  <c r="P274" i="4" s="1"/>
  <c r="J275" i="4"/>
  <c r="BE275" i="4" s="1"/>
  <c r="J276" i="4"/>
  <c r="J277" i="4"/>
  <c r="BE277" i="4" s="1"/>
  <c r="J278" i="4"/>
  <c r="BE278" i="4" s="1"/>
  <c r="J279" i="4"/>
  <c r="BE279" i="4" s="1"/>
  <c r="J280" i="4"/>
  <c r="J281" i="4"/>
  <c r="J282" i="4"/>
  <c r="BE282" i="4" s="1"/>
  <c r="J283" i="4"/>
  <c r="BE283" i="4" s="1"/>
  <c r="J284" i="4"/>
  <c r="BE284" i="4" s="1"/>
  <c r="J285" i="4"/>
  <c r="J287" i="4"/>
  <c r="BE287" i="4" s="1"/>
  <c r="J288" i="4"/>
  <c r="J289" i="4"/>
  <c r="BE289" i="4" s="1"/>
  <c r="DE11" i="86" s="1"/>
  <c r="J290" i="4"/>
  <c r="BE290" i="4" s="1"/>
  <c r="J291" i="4"/>
  <c r="K291" i="4" s="1"/>
  <c r="L291" i="4" s="1"/>
  <c r="J292" i="4"/>
  <c r="J293" i="4"/>
  <c r="J294" i="4"/>
  <c r="BE294" i="4" s="1"/>
  <c r="J295" i="4"/>
  <c r="BE295" i="4" s="1"/>
  <c r="J296" i="4"/>
  <c r="BE296" i="4" s="1"/>
  <c r="J297" i="4"/>
  <c r="J298" i="4"/>
  <c r="BE298" i="4" s="1"/>
  <c r="J299" i="4"/>
  <c r="BE299" i="4" s="1"/>
  <c r="J300" i="4"/>
  <c r="J301" i="4"/>
  <c r="BE301" i="4" s="1"/>
  <c r="J302" i="4"/>
  <c r="BE302" i="4" s="1"/>
  <c r="J303" i="4"/>
  <c r="K303" i="4" s="1"/>
  <c r="L303" i="4" s="1"/>
  <c r="J304" i="4"/>
  <c r="J305" i="4"/>
  <c r="J306" i="4"/>
  <c r="BE306" i="4" s="1"/>
  <c r="Q271" i="4"/>
  <c r="R271" i="4" s="1"/>
  <c r="Q272" i="4"/>
  <c r="R272" i="4" s="1"/>
  <c r="Q273" i="4"/>
  <c r="R273" i="4" s="1"/>
  <c r="Q274" i="4"/>
  <c r="Q275" i="4"/>
  <c r="Q276" i="4"/>
  <c r="R276" i="4" s="1"/>
  <c r="Q277" i="4"/>
  <c r="Q278" i="4"/>
  <c r="R278" i="4" s="1"/>
  <c r="Q279" i="4"/>
  <c r="R279" i="4" s="1"/>
  <c r="Q280" i="4"/>
  <c r="R280" i="4" s="1"/>
  <c r="Q281" i="4"/>
  <c r="Q282" i="4"/>
  <c r="R282" i="4" s="1"/>
  <c r="Q283" i="4"/>
  <c r="Q284" i="4"/>
  <c r="R284" i="4" s="1"/>
  <c r="Q285" i="4"/>
  <c r="R285" i="4" s="1"/>
  <c r="Q287" i="4"/>
  <c r="R287" i="4" s="1"/>
  <c r="Q288" i="4"/>
  <c r="Q289" i="4"/>
  <c r="R289" i="4" s="1"/>
  <c r="AN289" i="4" s="1"/>
  <c r="Q290" i="4"/>
  <c r="R290" i="4" s="1"/>
  <c r="AN290" i="4" s="1"/>
  <c r="Q291" i="4"/>
  <c r="Q292" i="4"/>
  <c r="Q293" i="4"/>
  <c r="Q294" i="4"/>
  <c r="R294" i="4" s="1"/>
  <c r="AN294" i="4" s="1"/>
  <c r="Q295" i="4"/>
  <c r="Q296" i="4"/>
  <c r="R296" i="4" s="1"/>
  <c r="Q297" i="4"/>
  <c r="R297" i="4" s="1"/>
  <c r="Q298" i="4"/>
  <c r="R298" i="4" s="1"/>
  <c r="Q299" i="4"/>
  <c r="Q300" i="4"/>
  <c r="Q301" i="4"/>
  <c r="Q302" i="4"/>
  <c r="R302" i="4" s="1"/>
  <c r="Q303" i="4"/>
  <c r="R303" i="4" s="1"/>
  <c r="Q304" i="4"/>
  <c r="Q305" i="4"/>
  <c r="R305" i="4" s="1"/>
  <c r="Q306" i="4"/>
  <c r="R306" i="4" s="1"/>
  <c r="Q388" i="4"/>
  <c r="Q389" i="4"/>
  <c r="Q390" i="4"/>
  <c r="CU6" i="86"/>
  <c r="M119" i="82"/>
  <c r="G119" i="82"/>
  <c r="CT6" i="86"/>
  <c r="M118" i="82"/>
  <c r="I118" i="82"/>
  <c r="CS6" i="86"/>
  <c r="M113" i="82"/>
  <c r="I116" i="82"/>
  <c r="CR6" i="86"/>
  <c r="CP6" i="86"/>
  <c r="AS250" i="4"/>
  <c r="AR250" i="4"/>
  <c r="M253" i="4"/>
  <c r="E253" i="4"/>
  <c r="E250" i="4"/>
  <c r="CO6" i="86"/>
  <c r="CN6" i="86"/>
  <c r="EA12" i="86" l="1"/>
  <c r="DS12" i="86"/>
  <c r="EL12" i="86"/>
  <c r="EL15" i="86"/>
  <c r="EL17" i="86" s="1"/>
  <c r="DW15" i="86"/>
  <c r="EA15" i="86"/>
  <c r="EA17" i="86" s="1"/>
  <c r="EG16" i="86"/>
  <c r="G16" i="67"/>
  <c r="G12" i="67"/>
  <c r="G15" i="67"/>
  <c r="DW16" i="86"/>
  <c r="EM16" i="86"/>
  <c r="EM12" i="86"/>
  <c r="EM15" i="86"/>
  <c r="EK16" i="86"/>
  <c r="EK12" i="86"/>
  <c r="EK15" i="86"/>
  <c r="R390" i="4"/>
  <c r="AP390" i="4" s="1"/>
  <c r="R389" i="4"/>
  <c r="AP389" i="4" s="1"/>
  <c r="R388" i="4"/>
  <c r="AP388" i="4" s="1"/>
  <c r="DM12" i="86"/>
  <c r="DY15" i="86"/>
  <c r="DY17" i="86" s="1"/>
  <c r="DX16" i="86"/>
  <c r="DX17" i="86" s="1"/>
  <c r="DY12" i="86"/>
  <c r="EF16" i="86"/>
  <c r="EF17" i="86" s="1"/>
  <c r="DX12" i="86"/>
  <c r="EG15" i="86"/>
  <c r="EF12" i="86"/>
  <c r="EB17" i="86"/>
  <c r="EE15" i="86"/>
  <c r="ED17" i="86"/>
  <c r="EH17" i="86"/>
  <c r="EE16" i="86"/>
  <c r="DZ15" i="86"/>
  <c r="DZ16" i="86"/>
  <c r="EI17" i="86"/>
  <c r="CQ6" i="86"/>
  <c r="F6" i="67"/>
  <c r="EJ17" i="86"/>
  <c r="EC12" i="86"/>
  <c r="EC16" i="86"/>
  <c r="EC15" i="86"/>
  <c r="DU16" i="86"/>
  <c r="DM16" i="86"/>
  <c r="DM17" i="86" s="1"/>
  <c r="DQ12" i="86"/>
  <c r="DQ15" i="86"/>
  <c r="DQ17" i="86" s="1"/>
  <c r="DU15" i="86"/>
  <c r="DT16" i="86"/>
  <c r="DN15" i="86"/>
  <c r="DN17" i="86" s="1"/>
  <c r="DN12" i="86"/>
  <c r="DT15" i="86"/>
  <c r="DS17" i="86"/>
  <c r="DR12" i="86"/>
  <c r="DR15" i="86"/>
  <c r="DR16" i="86"/>
  <c r="DP17" i="86"/>
  <c r="DO12" i="86"/>
  <c r="DO15" i="86"/>
  <c r="DO16" i="86"/>
  <c r="R549" i="4"/>
  <c r="DL17" i="86"/>
  <c r="DB9" i="86"/>
  <c r="CZ9" i="86"/>
  <c r="DJ9" i="86"/>
  <c r="DH9" i="86"/>
  <c r="DF9" i="86"/>
  <c r="DC9" i="86"/>
  <c r="AM305" i="4"/>
  <c r="AP305" i="4" s="1"/>
  <c r="DK7" i="86"/>
  <c r="AM302" i="4"/>
  <c r="AP302" i="4" s="1"/>
  <c r="DJ7" i="86"/>
  <c r="AM299" i="4"/>
  <c r="DI7" i="86"/>
  <c r="AM296" i="4"/>
  <c r="AP296" i="4" s="1"/>
  <c r="DH7" i="86"/>
  <c r="AM293" i="4"/>
  <c r="DG7" i="86"/>
  <c r="AM290" i="4"/>
  <c r="AP290" i="4" s="1"/>
  <c r="DF7" i="86"/>
  <c r="AM287" i="4"/>
  <c r="AP287" i="4" s="1"/>
  <c r="DD7" i="86"/>
  <c r="AM284" i="4"/>
  <c r="AP284" i="4" s="1"/>
  <c r="DC7" i="86"/>
  <c r="AM281" i="4"/>
  <c r="DB7" i="86"/>
  <c r="AM278" i="4"/>
  <c r="AP278" i="4" s="1"/>
  <c r="DA7" i="86"/>
  <c r="AM275" i="4"/>
  <c r="CZ7" i="86"/>
  <c r="AM272" i="4"/>
  <c r="AP272" i="4" s="1"/>
  <c r="CY7" i="86"/>
  <c r="DA9" i="86"/>
  <c r="CY9" i="86"/>
  <c r="AM289" i="4"/>
  <c r="AP289" i="4" s="1"/>
  <c r="DE7" i="86"/>
  <c r="DK9" i="86"/>
  <c r="DI9" i="86"/>
  <c r="DG9" i="86"/>
  <c r="DD9" i="86"/>
  <c r="K278" i="4"/>
  <c r="L278" i="4" s="1"/>
  <c r="K282" i="4"/>
  <c r="BD282" i="4" s="1"/>
  <c r="AP298" i="4"/>
  <c r="AT301" i="4"/>
  <c r="AX301" i="4" s="1"/>
  <c r="AT300" i="4"/>
  <c r="AX300" i="4" s="1"/>
  <c r="K283" i="4"/>
  <c r="L283" i="4" s="1"/>
  <c r="AT288" i="4"/>
  <c r="AX288" i="4" s="1"/>
  <c r="AT272" i="4"/>
  <c r="AX272" i="4" s="1"/>
  <c r="K302" i="4"/>
  <c r="P302" i="4" s="1"/>
  <c r="K295" i="4"/>
  <c r="L295" i="4" s="1"/>
  <c r="K289" i="4"/>
  <c r="L289" i="4" s="1"/>
  <c r="K277" i="4"/>
  <c r="L277" i="4" s="1"/>
  <c r="AT296" i="4"/>
  <c r="AX296" i="4" s="1"/>
  <c r="BF296" i="4"/>
  <c r="BF289" i="4"/>
  <c r="AM271" i="4"/>
  <c r="AP271" i="4" s="1"/>
  <c r="AN278" i="4"/>
  <c r="AP297" i="4"/>
  <c r="AT282" i="4"/>
  <c r="AX282" i="4" s="1"/>
  <c r="AT302" i="4"/>
  <c r="AX302" i="4" s="1"/>
  <c r="AT297" i="4"/>
  <c r="AX297" i="4" s="1"/>
  <c r="AT295" i="4"/>
  <c r="AX295" i="4" s="1"/>
  <c r="AT284" i="4"/>
  <c r="AX284" i="4" s="1"/>
  <c r="AT279" i="4"/>
  <c r="AX279" i="4" s="1"/>
  <c r="R301" i="4"/>
  <c r="AN301" i="4" s="1"/>
  <c r="AN296" i="4"/>
  <c r="K306" i="4"/>
  <c r="P306" i="4" s="1"/>
  <c r="K296" i="4"/>
  <c r="L296" i="4" s="1"/>
  <c r="K290" i="4"/>
  <c r="L290" i="4" s="1"/>
  <c r="K275" i="4"/>
  <c r="BD275" i="4" s="1"/>
  <c r="AT292" i="4"/>
  <c r="AX292" i="4" s="1"/>
  <c r="AT289" i="4"/>
  <c r="AX289" i="4" s="1"/>
  <c r="AT278" i="4"/>
  <c r="AX278" i="4" s="1"/>
  <c r="AT276" i="4"/>
  <c r="AX276" i="4" s="1"/>
  <c r="AP282" i="4"/>
  <c r="K301" i="4"/>
  <c r="L301" i="4" s="1"/>
  <c r="K284" i="4"/>
  <c r="BD284" i="4" s="1"/>
  <c r="AT299" i="4"/>
  <c r="AX299" i="4" s="1"/>
  <c r="AT283" i="4"/>
  <c r="AX283" i="4" s="1"/>
  <c r="AT281" i="4"/>
  <c r="AX281" i="4" s="1"/>
  <c r="AP285" i="4"/>
  <c r="AN297" i="4"/>
  <c r="AT294" i="4"/>
  <c r="AX294" i="4" s="1"/>
  <c r="BE274" i="4"/>
  <c r="BF274" i="4" s="1"/>
  <c r="AN302" i="4"/>
  <c r="AP276" i="4"/>
  <c r="AN285" i="4"/>
  <c r="AP279" i="4"/>
  <c r="BF302" i="4"/>
  <c r="AP303" i="4"/>
  <c r="AN287" i="4"/>
  <c r="K299" i="4"/>
  <c r="P299" i="4" s="1"/>
  <c r="K272" i="4"/>
  <c r="L272" i="4" s="1"/>
  <c r="AP306" i="4"/>
  <c r="AP294" i="4"/>
  <c r="AT280" i="4"/>
  <c r="AX280" i="4" s="1"/>
  <c r="AT277" i="4"/>
  <c r="AX277" i="4" s="1"/>
  <c r="BE273" i="4"/>
  <c r="BF273" i="4" s="1"/>
  <c r="K273" i="4"/>
  <c r="AN280" i="4"/>
  <c r="K300" i="4"/>
  <c r="BE300" i="4"/>
  <c r="BF300" i="4" s="1"/>
  <c r="BF301" i="4"/>
  <c r="R288" i="4"/>
  <c r="AP288" i="4" s="1"/>
  <c r="BE292" i="4"/>
  <c r="BF292" i="4" s="1"/>
  <c r="K292" i="4"/>
  <c r="CX13" i="86"/>
  <c r="CX14" i="86" s="1"/>
  <c r="CX8" i="86"/>
  <c r="AN282" i="4"/>
  <c r="AT306" i="4"/>
  <c r="AX306" i="4" s="1"/>
  <c r="AT290" i="4"/>
  <c r="AX290" i="4" s="1"/>
  <c r="BF295" i="4"/>
  <c r="BF277" i="4"/>
  <c r="AN298" i="4"/>
  <c r="P303" i="4"/>
  <c r="BD303" i="4"/>
  <c r="BE293" i="4"/>
  <c r="K293" i="4"/>
  <c r="BD286" i="4"/>
  <c r="BE276" i="4"/>
  <c r="BF276" i="4" s="1"/>
  <c r="K276" i="4"/>
  <c r="AP273" i="4"/>
  <c r="R293" i="4"/>
  <c r="AN293" i="4" s="1"/>
  <c r="AN284" i="4"/>
  <c r="R275" i="4"/>
  <c r="R550" i="4"/>
  <c r="AN305" i="4"/>
  <c r="R292" i="4"/>
  <c r="AN292" i="4" s="1"/>
  <c r="R274" i="4"/>
  <c r="AP274" i="4" s="1"/>
  <c r="K285" i="4"/>
  <c r="BE285" i="4"/>
  <c r="BF285" i="4" s="1"/>
  <c r="BE271" i="4"/>
  <c r="K271" i="4"/>
  <c r="BD271" i="4" s="1"/>
  <c r="CX10" i="86" s="1"/>
  <c r="AN273" i="4"/>
  <c r="BF299" i="4"/>
  <c r="BF272" i="4"/>
  <c r="R304" i="4"/>
  <c r="AP304" i="4" s="1"/>
  <c r="R300" i="4"/>
  <c r="AP300" i="4" s="1"/>
  <c r="R291" i="4"/>
  <c r="AP291" i="4" s="1"/>
  <c r="P291" i="4"/>
  <c r="BD291" i="4"/>
  <c r="K288" i="4"/>
  <c r="BE288" i="4"/>
  <c r="BF288" i="4" s="1"/>
  <c r="K281" i="4"/>
  <c r="BE281" i="4"/>
  <c r="L274" i="4"/>
  <c r="BD274" i="4"/>
  <c r="K305" i="4"/>
  <c r="BE305" i="4"/>
  <c r="R299" i="4"/>
  <c r="R295" i="4"/>
  <c r="AN295" i="4" s="1"/>
  <c r="AP286" i="4"/>
  <c r="R281" i="4"/>
  <c r="R277" i="4"/>
  <c r="AN277" i="4" s="1"/>
  <c r="BE304" i="4"/>
  <c r="BF304" i="4" s="1"/>
  <c r="K304" i="4"/>
  <c r="K294" i="4"/>
  <c r="K287" i="4"/>
  <c r="BE280" i="4"/>
  <c r="BF280" i="4" s="1"/>
  <c r="K280" i="4"/>
  <c r="AP280" i="4"/>
  <c r="BF284" i="4"/>
  <c r="R548" i="4"/>
  <c r="BE297" i="4"/>
  <c r="BF297" i="4" s="1"/>
  <c r="K297" i="4"/>
  <c r="AN306" i="4"/>
  <c r="BF283" i="4"/>
  <c r="BF290" i="4"/>
  <c r="BF287" i="4"/>
  <c r="AT305" i="4"/>
  <c r="AX305" i="4" s="1"/>
  <c r="AT303" i="4"/>
  <c r="AX303" i="4" s="1"/>
  <c r="AT286" i="4"/>
  <c r="AX286" i="4" s="1"/>
  <c r="BE291" i="4"/>
  <c r="BF291" i="4" s="1"/>
  <c r="AT275" i="4"/>
  <c r="AX275" i="4" s="1"/>
  <c r="AT273" i="4"/>
  <c r="AX273" i="4" s="1"/>
  <c r="BE286" i="4"/>
  <c r="BF286" i="4" s="1"/>
  <c r="AN303" i="4"/>
  <c r="AN279" i="4"/>
  <c r="AN272" i="4"/>
  <c r="AT298" i="4"/>
  <c r="AX298" i="4" s="1"/>
  <c r="BE303" i="4"/>
  <c r="BF303" i="4" s="1"/>
  <c r="R283" i="4"/>
  <c r="AP283" i="4" s="1"/>
  <c r="K298" i="4"/>
  <c r="K279" i="4"/>
  <c r="AT304" i="4"/>
  <c r="AX304" i="4" s="1"/>
  <c r="AT287" i="4"/>
  <c r="AX287" i="4" s="1"/>
  <c r="AT285" i="4"/>
  <c r="AX285" i="4" s="1"/>
  <c r="BF278" i="4"/>
  <c r="BF275" i="4"/>
  <c r="AN276" i="4"/>
  <c r="AT293" i="4"/>
  <c r="AX293" i="4" s="1"/>
  <c r="AT291" i="4"/>
  <c r="AX291" i="4" s="1"/>
  <c r="AT274" i="4"/>
  <c r="AX274" i="4" s="1"/>
  <c r="AN271" i="4"/>
  <c r="AT271" i="4"/>
  <c r="AX271" i="4" s="1"/>
  <c r="BF306" i="4"/>
  <c r="BF294" i="4"/>
  <c r="BF282" i="4"/>
  <c r="BF279" i="4"/>
  <c r="BF298" i="4"/>
  <c r="CM6" i="86"/>
  <c r="F241" i="4"/>
  <c r="CL6" i="86"/>
  <c r="M239" i="4"/>
  <c r="CK6" i="86" s="1"/>
  <c r="F108" i="82"/>
  <c r="CJ6" i="86"/>
  <c r="F235" i="4"/>
  <c r="CI6" i="86"/>
  <c r="F234" i="4"/>
  <c r="F233" i="4"/>
  <c r="CH6" i="86"/>
  <c r="CG6" i="86"/>
  <c r="I105" i="82"/>
  <c r="F228" i="4"/>
  <c r="F227" i="4"/>
  <c r="F226" i="4"/>
  <c r="CF6" i="86"/>
  <c r="W104" i="82"/>
  <c r="M104" i="82"/>
  <c r="I104" i="82"/>
  <c r="AP549" i="4" l="1"/>
  <c r="AN549" i="4"/>
  <c r="AO549" i="4" s="1"/>
  <c r="AP550" i="4"/>
  <c r="AN550" i="4"/>
  <c r="AO550" i="4" s="1"/>
  <c r="AP548" i="4"/>
  <c r="AN548" i="4"/>
  <c r="AO548" i="4" s="1"/>
  <c r="DW17" i="86"/>
  <c r="EG17" i="86"/>
  <c r="G17" i="67"/>
  <c r="AN390" i="4"/>
  <c r="AO390" i="4" s="1"/>
  <c r="EK17" i="86"/>
  <c r="EM17" i="86"/>
  <c r="AN389" i="4"/>
  <c r="AO389" i="4" s="1"/>
  <c r="AN388" i="4"/>
  <c r="AO388" i="4" s="1"/>
  <c r="DZ17" i="86"/>
  <c r="EC17" i="86"/>
  <c r="EE17" i="86"/>
  <c r="DU17" i="86"/>
  <c r="DT17" i="86"/>
  <c r="DR17" i="86"/>
  <c r="P295" i="4"/>
  <c r="AO295" i="4" s="1"/>
  <c r="DO17" i="86"/>
  <c r="BD278" i="4"/>
  <c r="AP275" i="4"/>
  <c r="AP281" i="4"/>
  <c r="AN288" i="4"/>
  <c r="CZ11" i="86"/>
  <c r="P278" i="4"/>
  <c r="AO278" i="4" s="1"/>
  <c r="DD11" i="86"/>
  <c r="DA11" i="86"/>
  <c r="BD295" i="4"/>
  <c r="L282" i="4"/>
  <c r="DF11" i="86"/>
  <c r="DB13" i="86"/>
  <c r="DB14" i="86" s="1"/>
  <c r="DB8" i="86"/>
  <c r="CZ13" i="86"/>
  <c r="CZ14" i="86" s="1"/>
  <c r="CZ8" i="86"/>
  <c r="AP299" i="4"/>
  <c r="BF305" i="4"/>
  <c r="DK11" i="86"/>
  <c r="P282" i="4"/>
  <c r="CY11" i="86"/>
  <c r="CY8" i="86"/>
  <c r="CY13" i="86"/>
  <c r="CY14" i="86" s="1"/>
  <c r="DF8" i="86"/>
  <c r="DF13" i="86"/>
  <c r="DF14" i="86" s="1"/>
  <c r="DI11" i="86"/>
  <c r="DC13" i="86"/>
  <c r="DC14" i="86" s="1"/>
  <c r="DC8" i="86"/>
  <c r="DG13" i="86"/>
  <c r="DG14" i="86" s="1"/>
  <c r="DG8" i="86"/>
  <c r="DJ13" i="86"/>
  <c r="DJ14" i="86" s="1"/>
  <c r="DJ8" i="86"/>
  <c r="DH11" i="86"/>
  <c r="BF281" i="4"/>
  <c r="DB11" i="86"/>
  <c r="L299" i="4"/>
  <c r="DJ11" i="86"/>
  <c r="BF293" i="4"/>
  <c r="DG11" i="86"/>
  <c r="DI8" i="86"/>
  <c r="DI13" i="86"/>
  <c r="DI14" i="86" s="1"/>
  <c r="DC11" i="86"/>
  <c r="DE13" i="86"/>
  <c r="DE14" i="86" s="1"/>
  <c r="DE8" i="86"/>
  <c r="DA8" i="86"/>
  <c r="DA13" i="86"/>
  <c r="DA14" i="86" s="1"/>
  <c r="DD8" i="86"/>
  <c r="DD13" i="86"/>
  <c r="DD14" i="86" s="1"/>
  <c r="DH13" i="86"/>
  <c r="DH14" i="86" s="1"/>
  <c r="DH8" i="86"/>
  <c r="DK13" i="86"/>
  <c r="DK14" i="86" s="1"/>
  <c r="DK8" i="86"/>
  <c r="BD299" i="4"/>
  <c r="AP293" i="4"/>
  <c r="P289" i="4"/>
  <c r="AO289" i="4" s="1"/>
  <c r="BD283" i="4"/>
  <c r="P283" i="4"/>
  <c r="BD277" i="4"/>
  <c r="P277" i="4"/>
  <c r="AO277" i="4" s="1"/>
  <c r="P272" i="4"/>
  <c r="AO272" i="4" s="1"/>
  <c r="P290" i="4"/>
  <c r="AO290" i="4" s="1"/>
  <c r="BD306" i="4"/>
  <c r="AP301" i="4"/>
  <c r="L306" i="4"/>
  <c r="AO306" i="4" s="1"/>
  <c r="P301" i="4"/>
  <c r="AO301" i="4" s="1"/>
  <c r="BD296" i="4"/>
  <c r="P296" i="4"/>
  <c r="AO296" i="4" s="1"/>
  <c r="AN304" i="4"/>
  <c r="L302" i="4"/>
  <c r="AO302" i="4" s="1"/>
  <c r="AN275" i="4"/>
  <c r="BD289" i="4"/>
  <c r="DE10" i="86" s="1"/>
  <c r="BD272" i="4"/>
  <c r="BD290" i="4"/>
  <c r="L284" i="4"/>
  <c r="BD302" i="4"/>
  <c r="AN281" i="4"/>
  <c r="P271" i="4"/>
  <c r="AN286" i="4"/>
  <c r="AO286" i="4" s="1"/>
  <c r="BD301" i="4"/>
  <c r="AP292" i="4"/>
  <c r="L275" i="4"/>
  <c r="AN291" i="4"/>
  <c r="AO291" i="4" s="1"/>
  <c r="P275" i="4"/>
  <c r="P284" i="4"/>
  <c r="P297" i="4"/>
  <c r="BD297" i="4"/>
  <c r="L297" i="4"/>
  <c r="AN283" i="4"/>
  <c r="BD273" i="4"/>
  <c r="P273" i="4"/>
  <c r="L273" i="4"/>
  <c r="AP277" i="4"/>
  <c r="BD287" i="4"/>
  <c r="P287" i="4"/>
  <c r="L287" i="4"/>
  <c r="L305" i="4"/>
  <c r="BD305" i="4"/>
  <c r="P305" i="4"/>
  <c r="L293" i="4"/>
  <c r="P293" i="4"/>
  <c r="BD293" i="4"/>
  <c r="AP295" i="4"/>
  <c r="L298" i="4"/>
  <c r="BD298" i="4"/>
  <c r="P298" i="4"/>
  <c r="AO303" i="4"/>
  <c r="L304" i="4"/>
  <c r="BD304" i="4"/>
  <c r="P304" i="4"/>
  <c r="AN300" i="4"/>
  <c r="L292" i="4"/>
  <c r="BD292" i="4"/>
  <c r="P292" i="4"/>
  <c r="L300" i="4"/>
  <c r="BD300" i="4"/>
  <c r="P300" i="4"/>
  <c r="L288" i="4"/>
  <c r="BD288" i="4"/>
  <c r="P288" i="4"/>
  <c r="BD281" i="4"/>
  <c r="L281" i="4"/>
  <c r="P281" i="4"/>
  <c r="BF271" i="4"/>
  <c r="CX11" i="86"/>
  <c r="CX12" i="86" s="1"/>
  <c r="L280" i="4"/>
  <c r="BD280" i="4"/>
  <c r="P280" i="4"/>
  <c r="L294" i="4"/>
  <c r="BD294" i="4"/>
  <c r="P294" i="4"/>
  <c r="AN299" i="4"/>
  <c r="AN274" i="4"/>
  <c r="AO274" i="4" s="1"/>
  <c r="L276" i="4"/>
  <c r="BD276" i="4"/>
  <c r="P276" i="4"/>
  <c r="CX15" i="86"/>
  <c r="L271" i="4"/>
  <c r="P285" i="4"/>
  <c r="BD285" i="4"/>
  <c r="DC10" i="86" s="1"/>
  <c r="L285" i="4"/>
  <c r="P279" i="4"/>
  <c r="BD279" i="4"/>
  <c r="L279" i="4"/>
  <c r="I91" i="82"/>
  <c r="I94" i="82"/>
  <c r="I99" i="82"/>
  <c r="I100" i="82"/>
  <c r="CE6" i="86"/>
  <c r="CD6" i="86"/>
  <c r="CC6" i="86"/>
  <c r="CB6" i="86"/>
  <c r="CA6" i="86"/>
  <c r="BZ6" i="86"/>
  <c r="BY6" i="86"/>
  <c r="BX6" i="86"/>
  <c r="DK10" i="86" l="1"/>
  <c r="DK12" i="86" s="1"/>
  <c r="AO282" i="4"/>
  <c r="DG10" i="86"/>
  <c r="DG16" i="86" s="1"/>
  <c r="DB10" i="86"/>
  <c r="DB12" i="86" s="1"/>
  <c r="DJ10" i="86"/>
  <c r="DJ16" i="86" s="1"/>
  <c r="DA10" i="86"/>
  <c r="DA15" i="86" s="1"/>
  <c r="CZ10" i="86"/>
  <c r="CZ16" i="86" s="1"/>
  <c r="AO293" i="4"/>
  <c r="AO283" i="4"/>
  <c r="DC12" i="86"/>
  <c r="DC16" i="86"/>
  <c r="DC15" i="86"/>
  <c r="AO299" i="4"/>
  <c r="DI10" i="86"/>
  <c r="DI16" i="86" s="1"/>
  <c r="DF10" i="86"/>
  <c r="CY10" i="86"/>
  <c r="DH10" i="86"/>
  <c r="DD10" i="86"/>
  <c r="DE12" i="86"/>
  <c r="DE15" i="86"/>
  <c r="DE16" i="86"/>
  <c r="AO284" i="4"/>
  <c r="AO304" i="4"/>
  <c r="AO280" i="4"/>
  <c r="AO288" i="4"/>
  <c r="AO294" i="4"/>
  <c r="AO271" i="4"/>
  <c r="AO292" i="4"/>
  <c r="AO305" i="4"/>
  <c r="AO276" i="4"/>
  <c r="AO275" i="4"/>
  <c r="AO297" i="4"/>
  <c r="AO281" i="4"/>
  <c r="AO287" i="4"/>
  <c r="AO279" i="4"/>
  <c r="AO298" i="4"/>
  <c r="AO273" i="4"/>
  <c r="CX16" i="86"/>
  <c r="CX17" i="86" s="1"/>
  <c r="AO300" i="4"/>
  <c r="AO285" i="4"/>
  <c r="M199" i="4"/>
  <c r="BW6" i="86" s="1"/>
  <c r="BV6" i="86"/>
  <c r="M194" i="4"/>
  <c r="BA194" i="4" s="1"/>
  <c r="BC194" i="4" s="1"/>
  <c r="BU6" i="86"/>
  <c r="BT6" i="86"/>
  <c r="M191" i="4"/>
  <c r="Q191" i="4" s="1"/>
  <c r="R191" i="4" s="1"/>
  <c r="M186" i="4"/>
  <c r="Q186" i="4" s="1"/>
  <c r="R186" i="4" s="1"/>
  <c r="M184" i="4"/>
  <c r="Q184" i="4" s="1"/>
  <c r="R184" i="4" s="1"/>
  <c r="M182" i="4"/>
  <c r="Q182" i="4" s="1"/>
  <c r="R182" i="4" s="1"/>
  <c r="M89" i="82"/>
  <c r="I88" i="82"/>
  <c r="W88" i="82"/>
  <c r="M88" i="82"/>
  <c r="W87" i="82"/>
  <c r="M87" i="82"/>
  <c r="M86" i="82"/>
  <c r="M85" i="82"/>
  <c r="M84" i="82"/>
  <c r="M180" i="4"/>
  <c r="BA180" i="4" s="1"/>
  <c r="BC180" i="4" s="1"/>
  <c r="M179" i="4"/>
  <c r="M177" i="4"/>
  <c r="BA177" i="4" s="1"/>
  <c r="BC177" i="4" s="1"/>
  <c r="M174" i="4"/>
  <c r="BA174" i="4" s="1"/>
  <c r="BC174" i="4" s="1"/>
  <c r="BM6" i="86"/>
  <c r="M171" i="4"/>
  <c r="BA171" i="4" s="1"/>
  <c r="BC171" i="4" s="1"/>
  <c r="M165" i="4"/>
  <c r="BA165" i="4" s="1"/>
  <c r="BC165" i="4" s="1"/>
  <c r="M76" i="82"/>
  <c r="M77" i="82"/>
  <c r="M78" i="82"/>
  <c r="BK6" i="86"/>
  <c r="BJ6" i="86"/>
  <c r="BI6" i="86"/>
  <c r="BH6" i="86"/>
  <c r="BG6" i="86"/>
  <c r="BA157" i="4"/>
  <c r="BC157" i="4" s="1"/>
  <c r="BA158" i="4"/>
  <c r="BC158" i="4" s="1"/>
  <c r="BA159" i="4"/>
  <c r="BC159" i="4" s="1"/>
  <c r="BA160" i="4"/>
  <c r="BC160" i="4" s="1"/>
  <c r="BA161" i="4"/>
  <c r="BC161" i="4" s="1"/>
  <c r="BA162" i="4"/>
  <c r="BC162" i="4" s="1"/>
  <c r="BA163" i="4"/>
  <c r="BC163" i="4" s="1"/>
  <c r="BA164" i="4"/>
  <c r="BC164" i="4" s="1"/>
  <c r="BA166" i="4"/>
  <c r="BC166" i="4" s="1"/>
  <c r="BA167" i="4"/>
  <c r="BC167" i="4" s="1"/>
  <c r="BA168" i="4"/>
  <c r="BC168" i="4" s="1"/>
  <c r="BA169" i="4"/>
  <c r="BC169" i="4" s="1"/>
  <c r="BA170" i="4"/>
  <c r="BC170" i="4" s="1"/>
  <c r="BA172" i="4"/>
  <c r="BC172" i="4" s="1"/>
  <c r="BA173" i="4"/>
  <c r="BC173" i="4" s="1"/>
  <c r="BA175" i="4"/>
  <c r="BC175" i="4" s="1"/>
  <c r="BA176" i="4"/>
  <c r="BC176" i="4" s="1"/>
  <c r="BA178" i="4"/>
  <c r="BC178" i="4" s="1"/>
  <c r="BA181" i="4"/>
  <c r="BC181" i="4" s="1"/>
  <c r="BA183" i="4"/>
  <c r="BC183" i="4" s="1"/>
  <c r="BA185" i="4"/>
  <c r="BC185" i="4" s="1"/>
  <c r="BA186" i="4"/>
  <c r="BC186" i="4" s="1"/>
  <c r="BA187" i="4"/>
  <c r="BC187" i="4" s="1"/>
  <c r="BA188" i="4"/>
  <c r="BC188" i="4" s="1"/>
  <c r="BA189" i="4"/>
  <c r="BC189" i="4" s="1"/>
  <c r="BA190" i="4"/>
  <c r="BC190" i="4" s="1"/>
  <c r="BU9" i="86" s="1"/>
  <c r="BA192" i="4"/>
  <c r="BC192" i="4" s="1"/>
  <c r="BA193" i="4"/>
  <c r="BC193" i="4" s="1"/>
  <c r="BA195" i="4"/>
  <c r="BC195" i="4" s="1"/>
  <c r="BA196" i="4"/>
  <c r="BC196" i="4" s="1"/>
  <c r="BA197" i="4"/>
  <c r="BC197" i="4" s="1"/>
  <c r="BA198" i="4"/>
  <c r="BC198" i="4" s="1"/>
  <c r="BA200" i="4"/>
  <c r="BC200" i="4" s="1"/>
  <c r="BA201" i="4"/>
  <c r="BC201" i="4" s="1"/>
  <c r="BA202" i="4"/>
  <c r="BC202" i="4" s="1"/>
  <c r="BA203" i="4"/>
  <c r="BC203" i="4" s="1"/>
  <c r="BA204" i="4"/>
  <c r="BC204" i="4" s="1"/>
  <c r="BA205" i="4"/>
  <c r="BC205" i="4" s="1"/>
  <c r="BA206" i="4"/>
  <c r="BC206" i="4" s="1"/>
  <c r="BA207" i="4"/>
  <c r="BC207" i="4" s="1"/>
  <c r="BA208" i="4"/>
  <c r="BC208" i="4" s="1"/>
  <c r="BA209" i="4"/>
  <c r="BC209" i="4" s="1"/>
  <c r="BA210" i="4"/>
  <c r="BC210" i="4" s="1"/>
  <c r="BA211" i="4"/>
  <c r="BC211" i="4" s="1"/>
  <c r="BA212" i="4"/>
  <c r="BC212" i="4" s="1"/>
  <c r="BA213" i="4"/>
  <c r="BC213" i="4" s="1"/>
  <c r="BA214" i="4"/>
  <c r="BC214" i="4" s="1"/>
  <c r="BA215" i="4"/>
  <c r="BC215" i="4" s="1"/>
  <c r="BA216" i="4"/>
  <c r="BC216" i="4" s="1"/>
  <c r="BA217" i="4"/>
  <c r="BC217" i="4" s="1"/>
  <c r="BA218" i="4"/>
  <c r="BC218" i="4" s="1"/>
  <c r="BA219" i="4"/>
  <c r="BC219" i="4" s="1"/>
  <c r="BA220" i="4"/>
  <c r="BC220" i="4" s="1"/>
  <c r="BA221" i="4"/>
  <c r="BC221" i="4" s="1"/>
  <c r="BA222" i="4"/>
  <c r="BC222" i="4" s="1"/>
  <c r="BA223" i="4"/>
  <c r="BC223" i="4" s="1"/>
  <c r="BA224" i="4"/>
  <c r="BC224" i="4" s="1"/>
  <c r="BA225" i="4"/>
  <c r="BC225" i="4" s="1"/>
  <c r="BA226" i="4"/>
  <c r="BC226" i="4" s="1"/>
  <c r="BA227" i="4"/>
  <c r="BC227" i="4" s="1"/>
  <c r="BA228" i="4"/>
  <c r="BC228" i="4" s="1"/>
  <c r="BA229" i="4"/>
  <c r="BC229" i="4" s="1"/>
  <c r="BA230" i="4"/>
  <c r="BC230" i="4" s="1"/>
  <c r="BA231" i="4"/>
  <c r="BC231" i="4" s="1"/>
  <c r="BA232" i="4"/>
  <c r="BC232" i="4" s="1"/>
  <c r="BA233" i="4"/>
  <c r="BC233" i="4" s="1"/>
  <c r="BA234" i="4"/>
  <c r="BC234" i="4" s="1"/>
  <c r="BA235" i="4"/>
  <c r="BC235" i="4" s="1"/>
  <c r="BA236" i="4"/>
  <c r="BC236" i="4" s="1"/>
  <c r="BA237" i="4"/>
  <c r="BC237" i="4" s="1"/>
  <c r="BA238" i="4"/>
  <c r="BC238" i="4" s="1"/>
  <c r="BA239" i="4"/>
  <c r="BC239" i="4" s="1"/>
  <c r="BA240" i="4"/>
  <c r="BC240" i="4" s="1"/>
  <c r="CL9" i="86" s="1"/>
  <c r="BA241" i="4"/>
  <c r="BC241" i="4" s="1"/>
  <c r="BA242" i="4"/>
  <c r="BC242" i="4" s="1"/>
  <c r="BA243" i="4"/>
  <c r="BC243" i="4" s="1"/>
  <c r="BA244" i="4"/>
  <c r="BC244" i="4" s="1"/>
  <c r="BA245" i="4"/>
  <c r="BC245" i="4" s="1"/>
  <c r="BA246" i="4"/>
  <c r="BC246" i="4" s="1"/>
  <c r="BA247" i="4"/>
  <c r="BC247" i="4" s="1"/>
  <c r="BA248" i="4"/>
  <c r="BC248" i="4" s="1"/>
  <c r="BA249" i="4"/>
  <c r="BC249" i="4" s="1"/>
  <c r="BA250" i="4"/>
  <c r="BC250" i="4" s="1"/>
  <c r="BA251" i="4"/>
  <c r="BC251" i="4" s="1"/>
  <c r="BA252" i="4"/>
  <c r="BC252" i="4" s="1"/>
  <c r="BA253" i="4"/>
  <c r="BC253" i="4" s="1"/>
  <c r="BA254" i="4"/>
  <c r="BC254" i="4" s="1"/>
  <c r="BA255" i="4"/>
  <c r="BC255" i="4" s="1"/>
  <c r="CR9" i="86" s="1"/>
  <c r="BA256" i="4"/>
  <c r="BC256" i="4" s="1"/>
  <c r="BA257" i="4"/>
  <c r="BC257" i="4" s="1"/>
  <c r="BA258" i="4"/>
  <c r="BC258" i="4" s="1"/>
  <c r="BA259" i="4"/>
  <c r="BC259" i="4" s="1"/>
  <c r="BA260" i="4"/>
  <c r="BC260" i="4" s="1"/>
  <c r="BA261" i="4"/>
  <c r="BC261" i="4" s="1"/>
  <c r="BA262" i="4"/>
  <c r="BC262" i="4" s="1"/>
  <c r="BA263" i="4"/>
  <c r="BC263" i="4" s="1"/>
  <c r="BA264" i="4"/>
  <c r="BC264" i="4" s="1"/>
  <c r="BA265" i="4"/>
  <c r="BC265" i="4" s="1"/>
  <c r="BA266" i="4"/>
  <c r="BC266" i="4" s="1"/>
  <c r="BA267" i="4"/>
  <c r="BC267" i="4" s="1"/>
  <c r="BA268" i="4"/>
  <c r="BC268" i="4" s="1"/>
  <c r="BA269" i="4"/>
  <c r="BC269" i="4" s="1"/>
  <c r="AQ157" i="4"/>
  <c r="AR157" i="4"/>
  <c r="AS157" i="4"/>
  <c r="AQ158" i="4"/>
  <c r="AR158" i="4"/>
  <c r="AS158" i="4"/>
  <c r="AQ159" i="4"/>
  <c r="AR159" i="4"/>
  <c r="AS159" i="4"/>
  <c r="AQ160" i="4"/>
  <c r="AR160" i="4"/>
  <c r="AS160" i="4"/>
  <c r="AQ161" i="4"/>
  <c r="AR161" i="4"/>
  <c r="AS161" i="4"/>
  <c r="AQ162" i="4"/>
  <c r="AR162" i="4"/>
  <c r="AS162" i="4"/>
  <c r="AQ163" i="4"/>
  <c r="AR163" i="4"/>
  <c r="AS163" i="4"/>
  <c r="AQ164" i="4"/>
  <c r="AR164" i="4"/>
  <c r="AS164" i="4"/>
  <c r="AQ165" i="4"/>
  <c r="AR165" i="4"/>
  <c r="AS165" i="4"/>
  <c r="AQ166" i="4"/>
  <c r="AR166" i="4"/>
  <c r="AS166" i="4"/>
  <c r="AQ167" i="4"/>
  <c r="AR167" i="4"/>
  <c r="AS167" i="4"/>
  <c r="AQ168" i="4"/>
  <c r="AR168" i="4"/>
  <c r="AS168" i="4"/>
  <c r="AQ169" i="4"/>
  <c r="AR169" i="4"/>
  <c r="AS169" i="4"/>
  <c r="AQ170" i="4"/>
  <c r="AR170" i="4"/>
  <c r="AS170" i="4"/>
  <c r="AQ171" i="4"/>
  <c r="AR171" i="4"/>
  <c r="AS171" i="4"/>
  <c r="AQ172" i="4"/>
  <c r="AR172" i="4"/>
  <c r="AS172" i="4"/>
  <c r="AQ173" i="4"/>
  <c r="AR173" i="4"/>
  <c r="AS173" i="4"/>
  <c r="AQ174" i="4"/>
  <c r="AR174" i="4"/>
  <c r="AS174" i="4"/>
  <c r="AQ175" i="4"/>
  <c r="AR175" i="4"/>
  <c r="AS175" i="4"/>
  <c r="AQ176" i="4"/>
  <c r="AR176" i="4"/>
  <c r="AS176" i="4"/>
  <c r="AQ177" i="4"/>
  <c r="AR177" i="4"/>
  <c r="AS177" i="4"/>
  <c r="AQ178" i="4"/>
  <c r="AR178" i="4"/>
  <c r="AS178" i="4"/>
  <c r="AQ179" i="4"/>
  <c r="AR179" i="4"/>
  <c r="AS179" i="4"/>
  <c r="AQ180" i="4"/>
  <c r="AR180" i="4"/>
  <c r="AS180" i="4"/>
  <c r="AQ181" i="4"/>
  <c r="AR181" i="4"/>
  <c r="AS181" i="4"/>
  <c r="AQ182" i="4"/>
  <c r="AR182" i="4"/>
  <c r="AS182" i="4"/>
  <c r="AQ183" i="4"/>
  <c r="AR183" i="4"/>
  <c r="AS183" i="4"/>
  <c r="AQ184" i="4"/>
  <c r="AR184" i="4"/>
  <c r="AS184" i="4"/>
  <c r="AQ185" i="4"/>
  <c r="AR185" i="4"/>
  <c r="AS185" i="4"/>
  <c r="AQ186" i="4"/>
  <c r="AR186" i="4"/>
  <c r="AS186" i="4"/>
  <c r="AQ187" i="4"/>
  <c r="AR187" i="4"/>
  <c r="AS187" i="4"/>
  <c r="AQ188" i="4"/>
  <c r="AR188" i="4"/>
  <c r="AS188" i="4"/>
  <c r="AQ189" i="4"/>
  <c r="AR189" i="4"/>
  <c r="AS189" i="4"/>
  <c r="AQ190" i="4"/>
  <c r="AR190" i="4"/>
  <c r="AS190" i="4"/>
  <c r="AQ191" i="4"/>
  <c r="AR191" i="4"/>
  <c r="AS191" i="4"/>
  <c r="AQ192" i="4"/>
  <c r="AR192" i="4"/>
  <c r="AS192" i="4"/>
  <c r="AQ193" i="4"/>
  <c r="AR193" i="4"/>
  <c r="AS193" i="4"/>
  <c r="AQ194" i="4"/>
  <c r="AR194" i="4"/>
  <c r="AS194" i="4"/>
  <c r="AQ195" i="4"/>
  <c r="AR195" i="4"/>
  <c r="AS195" i="4"/>
  <c r="AQ196" i="4"/>
  <c r="AR196" i="4"/>
  <c r="AS196" i="4"/>
  <c r="AQ197" i="4"/>
  <c r="AR197" i="4"/>
  <c r="AS197" i="4"/>
  <c r="AQ198" i="4"/>
  <c r="AR198" i="4"/>
  <c r="AS198" i="4"/>
  <c r="AQ199" i="4"/>
  <c r="AR199" i="4"/>
  <c r="AS199" i="4"/>
  <c r="AQ200" i="4"/>
  <c r="AR200" i="4"/>
  <c r="AS200" i="4"/>
  <c r="AQ201" i="4"/>
  <c r="AR201" i="4"/>
  <c r="AS201" i="4"/>
  <c r="AQ202" i="4"/>
  <c r="AR202" i="4"/>
  <c r="AS202" i="4"/>
  <c r="AQ203" i="4"/>
  <c r="AR203" i="4"/>
  <c r="AS203" i="4"/>
  <c r="AQ204" i="4"/>
  <c r="AR204" i="4"/>
  <c r="AS204" i="4"/>
  <c r="AQ205" i="4"/>
  <c r="AR205" i="4"/>
  <c r="AS205" i="4"/>
  <c r="AQ206" i="4"/>
  <c r="AR206" i="4"/>
  <c r="AS206" i="4"/>
  <c r="AQ207" i="4"/>
  <c r="AR207" i="4"/>
  <c r="AS207" i="4"/>
  <c r="AQ208" i="4"/>
  <c r="AR208" i="4"/>
  <c r="AS208" i="4"/>
  <c r="AQ209" i="4"/>
  <c r="AR209" i="4"/>
  <c r="AS209" i="4"/>
  <c r="AQ210" i="4"/>
  <c r="AR210" i="4"/>
  <c r="AS210" i="4"/>
  <c r="AQ211" i="4"/>
  <c r="AR211" i="4"/>
  <c r="AS211" i="4"/>
  <c r="AQ212" i="4"/>
  <c r="AR212" i="4"/>
  <c r="AS212" i="4"/>
  <c r="AQ213" i="4"/>
  <c r="AR213" i="4"/>
  <c r="AS213" i="4"/>
  <c r="AQ214" i="4"/>
  <c r="AR214" i="4"/>
  <c r="AS214" i="4"/>
  <c r="AQ215" i="4"/>
  <c r="AR215" i="4"/>
  <c r="AS215" i="4"/>
  <c r="AQ216" i="4"/>
  <c r="AR216" i="4"/>
  <c r="AS216" i="4"/>
  <c r="AQ217" i="4"/>
  <c r="AR217" i="4"/>
  <c r="AS217" i="4"/>
  <c r="AQ218" i="4"/>
  <c r="AR218" i="4"/>
  <c r="AS218" i="4"/>
  <c r="AQ219" i="4"/>
  <c r="AR219" i="4"/>
  <c r="AS219" i="4"/>
  <c r="AQ220" i="4"/>
  <c r="AR220" i="4"/>
  <c r="AS220" i="4"/>
  <c r="AQ221" i="4"/>
  <c r="AR221" i="4"/>
  <c r="AS221" i="4"/>
  <c r="AQ222" i="4"/>
  <c r="AR222" i="4"/>
  <c r="AS222" i="4"/>
  <c r="AQ223" i="4"/>
  <c r="AR223" i="4"/>
  <c r="AS223" i="4"/>
  <c r="AQ224" i="4"/>
  <c r="AR224" i="4"/>
  <c r="AS224" i="4"/>
  <c r="AQ225" i="4"/>
  <c r="AR225" i="4"/>
  <c r="AS225" i="4"/>
  <c r="AQ226" i="4"/>
  <c r="AR226" i="4"/>
  <c r="AS226" i="4"/>
  <c r="AQ227" i="4"/>
  <c r="AR227" i="4"/>
  <c r="AS227" i="4"/>
  <c r="AQ228" i="4"/>
  <c r="AR228" i="4"/>
  <c r="AS228" i="4"/>
  <c r="AQ229" i="4"/>
  <c r="AR229" i="4"/>
  <c r="AS229" i="4"/>
  <c r="AQ230" i="4"/>
  <c r="AR230" i="4"/>
  <c r="AS230" i="4"/>
  <c r="AQ231" i="4"/>
  <c r="AR231" i="4"/>
  <c r="AS231" i="4"/>
  <c r="AQ232" i="4"/>
  <c r="AR232" i="4"/>
  <c r="AS232" i="4"/>
  <c r="AQ233" i="4"/>
  <c r="AR233" i="4"/>
  <c r="AS233" i="4"/>
  <c r="AQ234" i="4"/>
  <c r="AR234" i="4"/>
  <c r="AS234" i="4"/>
  <c r="AQ235" i="4"/>
  <c r="AR235" i="4"/>
  <c r="AS235" i="4"/>
  <c r="AQ236" i="4"/>
  <c r="AR236" i="4"/>
  <c r="AS236" i="4"/>
  <c r="AQ237" i="4"/>
  <c r="AR237" i="4"/>
  <c r="AS237" i="4"/>
  <c r="AQ238" i="4"/>
  <c r="AR238" i="4"/>
  <c r="AS238" i="4"/>
  <c r="AQ239" i="4"/>
  <c r="AR239" i="4"/>
  <c r="AS239" i="4"/>
  <c r="AQ240" i="4"/>
  <c r="AR240" i="4"/>
  <c r="AS240" i="4"/>
  <c r="AQ241" i="4"/>
  <c r="AR241" i="4"/>
  <c r="AS241" i="4"/>
  <c r="AQ242" i="4"/>
  <c r="AR242" i="4"/>
  <c r="AS242" i="4"/>
  <c r="AQ243" i="4"/>
  <c r="AR243" i="4"/>
  <c r="AS243" i="4"/>
  <c r="AQ244" i="4"/>
  <c r="AR244" i="4"/>
  <c r="AS244" i="4"/>
  <c r="AQ245" i="4"/>
  <c r="AR245" i="4"/>
  <c r="AS245" i="4"/>
  <c r="AQ246" i="4"/>
  <c r="AR246" i="4"/>
  <c r="AS246" i="4"/>
  <c r="AQ247" i="4"/>
  <c r="AR247" i="4"/>
  <c r="AS247" i="4"/>
  <c r="AQ248" i="4"/>
  <c r="AR248" i="4"/>
  <c r="AS248" i="4"/>
  <c r="AQ249" i="4"/>
  <c r="AR249" i="4"/>
  <c r="AS249" i="4"/>
  <c r="AQ250" i="4"/>
  <c r="AQ251" i="4"/>
  <c r="AR251" i="4"/>
  <c r="AS251" i="4"/>
  <c r="AQ252" i="4"/>
  <c r="AR252" i="4"/>
  <c r="AS252" i="4"/>
  <c r="AQ253" i="4"/>
  <c r="AR253" i="4"/>
  <c r="AS253" i="4"/>
  <c r="AQ254" i="4"/>
  <c r="AR254" i="4"/>
  <c r="AS254" i="4"/>
  <c r="AQ255" i="4"/>
  <c r="AR255" i="4"/>
  <c r="AS255" i="4"/>
  <c r="AQ256" i="4"/>
  <c r="AR256" i="4"/>
  <c r="AS256" i="4"/>
  <c r="AQ257" i="4"/>
  <c r="AR257" i="4"/>
  <c r="AS257" i="4"/>
  <c r="AQ258" i="4"/>
  <c r="AR258" i="4"/>
  <c r="AS258" i="4"/>
  <c r="AQ259" i="4"/>
  <c r="AR259" i="4"/>
  <c r="AS259" i="4"/>
  <c r="AQ260" i="4"/>
  <c r="AR260" i="4"/>
  <c r="AS260" i="4"/>
  <c r="AQ261" i="4"/>
  <c r="AR261" i="4"/>
  <c r="AS261" i="4"/>
  <c r="AQ262" i="4"/>
  <c r="AR262" i="4"/>
  <c r="AS262" i="4"/>
  <c r="AQ263" i="4"/>
  <c r="AR263" i="4"/>
  <c r="AS263" i="4"/>
  <c r="AQ264" i="4"/>
  <c r="AR264" i="4"/>
  <c r="AS264" i="4"/>
  <c r="AQ265" i="4"/>
  <c r="AR265" i="4"/>
  <c r="AS265" i="4"/>
  <c r="AQ266" i="4"/>
  <c r="AR266" i="4"/>
  <c r="AS266" i="4"/>
  <c r="AQ267" i="4"/>
  <c r="AR267" i="4"/>
  <c r="AS267" i="4"/>
  <c r="AQ268" i="4"/>
  <c r="AR268" i="4"/>
  <c r="AS268" i="4"/>
  <c r="AQ269" i="4"/>
  <c r="AR269" i="4"/>
  <c r="AS269" i="4"/>
  <c r="AK157" i="4"/>
  <c r="AM157" i="4" s="1"/>
  <c r="AL157" i="4"/>
  <c r="AK158" i="4"/>
  <c r="AM158" i="4" s="1"/>
  <c r="AL158" i="4"/>
  <c r="AK159" i="4"/>
  <c r="AL159" i="4"/>
  <c r="AK160" i="4"/>
  <c r="AM160" i="4" s="1"/>
  <c r="AL160" i="4"/>
  <c r="AK161" i="4"/>
  <c r="AM161" i="4" s="1"/>
  <c r="AL161" i="4"/>
  <c r="AK162" i="4"/>
  <c r="AM162" i="4" s="1"/>
  <c r="AL162" i="4"/>
  <c r="AK163" i="4"/>
  <c r="AM163" i="4" s="1"/>
  <c r="AL163" i="4"/>
  <c r="AK164" i="4"/>
  <c r="AM164" i="4" s="1"/>
  <c r="AL164" i="4"/>
  <c r="AK165" i="4"/>
  <c r="AM165" i="4" s="1"/>
  <c r="AL165" i="4"/>
  <c r="AK166" i="4"/>
  <c r="AM166" i="4" s="1"/>
  <c r="AL166" i="4"/>
  <c r="AK167" i="4"/>
  <c r="AM167" i="4" s="1"/>
  <c r="AL167" i="4"/>
  <c r="AK168" i="4"/>
  <c r="AM168" i="4" s="1"/>
  <c r="AL168" i="4"/>
  <c r="AK169" i="4"/>
  <c r="AM169" i="4" s="1"/>
  <c r="AL169" i="4"/>
  <c r="AK170" i="4"/>
  <c r="AM170" i="4" s="1"/>
  <c r="AL170" i="4"/>
  <c r="AK171" i="4"/>
  <c r="AM171" i="4" s="1"/>
  <c r="AL171" i="4"/>
  <c r="AK172" i="4"/>
  <c r="AM172" i="4" s="1"/>
  <c r="AL172" i="4"/>
  <c r="AK173" i="4"/>
  <c r="AM173" i="4" s="1"/>
  <c r="AL173" i="4"/>
  <c r="AK174" i="4"/>
  <c r="AM174" i="4" s="1"/>
  <c r="AL174" i="4"/>
  <c r="AK175" i="4"/>
  <c r="AM175" i="4" s="1"/>
  <c r="AL175" i="4"/>
  <c r="AK176" i="4"/>
  <c r="AM176" i="4" s="1"/>
  <c r="AL176" i="4"/>
  <c r="AK177" i="4"/>
  <c r="AM177" i="4" s="1"/>
  <c r="AL177" i="4"/>
  <c r="AK178" i="4"/>
  <c r="AM178" i="4" s="1"/>
  <c r="AL178" i="4"/>
  <c r="AK179" i="4"/>
  <c r="AM179" i="4" s="1"/>
  <c r="AL179" i="4"/>
  <c r="AK180" i="4"/>
  <c r="AM180" i="4" s="1"/>
  <c r="AL180" i="4"/>
  <c r="AK181" i="4"/>
  <c r="AL181" i="4"/>
  <c r="AK182" i="4"/>
  <c r="AM182" i="4" s="1"/>
  <c r="AL182" i="4"/>
  <c r="AK183" i="4"/>
  <c r="AM183" i="4" s="1"/>
  <c r="AL183" i="4"/>
  <c r="AK184" i="4"/>
  <c r="AM184" i="4" s="1"/>
  <c r="AL184" i="4"/>
  <c r="AK185" i="4"/>
  <c r="AM185" i="4" s="1"/>
  <c r="AL185" i="4"/>
  <c r="AK186" i="4"/>
  <c r="AM186" i="4" s="1"/>
  <c r="AL186" i="4"/>
  <c r="AK187" i="4"/>
  <c r="AM187" i="4" s="1"/>
  <c r="AL187" i="4"/>
  <c r="AK188" i="4"/>
  <c r="AM188" i="4" s="1"/>
  <c r="AL188" i="4"/>
  <c r="AK189" i="4"/>
  <c r="AM189" i="4" s="1"/>
  <c r="AL189" i="4"/>
  <c r="AK190" i="4"/>
  <c r="AM190" i="4" s="1"/>
  <c r="AL190" i="4"/>
  <c r="AK191" i="4"/>
  <c r="AM191" i="4" s="1"/>
  <c r="AL191" i="4"/>
  <c r="AK192" i="4"/>
  <c r="AM192" i="4" s="1"/>
  <c r="AL192" i="4"/>
  <c r="AK193" i="4"/>
  <c r="AM193" i="4" s="1"/>
  <c r="AL193" i="4"/>
  <c r="AK194" i="4"/>
  <c r="AM194" i="4" s="1"/>
  <c r="AL194" i="4"/>
  <c r="AK195" i="4"/>
  <c r="AM195" i="4" s="1"/>
  <c r="AL195" i="4"/>
  <c r="AK196" i="4"/>
  <c r="AM196" i="4" s="1"/>
  <c r="AL196" i="4"/>
  <c r="AK197" i="4"/>
  <c r="AM197" i="4" s="1"/>
  <c r="AL197" i="4"/>
  <c r="AK198" i="4"/>
  <c r="AL198" i="4"/>
  <c r="AK199" i="4"/>
  <c r="AM199" i="4" s="1"/>
  <c r="AL199" i="4"/>
  <c r="AK200" i="4"/>
  <c r="AM200" i="4" s="1"/>
  <c r="AL200" i="4"/>
  <c r="AK201" i="4"/>
  <c r="AL201" i="4"/>
  <c r="AK202" i="4"/>
  <c r="AM202" i="4" s="1"/>
  <c r="AL202" i="4"/>
  <c r="AK203" i="4"/>
  <c r="AM203" i="4" s="1"/>
  <c r="AL203" i="4"/>
  <c r="AK204" i="4"/>
  <c r="AL204" i="4"/>
  <c r="AK205" i="4"/>
  <c r="AM205" i="4" s="1"/>
  <c r="AL205" i="4"/>
  <c r="AK206" i="4"/>
  <c r="AM206" i="4" s="1"/>
  <c r="AL206" i="4"/>
  <c r="AK207" i="4"/>
  <c r="AL207" i="4"/>
  <c r="AK208" i="4"/>
  <c r="AM208" i="4" s="1"/>
  <c r="AL208" i="4"/>
  <c r="AK209" i="4"/>
  <c r="AM209" i="4" s="1"/>
  <c r="AL209" i="4"/>
  <c r="AK210" i="4"/>
  <c r="AL210" i="4"/>
  <c r="AK211" i="4"/>
  <c r="AM211" i="4" s="1"/>
  <c r="AL211" i="4"/>
  <c r="AK212" i="4"/>
  <c r="AL212" i="4"/>
  <c r="AK213" i="4"/>
  <c r="AM213" i="4" s="1"/>
  <c r="AL213" i="4"/>
  <c r="AK214" i="4"/>
  <c r="AM214" i="4" s="1"/>
  <c r="AL214" i="4"/>
  <c r="AK215" i="4"/>
  <c r="AL215" i="4"/>
  <c r="AK216" i="4"/>
  <c r="AM216" i="4" s="1"/>
  <c r="AL216" i="4"/>
  <c r="AK217" i="4"/>
  <c r="AM217" i="4" s="1"/>
  <c r="AL217" i="4"/>
  <c r="AK218" i="4"/>
  <c r="AL218" i="4"/>
  <c r="AK219" i="4"/>
  <c r="AM219" i="4" s="1"/>
  <c r="AL219" i="4"/>
  <c r="AK220" i="4"/>
  <c r="AM220" i="4" s="1"/>
  <c r="AL220" i="4"/>
  <c r="AK221" i="4"/>
  <c r="AL221" i="4"/>
  <c r="AK222" i="4"/>
  <c r="AM222" i="4" s="1"/>
  <c r="AL222" i="4"/>
  <c r="AK223" i="4"/>
  <c r="AL223" i="4"/>
  <c r="AK224" i="4"/>
  <c r="AM224" i="4" s="1"/>
  <c r="AL224" i="4"/>
  <c r="AK225" i="4"/>
  <c r="AM225" i="4" s="1"/>
  <c r="AL225" i="4"/>
  <c r="AK226" i="4"/>
  <c r="AL226" i="4"/>
  <c r="AK227" i="4"/>
  <c r="AM227" i="4" s="1"/>
  <c r="AL227" i="4"/>
  <c r="AK228" i="4"/>
  <c r="AM228" i="4" s="1"/>
  <c r="AL228" i="4"/>
  <c r="AK229" i="4"/>
  <c r="AL229" i="4"/>
  <c r="AK230" i="4"/>
  <c r="AM230" i="4" s="1"/>
  <c r="AL230" i="4"/>
  <c r="AK231" i="4"/>
  <c r="AM231" i="4" s="1"/>
  <c r="AL231" i="4"/>
  <c r="AK232" i="4"/>
  <c r="AL232" i="4"/>
  <c r="AK233" i="4"/>
  <c r="AM233" i="4" s="1"/>
  <c r="AL233" i="4"/>
  <c r="AK234" i="4"/>
  <c r="AM234" i="4" s="1"/>
  <c r="AL234" i="4"/>
  <c r="AK235" i="4"/>
  <c r="AL235" i="4"/>
  <c r="AK236" i="4"/>
  <c r="AM236" i="4" s="1"/>
  <c r="AL236" i="4"/>
  <c r="AK237" i="4"/>
  <c r="AM237" i="4" s="1"/>
  <c r="AL237" i="4"/>
  <c r="AK238" i="4"/>
  <c r="AL238" i="4"/>
  <c r="AK239" i="4"/>
  <c r="AM239" i="4" s="1"/>
  <c r="AL239" i="4"/>
  <c r="AK240" i="4"/>
  <c r="AL240" i="4"/>
  <c r="AK241" i="4"/>
  <c r="AL241" i="4"/>
  <c r="AK242" i="4"/>
  <c r="AM242" i="4" s="1"/>
  <c r="AL242" i="4"/>
  <c r="AK243" i="4"/>
  <c r="AM243" i="4" s="1"/>
  <c r="AL243" i="4"/>
  <c r="AK244" i="4"/>
  <c r="AL244" i="4"/>
  <c r="AK245" i="4"/>
  <c r="AM245" i="4" s="1"/>
  <c r="AL245" i="4"/>
  <c r="AK246" i="4"/>
  <c r="AM246" i="4" s="1"/>
  <c r="AL246" i="4"/>
  <c r="AK247" i="4"/>
  <c r="AL247" i="4"/>
  <c r="AK248" i="4"/>
  <c r="AM248" i="4" s="1"/>
  <c r="AL248" i="4"/>
  <c r="AK249" i="4"/>
  <c r="AM249" i="4" s="1"/>
  <c r="AL249" i="4"/>
  <c r="AK250" i="4"/>
  <c r="AL250" i="4"/>
  <c r="AK251" i="4"/>
  <c r="AM251" i="4" s="1"/>
  <c r="AL251" i="4"/>
  <c r="AK252" i="4"/>
  <c r="AM252" i="4" s="1"/>
  <c r="AL252" i="4"/>
  <c r="AK253" i="4"/>
  <c r="AL253" i="4"/>
  <c r="AK254" i="4"/>
  <c r="AM254" i="4" s="1"/>
  <c r="AL254" i="4"/>
  <c r="AK255" i="4"/>
  <c r="AL255" i="4"/>
  <c r="AK256" i="4"/>
  <c r="AL256" i="4"/>
  <c r="AK257" i="4"/>
  <c r="AM257" i="4" s="1"/>
  <c r="AL257" i="4"/>
  <c r="AK258" i="4"/>
  <c r="AM258" i="4" s="1"/>
  <c r="AL258" i="4"/>
  <c r="AK259" i="4"/>
  <c r="AL259" i="4"/>
  <c r="AK260" i="4"/>
  <c r="AM260" i="4" s="1"/>
  <c r="AL260" i="4"/>
  <c r="AK261" i="4"/>
  <c r="AM261" i="4" s="1"/>
  <c r="AL261" i="4"/>
  <c r="AK262" i="4"/>
  <c r="AL262" i="4"/>
  <c r="AK263" i="4"/>
  <c r="AM263" i="4" s="1"/>
  <c r="AL263" i="4"/>
  <c r="AK264" i="4"/>
  <c r="AM264" i="4" s="1"/>
  <c r="AL264" i="4"/>
  <c r="AK265" i="4"/>
  <c r="AL265" i="4"/>
  <c r="AK266" i="4"/>
  <c r="AM266" i="4" s="1"/>
  <c r="AL266" i="4"/>
  <c r="AK267" i="4"/>
  <c r="AM267" i="4" s="1"/>
  <c r="AL267" i="4"/>
  <c r="AK268" i="4"/>
  <c r="AM268" i="4" s="1"/>
  <c r="AL268" i="4"/>
  <c r="AK269" i="4"/>
  <c r="AL269" i="4"/>
  <c r="AK270" i="4"/>
  <c r="AM270" i="4" s="1"/>
  <c r="AL270" i="4"/>
  <c r="Q157" i="4"/>
  <c r="R157" i="4" s="1"/>
  <c r="Q158" i="4"/>
  <c r="Q159" i="4"/>
  <c r="R159" i="4" s="1"/>
  <c r="Q160" i="4"/>
  <c r="Q161" i="4"/>
  <c r="R161" i="4" s="1"/>
  <c r="Q162" i="4"/>
  <c r="R162" i="4" s="1"/>
  <c r="Q163" i="4"/>
  <c r="R163" i="4" s="1"/>
  <c r="Q164" i="4"/>
  <c r="R164" i="4" s="1"/>
  <c r="Q166" i="4"/>
  <c r="R166" i="4" s="1"/>
  <c r="Q167" i="4"/>
  <c r="Q168" i="4"/>
  <c r="R168" i="4" s="1"/>
  <c r="Q169" i="4"/>
  <c r="R169" i="4" s="1"/>
  <c r="Q170" i="4"/>
  <c r="Q172" i="4"/>
  <c r="Q173" i="4"/>
  <c r="R173" i="4" s="1"/>
  <c r="Q175" i="4"/>
  <c r="Q176" i="4"/>
  <c r="Q177" i="4"/>
  <c r="R177" i="4" s="1"/>
  <c r="AN177" i="4" s="1"/>
  <c r="Q178" i="4"/>
  <c r="Q181" i="4"/>
  <c r="R181" i="4" s="1"/>
  <c r="Q183" i="4"/>
  <c r="R183" i="4" s="1"/>
  <c r="Q185" i="4"/>
  <c r="Q187" i="4"/>
  <c r="R187" i="4" s="1"/>
  <c r="Q188" i="4"/>
  <c r="R188" i="4" s="1"/>
  <c r="AN188" i="4" s="1"/>
  <c r="Q189" i="4"/>
  <c r="R189" i="4" s="1"/>
  <c r="Q190" i="4"/>
  <c r="Q192" i="4"/>
  <c r="R192" i="4" s="1"/>
  <c r="Q193" i="4"/>
  <c r="R193" i="4" s="1"/>
  <c r="Q195" i="4"/>
  <c r="R195" i="4" s="1"/>
  <c r="Q196" i="4"/>
  <c r="Q197" i="4"/>
  <c r="R197" i="4" s="1"/>
  <c r="Q198" i="4"/>
  <c r="R198" i="4" s="1"/>
  <c r="Q200" i="4"/>
  <c r="R200" i="4" s="1"/>
  <c r="Q201" i="4"/>
  <c r="R201" i="4" s="1"/>
  <c r="Q202" i="4"/>
  <c r="R202" i="4" s="1"/>
  <c r="Q203" i="4"/>
  <c r="Q204" i="4"/>
  <c r="R204" i="4" s="1"/>
  <c r="Q205" i="4"/>
  <c r="R205" i="4" s="1"/>
  <c r="Q206" i="4"/>
  <c r="R206" i="4" s="1"/>
  <c r="AN206" i="4" s="1"/>
  <c r="Q207" i="4"/>
  <c r="R207" i="4" s="1"/>
  <c r="Q208" i="4"/>
  <c r="Q209" i="4"/>
  <c r="R209" i="4" s="1"/>
  <c r="Q210" i="4"/>
  <c r="R210" i="4" s="1"/>
  <c r="Q211" i="4"/>
  <c r="R211" i="4" s="1"/>
  <c r="Q212" i="4"/>
  <c r="Q213" i="4"/>
  <c r="R213" i="4" s="1"/>
  <c r="Q214" i="4"/>
  <c r="Q215" i="4"/>
  <c r="R215" i="4" s="1"/>
  <c r="Q216" i="4"/>
  <c r="R216" i="4" s="1"/>
  <c r="Q217" i="4"/>
  <c r="R217" i="4" s="1"/>
  <c r="Q218" i="4"/>
  <c r="R218" i="4" s="1"/>
  <c r="Q219" i="4"/>
  <c r="R219" i="4" s="1"/>
  <c r="Q220" i="4"/>
  <c r="R220" i="4" s="1"/>
  <c r="Q221" i="4"/>
  <c r="Q222" i="4"/>
  <c r="R222" i="4" s="1"/>
  <c r="Q223" i="4"/>
  <c r="R223" i="4" s="1"/>
  <c r="Q224" i="4"/>
  <c r="R224" i="4" s="1"/>
  <c r="Q225" i="4"/>
  <c r="R225" i="4" s="1"/>
  <c r="Q226" i="4"/>
  <c r="Q227" i="4"/>
  <c r="R227" i="4" s="1"/>
  <c r="Q228" i="4"/>
  <c r="R228" i="4" s="1"/>
  <c r="Q229" i="4"/>
  <c r="Q230" i="4"/>
  <c r="Q231" i="4"/>
  <c r="R231" i="4" s="1"/>
  <c r="Q232" i="4"/>
  <c r="Q233" i="4"/>
  <c r="R233" i="4" s="1"/>
  <c r="Q234" i="4"/>
  <c r="R234" i="4" s="1"/>
  <c r="Q235" i="4"/>
  <c r="R235" i="4" s="1"/>
  <c r="Q236" i="4"/>
  <c r="R236" i="4" s="1"/>
  <c r="Q237" i="4"/>
  <c r="R237" i="4" s="1"/>
  <c r="Q238" i="4"/>
  <c r="R238" i="4" s="1"/>
  <c r="Q239" i="4"/>
  <c r="Q240" i="4"/>
  <c r="R240" i="4" s="1"/>
  <c r="Q241" i="4"/>
  <c r="R241" i="4" s="1"/>
  <c r="Q242" i="4"/>
  <c r="Q243" i="4"/>
  <c r="R243" i="4" s="1"/>
  <c r="Q244" i="4"/>
  <c r="Q245" i="4"/>
  <c r="R245" i="4" s="1"/>
  <c r="Q246" i="4"/>
  <c r="R246" i="4" s="1"/>
  <c r="Q247" i="4"/>
  <c r="R247" i="4" s="1"/>
  <c r="Q248" i="4"/>
  <c r="Q249" i="4"/>
  <c r="R249" i="4" s="1"/>
  <c r="Q250" i="4"/>
  <c r="Q251" i="4"/>
  <c r="R251" i="4" s="1"/>
  <c r="Q252" i="4"/>
  <c r="R252" i="4" s="1"/>
  <c r="Q253" i="4"/>
  <c r="R253" i="4" s="1"/>
  <c r="Q254" i="4"/>
  <c r="R254" i="4" s="1"/>
  <c r="Q255" i="4"/>
  <c r="R255" i="4" s="1"/>
  <c r="Q256" i="4"/>
  <c r="R256" i="4" s="1"/>
  <c r="Q257" i="4"/>
  <c r="Q258" i="4"/>
  <c r="R258" i="4" s="1"/>
  <c r="Q259" i="4"/>
  <c r="R259" i="4" s="1"/>
  <c r="Q260" i="4"/>
  <c r="R260" i="4" s="1"/>
  <c r="Q261" i="4"/>
  <c r="R261" i="4" s="1"/>
  <c r="Q262" i="4"/>
  <c r="Q263" i="4"/>
  <c r="R263" i="4" s="1"/>
  <c r="Q264" i="4"/>
  <c r="R264" i="4" s="1"/>
  <c r="Q265" i="4"/>
  <c r="Q266" i="4"/>
  <c r="Q267" i="4"/>
  <c r="Q268" i="4"/>
  <c r="Q269" i="4"/>
  <c r="J159" i="4"/>
  <c r="K159" i="4" s="1"/>
  <c r="L159" i="4" s="1"/>
  <c r="J160" i="4"/>
  <c r="K160" i="4" s="1"/>
  <c r="J161" i="4"/>
  <c r="J162" i="4"/>
  <c r="K162" i="4" s="1"/>
  <c r="BD162" i="4" s="1"/>
  <c r="J163" i="4"/>
  <c r="BE163" i="4" s="1"/>
  <c r="J164" i="4"/>
  <c r="J165" i="4"/>
  <c r="J166" i="4"/>
  <c r="BE166" i="4" s="1"/>
  <c r="J167" i="4"/>
  <c r="J168" i="4"/>
  <c r="J169" i="4"/>
  <c r="BE169" i="4" s="1"/>
  <c r="J170" i="4"/>
  <c r="J171" i="4"/>
  <c r="J172" i="4"/>
  <c r="BE172" i="4" s="1"/>
  <c r="J173" i="4"/>
  <c r="J174" i="4"/>
  <c r="J175" i="4"/>
  <c r="BE175" i="4" s="1"/>
  <c r="J176" i="4"/>
  <c r="J177" i="4"/>
  <c r="J178" i="4"/>
  <c r="BE178" i="4" s="1"/>
  <c r="J179" i="4"/>
  <c r="J180" i="4"/>
  <c r="J181" i="4"/>
  <c r="BE181" i="4" s="1"/>
  <c r="J182" i="4"/>
  <c r="J183" i="4"/>
  <c r="J184" i="4"/>
  <c r="BE184" i="4" s="1"/>
  <c r="BS11" i="86" s="1"/>
  <c r="J185" i="4"/>
  <c r="J186" i="4"/>
  <c r="J187" i="4"/>
  <c r="BE187" i="4" s="1"/>
  <c r="J188" i="4"/>
  <c r="J189" i="4"/>
  <c r="J190" i="4"/>
  <c r="BE190" i="4" s="1"/>
  <c r="BU11" i="86" s="1"/>
  <c r="J191" i="4"/>
  <c r="J192" i="4"/>
  <c r="J193" i="4"/>
  <c r="BE193" i="4" s="1"/>
  <c r="J194" i="4"/>
  <c r="J195" i="4"/>
  <c r="J196" i="4"/>
  <c r="BE196" i="4" s="1"/>
  <c r="J197" i="4"/>
  <c r="J198" i="4"/>
  <c r="J199" i="4"/>
  <c r="BE199" i="4" s="1"/>
  <c r="J200" i="4"/>
  <c r="J201" i="4"/>
  <c r="J202" i="4"/>
  <c r="BE202" i="4" s="1"/>
  <c r="J203" i="4"/>
  <c r="J204" i="4"/>
  <c r="J205" i="4"/>
  <c r="BE205" i="4" s="1"/>
  <c r="J206" i="4"/>
  <c r="J207" i="4"/>
  <c r="J208" i="4"/>
  <c r="BE208" i="4" s="1"/>
  <c r="J209" i="4"/>
  <c r="J210" i="4"/>
  <c r="J211" i="4"/>
  <c r="BE211" i="4" s="1"/>
  <c r="J212" i="4"/>
  <c r="J213" i="4"/>
  <c r="BE213" i="4" s="1"/>
  <c r="J214" i="4"/>
  <c r="J215" i="4"/>
  <c r="J216" i="4"/>
  <c r="BE216" i="4" s="1"/>
  <c r="J217" i="4"/>
  <c r="BE217" i="4" s="1"/>
  <c r="J218" i="4"/>
  <c r="J219" i="4"/>
  <c r="BE219" i="4" s="1"/>
  <c r="J220" i="4"/>
  <c r="BE220" i="4" s="1"/>
  <c r="J221" i="4"/>
  <c r="J222" i="4"/>
  <c r="BE222" i="4" s="1"/>
  <c r="J223" i="4"/>
  <c r="BE223" i="4" s="1"/>
  <c r="J224" i="4"/>
  <c r="J225" i="4"/>
  <c r="J226" i="4"/>
  <c r="BE226" i="4" s="1"/>
  <c r="J227" i="4"/>
  <c r="J228" i="4"/>
  <c r="BE228" i="4" s="1"/>
  <c r="J229" i="4"/>
  <c r="BE229" i="4" s="1"/>
  <c r="J230" i="4"/>
  <c r="J231" i="4"/>
  <c r="BE231" i="4" s="1"/>
  <c r="J232" i="4"/>
  <c r="J233" i="4"/>
  <c r="J234" i="4"/>
  <c r="BE234" i="4" s="1"/>
  <c r="J235" i="4"/>
  <c r="BE235" i="4" s="1"/>
  <c r="J236" i="4"/>
  <c r="K236" i="4" s="1"/>
  <c r="L236" i="4" s="1"/>
  <c r="J237" i="4"/>
  <c r="BE237" i="4" s="1"/>
  <c r="J238" i="4"/>
  <c r="K238" i="4" s="1"/>
  <c r="J239" i="4"/>
  <c r="J240" i="4"/>
  <c r="BE240" i="4" s="1"/>
  <c r="CL11" i="86" s="1"/>
  <c r="J241" i="4"/>
  <c r="BE241" i="4" s="1"/>
  <c r="J242" i="4"/>
  <c r="K242" i="4" s="1"/>
  <c r="L242" i="4" s="1"/>
  <c r="J243" i="4"/>
  <c r="J244" i="4"/>
  <c r="BE244" i="4" s="1"/>
  <c r="J245" i="4"/>
  <c r="K245" i="4" s="1"/>
  <c r="L245" i="4" s="1"/>
  <c r="J246" i="4"/>
  <c r="BE246" i="4" s="1"/>
  <c r="J247" i="4"/>
  <c r="BE247" i="4" s="1"/>
  <c r="J248" i="4"/>
  <c r="K248" i="4" s="1"/>
  <c r="L248" i="4" s="1"/>
  <c r="J249" i="4"/>
  <c r="BE249" i="4" s="1"/>
  <c r="J250" i="4"/>
  <c r="J251" i="4"/>
  <c r="J252" i="4"/>
  <c r="K252" i="4" s="1"/>
  <c r="J253" i="4"/>
  <c r="BE253" i="4" s="1"/>
  <c r="J254" i="4"/>
  <c r="K254" i="4" s="1"/>
  <c r="L254" i="4" s="1"/>
  <c r="J255" i="4"/>
  <c r="J256" i="4"/>
  <c r="BE256" i="4" s="1"/>
  <c r="J257" i="4"/>
  <c r="J258" i="4"/>
  <c r="BE258" i="4" s="1"/>
  <c r="J259" i="4"/>
  <c r="BE259" i="4" s="1"/>
  <c r="J260" i="4"/>
  <c r="K260" i="4" s="1"/>
  <c r="L260" i="4" s="1"/>
  <c r="J261" i="4"/>
  <c r="J262" i="4"/>
  <c r="J263" i="4"/>
  <c r="K263" i="4" s="1"/>
  <c r="BD263" i="4" s="1"/>
  <c r="J264" i="4"/>
  <c r="BE264" i="4" s="1"/>
  <c r="BE265" i="4"/>
  <c r="BE267" i="4"/>
  <c r="J270" i="4"/>
  <c r="K270" i="4" s="1"/>
  <c r="P270" i="4" s="1"/>
  <c r="J157" i="4"/>
  <c r="BE157" i="4" s="1"/>
  <c r="J158" i="4"/>
  <c r="M75" i="82"/>
  <c r="F75" i="82"/>
  <c r="I72" i="82"/>
  <c r="M70" i="82"/>
  <c r="M69" i="82"/>
  <c r="I69" i="82"/>
  <c r="BF6" i="86"/>
  <c r="BE6" i="86"/>
  <c r="BD6" i="86"/>
  <c r="BC6" i="86"/>
  <c r="BB6" i="86"/>
  <c r="BA6" i="86"/>
  <c r="E148" i="4"/>
  <c r="DK15" i="86" l="1"/>
  <c r="DK16" i="86"/>
  <c r="F7" i="67"/>
  <c r="DG12" i="86"/>
  <c r="DB16" i="86"/>
  <c r="BA191" i="4"/>
  <c r="BC191" i="4" s="1"/>
  <c r="DG15" i="86"/>
  <c r="DG17" i="86" s="1"/>
  <c r="DA16" i="86"/>
  <c r="DA17" i="86" s="1"/>
  <c r="DA12" i="86"/>
  <c r="DB15" i="86"/>
  <c r="DJ15" i="86"/>
  <c r="DJ17" i="86" s="1"/>
  <c r="DJ12" i="86"/>
  <c r="BA199" i="4"/>
  <c r="BC199" i="4" s="1"/>
  <c r="BW9" i="86" s="1"/>
  <c r="CZ15" i="86"/>
  <c r="CZ17" i="86" s="1"/>
  <c r="CZ12" i="86"/>
  <c r="Q199" i="4"/>
  <c r="R199" i="4" s="1"/>
  <c r="AP199" i="4" s="1"/>
  <c r="Q165" i="4"/>
  <c r="R165" i="4" s="1"/>
  <c r="AP165" i="4" s="1"/>
  <c r="DI12" i="86"/>
  <c r="DI15" i="86"/>
  <c r="DI17" i="86" s="1"/>
  <c r="DC17" i="86"/>
  <c r="DD12" i="86"/>
  <c r="DD16" i="86"/>
  <c r="DD15" i="86"/>
  <c r="DF16" i="86"/>
  <c r="DF12" i="86"/>
  <c r="DF15" i="86"/>
  <c r="DH16" i="86"/>
  <c r="DH12" i="86"/>
  <c r="DH15" i="86"/>
  <c r="DE17" i="86"/>
  <c r="CY16" i="86"/>
  <c r="CY12" i="86"/>
  <c r="CY15" i="86"/>
  <c r="BA182" i="4"/>
  <c r="BC182" i="4" s="1"/>
  <c r="BR9" i="86" s="1"/>
  <c r="E6" i="67"/>
  <c r="AM181" i="4"/>
  <c r="AP181" i="4" s="1"/>
  <c r="E7" i="67"/>
  <c r="AM265" i="4"/>
  <c r="CV7" i="86"/>
  <c r="CV9" i="86"/>
  <c r="AM269" i="4"/>
  <c r="CW7" i="86"/>
  <c r="R265" i="4"/>
  <c r="AN265" i="4" s="1"/>
  <c r="R267" i="4"/>
  <c r="AP267" i="4" s="1"/>
  <c r="R269" i="4"/>
  <c r="L266" i="4"/>
  <c r="P266" i="4"/>
  <c r="Q174" i="4"/>
  <c r="R174" i="4" s="1"/>
  <c r="AP174" i="4" s="1"/>
  <c r="Q171" i="4"/>
  <c r="R171" i="4" s="1"/>
  <c r="AP171" i="4" s="1"/>
  <c r="BQ6" i="86"/>
  <c r="CS9" i="86"/>
  <c r="BA179" i="4"/>
  <c r="BC179" i="4" s="1"/>
  <c r="BQ9" i="86" s="1"/>
  <c r="BO6" i="86"/>
  <c r="BN6" i="86"/>
  <c r="BP6" i="86"/>
  <c r="Q179" i="4"/>
  <c r="R179" i="4" s="1"/>
  <c r="AP179" i="4" s="1"/>
  <c r="BS6" i="86"/>
  <c r="Q194" i="4"/>
  <c r="R194" i="4" s="1"/>
  <c r="AN194" i="4" s="1"/>
  <c r="AM259" i="4"/>
  <c r="AP259" i="4" s="1"/>
  <c r="CT7" i="86"/>
  <c r="CT9" i="86"/>
  <c r="Q180" i="4"/>
  <c r="R180" i="4" s="1"/>
  <c r="AP180" i="4" s="1"/>
  <c r="CU9" i="86"/>
  <c r="BL6" i="86"/>
  <c r="AM262" i="4"/>
  <c r="CU7" i="86"/>
  <c r="AM256" i="4"/>
  <c r="AP256" i="4" s="1"/>
  <c r="CS7" i="86"/>
  <c r="BR6" i="86"/>
  <c r="CQ9" i="86"/>
  <c r="CP9" i="86"/>
  <c r="CN9" i="86"/>
  <c r="AM253" i="4"/>
  <c r="AP253" i="4" s="1"/>
  <c r="CQ7" i="86"/>
  <c r="AM250" i="4"/>
  <c r="CP7" i="86"/>
  <c r="AM247" i="4"/>
  <c r="AP247" i="4" s="1"/>
  <c r="CO7" i="86"/>
  <c r="AM244" i="4"/>
  <c r="CN7" i="86"/>
  <c r="AM241" i="4"/>
  <c r="AP241" i="4" s="1"/>
  <c r="CM7" i="86"/>
  <c r="CO9" i="86"/>
  <c r="CM9" i="86"/>
  <c r="AM255" i="4"/>
  <c r="AP255" i="4" s="1"/>
  <c r="CR7" i="86"/>
  <c r="CE9" i="86"/>
  <c r="CC9" i="86"/>
  <c r="AM221" i="4"/>
  <c r="CE7" i="86"/>
  <c r="AM215" i="4"/>
  <c r="AP215" i="4" s="1"/>
  <c r="CC7" i="86"/>
  <c r="CG9" i="86"/>
  <c r="AM238" i="4"/>
  <c r="AP238" i="4" s="1"/>
  <c r="CK7" i="86"/>
  <c r="AM229" i="4"/>
  <c r="CH7" i="86"/>
  <c r="AM223" i="4"/>
  <c r="AP223" i="4" s="1"/>
  <c r="CF7" i="86"/>
  <c r="CD9" i="86"/>
  <c r="CB9" i="86"/>
  <c r="AM218" i="4"/>
  <c r="AP218" i="4" s="1"/>
  <c r="CD7" i="86"/>
  <c r="CK9" i="86"/>
  <c r="AM232" i="4"/>
  <c r="CI7" i="86"/>
  <c r="BZ9" i="86"/>
  <c r="AM240" i="4"/>
  <c r="AP240" i="4" s="1"/>
  <c r="CL7" i="86"/>
  <c r="AM210" i="4"/>
  <c r="AP210" i="4" s="1"/>
  <c r="CA7" i="86"/>
  <c r="AM207" i="4"/>
  <c r="AP207" i="4" s="1"/>
  <c r="BZ7" i="86"/>
  <c r="CJ9" i="86"/>
  <c r="CH9" i="86"/>
  <c r="CF9" i="86"/>
  <c r="AM212" i="4"/>
  <c r="CB7" i="86"/>
  <c r="CI9" i="86"/>
  <c r="AM235" i="4"/>
  <c r="AP235" i="4" s="1"/>
  <c r="CJ7" i="86"/>
  <c r="AM226" i="4"/>
  <c r="CG7" i="86"/>
  <c r="CA9" i="86"/>
  <c r="BP9" i="86"/>
  <c r="BT9" i="86"/>
  <c r="BV9" i="86"/>
  <c r="BO9" i="86"/>
  <c r="BM9" i="86"/>
  <c r="BT7" i="86"/>
  <c r="BT8" i="86" s="1"/>
  <c r="BN9" i="86"/>
  <c r="BM7" i="86"/>
  <c r="BM8" i="86" s="1"/>
  <c r="BP7" i="86"/>
  <c r="BY9" i="86"/>
  <c r="BU7" i="86"/>
  <c r="BU8" i="86" s="1"/>
  <c r="BL9" i="86"/>
  <c r="BN7" i="86"/>
  <c r="BL7" i="86"/>
  <c r="BO7" i="86"/>
  <c r="BQ7" i="86"/>
  <c r="BR7" i="86"/>
  <c r="BV7" i="86"/>
  <c r="AM204" i="4"/>
  <c r="AP204" i="4" s="1"/>
  <c r="BY7" i="86"/>
  <c r="AM201" i="4"/>
  <c r="AP201" i="4" s="1"/>
  <c r="BX7" i="86"/>
  <c r="AM198" i="4"/>
  <c r="AP198" i="4" s="1"/>
  <c r="BW7" i="86"/>
  <c r="BX9" i="86"/>
  <c r="BS7" i="86"/>
  <c r="BA184" i="4"/>
  <c r="BC184" i="4" s="1"/>
  <c r="BF181" i="4"/>
  <c r="BK9" i="86"/>
  <c r="BF175" i="4"/>
  <c r="BJ9" i="86"/>
  <c r="BK7" i="86"/>
  <c r="BK8" i="86" s="1"/>
  <c r="K216" i="4"/>
  <c r="BD216" i="4" s="1"/>
  <c r="AT257" i="4"/>
  <c r="AX257" i="4" s="1"/>
  <c r="AT239" i="4"/>
  <c r="AX239" i="4" s="1"/>
  <c r="AT229" i="4"/>
  <c r="AX229" i="4" s="1"/>
  <c r="AT203" i="4"/>
  <c r="AX203" i="4" s="1"/>
  <c r="AT161" i="4"/>
  <c r="AX161" i="4" s="1"/>
  <c r="K178" i="4"/>
  <c r="BD178" i="4" s="1"/>
  <c r="K253" i="4"/>
  <c r="L253" i="4" s="1"/>
  <c r="K217" i="4"/>
  <c r="BD217" i="4" s="1"/>
  <c r="AT233" i="4"/>
  <c r="AX233" i="4" s="1"/>
  <c r="AT227" i="4"/>
  <c r="AX227" i="4" s="1"/>
  <c r="AT213" i="4"/>
  <c r="AX213" i="4" s="1"/>
  <c r="AT211" i="4"/>
  <c r="AX211" i="4" s="1"/>
  <c r="AT209" i="4"/>
  <c r="AX209" i="4" s="1"/>
  <c r="AT197" i="4"/>
  <c r="AX197" i="4" s="1"/>
  <c r="AT177" i="4"/>
  <c r="AX177" i="4" s="1"/>
  <c r="AT175" i="4"/>
  <c r="AX175" i="4" s="1"/>
  <c r="AT173" i="4"/>
  <c r="AX173" i="4" s="1"/>
  <c r="K247" i="4"/>
  <c r="BD247" i="4" s="1"/>
  <c r="K181" i="4"/>
  <c r="BD181" i="4" s="1"/>
  <c r="AN195" i="4"/>
  <c r="AT264" i="4"/>
  <c r="AX264" i="4" s="1"/>
  <c r="AT238" i="4"/>
  <c r="AX238" i="4" s="1"/>
  <c r="AT236" i="4"/>
  <c r="AX236" i="4" s="1"/>
  <c r="AT230" i="4"/>
  <c r="AX230" i="4" s="1"/>
  <c r="AT202" i="4"/>
  <c r="AX202" i="4" s="1"/>
  <c r="AT172" i="4"/>
  <c r="AX172" i="4" s="1"/>
  <c r="AT170" i="4"/>
  <c r="AX170" i="4" s="1"/>
  <c r="AT168" i="4"/>
  <c r="AX168" i="4" s="1"/>
  <c r="K246" i="4"/>
  <c r="P246" i="4" s="1"/>
  <c r="K235" i="4"/>
  <c r="L235" i="4" s="1"/>
  <c r="K196" i="4"/>
  <c r="P196" i="4" s="1"/>
  <c r="K163" i="4"/>
  <c r="P163" i="4" s="1"/>
  <c r="AP261" i="4"/>
  <c r="AT263" i="4"/>
  <c r="AX263" i="4" s="1"/>
  <c r="AT167" i="4"/>
  <c r="AX167" i="4" s="1"/>
  <c r="K205" i="4"/>
  <c r="BD205" i="4" s="1"/>
  <c r="K190" i="4"/>
  <c r="BD190" i="4" s="1"/>
  <c r="BU10" i="86" s="1"/>
  <c r="BU16" i="86" s="1"/>
  <c r="AN253" i="4"/>
  <c r="R242" i="4"/>
  <c r="AN242" i="4" s="1"/>
  <c r="AN218" i="4"/>
  <c r="AN164" i="4"/>
  <c r="AN260" i="4"/>
  <c r="AN224" i="4"/>
  <c r="AT269" i="4"/>
  <c r="AX269" i="4" s="1"/>
  <c r="AT265" i="4"/>
  <c r="AX265" i="4" s="1"/>
  <c r="AT245" i="4"/>
  <c r="AX245" i="4" s="1"/>
  <c r="AT228" i="4"/>
  <c r="AX228" i="4" s="1"/>
  <c r="AT191" i="4"/>
  <c r="AX191" i="4" s="1"/>
  <c r="AT185" i="4"/>
  <c r="AX185" i="4" s="1"/>
  <c r="AT179" i="4"/>
  <c r="AX179" i="4" s="1"/>
  <c r="K264" i="4"/>
  <c r="L264" i="4" s="1"/>
  <c r="K234" i="4"/>
  <c r="P234" i="4" s="1"/>
  <c r="K199" i="4"/>
  <c r="P199" i="4" s="1"/>
  <c r="AN247" i="4"/>
  <c r="AN193" i="4"/>
  <c r="AN249" i="4"/>
  <c r="AP237" i="4"/>
  <c r="AN231" i="4"/>
  <c r="AP219" i="4"/>
  <c r="AN213" i="4"/>
  <c r="AP195" i="4"/>
  <c r="AP192" i="4"/>
  <c r="AT253" i="4"/>
  <c r="AX253" i="4" s="1"/>
  <c r="AT251" i="4"/>
  <c r="AX251" i="4" s="1"/>
  <c r="AT247" i="4"/>
  <c r="AX247" i="4" s="1"/>
  <c r="AT241" i="4"/>
  <c r="AX241" i="4" s="1"/>
  <c r="AT206" i="4"/>
  <c r="AX206" i="4" s="1"/>
  <c r="AT204" i="4"/>
  <c r="AX204" i="4" s="1"/>
  <c r="K258" i="4"/>
  <c r="BD258" i="4" s="1"/>
  <c r="K228" i="4"/>
  <c r="BD228" i="4" s="1"/>
  <c r="K223" i="4"/>
  <c r="P223" i="4" s="1"/>
  <c r="K208" i="4"/>
  <c r="BD208" i="4" s="1"/>
  <c r="K169" i="4"/>
  <c r="L169" i="4" s="1"/>
  <c r="P263" i="4"/>
  <c r="AN236" i="4"/>
  <c r="AN217" i="4"/>
  <c r="AN182" i="4"/>
  <c r="AN163" i="4"/>
  <c r="AP252" i="4"/>
  <c r="AP186" i="4"/>
  <c r="AP183" i="4"/>
  <c r="AT240" i="4"/>
  <c r="AX240" i="4" s="1"/>
  <c r="AT237" i="4"/>
  <c r="AX237" i="4" s="1"/>
  <c r="AT235" i="4"/>
  <c r="AX235" i="4" s="1"/>
  <c r="AT200" i="4"/>
  <c r="AX200" i="4" s="1"/>
  <c r="AT198" i="4"/>
  <c r="AX198" i="4" s="1"/>
  <c r="BF253" i="4"/>
  <c r="P245" i="4"/>
  <c r="AN211" i="4"/>
  <c r="AP213" i="4"/>
  <c r="AP177" i="4"/>
  <c r="K187" i="4"/>
  <c r="L187" i="4" s="1"/>
  <c r="K172" i="4"/>
  <c r="BD172" i="4" s="1"/>
  <c r="AN254" i="4"/>
  <c r="AN235" i="4"/>
  <c r="R229" i="4"/>
  <c r="AN229" i="4" s="1"/>
  <c r="AN200" i="4"/>
  <c r="AN181" i="4"/>
  <c r="R175" i="4"/>
  <c r="AN175" i="4" s="1"/>
  <c r="R170" i="4"/>
  <c r="AN170" i="4" s="1"/>
  <c r="AP246" i="4"/>
  <c r="AP228" i="4"/>
  <c r="AP168" i="4"/>
  <c r="AT259" i="4"/>
  <c r="AX259" i="4" s="1"/>
  <c r="AT256" i="4"/>
  <c r="AX256" i="4" s="1"/>
  <c r="AT254" i="4"/>
  <c r="AX254" i="4" s="1"/>
  <c r="AT223" i="4"/>
  <c r="AX223" i="4" s="1"/>
  <c r="AT221" i="4"/>
  <c r="AX221" i="4" s="1"/>
  <c r="AT215" i="4"/>
  <c r="AX215" i="4" s="1"/>
  <c r="AT166" i="4"/>
  <c r="AX166" i="4" s="1"/>
  <c r="AT164" i="4"/>
  <c r="AX164" i="4" s="1"/>
  <c r="AT162" i="4"/>
  <c r="AX162" i="4" s="1"/>
  <c r="P268" i="4"/>
  <c r="BE268" i="4"/>
  <c r="BF268" i="4" s="1"/>
  <c r="L238" i="4"/>
  <c r="BD238" i="4"/>
  <c r="P238" i="4"/>
  <c r="BE214" i="4"/>
  <c r="BF214" i="4" s="1"/>
  <c r="K214" i="4"/>
  <c r="K174" i="4"/>
  <c r="BE174" i="4"/>
  <c r="BF174" i="4" s="1"/>
  <c r="BE158" i="4"/>
  <c r="BF158" i="4" s="1"/>
  <c r="K158" i="4"/>
  <c r="BD158" i="4" s="1"/>
  <c r="K257" i="4"/>
  <c r="BE257" i="4"/>
  <c r="BF257" i="4" s="1"/>
  <c r="BE232" i="4"/>
  <c r="K232" i="4"/>
  <c r="K192" i="4"/>
  <c r="BE192" i="4"/>
  <c r="BF192" i="4" s="1"/>
  <c r="K243" i="4"/>
  <c r="BE243" i="4"/>
  <c r="BF243" i="4" s="1"/>
  <c r="K261" i="4"/>
  <c r="BE261" i="4"/>
  <c r="BF261" i="4" s="1"/>
  <c r="K251" i="4"/>
  <c r="BE251" i="4"/>
  <c r="BF251" i="4" s="1"/>
  <c r="K221" i="4"/>
  <c r="BE221" i="4"/>
  <c r="K201" i="4"/>
  <c r="BE201" i="4"/>
  <c r="K262" i="4"/>
  <c r="BE262" i="4"/>
  <c r="K255" i="4"/>
  <c r="BE255" i="4"/>
  <c r="K250" i="4"/>
  <c r="BE250" i="4"/>
  <c r="BE225" i="4"/>
  <c r="BF225" i="4" s="1"/>
  <c r="K225" i="4"/>
  <c r="K210" i="4"/>
  <c r="BE210" i="4"/>
  <c r="BF256" i="4"/>
  <c r="K183" i="4"/>
  <c r="BE183" i="4"/>
  <c r="BF183" i="4" s="1"/>
  <c r="P252" i="4"/>
  <c r="BD252" i="4"/>
  <c r="L252" i="4"/>
  <c r="P269" i="4"/>
  <c r="BE269" i="4"/>
  <c r="K239" i="4"/>
  <c r="BE239" i="4"/>
  <c r="BF239" i="4" s="1"/>
  <c r="K165" i="4"/>
  <c r="BE165" i="4"/>
  <c r="BF165" i="4" s="1"/>
  <c r="BF259" i="4"/>
  <c r="AN222" i="4"/>
  <c r="AN215" i="4"/>
  <c r="AN204" i="4"/>
  <c r="AN197" i="4"/>
  <c r="AN186" i="4"/>
  <c r="AN168" i="4"/>
  <c r="AN161" i="4"/>
  <c r="AT268" i="4"/>
  <c r="AX268" i="4" s="1"/>
  <c r="AT266" i="4"/>
  <c r="AX266" i="4" s="1"/>
  <c r="AT255" i="4"/>
  <c r="AX255" i="4" s="1"/>
  <c r="AT250" i="4"/>
  <c r="AX250" i="4" s="1"/>
  <c r="AT248" i="4"/>
  <c r="AX248" i="4" s="1"/>
  <c r="AT246" i="4"/>
  <c r="AX246" i="4" s="1"/>
  <c r="AT232" i="4"/>
  <c r="AX232" i="4" s="1"/>
  <c r="AT219" i="4"/>
  <c r="AX219" i="4" s="1"/>
  <c r="AT217" i="4"/>
  <c r="AX217" i="4" s="1"/>
  <c r="AT196" i="4"/>
  <c r="AX196" i="4" s="1"/>
  <c r="AT183" i="4"/>
  <c r="AX183" i="4" s="1"/>
  <c r="AT181" i="4"/>
  <c r="AX181" i="4" s="1"/>
  <c r="BD266" i="4"/>
  <c r="BD254" i="4"/>
  <c r="BE252" i="4"/>
  <c r="BF252" i="4" s="1"/>
  <c r="BE245" i="4"/>
  <c r="BF245" i="4" s="1"/>
  <c r="BD242" i="4"/>
  <c r="BE238" i="4"/>
  <c r="BF237" i="4"/>
  <c r="BF220" i="4"/>
  <c r="BF205" i="4"/>
  <c r="BF169" i="4"/>
  <c r="P267" i="4"/>
  <c r="K256" i="4"/>
  <c r="K249" i="4"/>
  <c r="K231" i="4"/>
  <c r="K224" i="4"/>
  <c r="BE224" i="4"/>
  <c r="BF224" i="4" s="1"/>
  <c r="K220" i="4"/>
  <c r="K213" i="4"/>
  <c r="K209" i="4"/>
  <c r="BE209" i="4"/>
  <c r="BF209" i="4" s="1"/>
  <c r="K200" i="4"/>
  <c r="BE200" i="4"/>
  <c r="BF200" i="4" s="1"/>
  <c r="K191" i="4"/>
  <c r="BE191" i="4"/>
  <c r="K182" i="4"/>
  <c r="BE182" i="4"/>
  <c r="K173" i="4"/>
  <c r="BE173" i="4"/>
  <c r="K164" i="4"/>
  <c r="BE164" i="4"/>
  <c r="R268" i="4"/>
  <c r="AP268" i="4" s="1"/>
  <c r="R257" i="4"/>
  <c r="AN257" i="4" s="1"/>
  <c r="R250" i="4"/>
  <c r="AN250" i="4" s="1"/>
  <c r="R239" i="4"/>
  <c r="AN239" i="4" s="1"/>
  <c r="R232" i="4"/>
  <c r="AN232" i="4" s="1"/>
  <c r="R221" i="4"/>
  <c r="AN221" i="4" s="1"/>
  <c r="R214" i="4"/>
  <c r="AN214" i="4" s="1"/>
  <c r="R203" i="4"/>
  <c r="AP203" i="4" s="1"/>
  <c r="R196" i="4"/>
  <c r="AN196" i="4" s="1"/>
  <c r="R185" i="4"/>
  <c r="AN185" i="4" s="1"/>
  <c r="R178" i="4"/>
  <c r="AN178" i="4" s="1"/>
  <c r="R167" i="4"/>
  <c r="AP167" i="4" s="1"/>
  <c r="AP258" i="4"/>
  <c r="AN256" i="4"/>
  <c r="AP249" i="4"/>
  <c r="AN238" i="4"/>
  <c r="AP231" i="4"/>
  <c r="AP222" i="4"/>
  <c r="AN220" i="4"/>
  <c r="AP217" i="4"/>
  <c r="AN202" i="4"/>
  <c r="AN184" i="4"/>
  <c r="AN166" i="4"/>
  <c r="AP163" i="4"/>
  <c r="BJ7" i="86"/>
  <c r="BJ13" i="86" s="1"/>
  <c r="BJ14" i="86" s="1"/>
  <c r="BF264" i="4"/>
  <c r="BE260" i="4"/>
  <c r="BF260" i="4" s="1"/>
  <c r="BD245" i="4"/>
  <c r="BF240" i="4"/>
  <c r="BE236" i="4"/>
  <c r="BF236" i="4" s="1"/>
  <c r="BF223" i="4"/>
  <c r="K259" i="4"/>
  <c r="K241" i="4"/>
  <c r="K227" i="4"/>
  <c r="BE227" i="4"/>
  <c r="BF227" i="4" s="1"/>
  <c r="K204" i="4"/>
  <c r="BE204" i="4"/>
  <c r="K195" i="4"/>
  <c r="BE195" i="4"/>
  <c r="K186" i="4"/>
  <c r="BE186" i="4"/>
  <c r="BF186" i="4" s="1"/>
  <c r="K177" i="4"/>
  <c r="BE177" i="4"/>
  <c r="BF177" i="4" s="1"/>
  <c r="K168" i="4"/>
  <c r="BE168" i="4"/>
  <c r="BF168" i="4" s="1"/>
  <c r="L263" i="4"/>
  <c r="AN263" i="4"/>
  <c r="AN261" i="4"/>
  <c r="AP260" i="4"/>
  <c r="AN252" i="4"/>
  <c r="AP251" i="4"/>
  <c r="AN245" i="4"/>
  <c r="AN243" i="4"/>
  <c r="AN234" i="4"/>
  <c r="AP233" i="4"/>
  <c r="AN227" i="4"/>
  <c r="AN225" i="4"/>
  <c r="AP224" i="4"/>
  <c r="AN216" i="4"/>
  <c r="AN209" i="4"/>
  <c r="AN207" i="4"/>
  <c r="AP206" i="4"/>
  <c r="AN198" i="4"/>
  <c r="AP197" i="4"/>
  <c r="AN191" i="4"/>
  <c r="AN189" i="4"/>
  <c r="AP188" i="4"/>
  <c r="AN173" i="4"/>
  <c r="AN162" i="4"/>
  <c r="AP161" i="4"/>
  <c r="AT267" i="4"/>
  <c r="AX267" i="4" s="1"/>
  <c r="AT262" i="4"/>
  <c r="AX262" i="4" s="1"/>
  <c r="AT260" i="4"/>
  <c r="AX260" i="4" s="1"/>
  <c r="AT258" i="4"/>
  <c r="AX258" i="4" s="1"/>
  <c r="AT249" i="4"/>
  <c r="AX249" i="4" s="1"/>
  <c r="AT244" i="4"/>
  <c r="AX244" i="4" s="1"/>
  <c r="AT242" i="4"/>
  <c r="AX242" i="4" s="1"/>
  <c r="AT231" i="4"/>
  <c r="AX231" i="4" s="1"/>
  <c r="AT226" i="4"/>
  <c r="AX226" i="4" s="1"/>
  <c r="AT224" i="4"/>
  <c r="AX224" i="4" s="1"/>
  <c r="AT207" i="4"/>
  <c r="AX207" i="4" s="1"/>
  <c r="AT205" i="4"/>
  <c r="AX205" i="4" s="1"/>
  <c r="AT194" i="4"/>
  <c r="AX194" i="4" s="1"/>
  <c r="AT192" i="4"/>
  <c r="AX192" i="4" s="1"/>
  <c r="AT171" i="4"/>
  <c r="AX171" i="4" s="1"/>
  <c r="AT169" i="4"/>
  <c r="AX169" i="4" s="1"/>
  <c r="BE263" i="4"/>
  <c r="BF263" i="4" s="1"/>
  <c r="BD260" i="4"/>
  <c r="BE248" i="4"/>
  <c r="BF248" i="4" s="1"/>
  <c r="BF247" i="4"/>
  <c r="BD236" i="4"/>
  <c r="AN258" i="4"/>
  <c r="AN251" i="4"/>
  <c r="AN240" i="4"/>
  <c r="AN233" i="4"/>
  <c r="K244" i="4"/>
  <c r="K237" i="4"/>
  <c r="K230" i="4"/>
  <c r="BE230" i="4"/>
  <c r="BF230" i="4" s="1"/>
  <c r="K226" i="4"/>
  <c r="K219" i="4"/>
  <c r="K212" i="4"/>
  <c r="BE212" i="4"/>
  <c r="K203" i="4"/>
  <c r="BE203" i="4"/>
  <c r="BF203" i="4" s="1"/>
  <c r="K194" i="4"/>
  <c r="BE194" i="4"/>
  <c r="BF194" i="4" s="1"/>
  <c r="K185" i="4"/>
  <c r="BE185" i="4"/>
  <c r="BF185" i="4" s="1"/>
  <c r="K176" i="4"/>
  <c r="BE176" i="4"/>
  <c r="K167" i="4"/>
  <c r="BE167" i="4"/>
  <c r="P260" i="4"/>
  <c r="P254" i="4"/>
  <c r="P248" i="4"/>
  <c r="P242" i="4"/>
  <c r="P236" i="4"/>
  <c r="AN259" i="4"/>
  <c r="AP243" i="4"/>
  <c r="AN241" i="4"/>
  <c r="AP234" i="4"/>
  <c r="AP225" i="4"/>
  <c r="AN223" i="4"/>
  <c r="AP220" i="4"/>
  <c r="AP216" i="4"/>
  <c r="AP211" i="4"/>
  <c r="AN205" i="4"/>
  <c r="AP202" i="4"/>
  <c r="AP193" i="4"/>
  <c r="AP189" i="4"/>
  <c r="AN187" i="4"/>
  <c r="AP184" i="4"/>
  <c r="AN169" i="4"/>
  <c r="AP166" i="4"/>
  <c r="AP162" i="4"/>
  <c r="AT234" i="4"/>
  <c r="AX234" i="4" s="1"/>
  <c r="AT222" i="4"/>
  <c r="AX222" i="4" s="1"/>
  <c r="AT201" i="4"/>
  <c r="AX201" i="4" s="1"/>
  <c r="AT190" i="4"/>
  <c r="AX190" i="4" s="1"/>
  <c r="AT188" i="4"/>
  <c r="AX188" i="4" s="1"/>
  <c r="AT186" i="4"/>
  <c r="AX186" i="4" s="1"/>
  <c r="AT165" i="4"/>
  <c r="AX165" i="4" s="1"/>
  <c r="AT163" i="4"/>
  <c r="AX163" i="4" s="1"/>
  <c r="BD248" i="4"/>
  <c r="BF193" i="4"/>
  <c r="K240" i="4"/>
  <c r="K233" i="4"/>
  <c r="BE233" i="4"/>
  <c r="BF233" i="4" s="1"/>
  <c r="K229" i="4"/>
  <c r="K222" i="4"/>
  <c r="K215" i="4"/>
  <c r="BE215" i="4"/>
  <c r="K211" i="4"/>
  <c r="K207" i="4"/>
  <c r="BE207" i="4"/>
  <c r="K202" i="4"/>
  <c r="K198" i="4"/>
  <c r="BE198" i="4"/>
  <c r="K193" i="4"/>
  <c r="K189" i="4"/>
  <c r="BE189" i="4"/>
  <c r="BF189" i="4" s="1"/>
  <c r="K184" i="4"/>
  <c r="K180" i="4"/>
  <c r="BE180" i="4"/>
  <c r="BF180" i="4" s="1"/>
  <c r="K175" i="4"/>
  <c r="K171" i="4"/>
  <c r="BE171" i="4"/>
  <c r="BF171" i="4" s="1"/>
  <c r="K166" i="4"/>
  <c r="P162" i="4"/>
  <c r="R266" i="4"/>
  <c r="AP266" i="4" s="1"/>
  <c r="R248" i="4"/>
  <c r="AP248" i="4" s="1"/>
  <c r="R230" i="4"/>
  <c r="AN230" i="4" s="1"/>
  <c r="R212" i="4"/>
  <c r="AN212" i="4" s="1"/>
  <c r="R176" i="4"/>
  <c r="AP176" i="4" s="1"/>
  <c r="AN264" i="4"/>
  <c r="AP263" i="4"/>
  <c r="AN255" i="4"/>
  <c r="AP254" i="4"/>
  <c r="AN246" i="4"/>
  <c r="AP245" i="4"/>
  <c r="AN237" i="4"/>
  <c r="AP236" i="4"/>
  <c r="AN228" i="4"/>
  <c r="AP227" i="4"/>
  <c r="AN219" i="4"/>
  <c r="AN210" i="4"/>
  <c r="AP209" i="4"/>
  <c r="AN201" i="4"/>
  <c r="AP200" i="4"/>
  <c r="AN192" i="4"/>
  <c r="AP191" i="4"/>
  <c r="AN183" i="4"/>
  <c r="AP182" i="4"/>
  <c r="AP173" i="4"/>
  <c r="AP164" i="4"/>
  <c r="AT225" i="4"/>
  <c r="AX225" i="4" s="1"/>
  <c r="AT220" i="4"/>
  <c r="AX220" i="4" s="1"/>
  <c r="AT218" i="4"/>
  <c r="AX218" i="4" s="1"/>
  <c r="AT216" i="4"/>
  <c r="AX216" i="4" s="1"/>
  <c r="AT199" i="4"/>
  <c r="AX199" i="4" s="1"/>
  <c r="AT195" i="4"/>
  <c r="AX195" i="4" s="1"/>
  <c r="AT184" i="4"/>
  <c r="AX184" i="4" s="1"/>
  <c r="AT182" i="4"/>
  <c r="AX182" i="4" s="1"/>
  <c r="AT180" i="4"/>
  <c r="AX180" i="4" s="1"/>
  <c r="AT159" i="4"/>
  <c r="AX159" i="4" s="1"/>
  <c r="BF267" i="4"/>
  <c r="BF265" i="4"/>
  <c r="BF258" i="4"/>
  <c r="BF241" i="4"/>
  <c r="K218" i="4"/>
  <c r="BE218" i="4"/>
  <c r="K206" i="4"/>
  <c r="BE206" i="4"/>
  <c r="BF206" i="4" s="1"/>
  <c r="K197" i="4"/>
  <c r="BE197" i="4"/>
  <c r="BF197" i="4" s="1"/>
  <c r="K188" i="4"/>
  <c r="BE188" i="4"/>
  <c r="K179" i="4"/>
  <c r="BE179" i="4"/>
  <c r="K170" i="4"/>
  <c r="BE170" i="4"/>
  <c r="K161" i="4"/>
  <c r="BD161" i="4" s="1"/>
  <c r="BE161" i="4"/>
  <c r="R262" i="4"/>
  <c r="R244" i="4"/>
  <c r="AN244" i="4" s="1"/>
  <c r="R226" i="4"/>
  <c r="AN226" i="4" s="1"/>
  <c r="R208" i="4"/>
  <c r="AN208" i="4" s="1"/>
  <c r="R190" i="4"/>
  <c r="AN190" i="4" s="1"/>
  <c r="R172" i="4"/>
  <c r="AP172" i="4" s="1"/>
  <c r="AP264" i="4"/>
  <c r="AP205" i="4"/>
  <c r="AP187" i="4"/>
  <c r="AP169" i="4"/>
  <c r="AM159" i="4"/>
  <c r="AP159" i="4" s="1"/>
  <c r="AP157" i="4"/>
  <c r="AT261" i="4"/>
  <c r="AX261" i="4" s="1"/>
  <c r="AT252" i="4"/>
  <c r="AX252" i="4" s="1"/>
  <c r="AT243" i="4"/>
  <c r="AX243" i="4" s="1"/>
  <c r="AT214" i="4"/>
  <c r="AX214" i="4" s="1"/>
  <c r="AT212" i="4"/>
  <c r="AX212" i="4" s="1"/>
  <c r="AT210" i="4"/>
  <c r="AX210" i="4" s="1"/>
  <c r="AT208" i="4"/>
  <c r="AX208" i="4" s="1"/>
  <c r="AT193" i="4"/>
  <c r="AX193" i="4" s="1"/>
  <c r="AT189" i="4"/>
  <c r="AX189" i="4" s="1"/>
  <c r="AT187" i="4"/>
  <c r="AX187" i="4" s="1"/>
  <c r="AT178" i="4"/>
  <c r="AX178" i="4" s="1"/>
  <c r="AT176" i="4"/>
  <c r="AX176" i="4" s="1"/>
  <c r="AT174" i="4"/>
  <c r="AX174" i="4" s="1"/>
  <c r="BE266" i="4"/>
  <c r="BF266" i="4" s="1"/>
  <c r="BE254" i="4"/>
  <c r="BF254" i="4" s="1"/>
  <c r="BF246" i="4"/>
  <c r="BE242" i="4"/>
  <c r="BF242" i="4" s="1"/>
  <c r="BF187" i="4"/>
  <c r="BF234" i="4"/>
  <c r="BF231" i="4"/>
  <c r="BF229" i="4"/>
  <c r="BF211" i="4"/>
  <c r="BF235" i="4"/>
  <c r="BF228" i="4"/>
  <c r="BF222" i="4"/>
  <c r="BF219" i="4"/>
  <c r="BF217" i="4"/>
  <c r="BF163" i="4"/>
  <c r="BE162" i="4"/>
  <c r="BF162" i="4" s="1"/>
  <c r="L162" i="4"/>
  <c r="AT160" i="4"/>
  <c r="AX160" i="4" s="1"/>
  <c r="R160" i="4"/>
  <c r="AP160" i="4" s="1"/>
  <c r="AN159" i="4"/>
  <c r="BD160" i="4"/>
  <c r="P160" i="4"/>
  <c r="L160" i="4"/>
  <c r="BE159" i="4"/>
  <c r="P159" i="4"/>
  <c r="BD159" i="4"/>
  <c r="BE160" i="4"/>
  <c r="BF160" i="4" s="1"/>
  <c r="AT158" i="4"/>
  <c r="AX158" i="4" s="1"/>
  <c r="R158" i="4"/>
  <c r="AN158" i="4" s="1"/>
  <c r="AT157" i="4"/>
  <c r="AX157" i="4" s="1"/>
  <c r="AN157" i="4"/>
  <c r="K157" i="4"/>
  <c r="BF157" i="4"/>
  <c r="BF226" i="4"/>
  <c r="BF196" i="4"/>
  <c r="BF190" i="4"/>
  <c r="BF166" i="4"/>
  <c r="BF216" i="4"/>
  <c r="BF213" i="4"/>
  <c r="BF202" i="4"/>
  <c r="BF178" i="4"/>
  <c r="BF172" i="4"/>
  <c r="BF249" i="4"/>
  <c r="BF244" i="4"/>
  <c r="BF208" i="4"/>
  <c r="F135" i="4"/>
  <c r="M68" i="82"/>
  <c r="M132" i="4"/>
  <c r="AZ6" i="86" s="1"/>
  <c r="M130" i="4"/>
  <c r="AY6" i="86" s="1"/>
  <c r="M128" i="4"/>
  <c r="M127" i="4"/>
  <c r="J126" i="4"/>
  <c r="K126" i="4" s="1"/>
  <c r="I63" i="82"/>
  <c r="M63" i="82"/>
  <c r="M64" i="82"/>
  <c r="I64" i="82"/>
  <c r="AK123" i="4"/>
  <c r="AM123" i="4" s="1"/>
  <c r="AW6" i="86"/>
  <c r="AV6" i="86"/>
  <c r="AU6" i="86"/>
  <c r="AT6" i="86"/>
  <c r="AS6" i="86"/>
  <c r="DK17" i="86" l="1"/>
  <c r="F8" i="67"/>
  <c r="F13" i="67"/>
  <c r="F14" i="67" s="1"/>
  <c r="BF199" i="4"/>
  <c r="BF191" i="4"/>
  <c r="AN165" i="4"/>
  <c r="DB17" i="86"/>
  <c r="BF182" i="4"/>
  <c r="AN199" i="4"/>
  <c r="E9" i="67"/>
  <c r="CY17" i="86"/>
  <c r="D6" i="67"/>
  <c r="DD17" i="86"/>
  <c r="DF17" i="86"/>
  <c r="DH17" i="86"/>
  <c r="AN268" i="4"/>
  <c r="AN266" i="4"/>
  <c r="AO266" i="4" s="1"/>
  <c r="E11" i="67"/>
  <c r="E13" i="67"/>
  <c r="E14" i="67" s="1"/>
  <c r="E8" i="67"/>
  <c r="AN171" i="4"/>
  <c r="AN267" i="4"/>
  <c r="AN174" i="4"/>
  <c r="AP269" i="4"/>
  <c r="CV13" i="86"/>
  <c r="CV14" i="86" s="1"/>
  <c r="CV8" i="86"/>
  <c r="BF269" i="4"/>
  <c r="CW13" i="86"/>
  <c r="CW14" i="86" s="1"/>
  <c r="CW8" i="86"/>
  <c r="AP265" i="4"/>
  <c r="CV11" i="86"/>
  <c r="AN269" i="4"/>
  <c r="L265" i="4"/>
  <c r="P265" i="4"/>
  <c r="BO13" i="86"/>
  <c r="BO14" i="86" s="1"/>
  <c r="BL13" i="86"/>
  <c r="BL14" i="86" s="1"/>
  <c r="AN180" i="4"/>
  <c r="AN179" i="4"/>
  <c r="BN8" i="86"/>
  <c r="CS11" i="86"/>
  <c r="BP13" i="86"/>
  <c r="BP14" i="86" s="1"/>
  <c r="CU13" i="86"/>
  <c r="CU14" i="86" s="1"/>
  <c r="CU8" i="86"/>
  <c r="BR13" i="86"/>
  <c r="BR14" i="86" s="1"/>
  <c r="CS13" i="86"/>
  <c r="CS14" i="86" s="1"/>
  <c r="CS8" i="86"/>
  <c r="CT11" i="86"/>
  <c r="CT13" i="86"/>
  <c r="CT14" i="86" s="1"/>
  <c r="CT8" i="86"/>
  <c r="AP262" i="4"/>
  <c r="BF262" i="4"/>
  <c r="CU11" i="86"/>
  <c r="CM11" i="86"/>
  <c r="CP8" i="86"/>
  <c r="CP13" i="86"/>
  <c r="CP14" i="86" s="1"/>
  <c r="CO11" i="86"/>
  <c r="CM13" i="86"/>
  <c r="CM14" i="86" s="1"/>
  <c r="CM8" i="86"/>
  <c r="CQ11" i="86"/>
  <c r="CN13" i="86"/>
  <c r="CN14" i="86" s="1"/>
  <c r="CN8" i="86"/>
  <c r="CQ13" i="86"/>
  <c r="CQ14" i="86" s="1"/>
  <c r="CQ8" i="86"/>
  <c r="BF255" i="4"/>
  <c r="CR11" i="86"/>
  <c r="BF250" i="4"/>
  <c r="CP11" i="86"/>
  <c r="CR13" i="86"/>
  <c r="CR14" i="86" s="1"/>
  <c r="CR8" i="86"/>
  <c r="CO13" i="86"/>
  <c r="CO14" i="86" s="1"/>
  <c r="CO8" i="86"/>
  <c r="CN11" i="86"/>
  <c r="BD169" i="4"/>
  <c r="CH11" i="86"/>
  <c r="BD163" i="4"/>
  <c r="BK10" i="86" s="1"/>
  <c r="L163" i="4"/>
  <c r="AO163" i="4" s="1"/>
  <c r="BU13" i="86"/>
  <c r="BU14" i="86" s="1"/>
  <c r="BF207" i="4"/>
  <c r="BZ11" i="86"/>
  <c r="CG11" i="86"/>
  <c r="CF11" i="86"/>
  <c r="CG13" i="86"/>
  <c r="CG14" i="86" s="1"/>
  <c r="CG8" i="86"/>
  <c r="CB8" i="86"/>
  <c r="CB13" i="86"/>
  <c r="CB14" i="86" s="1"/>
  <c r="CD8" i="86"/>
  <c r="CD13" i="86"/>
  <c r="CD14" i="86" s="1"/>
  <c r="CH8" i="86"/>
  <c r="CH13" i="86"/>
  <c r="CH14" i="86" s="1"/>
  <c r="CC8" i="86"/>
  <c r="CC13" i="86"/>
  <c r="CC14" i="86" s="1"/>
  <c r="BF238" i="4"/>
  <c r="CK11" i="86"/>
  <c r="CA13" i="86"/>
  <c r="CA14" i="86" s="1"/>
  <c r="CA8" i="86"/>
  <c r="CJ11" i="86"/>
  <c r="BF215" i="4"/>
  <c r="CC11" i="86"/>
  <c r="CJ13" i="86"/>
  <c r="CJ14" i="86" s="1"/>
  <c r="CJ8" i="86"/>
  <c r="CK8" i="86"/>
  <c r="CK13" i="86"/>
  <c r="CK14" i="86" s="1"/>
  <c r="CE8" i="86"/>
  <c r="CE13" i="86"/>
  <c r="CE14" i="86" s="1"/>
  <c r="BF232" i="4"/>
  <c r="CI11" i="86"/>
  <c r="CL13" i="86"/>
  <c r="CL14" i="86" s="1"/>
  <c r="CL8" i="86"/>
  <c r="CI13" i="86"/>
  <c r="CI14" i="86" s="1"/>
  <c r="CI8" i="86"/>
  <c r="BF212" i="4"/>
  <c r="CB11" i="86"/>
  <c r="BF218" i="4"/>
  <c r="CD11" i="86"/>
  <c r="BF210" i="4"/>
  <c r="CA11" i="86"/>
  <c r="BF221" i="4"/>
  <c r="CE11" i="86"/>
  <c r="CF13" i="86"/>
  <c r="CF14" i="86" s="1"/>
  <c r="CF8" i="86"/>
  <c r="L217" i="4"/>
  <c r="BN13" i="86"/>
  <c r="BN14" i="86" s="1"/>
  <c r="BZ13" i="86"/>
  <c r="BZ14" i="86" s="1"/>
  <c r="BZ8" i="86"/>
  <c r="BM13" i="86"/>
  <c r="BM14" i="86" s="1"/>
  <c r="BP8" i="86"/>
  <c r="BD196" i="4"/>
  <c r="BT13" i="86"/>
  <c r="BT14" i="86" s="1"/>
  <c r="BO8" i="86"/>
  <c r="L161" i="4"/>
  <c r="BF195" i="4"/>
  <c r="BV11" i="86"/>
  <c r="AP229" i="4"/>
  <c r="BS13" i="86"/>
  <c r="BS14" i="86" s="1"/>
  <c r="BS8" i="86"/>
  <c r="BY8" i="86"/>
  <c r="BY13" i="86"/>
  <c r="BY14" i="86" s="1"/>
  <c r="BF179" i="4"/>
  <c r="BQ11" i="86"/>
  <c r="BF198" i="4"/>
  <c r="BW11" i="86"/>
  <c r="BF184" i="4"/>
  <c r="BS9" i="86"/>
  <c r="BR11" i="86"/>
  <c r="BF164" i="4"/>
  <c r="BL11" i="86"/>
  <c r="BL8" i="86"/>
  <c r="BW8" i="86"/>
  <c r="BW13" i="86"/>
  <c r="BW14" i="86" s="1"/>
  <c r="BV8" i="86"/>
  <c r="BV13" i="86"/>
  <c r="BV14" i="86" s="1"/>
  <c r="BF201" i="4"/>
  <c r="BX11" i="86"/>
  <c r="P235" i="4"/>
  <c r="AO235" i="4" s="1"/>
  <c r="BD253" i="4"/>
  <c r="CQ10" i="86" s="1"/>
  <c r="BF170" i="4"/>
  <c r="BN11" i="86"/>
  <c r="BF176" i="4"/>
  <c r="BP11" i="86"/>
  <c r="BF204" i="4"/>
  <c r="BY11" i="86"/>
  <c r="BF188" i="4"/>
  <c r="BT11" i="86"/>
  <c r="BF167" i="4"/>
  <c r="BM11" i="86"/>
  <c r="BF173" i="4"/>
  <c r="BO11" i="86"/>
  <c r="BD235" i="4"/>
  <c r="BU15" i="86"/>
  <c r="BU12" i="86"/>
  <c r="BX13" i="86"/>
  <c r="BX14" i="86" s="1"/>
  <c r="BX8" i="86"/>
  <c r="BQ8" i="86"/>
  <c r="BQ13" i="86"/>
  <c r="BQ14" i="86" s="1"/>
  <c r="BR8" i="86"/>
  <c r="P181" i="4"/>
  <c r="P178" i="4"/>
  <c r="L178" i="4"/>
  <c r="P216" i="4"/>
  <c r="P161" i="4"/>
  <c r="AP242" i="4"/>
  <c r="BD265" i="4"/>
  <c r="AP170" i="4"/>
  <c r="L216" i="4"/>
  <c r="P217" i="4"/>
  <c r="AO260" i="4"/>
  <c r="P253" i="4"/>
  <c r="AO253" i="4" s="1"/>
  <c r="BJ8" i="86"/>
  <c r="AO236" i="4"/>
  <c r="L190" i="4"/>
  <c r="AO252" i="4"/>
  <c r="L205" i="4"/>
  <c r="L196" i="4"/>
  <c r="AO196" i="4" s="1"/>
  <c r="P258" i="4"/>
  <c r="BK13" i="86"/>
  <c r="BK14" i="86" s="1"/>
  <c r="AP257" i="4"/>
  <c r="P190" i="4"/>
  <c r="BF161" i="4"/>
  <c r="BK11" i="86"/>
  <c r="P228" i="4"/>
  <c r="L258" i="4"/>
  <c r="AO245" i="4"/>
  <c r="L247" i="4"/>
  <c r="AO162" i="4"/>
  <c r="AP196" i="4"/>
  <c r="AO242" i="4"/>
  <c r="P187" i="4"/>
  <c r="AO187" i="4" s="1"/>
  <c r="AP214" i="4"/>
  <c r="BD187" i="4"/>
  <c r="AP250" i="4"/>
  <c r="P208" i="4"/>
  <c r="P264" i="4"/>
  <c r="AO264" i="4" s="1"/>
  <c r="P169" i="4"/>
  <c r="AO169" i="4" s="1"/>
  <c r="BJ10" i="86"/>
  <c r="BJ15" i="86" s="1"/>
  <c r="L208" i="4"/>
  <c r="P205" i="4"/>
  <c r="P247" i="4"/>
  <c r="L246" i="4"/>
  <c r="AO246" i="4" s="1"/>
  <c r="BD264" i="4"/>
  <c r="BD246" i="4"/>
  <c r="L181" i="4"/>
  <c r="AP178" i="4"/>
  <c r="AP232" i="4"/>
  <c r="AO254" i="4"/>
  <c r="AP239" i="4"/>
  <c r="P158" i="4"/>
  <c r="AP175" i="4"/>
  <c r="L172" i="4"/>
  <c r="P172" i="4"/>
  <c r="L228" i="4"/>
  <c r="BD223" i="4"/>
  <c r="L223" i="4"/>
  <c r="AO223" i="4" s="1"/>
  <c r="AO263" i="4"/>
  <c r="AP226" i="4"/>
  <c r="BD199" i="4"/>
  <c r="L199" i="4"/>
  <c r="BD234" i="4"/>
  <c r="L234" i="4"/>
  <c r="AO234" i="4" s="1"/>
  <c r="AP230" i="4"/>
  <c r="L158" i="4"/>
  <c r="BD220" i="4"/>
  <c r="L220" i="4"/>
  <c r="P220" i="4"/>
  <c r="BD180" i="4"/>
  <c r="P180" i="4"/>
  <c r="L180" i="4"/>
  <c r="BD198" i="4"/>
  <c r="P198" i="4"/>
  <c r="L198" i="4"/>
  <c r="BD215" i="4"/>
  <c r="CC10" i="86" s="1"/>
  <c r="P215" i="4"/>
  <c r="L215" i="4"/>
  <c r="BD185" i="4"/>
  <c r="P185" i="4"/>
  <c r="L185" i="4"/>
  <c r="BD212" i="4"/>
  <c r="L212" i="4"/>
  <c r="P212" i="4"/>
  <c r="BD244" i="4"/>
  <c r="CN10" i="86" s="1"/>
  <c r="L244" i="4"/>
  <c r="P244" i="4"/>
  <c r="BD177" i="4"/>
  <c r="L177" i="4"/>
  <c r="P177" i="4"/>
  <c r="BD204" i="4"/>
  <c r="P204" i="4"/>
  <c r="L204" i="4"/>
  <c r="AP190" i="4"/>
  <c r="AP244" i="4"/>
  <c r="BD213" i="4"/>
  <c r="L213" i="4"/>
  <c r="P213" i="4"/>
  <c r="BD256" i="4"/>
  <c r="L256" i="4"/>
  <c r="P256" i="4"/>
  <c r="AP185" i="4"/>
  <c r="BD165" i="4"/>
  <c r="L165" i="4"/>
  <c r="P165" i="4"/>
  <c r="AN262" i="4"/>
  <c r="AN167" i="4"/>
  <c r="L243" i="4"/>
  <c r="BD243" i="4"/>
  <c r="P243" i="4"/>
  <c r="BD232" i="4"/>
  <c r="L232" i="4"/>
  <c r="P232" i="4"/>
  <c r="BD210" i="4"/>
  <c r="P210" i="4"/>
  <c r="L210" i="4"/>
  <c r="L255" i="4"/>
  <c r="BD255" i="4"/>
  <c r="CR10" i="86" s="1"/>
  <c r="P255" i="4"/>
  <c r="AN172" i="4"/>
  <c r="BD201" i="4"/>
  <c r="L201" i="4"/>
  <c r="P201" i="4"/>
  <c r="BD261" i="4"/>
  <c r="L261" i="4"/>
  <c r="P261" i="4"/>
  <c r="BD167" i="4"/>
  <c r="P167" i="4"/>
  <c r="L167" i="4"/>
  <c r="BD194" i="4"/>
  <c r="L194" i="4"/>
  <c r="P194" i="4"/>
  <c r="BD226" i="4"/>
  <c r="L226" i="4"/>
  <c r="P226" i="4"/>
  <c r="BD186" i="4"/>
  <c r="P186" i="4"/>
  <c r="L186" i="4"/>
  <c r="BD227" i="4"/>
  <c r="P227" i="4"/>
  <c r="L227" i="4"/>
  <c r="AP194" i="4"/>
  <c r="AP212" i="4"/>
  <c r="BD239" i="4"/>
  <c r="CK10" i="86" s="1"/>
  <c r="P239" i="4"/>
  <c r="L239" i="4"/>
  <c r="BD183" i="4"/>
  <c r="L183" i="4"/>
  <c r="P183" i="4"/>
  <c r="AN176" i="4"/>
  <c r="BD225" i="4"/>
  <c r="L225" i="4"/>
  <c r="P225" i="4"/>
  <c r="AN248" i="4"/>
  <c r="AO248" i="4" s="1"/>
  <c r="BD174" i="4"/>
  <c r="P174" i="4"/>
  <c r="L174" i="4"/>
  <c r="BD170" i="4"/>
  <c r="L170" i="4"/>
  <c r="P170" i="4"/>
  <c r="BD166" i="4"/>
  <c r="L166" i="4"/>
  <c r="P166" i="4"/>
  <c r="BD222" i="4"/>
  <c r="P222" i="4"/>
  <c r="L222" i="4"/>
  <c r="BD191" i="4"/>
  <c r="P191" i="4"/>
  <c r="L191" i="4"/>
  <c r="L269" i="4"/>
  <c r="BD269" i="4"/>
  <c r="BF159" i="4"/>
  <c r="BJ11" i="86"/>
  <c r="BD179" i="4"/>
  <c r="P179" i="4"/>
  <c r="L179" i="4"/>
  <c r="BD206" i="4"/>
  <c r="L206" i="4"/>
  <c r="P206" i="4"/>
  <c r="BD171" i="4"/>
  <c r="L171" i="4"/>
  <c r="P171" i="4"/>
  <c r="BD189" i="4"/>
  <c r="L189" i="4"/>
  <c r="P189" i="4"/>
  <c r="BD207" i="4"/>
  <c r="L207" i="4"/>
  <c r="P207" i="4"/>
  <c r="P241" i="4"/>
  <c r="BD241" i="4"/>
  <c r="L241" i="4"/>
  <c r="AP208" i="4"/>
  <c r="BD173" i="4"/>
  <c r="P173" i="4"/>
  <c r="L173" i="4"/>
  <c r="BD200" i="4"/>
  <c r="L200" i="4"/>
  <c r="P200" i="4"/>
  <c r="BD224" i="4"/>
  <c r="L224" i="4"/>
  <c r="P224" i="4"/>
  <c r="BD221" i="4"/>
  <c r="P221" i="4"/>
  <c r="L221" i="4"/>
  <c r="P257" i="4"/>
  <c r="L257" i="4"/>
  <c r="BD257" i="4"/>
  <c r="BD214" i="4"/>
  <c r="L214" i="4"/>
  <c r="P214" i="4"/>
  <c r="BD184" i="4"/>
  <c r="L184" i="4"/>
  <c r="P184" i="4"/>
  <c r="BD219" i="4"/>
  <c r="L219" i="4"/>
  <c r="P219" i="4"/>
  <c r="L267" i="4"/>
  <c r="BD267" i="4"/>
  <c r="BD175" i="4"/>
  <c r="P175" i="4"/>
  <c r="L175" i="4"/>
  <c r="BD193" i="4"/>
  <c r="P193" i="4"/>
  <c r="L193" i="4"/>
  <c r="BD211" i="4"/>
  <c r="P211" i="4"/>
  <c r="L211" i="4"/>
  <c r="BD233" i="4"/>
  <c r="P233" i="4"/>
  <c r="L233" i="4"/>
  <c r="BD176" i="4"/>
  <c r="L176" i="4"/>
  <c r="P176" i="4"/>
  <c r="BD203" i="4"/>
  <c r="P203" i="4"/>
  <c r="L203" i="4"/>
  <c r="BD230" i="4"/>
  <c r="L230" i="4"/>
  <c r="P230" i="4"/>
  <c r="BD168" i="4"/>
  <c r="P168" i="4"/>
  <c r="L168" i="4"/>
  <c r="BD195" i="4"/>
  <c r="L195" i="4"/>
  <c r="P195" i="4"/>
  <c r="BD259" i="4"/>
  <c r="P259" i="4"/>
  <c r="L259" i="4"/>
  <c r="AO238" i="4"/>
  <c r="L231" i="4"/>
  <c r="P231" i="4"/>
  <c r="BD231" i="4"/>
  <c r="AN203" i="4"/>
  <c r="BD197" i="4"/>
  <c r="P197" i="4"/>
  <c r="L197" i="4"/>
  <c r="BD202" i="4"/>
  <c r="L202" i="4"/>
  <c r="P202" i="4"/>
  <c r="BD164" i="4"/>
  <c r="L164" i="4"/>
  <c r="P164" i="4"/>
  <c r="BD229" i="4"/>
  <c r="P229" i="4"/>
  <c r="L229" i="4"/>
  <c r="BD188" i="4"/>
  <c r="L188" i="4"/>
  <c r="P188" i="4"/>
  <c r="BD218" i="4"/>
  <c r="L218" i="4"/>
  <c r="P218" i="4"/>
  <c r="P240" i="4"/>
  <c r="L240" i="4"/>
  <c r="BD240" i="4"/>
  <c r="CL10" i="86" s="1"/>
  <c r="AP158" i="4"/>
  <c r="BD237" i="4"/>
  <c r="L237" i="4"/>
  <c r="P237" i="4"/>
  <c r="BD182" i="4"/>
  <c r="L182" i="4"/>
  <c r="P182" i="4"/>
  <c r="BD209" i="4"/>
  <c r="P209" i="4"/>
  <c r="L209" i="4"/>
  <c r="L249" i="4"/>
  <c r="P249" i="4"/>
  <c r="BD249" i="4"/>
  <c r="CO10" i="86" s="1"/>
  <c r="AP221" i="4"/>
  <c r="L250" i="4"/>
  <c r="BD250" i="4"/>
  <c r="P250" i="4"/>
  <c r="L262" i="4"/>
  <c r="BD262" i="4"/>
  <c r="P262" i="4"/>
  <c r="BD251" i="4"/>
  <c r="P251" i="4"/>
  <c r="L251" i="4"/>
  <c r="BD192" i="4"/>
  <c r="P192" i="4"/>
  <c r="L192" i="4"/>
  <c r="BD268" i="4"/>
  <c r="L268" i="4"/>
  <c r="AN160" i="4"/>
  <c r="AO160" i="4" s="1"/>
  <c r="AO159" i="4"/>
  <c r="L157" i="4"/>
  <c r="BD157" i="4"/>
  <c r="P157" i="4"/>
  <c r="AX6" i="86"/>
  <c r="AK119" i="4"/>
  <c r="AK120" i="4"/>
  <c r="AK121" i="4"/>
  <c r="AK122" i="4"/>
  <c r="AK124" i="4"/>
  <c r="AK125" i="4"/>
  <c r="AK126" i="4"/>
  <c r="AK127" i="4"/>
  <c r="AK128" i="4"/>
  <c r="AK129" i="4"/>
  <c r="AK130" i="4"/>
  <c r="AK131" i="4"/>
  <c r="AK132" i="4"/>
  <c r="AK133" i="4"/>
  <c r="AK134" i="4"/>
  <c r="AK135" i="4"/>
  <c r="AK136" i="4"/>
  <c r="AK137" i="4"/>
  <c r="AK138" i="4"/>
  <c r="AK139" i="4"/>
  <c r="AK140" i="4"/>
  <c r="AK141" i="4"/>
  <c r="AK142" i="4"/>
  <c r="AK143" i="4"/>
  <c r="AK144" i="4"/>
  <c r="AK145" i="4"/>
  <c r="AK146" i="4"/>
  <c r="BE7" i="86" s="1"/>
  <c r="AK147" i="4"/>
  <c r="AK148" i="4"/>
  <c r="AK149" i="4"/>
  <c r="AK150" i="4"/>
  <c r="AK151" i="4"/>
  <c r="AK152" i="4"/>
  <c r="AK153" i="4"/>
  <c r="AK154" i="4"/>
  <c r="AK155" i="4"/>
  <c r="AK156" i="4"/>
  <c r="BI7" i="86" s="1"/>
  <c r="F118" i="4"/>
  <c r="AQ48" i="4"/>
  <c r="AR6" i="86"/>
  <c r="AQ6" i="86"/>
  <c r="AO199" i="4" l="1"/>
  <c r="AO268" i="4"/>
  <c r="AO267" i="4"/>
  <c r="E10" i="67"/>
  <c r="E12" i="67" s="1"/>
  <c r="BT10" i="86"/>
  <c r="BT15" i="86" s="1"/>
  <c r="AO265" i="4"/>
  <c r="AO269" i="4"/>
  <c r="CV10" i="86"/>
  <c r="CP10" i="86"/>
  <c r="CP16" i="86" s="1"/>
  <c r="CT10" i="86"/>
  <c r="CT15" i="86" s="1"/>
  <c r="CU10" i="86"/>
  <c r="CS10" i="86"/>
  <c r="AO217" i="4"/>
  <c r="CO12" i="86"/>
  <c r="CO16" i="86"/>
  <c r="CO15" i="86"/>
  <c r="CN16" i="86"/>
  <c r="CN12" i="86"/>
  <c r="CN15" i="86"/>
  <c r="CM10" i="86"/>
  <c r="CR16" i="86"/>
  <c r="CR12" i="86"/>
  <c r="CR15" i="86"/>
  <c r="CQ12" i="86"/>
  <c r="CQ16" i="86"/>
  <c r="CQ15" i="86"/>
  <c r="BU17" i="86"/>
  <c r="BZ10" i="86"/>
  <c r="CE10" i="86"/>
  <c r="CE16" i="86" s="1"/>
  <c r="CJ10" i="86"/>
  <c r="CJ16" i="86" s="1"/>
  <c r="CI10" i="86"/>
  <c r="CI16" i="86" s="1"/>
  <c r="CB10" i="86"/>
  <c r="CC12" i="86"/>
  <c r="CC16" i="86"/>
  <c r="CC15" i="86"/>
  <c r="CK12" i="86"/>
  <c r="CK16" i="86"/>
  <c r="CK15" i="86"/>
  <c r="CF10" i="86"/>
  <c r="CF16" i="86" s="1"/>
  <c r="CD10" i="86"/>
  <c r="CH10" i="86"/>
  <c r="CG10" i="86"/>
  <c r="CL12" i="86"/>
  <c r="CL16" i="86"/>
  <c r="CL15" i="86"/>
  <c r="CA10" i="86"/>
  <c r="AO190" i="4"/>
  <c r="AO161" i="4"/>
  <c r="AO228" i="4"/>
  <c r="AO237" i="4"/>
  <c r="AO224" i="4"/>
  <c r="AO216" i="4"/>
  <c r="BV10" i="86"/>
  <c r="BV12" i="86" s="1"/>
  <c r="BP10" i="86"/>
  <c r="BP12" i="86" s="1"/>
  <c r="BQ10" i="86"/>
  <c r="BQ12" i="86" s="1"/>
  <c r="BS10" i="86"/>
  <c r="BS16" i="86" s="1"/>
  <c r="AO206" i="4"/>
  <c r="BM10" i="86"/>
  <c r="BM12" i="86" s="1"/>
  <c r="BX10" i="86"/>
  <c r="BX16" i="86" s="1"/>
  <c r="BY10" i="86"/>
  <c r="BY16" i="86" s="1"/>
  <c r="BW10" i="86"/>
  <c r="AO208" i="4"/>
  <c r="BL10" i="86"/>
  <c r="BR10" i="86"/>
  <c r="BO10" i="86"/>
  <c r="BN10" i="86"/>
  <c r="BN12" i="86" s="1"/>
  <c r="AO205" i="4"/>
  <c r="AO189" i="4"/>
  <c r="AO181" i="4"/>
  <c r="AO178" i="4"/>
  <c r="AO173" i="4"/>
  <c r="AO170" i="4"/>
  <c r="AO191" i="4"/>
  <c r="BK12" i="86"/>
  <c r="AO258" i="4"/>
  <c r="AO194" i="4"/>
  <c r="AO261" i="4"/>
  <c r="AO212" i="4"/>
  <c r="AO215" i="4"/>
  <c r="AO209" i="4"/>
  <c r="AO247" i="4"/>
  <c r="BK15" i="86"/>
  <c r="BK16" i="86"/>
  <c r="AO257" i="4"/>
  <c r="AO179" i="4"/>
  <c r="AO185" i="4"/>
  <c r="AO198" i="4"/>
  <c r="AO219" i="4"/>
  <c r="AO214" i="4"/>
  <c r="AO200" i="4"/>
  <c r="AO166" i="4"/>
  <c r="AO239" i="4"/>
  <c r="AO210" i="4"/>
  <c r="BJ12" i="86"/>
  <c r="AO255" i="4"/>
  <c r="AO172" i="4"/>
  <c r="AO240" i="4"/>
  <c r="AO220" i="4"/>
  <c r="AO259" i="4"/>
  <c r="AO168" i="4"/>
  <c r="AO180" i="4"/>
  <c r="AO158" i="4"/>
  <c r="AO174" i="4"/>
  <c r="AO250" i="4"/>
  <c r="AO241" i="4"/>
  <c r="AO192" i="4"/>
  <c r="AO157" i="4"/>
  <c r="AO197" i="4"/>
  <c r="AO231" i="4"/>
  <c r="AO195" i="4"/>
  <c r="AO207" i="4"/>
  <c r="AO171" i="4"/>
  <c r="AO225" i="4"/>
  <c r="AO227" i="4"/>
  <c r="AO226" i="4"/>
  <c r="AO201" i="4"/>
  <c r="AO165" i="4"/>
  <c r="AO202" i="4"/>
  <c r="BG7" i="86"/>
  <c r="BG13" i="86" s="1"/>
  <c r="BG14" i="86" s="1"/>
  <c r="BD7" i="86"/>
  <c r="BD8" i="86" s="1"/>
  <c r="AO182" i="4"/>
  <c r="AO188" i="4"/>
  <c r="AO164" i="4"/>
  <c r="AO233" i="4"/>
  <c r="AO221" i="4"/>
  <c r="AO222" i="4"/>
  <c r="AO183" i="4"/>
  <c r="AO186" i="4"/>
  <c r="AO232" i="4"/>
  <c r="AO256" i="4"/>
  <c r="AO251" i="4"/>
  <c r="BJ16" i="86"/>
  <c r="BJ17" i="86" s="1"/>
  <c r="AO218" i="4"/>
  <c r="AO230" i="4"/>
  <c r="AO184" i="4"/>
  <c r="AO243" i="4"/>
  <c r="AO213" i="4"/>
  <c r="AO204" i="4"/>
  <c r="AO244" i="4"/>
  <c r="AO229" i="4"/>
  <c r="AO193" i="4"/>
  <c r="BI8" i="86"/>
  <c r="BI13" i="86"/>
  <c r="BI14" i="86" s="1"/>
  <c r="BH7" i="86"/>
  <c r="AO249" i="4"/>
  <c r="AO203" i="4"/>
  <c r="AO176" i="4"/>
  <c r="AO211" i="4"/>
  <c r="AO175" i="4"/>
  <c r="AO167" i="4"/>
  <c r="AO262" i="4"/>
  <c r="AO177" i="4"/>
  <c r="BB7" i="86"/>
  <c r="BB13" i="86" s="1"/>
  <c r="BB14" i="86" s="1"/>
  <c r="BF7" i="86"/>
  <c r="BC7" i="86"/>
  <c r="BA7" i="86"/>
  <c r="BA13" i="86" s="1"/>
  <c r="BA14" i="86" s="1"/>
  <c r="BE8" i="86"/>
  <c r="BE13" i="86"/>
  <c r="BE14" i="86" s="1"/>
  <c r="AZ7" i="86"/>
  <c r="AZ13" i="86" s="1"/>
  <c r="AZ14" i="86" s="1"/>
  <c r="AY7" i="86"/>
  <c r="AV7" i="86"/>
  <c r="AX7" i="86"/>
  <c r="AW7" i="86"/>
  <c r="AW13" i="86" s="1"/>
  <c r="AW14" i="86" s="1"/>
  <c r="AP6" i="86"/>
  <c r="BT16" i="86" l="1"/>
  <c r="BT17" i="86" s="1"/>
  <c r="BT12" i="86"/>
  <c r="E15" i="67"/>
  <c r="E16" i="67"/>
  <c r="CP15" i="86"/>
  <c r="CP17" i="86" s="1"/>
  <c r="CP12" i="86"/>
  <c r="CV16" i="86"/>
  <c r="CV12" i="86"/>
  <c r="CV15" i="86"/>
  <c r="CO17" i="86"/>
  <c r="CT16" i="86"/>
  <c r="CT17" i="86" s="1"/>
  <c r="CT12" i="86"/>
  <c r="CS12" i="86"/>
  <c r="CS16" i="86"/>
  <c r="CS15" i="86"/>
  <c r="CN17" i="86"/>
  <c r="CU12" i="86"/>
  <c r="CU16" i="86"/>
  <c r="CU15" i="86"/>
  <c r="CR17" i="86"/>
  <c r="CQ17" i="86"/>
  <c r="CM16" i="86"/>
  <c r="CM12" i="86"/>
  <c r="CM15" i="86"/>
  <c r="CC17" i="86"/>
  <c r="CJ15" i="86"/>
  <c r="CJ17" i="86" s="1"/>
  <c r="CL17" i="86"/>
  <c r="CI15" i="86"/>
  <c r="CI17" i="86" s="1"/>
  <c r="CJ12" i="86"/>
  <c r="CI12" i="86"/>
  <c r="CE15" i="86"/>
  <c r="CE17" i="86" s="1"/>
  <c r="CE12" i="86"/>
  <c r="CD12" i="86"/>
  <c r="CD16" i="86"/>
  <c r="CD15" i="86"/>
  <c r="CF12" i="86"/>
  <c r="CF15" i="86"/>
  <c r="CF17" i="86" s="1"/>
  <c r="CK17" i="86"/>
  <c r="CA12" i="86"/>
  <c r="CA16" i="86"/>
  <c r="CA15" i="86"/>
  <c r="CG12" i="86"/>
  <c r="CG16" i="86"/>
  <c r="CG15" i="86"/>
  <c r="CB16" i="86"/>
  <c r="CB12" i="86"/>
  <c r="CB15" i="86"/>
  <c r="CH12" i="86"/>
  <c r="CH16" i="86"/>
  <c r="CH15" i="86"/>
  <c r="BV15" i="86"/>
  <c r="BP15" i="86"/>
  <c r="BP16" i="86"/>
  <c r="BY12" i="86"/>
  <c r="BS12" i="86"/>
  <c r="BV16" i="86"/>
  <c r="BZ12" i="86"/>
  <c r="BZ16" i="86"/>
  <c r="BZ15" i="86"/>
  <c r="BQ16" i="86"/>
  <c r="BQ15" i="86"/>
  <c r="BS15" i="86"/>
  <c r="BS17" i="86" s="1"/>
  <c r="BK17" i="86"/>
  <c r="BY15" i="86"/>
  <c r="BY17" i="86" s="1"/>
  <c r="BM16" i="86"/>
  <c r="BM15" i="86"/>
  <c r="BN16" i="86"/>
  <c r="BN15" i="86"/>
  <c r="BR15" i="86"/>
  <c r="BR12" i="86"/>
  <c r="BR16" i="86"/>
  <c r="BL12" i="86"/>
  <c r="BL15" i="86"/>
  <c r="BL16" i="86"/>
  <c r="BO12" i="86"/>
  <c r="BO16" i="86"/>
  <c r="BO15" i="86"/>
  <c r="BW16" i="86"/>
  <c r="BW12" i="86"/>
  <c r="BW15" i="86"/>
  <c r="BX12" i="86"/>
  <c r="BX15" i="86"/>
  <c r="BX17" i="86" s="1"/>
  <c r="BG8" i="86"/>
  <c r="BD13" i="86"/>
  <c r="BD14" i="86" s="1"/>
  <c r="BH8" i="86"/>
  <c r="BH13" i="86"/>
  <c r="BH14" i="86" s="1"/>
  <c r="BB8" i="86"/>
  <c r="BC13" i="86"/>
  <c r="BC14" i="86" s="1"/>
  <c r="BC8" i="86"/>
  <c r="BF13" i="86"/>
  <c r="BF14" i="86" s="1"/>
  <c r="BF8" i="86"/>
  <c r="AW8" i="86"/>
  <c r="BA8" i="86"/>
  <c r="AZ8" i="86"/>
  <c r="AY13" i="86"/>
  <c r="AY14" i="86" s="1"/>
  <c r="AY8" i="86"/>
  <c r="AX13" i="86"/>
  <c r="AX14" i="86" s="1"/>
  <c r="AX8" i="86"/>
  <c r="AV13" i="86"/>
  <c r="AV14" i="86" s="1"/>
  <c r="AV8" i="86"/>
  <c r="I54" i="82"/>
  <c r="AO6" i="86"/>
  <c r="AN6" i="86"/>
  <c r="E17" i="67" l="1"/>
  <c r="CV17" i="86"/>
  <c r="CU17" i="86"/>
  <c r="CS17" i="86"/>
  <c r="CM17" i="86"/>
  <c r="BZ17" i="86"/>
  <c r="CA17" i="86"/>
  <c r="CD17" i="86"/>
  <c r="CB17" i="86"/>
  <c r="CG17" i="86"/>
  <c r="BP17" i="86"/>
  <c r="BM17" i="86"/>
  <c r="BV17" i="86"/>
  <c r="CH17" i="86"/>
  <c r="BQ17" i="86"/>
  <c r="BL17" i="86"/>
  <c r="BO17" i="86"/>
  <c r="BR17" i="86"/>
  <c r="BW17" i="86"/>
  <c r="BN17" i="86"/>
  <c r="BA100" i="4"/>
  <c r="BC100" i="4" s="1"/>
  <c r="BA101" i="4"/>
  <c r="BC101" i="4" s="1"/>
  <c r="BA102" i="4"/>
  <c r="BC102" i="4" s="1"/>
  <c r="BA103" i="4"/>
  <c r="BC103" i="4" s="1"/>
  <c r="BA104" i="4"/>
  <c r="BC104" i="4" s="1"/>
  <c r="BA105" i="4"/>
  <c r="BC105" i="4" s="1"/>
  <c r="BA106" i="4"/>
  <c r="BC106" i="4" s="1"/>
  <c r="BA107" i="4"/>
  <c r="BC107" i="4" s="1"/>
  <c r="BA108" i="4"/>
  <c r="BC108" i="4" s="1"/>
  <c r="BA109" i="4"/>
  <c r="BC109" i="4" s="1"/>
  <c r="BA110" i="4"/>
  <c r="BC110" i="4" s="1"/>
  <c r="BA111" i="4"/>
  <c r="BC111" i="4" s="1"/>
  <c r="BA112" i="4"/>
  <c r="BC112" i="4" s="1"/>
  <c r="BA113" i="4"/>
  <c r="BC113" i="4" s="1"/>
  <c r="BA114" i="4"/>
  <c r="BC114" i="4" s="1"/>
  <c r="BA115" i="4"/>
  <c r="BC115" i="4" s="1"/>
  <c r="BA116" i="4"/>
  <c r="BC116" i="4" s="1"/>
  <c r="BA117" i="4"/>
  <c r="BC117" i="4" s="1"/>
  <c r="BA118" i="4"/>
  <c r="BC118" i="4" s="1"/>
  <c r="BA119" i="4"/>
  <c r="BC119" i="4" s="1"/>
  <c r="BA120" i="4"/>
  <c r="BC120" i="4" s="1"/>
  <c r="BA121" i="4"/>
  <c r="BC121" i="4" s="1"/>
  <c r="BA122" i="4"/>
  <c r="BC122" i="4" s="1"/>
  <c r="BA123" i="4"/>
  <c r="BC123" i="4" s="1"/>
  <c r="BA124" i="4"/>
  <c r="BC124" i="4" s="1"/>
  <c r="BA125" i="4"/>
  <c r="BC125" i="4" s="1"/>
  <c r="BA126" i="4"/>
  <c r="BC126" i="4" s="1"/>
  <c r="BA127" i="4"/>
  <c r="BC127" i="4" s="1"/>
  <c r="BA128" i="4"/>
  <c r="BC128" i="4" s="1"/>
  <c r="BA129" i="4"/>
  <c r="BC129" i="4" s="1"/>
  <c r="BA130" i="4"/>
  <c r="BC130" i="4" s="1"/>
  <c r="BA131" i="4"/>
  <c r="BC131" i="4" s="1"/>
  <c r="BA132" i="4"/>
  <c r="BC132" i="4" s="1"/>
  <c r="BA133" i="4"/>
  <c r="BC133" i="4" s="1"/>
  <c r="BA134" i="4"/>
  <c r="BC134" i="4" s="1"/>
  <c r="BA135" i="4"/>
  <c r="BC135" i="4" s="1"/>
  <c r="BA136" i="4"/>
  <c r="BC136" i="4" s="1"/>
  <c r="BA137" i="4"/>
  <c r="BC137" i="4" s="1"/>
  <c r="BA138" i="4"/>
  <c r="BC138" i="4" s="1"/>
  <c r="BA139" i="4"/>
  <c r="BC139" i="4" s="1"/>
  <c r="BA140" i="4"/>
  <c r="BC140" i="4" s="1"/>
  <c r="BA141" i="4"/>
  <c r="BC141" i="4" s="1"/>
  <c r="BA142" i="4"/>
  <c r="BC142" i="4" s="1"/>
  <c r="BA143" i="4"/>
  <c r="BC143" i="4" s="1"/>
  <c r="BA144" i="4"/>
  <c r="BC144" i="4" s="1"/>
  <c r="BA145" i="4"/>
  <c r="BC145" i="4" s="1"/>
  <c r="BA146" i="4"/>
  <c r="BC146" i="4" s="1"/>
  <c r="BE9" i="86" s="1"/>
  <c r="BA147" i="4"/>
  <c r="BC147" i="4" s="1"/>
  <c r="BA148" i="4"/>
  <c r="BC148" i="4" s="1"/>
  <c r="BA149" i="4"/>
  <c r="BC149" i="4" s="1"/>
  <c r="BA150" i="4"/>
  <c r="BC150" i="4" s="1"/>
  <c r="BA151" i="4"/>
  <c r="BC151" i="4" s="1"/>
  <c r="AQ100" i="4"/>
  <c r="AR100" i="4"/>
  <c r="AS100" i="4"/>
  <c r="AQ101" i="4"/>
  <c r="AR101" i="4"/>
  <c r="AS101" i="4"/>
  <c r="AQ102" i="4"/>
  <c r="AR102" i="4"/>
  <c r="AS102" i="4"/>
  <c r="AQ103" i="4"/>
  <c r="AR103" i="4"/>
  <c r="AS103" i="4"/>
  <c r="AQ104" i="4"/>
  <c r="AR104" i="4"/>
  <c r="AS104" i="4"/>
  <c r="AQ105" i="4"/>
  <c r="AR105" i="4"/>
  <c r="AS105" i="4"/>
  <c r="AQ106" i="4"/>
  <c r="AR106" i="4"/>
  <c r="AS106" i="4"/>
  <c r="AQ107" i="4"/>
  <c r="AR107" i="4"/>
  <c r="AS107" i="4"/>
  <c r="AQ108" i="4"/>
  <c r="AR108" i="4"/>
  <c r="AS108" i="4"/>
  <c r="AQ109" i="4"/>
  <c r="AR109" i="4"/>
  <c r="AS109" i="4"/>
  <c r="AQ110" i="4"/>
  <c r="AR110" i="4"/>
  <c r="AS110" i="4"/>
  <c r="AQ111" i="4"/>
  <c r="AR111" i="4"/>
  <c r="AS111" i="4"/>
  <c r="AQ112" i="4"/>
  <c r="AR112" i="4"/>
  <c r="AS112" i="4"/>
  <c r="AQ113" i="4"/>
  <c r="AR113" i="4"/>
  <c r="AS113" i="4"/>
  <c r="AQ114" i="4"/>
  <c r="AR114" i="4"/>
  <c r="AS114" i="4"/>
  <c r="AQ115" i="4"/>
  <c r="AR115" i="4"/>
  <c r="AS115" i="4"/>
  <c r="AQ116" i="4"/>
  <c r="AR116" i="4"/>
  <c r="AS116" i="4"/>
  <c r="AQ117" i="4"/>
  <c r="AR117" i="4"/>
  <c r="AS117" i="4"/>
  <c r="AQ118" i="4"/>
  <c r="AR118" i="4"/>
  <c r="AS118" i="4"/>
  <c r="AQ119" i="4"/>
  <c r="AR119" i="4"/>
  <c r="AS119" i="4"/>
  <c r="AQ120" i="4"/>
  <c r="AR120" i="4"/>
  <c r="AS120" i="4"/>
  <c r="AQ121" i="4"/>
  <c r="AR121" i="4"/>
  <c r="AS121" i="4"/>
  <c r="AQ122" i="4"/>
  <c r="AR122" i="4"/>
  <c r="AS122" i="4"/>
  <c r="AQ123" i="4"/>
  <c r="AR123" i="4"/>
  <c r="AS123" i="4"/>
  <c r="AQ124" i="4"/>
  <c r="AR124" i="4"/>
  <c r="AS124" i="4"/>
  <c r="AQ125" i="4"/>
  <c r="AR125" i="4"/>
  <c r="AS125" i="4"/>
  <c r="AQ126" i="4"/>
  <c r="AR126" i="4"/>
  <c r="AS126" i="4"/>
  <c r="AQ127" i="4"/>
  <c r="AR127" i="4"/>
  <c r="AS127" i="4"/>
  <c r="AQ128" i="4"/>
  <c r="AR128" i="4"/>
  <c r="AS128" i="4"/>
  <c r="AQ129" i="4"/>
  <c r="AR129" i="4"/>
  <c r="AS129" i="4"/>
  <c r="AQ130" i="4"/>
  <c r="AR130" i="4"/>
  <c r="AS130" i="4"/>
  <c r="AQ131" i="4"/>
  <c r="AR131" i="4"/>
  <c r="AS131" i="4"/>
  <c r="AQ132" i="4"/>
  <c r="AR132" i="4"/>
  <c r="AS132" i="4"/>
  <c r="AQ133" i="4"/>
  <c r="AR133" i="4"/>
  <c r="AS133" i="4"/>
  <c r="AQ134" i="4"/>
  <c r="AR134" i="4"/>
  <c r="AS134" i="4"/>
  <c r="AQ135" i="4"/>
  <c r="AR135" i="4"/>
  <c r="AS135" i="4"/>
  <c r="AQ136" i="4"/>
  <c r="AR136" i="4"/>
  <c r="AS136" i="4"/>
  <c r="AQ137" i="4"/>
  <c r="AR137" i="4"/>
  <c r="AS137" i="4"/>
  <c r="AQ138" i="4"/>
  <c r="AR138" i="4"/>
  <c r="AS138" i="4"/>
  <c r="AQ139" i="4"/>
  <c r="AR139" i="4"/>
  <c r="AS139" i="4"/>
  <c r="AQ140" i="4"/>
  <c r="AR140" i="4"/>
  <c r="AS140" i="4"/>
  <c r="AQ141" i="4"/>
  <c r="AR141" i="4"/>
  <c r="AS141" i="4"/>
  <c r="AQ142" i="4"/>
  <c r="AR142" i="4"/>
  <c r="AS142" i="4"/>
  <c r="AQ143" i="4"/>
  <c r="AR143" i="4"/>
  <c r="AS143" i="4"/>
  <c r="AQ144" i="4"/>
  <c r="AR144" i="4"/>
  <c r="AS144" i="4"/>
  <c r="AQ145" i="4"/>
  <c r="AR145" i="4"/>
  <c r="AS145" i="4"/>
  <c r="AQ146" i="4"/>
  <c r="AR146" i="4"/>
  <c r="AS146" i="4"/>
  <c r="AQ147" i="4"/>
  <c r="AR147" i="4"/>
  <c r="AS147" i="4"/>
  <c r="AQ148" i="4"/>
  <c r="AR148" i="4"/>
  <c r="AS148" i="4"/>
  <c r="AQ149" i="4"/>
  <c r="AR149" i="4"/>
  <c r="AS149" i="4"/>
  <c r="AQ150" i="4"/>
  <c r="AR150" i="4"/>
  <c r="AS150" i="4"/>
  <c r="AQ151" i="4"/>
  <c r="AR151" i="4"/>
  <c r="AS151" i="4"/>
  <c r="AQ152" i="4"/>
  <c r="AR152" i="4"/>
  <c r="AS152" i="4"/>
  <c r="AK100" i="4"/>
  <c r="AM100" i="4" s="1"/>
  <c r="AL100" i="4"/>
  <c r="AK101" i="4"/>
  <c r="AL101" i="4"/>
  <c r="AK102" i="4"/>
  <c r="AM102" i="4" s="1"/>
  <c r="AL102" i="4"/>
  <c r="AK103" i="4"/>
  <c r="AM103" i="4" s="1"/>
  <c r="AL103" i="4"/>
  <c r="AK104" i="4"/>
  <c r="AL104" i="4"/>
  <c r="AK105" i="4"/>
  <c r="AM105" i="4" s="1"/>
  <c r="AL105" i="4"/>
  <c r="AK106" i="4"/>
  <c r="AM106" i="4" s="1"/>
  <c r="AL106" i="4"/>
  <c r="AK107" i="4"/>
  <c r="AL107" i="4"/>
  <c r="AK108" i="4"/>
  <c r="AM108" i="4" s="1"/>
  <c r="AL108" i="4"/>
  <c r="AK109" i="4"/>
  <c r="AM109" i="4" s="1"/>
  <c r="AL109" i="4"/>
  <c r="AK110" i="4"/>
  <c r="AL110" i="4"/>
  <c r="AK111" i="4"/>
  <c r="AM111" i="4" s="1"/>
  <c r="AL111" i="4"/>
  <c r="AK112" i="4"/>
  <c r="AL112" i="4"/>
  <c r="AK113" i="4"/>
  <c r="AM113" i="4" s="1"/>
  <c r="AL113" i="4"/>
  <c r="AK114" i="4"/>
  <c r="AM114" i="4" s="1"/>
  <c r="AL114" i="4"/>
  <c r="AK115" i="4"/>
  <c r="AL115" i="4"/>
  <c r="AK116" i="4"/>
  <c r="AM116" i="4" s="1"/>
  <c r="AL116" i="4"/>
  <c r="AK117" i="4"/>
  <c r="AM117" i="4" s="1"/>
  <c r="AL117" i="4"/>
  <c r="AK118" i="4"/>
  <c r="AL118" i="4"/>
  <c r="AM119" i="4"/>
  <c r="AL119" i="4"/>
  <c r="AM120" i="4"/>
  <c r="AL120" i="4"/>
  <c r="AM121" i="4"/>
  <c r="AL121" i="4"/>
  <c r="AM122" i="4"/>
  <c r="AL122" i="4"/>
  <c r="AL123" i="4"/>
  <c r="AM124" i="4"/>
  <c r="AL124" i="4"/>
  <c r="AM125" i="4"/>
  <c r="AL125" i="4"/>
  <c r="AM126" i="4"/>
  <c r="AL126" i="4"/>
  <c r="AM127" i="4"/>
  <c r="AL127" i="4"/>
  <c r="AM128" i="4"/>
  <c r="AL128" i="4"/>
  <c r="AM129" i="4"/>
  <c r="AL129" i="4"/>
  <c r="AM130" i="4"/>
  <c r="AL130" i="4"/>
  <c r="AM131" i="4"/>
  <c r="AL131" i="4"/>
  <c r="AM132" i="4"/>
  <c r="AL132" i="4"/>
  <c r="AM133" i="4"/>
  <c r="AL133" i="4"/>
  <c r="AM134" i="4"/>
  <c r="AL134" i="4"/>
  <c r="AM135" i="4"/>
  <c r="AL135" i="4"/>
  <c r="AM136" i="4"/>
  <c r="AL136" i="4"/>
  <c r="AM137" i="4"/>
  <c r="AL137" i="4"/>
  <c r="AM138" i="4"/>
  <c r="AL138" i="4"/>
  <c r="AM139" i="4"/>
  <c r="AL139" i="4"/>
  <c r="AM140" i="4"/>
  <c r="AL140" i="4"/>
  <c r="AM141" i="4"/>
  <c r="AL141" i="4"/>
  <c r="AM142" i="4"/>
  <c r="AL142" i="4"/>
  <c r="AM143" i="4"/>
  <c r="AL143" i="4"/>
  <c r="AM144" i="4"/>
  <c r="AL144" i="4"/>
  <c r="AM145" i="4"/>
  <c r="AL145" i="4"/>
  <c r="AM146" i="4"/>
  <c r="AL146" i="4"/>
  <c r="AM147" i="4"/>
  <c r="AL147" i="4"/>
  <c r="AM148" i="4"/>
  <c r="AL148" i="4"/>
  <c r="AM149" i="4"/>
  <c r="AL149" i="4"/>
  <c r="AM150" i="4"/>
  <c r="AL150" i="4"/>
  <c r="AM151" i="4"/>
  <c r="AL151" i="4"/>
  <c r="Q100" i="4"/>
  <c r="R100" i="4" s="1"/>
  <c r="AN100" i="4" s="1"/>
  <c r="Q101" i="4"/>
  <c r="Q102" i="4"/>
  <c r="Q103" i="4"/>
  <c r="R103" i="4" s="1"/>
  <c r="Q104" i="4"/>
  <c r="R104" i="4" s="1"/>
  <c r="Q105" i="4"/>
  <c r="R105" i="4" s="1"/>
  <c r="Q106" i="4"/>
  <c r="R106" i="4" s="1"/>
  <c r="Q107" i="4"/>
  <c r="Q108" i="4"/>
  <c r="R108" i="4" s="1"/>
  <c r="Q109" i="4"/>
  <c r="R109" i="4" s="1"/>
  <c r="Q110" i="4"/>
  <c r="R110" i="4" s="1"/>
  <c r="Q111" i="4"/>
  <c r="R111" i="4" s="1"/>
  <c r="Q112" i="4"/>
  <c r="Q113" i="4"/>
  <c r="Q114" i="4"/>
  <c r="R114" i="4" s="1"/>
  <c r="Q115" i="4"/>
  <c r="R115" i="4" s="1"/>
  <c r="Q116" i="4"/>
  <c r="R116" i="4" s="1"/>
  <c r="Q117" i="4"/>
  <c r="R117" i="4" s="1"/>
  <c r="Q118" i="4"/>
  <c r="Q119" i="4"/>
  <c r="Q120" i="4"/>
  <c r="R120" i="4" s="1"/>
  <c r="Q121" i="4"/>
  <c r="R121" i="4" s="1"/>
  <c r="Q122" i="4"/>
  <c r="R122" i="4" s="1"/>
  <c r="Q123" i="4"/>
  <c r="R123" i="4" s="1"/>
  <c r="AP123" i="4" s="1"/>
  <c r="Q124" i="4"/>
  <c r="Q125" i="4"/>
  <c r="Q126" i="4"/>
  <c r="R126" i="4" s="1"/>
  <c r="Q127" i="4"/>
  <c r="R127" i="4" s="1"/>
  <c r="Q128" i="4"/>
  <c r="R128" i="4" s="1"/>
  <c r="Q129" i="4"/>
  <c r="R129" i="4" s="1"/>
  <c r="Q130" i="4"/>
  <c r="Q131" i="4"/>
  <c r="Q132" i="4"/>
  <c r="R132" i="4" s="1"/>
  <c r="Q133" i="4"/>
  <c r="R133" i="4" s="1"/>
  <c r="Q134" i="4"/>
  <c r="R134" i="4" s="1"/>
  <c r="Q135" i="4"/>
  <c r="R135" i="4" s="1"/>
  <c r="Q136" i="4"/>
  <c r="Q137" i="4"/>
  <c r="Q138" i="4"/>
  <c r="R138" i="4" s="1"/>
  <c r="Q139" i="4"/>
  <c r="R139" i="4" s="1"/>
  <c r="Q140" i="4"/>
  <c r="R140" i="4" s="1"/>
  <c r="Q141" i="4"/>
  <c r="R141" i="4" s="1"/>
  <c r="Q142" i="4"/>
  <c r="Q143" i="4"/>
  <c r="Q144" i="4"/>
  <c r="R144" i="4" s="1"/>
  <c r="Q145" i="4"/>
  <c r="R145" i="4" s="1"/>
  <c r="Q146" i="4"/>
  <c r="R146" i="4" s="1"/>
  <c r="Q147" i="4"/>
  <c r="R147" i="4" s="1"/>
  <c r="Q148" i="4"/>
  <c r="Q149" i="4"/>
  <c r="Q150" i="4"/>
  <c r="R150" i="4" s="1"/>
  <c r="Q151" i="4"/>
  <c r="R151" i="4" s="1"/>
  <c r="J100" i="4"/>
  <c r="BE100" i="4" s="1"/>
  <c r="J101" i="4"/>
  <c r="K101" i="4" s="1"/>
  <c r="J102" i="4"/>
  <c r="BE102" i="4" s="1"/>
  <c r="J103" i="4"/>
  <c r="BE103" i="4" s="1"/>
  <c r="J104" i="4"/>
  <c r="K104" i="4" s="1"/>
  <c r="J105" i="4"/>
  <c r="BE105" i="4" s="1"/>
  <c r="J106" i="4"/>
  <c r="K106" i="4" s="1"/>
  <c r="P106" i="4" s="1"/>
  <c r="J107" i="4"/>
  <c r="BE107" i="4" s="1"/>
  <c r="J108" i="4"/>
  <c r="BE108" i="4" s="1"/>
  <c r="J109" i="4"/>
  <c r="K109" i="4" s="1"/>
  <c r="J110" i="4"/>
  <c r="BE110" i="4" s="1"/>
  <c r="J111" i="4"/>
  <c r="BE111" i="4" s="1"/>
  <c r="J112" i="4"/>
  <c r="BE112" i="4" s="1"/>
  <c r="J113" i="4"/>
  <c r="BE113" i="4" s="1"/>
  <c r="J114" i="4"/>
  <c r="BE114" i="4" s="1"/>
  <c r="J115" i="4"/>
  <c r="K115" i="4" s="1"/>
  <c r="J116" i="4"/>
  <c r="BE116" i="4" s="1"/>
  <c r="J117" i="4"/>
  <c r="BE117" i="4" s="1"/>
  <c r="J118" i="4"/>
  <c r="BE118" i="4" s="1"/>
  <c r="J119" i="4"/>
  <c r="BE119" i="4" s="1"/>
  <c r="J120" i="4"/>
  <c r="BE120" i="4" s="1"/>
  <c r="J121" i="4"/>
  <c r="BE121" i="4" s="1"/>
  <c r="J122" i="4"/>
  <c r="K122" i="4" s="1"/>
  <c r="J123" i="4"/>
  <c r="BE123" i="4" s="1"/>
  <c r="J124" i="4"/>
  <c r="BE124" i="4" s="1"/>
  <c r="J125" i="4"/>
  <c r="BE125" i="4" s="1"/>
  <c r="BE126" i="4"/>
  <c r="J127" i="4"/>
  <c r="BE127" i="4" s="1"/>
  <c r="J128" i="4"/>
  <c r="K128" i="4" s="1"/>
  <c r="J129" i="4"/>
  <c r="BE129" i="4" s="1"/>
  <c r="J130" i="4"/>
  <c r="K130" i="4" s="1"/>
  <c r="J131" i="4"/>
  <c r="BE131" i="4" s="1"/>
  <c r="J132" i="4"/>
  <c r="BE132" i="4" s="1"/>
  <c r="J133" i="4"/>
  <c r="K133" i="4" s="1"/>
  <c r="P133" i="4" s="1"/>
  <c r="J134" i="4"/>
  <c r="K134" i="4" s="1"/>
  <c r="J135" i="4"/>
  <c r="BE135" i="4" s="1"/>
  <c r="J136" i="4"/>
  <c r="BE136" i="4" s="1"/>
  <c r="J137" i="4"/>
  <c r="BE137" i="4" s="1"/>
  <c r="J138" i="4"/>
  <c r="BE138" i="4" s="1"/>
  <c r="J139" i="4"/>
  <c r="K139" i="4" s="1"/>
  <c r="J140" i="4"/>
  <c r="BE140" i="4" s="1"/>
  <c r="J141" i="4"/>
  <c r="BE141" i="4" s="1"/>
  <c r="J142" i="4"/>
  <c r="BE142" i="4" s="1"/>
  <c r="J143" i="4"/>
  <c r="BE143" i="4" s="1"/>
  <c r="J144" i="4"/>
  <c r="BE144" i="4" s="1"/>
  <c r="J145" i="4"/>
  <c r="K145" i="4" s="1"/>
  <c r="J146" i="4"/>
  <c r="BE146" i="4" s="1"/>
  <c r="BE11" i="86" s="1"/>
  <c r="J147" i="4"/>
  <c r="BE147" i="4" s="1"/>
  <c r="J148" i="4"/>
  <c r="BE148" i="4" s="1"/>
  <c r="J149" i="4"/>
  <c r="BE149" i="4" s="1"/>
  <c r="J150" i="4"/>
  <c r="BE150" i="4" s="1"/>
  <c r="J151" i="4"/>
  <c r="K151" i="4" s="1"/>
  <c r="J98" i="4"/>
  <c r="K98" i="4" s="1"/>
  <c r="L98" i="4" s="1"/>
  <c r="J99" i="4"/>
  <c r="K99" i="4" s="1"/>
  <c r="AM6" i="86"/>
  <c r="AK6" i="86"/>
  <c r="E95" i="4"/>
  <c r="M94" i="4"/>
  <c r="AL6" i="86" s="1"/>
  <c r="I94" i="4"/>
  <c r="D7" i="67" l="1"/>
  <c r="L151" i="4"/>
  <c r="P151" i="4"/>
  <c r="BD9" i="86"/>
  <c r="BB9" i="86"/>
  <c r="BF9" i="86"/>
  <c r="BC9" i="86"/>
  <c r="BA9" i="86"/>
  <c r="BF11" i="86"/>
  <c r="BC11" i="86"/>
  <c r="BA11" i="86"/>
  <c r="AZ9" i="86"/>
  <c r="AU9" i="86"/>
  <c r="AS9" i="86"/>
  <c r="AY9" i="86"/>
  <c r="AX9" i="86"/>
  <c r="AV9" i="86"/>
  <c r="AT9" i="86"/>
  <c r="AM118" i="4"/>
  <c r="AU7" i="86"/>
  <c r="AM115" i="4"/>
  <c r="AP115" i="4" s="1"/>
  <c r="AT7" i="86"/>
  <c r="AM112" i="4"/>
  <c r="AS7" i="86"/>
  <c r="AW11" i="86"/>
  <c r="AU11" i="86"/>
  <c r="AS11" i="86"/>
  <c r="AW9" i="86"/>
  <c r="AP105" i="4"/>
  <c r="BF131" i="4"/>
  <c r="AT130" i="4"/>
  <c r="AX130" i="4" s="1"/>
  <c r="AT122" i="4"/>
  <c r="AX122" i="4" s="1"/>
  <c r="AT120" i="4"/>
  <c r="AX120" i="4" s="1"/>
  <c r="AT112" i="4"/>
  <c r="AX112" i="4" s="1"/>
  <c r="AR11" i="86"/>
  <c r="K123" i="4"/>
  <c r="BD123" i="4" s="1"/>
  <c r="AP138" i="4"/>
  <c r="AP126" i="4"/>
  <c r="AM110" i="4"/>
  <c r="AP110" i="4" s="1"/>
  <c r="AR7" i="86"/>
  <c r="AM107" i="4"/>
  <c r="AQ7" i="86"/>
  <c r="K141" i="4"/>
  <c r="P141" i="4" s="1"/>
  <c r="K117" i="4"/>
  <c r="P117" i="4" s="1"/>
  <c r="AT151" i="4"/>
  <c r="AX151" i="4" s="1"/>
  <c r="AT147" i="4"/>
  <c r="AX147" i="4" s="1"/>
  <c r="AT143" i="4"/>
  <c r="AX143" i="4" s="1"/>
  <c r="AT141" i="4"/>
  <c r="AX141" i="4" s="1"/>
  <c r="AT137" i="4"/>
  <c r="AX137" i="4" s="1"/>
  <c r="AT131" i="4"/>
  <c r="AX131" i="4" s="1"/>
  <c r="AT129" i="4"/>
  <c r="AX129" i="4" s="1"/>
  <c r="AT125" i="4"/>
  <c r="AX125" i="4" s="1"/>
  <c r="AQ9" i="86"/>
  <c r="AT105" i="4"/>
  <c r="AX105" i="4" s="1"/>
  <c r="K135" i="4"/>
  <c r="P135" i="4" s="1"/>
  <c r="AR9" i="86"/>
  <c r="AT110" i="4"/>
  <c r="AX110" i="4" s="1"/>
  <c r="AT108" i="4"/>
  <c r="AX108" i="4" s="1"/>
  <c r="AT107" i="4"/>
  <c r="AX107" i="4" s="1"/>
  <c r="AP120" i="4"/>
  <c r="K150" i="4"/>
  <c r="K132" i="4"/>
  <c r="BD132" i="4" s="1"/>
  <c r="K114" i="4"/>
  <c r="L114" i="4" s="1"/>
  <c r="AT135" i="4"/>
  <c r="AX135" i="4" s="1"/>
  <c r="AP132" i="4"/>
  <c r="K147" i="4"/>
  <c r="P147" i="4" s="1"/>
  <c r="K129" i="4"/>
  <c r="BD129" i="4" s="1"/>
  <c r="K111" i="4"/>
  <c r="P111" i="4" s="1"/>
  <c r="AP144" i="4"/>
  <c r="AP134" i="4"/>
  <c r="BF119" i="4"/>
  <c r="AP146" i="4"/>
  <c r="AP122" i="4"/>
  <c r="K144" i="4"/>
  <c r="L144" i="4" s="1"/>
  <c r="BD126" i="4"/>
  <c r="K108" i="4"/>
  <c r="L108" i="4" s="1"/>
  <c r="AT119" i="4"/>
  <c r="AX119" i="4" s="1"/>
  <c r="AT113" i="4"/>
  <c r="AX113" i="4" s="1"/>
  <c r="BF148" i="4"/>
  <c r="AT148" i="4"/>
  <c r="AX148" i="4" s="1"/>
  <c r="AT142" i="4"/>
  <c r="AX142" i="4" s="1"/>
  <c r="AT123" i="4"/>
  <c r="AX123" i="4" s="1"/>
  <c r="AT121" i="4"/>
  <c r="AX121" i="4" s="1"/>
  <c r="AT117" i="4"/>
  <c r="AX117" i="4" s="1"/>
  <c r="K138" i="4"/>
  <c r="L138" i="4" s="1"/>
  <c r="K120" i="4"/>
  <c r="L120" i="4" s="1"/>
  <c r="AP150" i="4"/>
  <c r="AP114" i="4"/>
  <c r="AT140" i="4"/>
  <c r="AX140" i="4" s="1"/>
  <c r="AT138" i="4"/>
  <c r="AX138" i="4" s="1"/>
  <c r="AT136" i="4"/>
  <c r="AX136" i="4" s="1"/>
  <c r="AT111" i="4"/>
  <c r="AX111" i="4" s="1"/>
  <c r="AT149" i="4"/>
  <c r="AX149" i="4" s="1"/>
  <c r="AT124" i="4"/>
  <c r="AX124" i="4" s="1"/>
  <c r="AT118" i="4"/>
  <c r="AX118" i="4" s="1"/>
  <c r="AT101" i="4"/>
  <c r="AX101" i="4" s="1"/>
  <c r="BD151" i="4"/>
  <c r="BD145" i="4"/>
  <c r="L145" i="4"/>
  <c r="P145" i="4"/>
  <c r="L139" i="4"/>
  <c r="BD139" i="4"/>
  <c r="P139" i="4"/>
  <c r="L133" i="4"/>
  <c r="BD133" i="4"/>
  <c r="BD115" i="4"/>
  <c r="L115" i="4"/>
  <c r="P115" i="4"/>
  <c r="L109" i="4"/>
  <c r="BD109" i="4"/>
  <c r="P109" i="4"/>
  <c r="BF149" i="4"/>
  <c r="BF136" i="4"/>
  <c r="BF143" i="4"/>
  <c r="BF110" i="4"/>
  <c r="BF125" i="4"/>
  <c r="P130" i="4"/>
  <c r="BD130" i="4"/>
  <c r="L130" i="4"/>
  <c r="BD134" i="4"/>
  <c r="L134" i="4"/>
  <c r="P134" i="4"/>
  <c r="BD128" i="4"/>
  <c r="L128" i="4"/>
  <c r="P128" i="4"/>
  <c r="L122" i="4"/>
  <c r="P122" i="4"/>
  <c r="BD122" i="4"/>
  <c r="BF137" i="4"/>
  <c r="K149" i="4"/>
  <c r="K143" i="4"/>
  <c r="K137" i="4"/>
  <c r="K131" i="4"/>
  <c r="K125" i="4"/>
  <c r="K119" i="4"/>
  <c r="K113" i="4"/>
  <c r="K107" i="4"/>
  <c r="AP129" i="4"/>
  <c r="AP117" i="4"/>
  <c r="AT152" i="4"/>
  <c r="AX152" i="4" s="1"/>
  <c r="AT150" i="4"/>
  <c r="AX150" i="4" s="1"/>
  <c r="BE133" i="4"/>
  <c r="BF133" i="4" s="1"/>
  <c r="BE130" i="4"/>
  <c r="BF130" i="4" s="1"/>
  <c r="BF129" i="4"/>
  <c r="BE122" i="4"/>
  <c r="BF122" i="4" s="1"/>
  <c r="BF118" i="4"/>
  <c r="BF113" i="4"/>
  <c r="BE106" i="4"/>
  <c r="BF106" i="4" s="1"/>
  <c r="AP141" i="4"/>
  <c r="K148" i="4"/>
  <c r="K142" i="4"/>
  <c r="K136" i="4"/>
  <c r="K124" i="4"/>
  <c r="K118" i="4"/>
  <c r="K112" i="4"/>
  <c r="AN147" i="4"/>
  <c r="AN141" i="4"/>
  <c r="AN135" i="4"/>
  <c r="AN129" i="4"/>
  <c r="AN123" i="4"/>
  <c r="AN117" i="4"/>
  <c r="AN111" i="4"/>
  <c r="AP140" i="4"/>
  <c r="AP128" i="4"/>
  <c r="AP116" i="4"/>
  <c r="AM104" i="4"/>
  <c r="AP104" i="4" s="1"/>
  <c r="AP7" i="86"/>
  <c r="AM101" i="4"/>
  <c r="AO7" i="86"/>
  <c r="AT139" i="4"/>
  <c r="AX139" i="4" s="1"/>
  <c r="AT128" i="4"/>
  <c r="AX128" i="4" s="1"/>
  <c r="AT126" i="4"/>
  <c r="AX126" i="4" s="1"/>
  <c r="AT109" i="4"/>
  <c r="AX109" i="4" s="1"/>
  <c r="AT102" i="4"/>
  <c r="AX102" i="4" s="1"/>
  <c r="BE139" i="4"/>
  <c r="BF139" i="4" s="1"/>
  <c r="BE128" i="4"/>
  <c r="BF128" i="4" s="1"/>
  <c r="BF124" i="4"/>
  <c r="BF116" i="4"/>
  <c r="BE109" i="4"/>
  <c r="BF109" i="4" s="1"/>
  <c r="BF108" i="4"/>
  <c r="K103" i="4"/>
  <c r="P103" i="4" s="1"/>
  <c r="AT145" i="4"/>
  <c r="AX145" i="4" s="1"/>
  <c r="AT134" i="4"/>
  <c r="AX134" i="4" s="1"/>
  <c r="AT132" i="4"/>
  <c r="AX132" i="4" s="1"/>
  <c r="AT115" i="4"/>
  <c r="AX115" i="4" s="1"/>
  <c r="BE145" i="4"/>
  <c r="BF145" i="4" s="1"/>
  <c r="BF144" i="4"/>
  <c r="BE134" i="4"/>
  <c r="BF134" i="4" s="1"/>
  <c r="AO9" i="86"/>
  <c r="AN140" i="4"/>
  <c r="AN128" i="4"/>
  <c r="AN116" i="4"/>
  <c r="R101" i="4"/>
  <c r="AN101" i="4" s="1"/>
  <c r="AP145" i="4"/>
  <c r="AP133" i="4"/>
  <c r="AP121" i="4"/>
  <c r="AP109" i="4"/>
  <c r="K146" i="4"/>
  <c r="K140" i="4"/>
  <c r="K116" i="4"/>
  <c r="K110" i="4"/>
  <c r="AN151" i="4"/>
  <c r="AN145" i="4"/>
  <c r="AN139" i="4"/>
  <c r="AN133" i="4"/>
  <c r="AN127" i="4"/>
  <c r="AN121" i="4"/>
  <c r="AN115" i="4"/>
  <c r="AN109" i="4"/>
  <c r="R149" i="4"/>
  <c r="AP149" i="4" s="1"/>
  <c r="R143" i="4"/>
  <c r="AN143" i="4" s="1"/>
  <c r="R137" i="4"/>
  <c r="AN137" i="4" s="1"/>
  <c r="R131" i="4"/>
  <c r="AP131" i="4" s="1"/>
  <c r="R125" i="4"/>
  <c r="AN125" i="4" s="1"/>
  <c r="R119" i="4"/>
  <c r="AP119" i="4" s="1"/>
  <c r="R113" i="4"/>
  <c r="AN113" i="4" s="1"/>
  <c r="R107" i="4"/>
  <c r="AN107" i="4" s="1"/>
  <c r="AP147" i="4"/>
  <c r="AP135" i="4"/>
  <c r="AP111" i="4"/>
  <c r="AP108" i="4"/>
  <c r="BE151" i="4"/>
  <c r="BF151" i="4" s="1"/>
  <c r="BF150" i="4"/>
  <c r="BE115" i="4"/>
  <c r="BF114" i="4"/>
  <c r="AN146" i="4"/>
  <c r="AN134" i="4"/>
  <c r="AN122" i="4"/>
  <c r="AN110" i="4"/>
  <c r="K127" i="4"/>
  <c r="K121" i="4"/>
  <c r="AN150" i="4"/>
  <c r="AN144" i="4"/>
  <c r="AN138" i="4"/>
  <c r="AN132" i="4"/>
  <c r="AN126" i="4"/>
  <c r="AN120" i="4"/>
  <c r="AN114" i="4"/>
  <c r="AN108" i="4"/>
  <c r="R102" i="4"/>
  <c r="AP102" i="4" s="1"/>
  <c r="R148" i="4"/>
  <c r="AN148" i="4" s="1"/>
  <c r="R142" i="4"/>
  <c r="AP142" i="4" s="1"/>
  <c r="R136" i="4"/>
  <c r="AP136" i="4" s="1"/>
  <c r="R130" i="4"/>
  <c r="AN130" i="4" s="1"/>
  <c r="R124" i="4"/>
  <c r="AN124" i="4" s="1"/>
  <c r="R118" i="4"/>
  <c r="R112" i="4"/>
  <c r="AN112" i="4" s="1"/>
  <c r="AT127" i="4"/>
  <c r="AX127" i="4" s="1"/>
  <c r="BF142" i="4"/>
  <c r="BF120" i="4"/>
  <c r="BF112" i="4"/>
  <c r="BF107" i="4"/>
  <c r="AP9" i="86"/>
  <c r="AP151" i="4"/>
  <c r="AP139" i="4"/>
  <c r="AP127" i="4"/>
  <c r="AT146" i="4"/>
  <c r="AX146" i="4" s="1"/>
  <c r="AT144" i="4"/>
  <c r="AX144" i="4" s="1"/>
  <c r="AT133" i="4"/>
  <c r="AX133" i="4" s="1"/>
  <c r="AT116" i="4"/>
  <c r="AX116" i="4" s="1"/>
  <c r="AT114" i="4"/>
  <c r="AX114" i="4" s="1"/>
  <c r="BF126" i="4"/>
  <c r="AP106" i="4"/>
  <c r="AT106" i="4"/>
  <c r="AX106" i="4" s="1"/>
  <c r="AN106" i="4"/>
  <c r="AN105" i="4"/>
  <c r="AT104" i="4"/>
  <c r="AX104" i="4" s="1"/>
  <c r="AN104" i="4"/>
  <c r="P104" i="4"/>
  <c r="L104" i="4"/>
  <c r="BD104" i="4"/>
  <c r="BD106" i="4"/>
  <c r="BE104" i="4"/>
  <c r="K105" i="4"/>
  <c r="L106" i="4"/>
  <c r="AP103" i="4"/>
  <c r="AT103" i="4"/>
  <c r="AX103" i="4" s="1"/>
  <c r="AN103" i="4"/>
  <c r="L101" i="4"/>
  <c r="P101" i="4"/>
  <c r="BE101" i="4"/>
  <c r="AO11" i="86" s="1"/>
  <c r="K102" i="4"/>
  <c r="BF102" i="4"/>
  <c r="BD101" i="4"/>
  <c r="AT100" i="4"/>
  <c r="AX100" i="4" s="1"/>
  <c r="AP100" i="4"/>
  <c r="BF100" i="4"/>
  <c r="K100" i="4"/>
  <c r="L99" i="4"/>
  <c r="P99" i="4"/>
  <c r="P98" i="4"/>
  <c r="BF138" i="4"/>
  <c r="BF132" i="4"/>
  <c r="BF123" i="4"/>
  <c r="BF117" i="4"/>
  <c r="BF111" i="4"/>
  <c r="BF105" i="4"/>
  <c r="BF147" i="4"/>
  <c r="BF141" i="4"/>
  <c r="BF135" i="4"/>
  <c r="BF127" i="4"/>
  <c r="BF121" i="4"/>
  <c r="BF103" i="4"/>
  <c r="BF146" i="4"/>
  <c r="BF140" i="4"/>
  <c r="AJ6" i="86"/>
  <c r="AI6" i="86"/>
  <c r="AG6" i="86"/>
  <c r="AH6" i="86"/>
  <c r="I47" i="82"/>
  <c r="M47" i="82"/>
  <c r="D13" i="67" l="1"/>
  <c r="D14" i="67" s="1"/>
  <c r="D8" i="67"/>
  <c r="L141" i="4"/>
  <c r="AO141" i="4" s="1"/>
  <c r="L150" i="4"/>
  <c r="P150" i="4"/>
  <c r="AP118" i="4"/>
  <c r="BB11" i="86"/>
  <c r="BD11" i="86"/>
  <c r="AZ10" i="86"/>
  <c r="AY11" i="86"/>
  <c r="AZ11" i="86"/>
  <c r="AV11" i="86"/>
  <c r="AT13" i="86"/>
  <c r="AT14" i="86" s="1"/>
  <c r="AT8" i="86"/>
  <c r="AS13" i="86"/>
  <c r="AS14" i="86" s="1"/>
  <c r="AS8" i="86"/>
  <c r="P144" i="4"/>
  <c r="AO144" i="4" s="1"/>
  <c r="BF115" i="4"/>
  <c r="AT11" i="86"/>
  <c r="AU8" i="86"/>
  <c r="AU13" i="86"/>
  <c r="AU14" i="86" s="1"/>
  <c r="AX11" i="86"/>
  <c r="P123" i="4"/>
  <c r="L123" i="4"/>
  <c r="BD147" i="4"/>
  <c r="AO115" i="4"/>
  <c r="P138" i="4"/>
  <c r="AO138" i="4" s="1"/>
  <c r="BD150" i="4"/>
  <c r="L135" i="4"/>
  <c r="AO135" i="4" s="1"/>
  <c r="BD135" i="4"/>
  <c r="P108" i="4"/>
  <c r="AO108" i="4" s="1"/>
  <c r="AO133" i="4"/>
  <c r="BD108" i="4"/>
  <c r="AQ11" i="86"/>
  <c r="AN149" i="4"/>
  <c r="BD117" i="4"/>
  <c r="BD138" i="4"/>
  <c r="BD103" i="4"/>
  <c r="AO130" i="4"/>
  <c r="BD141" i="4"/>
  <c r="L147" i="4"/>
  <c r="AO147" i="4" s="1"/>
  <c r="AO128" i="4"/>
  <c r="L129" i="4"/>
  <c r="AR13" i="86"/>
  <c r="AR14" i="86" s="1"/>
  <c r="AR8" i="86"/>
  <c r="L103" i="4"/>
  <c r="AO103" i="4" s="1"/>
  <c r="AP143" i="4"/>
  <c r="L117" i="4"/>
  <c r="AO117" i="4" s="1"/>
  <c r="AQ8" i="86"/>
  <c r="AQ13" i="86"/>
  <c r="AQ14" i="86" s="1"/>
  <c r="P129" i="4"/>
  <c r="AP107" i="4"/>
  <c r="AO101" i="4"/>
  <c r="AN119" i="4"/>
  <c r="P132" i="4"/>
  <c r="AO151" i="4"/>
  <c r="AN136" i="4"/>
  <c r="AP113" i="4"/>
  <c r="P114" i="4"/>
  <c r="AO114" i="4" s="1"/>
  <c r="L126" i="4"/>
  <c r="AO134" i="4"/>
  <c r="BD111" i="4"/>
  <c r="BD144" i="4"/>
  <c r="BD10" i="86" s="1"/>
  <c r="P120" i="4"/>
  <c r="AO120" i="4" s="1"/>
  <c r="L111" i="4"/>
  <c r="AO111" i="4" s="1"/>
  <c r="AO122" i="4"/>
  <c r="BD120" i="4"/>
  <c r="AP130" i="4"/>
  <c r="L132" i="4"/>
  <c r="BD114" i="4"/>
  <c r="P126" i="4"/>
  <c r="AP124" i="4"/>
  <c r="AO104" i="4"/>
  <c r="AN102" i="4"/>
  <c r="BD110" i="4"/>
  <c r="L110" i="4"/>
  <c r="P110" i="4"/>
  <c r="BD112" i="4"/>
  <c r="P112" i="4"/>
  <c r="L112" i="4"/>
  <c r="AN118" i="4"/>
  <c r="P119" i="4"/>
  <c r="L119" i="4"/>
  <c r="BD119" i="4"/>
  <c r="BD118" i="4"/>
  <c r="P118" i="4"/>
  <c r="L118" i="4"/>
  <c r="BF104" i="4"/>
  <c r="AP11" i="86"/>
  <c r="AP125" i="4"/>
  <c r="BD131" i="4"/>
  <c r="AY10" i="86" s="1"/>
  <c r="L131" i="4"/>
  <c r="P131" i="4"/>
  <c r="BF101" i="4"/>
  <c r="AP112" i="4"/>
  <c r="AP148" i="4"/>
  <c r="AP137" i="4"/>
  <c r="L127" i="4"/>
  <c r="BD127" i="4"/>
  <c r="AX10" i="86" s="1"/>
  <c r="P127" i="4"/>
  <c r="AO139" i="4"/>
  <c r="BD146" i="4"/>
  <c r="BE10" i="86" s="1"/>
  <c r="L146" i="4"/>
  <c r="P146" i="4"/>
  <c r="AN131" i="4"/>
  <c r="AO8" i="86"/>
  <c r="AO13" i="86"/>
  <c r="AO14" i="86" s="1"/>
  <c r="P136" i="4"/>
  <c r="BD136" i="4"/>
  <c r="L136" i="4"/>
  <c r="AN142" i="4"/>
  <c r="BD137" i="4"/>
  <c r="P137" i="4"/>
  <c r="L137" i="4"/>
  <c r="P116" i="4"/>
  <c r="BD116" i="4"/>
  <c r="L116" i="4"/>
  <c r="P125" i="4"/>
  <c r="BD125" i="4"/>
  <c r="L125" i="4"/>
  <c r="BD121" i="4"/>
  <c r="AV10" i="86" s="1"/>
  <c r="L121" i="4"/>
  <c r="P121" i="4"/>
  <c r="BD140" i="4"/>
  <c r="L140" i="4"/>
  <c r="P140" i="4"/>
  <c r="P124" i="4"/>
  <c r="BD124" i="4"/>
  <c r="L124" i="4"/>
  <c r="AO109" i="4"/>
  <c r="AO145" i="4"/>
  <c r="AP101" i="4"/>
  <c r="BD142" i="4"/>
  <c r="P142" i="4"/>
  <c r="L142" i="4"/>
  <c r="BD107" i="4"/>
  <c r="P107" i="4"/>
  <c r="L107" i="4"/>
  <c r="BD143" i="4"/>
  <c r="P143" i="4"/>
  <c r="L143" i="4"/>
  <c r="AP13" i="86"/>
  <c r="AP14" i="86" s="1"/>
  <c r="AP8" i="86"/>
  <c r="BD148" i="4"/>
  <c r="P148" i="4"/>
  <c r="L148" i="4"/>
  <c r="BD113" i="4"/>
  <c r="P113" i="4"/>
  <c r="L113" i="4"/>
  <c r="P149" i="4"/>
  <c r="L149" i="4"/>
  <c r="BD149" i="4"/>
  <c r="AO106" i="4"/>
  <c r="BD105" i="4"/>
  <c r="AP10" i="86" s="1"/>
  <c r="P105" i="4"/>
  <c r="L105" i="4"/>
  <c r="BD102" i="4"/>
  <c r="L102" i="4"/>
  <c r="P102" i="4"/>
  <c r="P100" i="4"/>
  <c r="L100" i="4"/>
  <c r="BD100" i="4"/>
  <c r="M46" i="82"/>
  <c r="I46" i="82"/>
  <c r="AQ76" i="4"/>
  <c r="E77" i="4"/>
  <c r="AD6" i="86"/>
  <c r="AC6" i="86"/>
  <c r="M41" i="82"/>
  <c r="M42" i="82"/>
  <c r="I42" i="82"/>
  <c r="I43" i="82"/>
  <c r="AO150" i="4" l="1"/>
  <c r="BB10" i="86"/>
  <c r="BB12" i="86" s="1"/>
  <c r="BD16" i="86"/>
  <c r="BD12" i="86"/>
  <c r="BD15" i="86"/>
  <c r="BC10" i="86"/>
  <c r="BE12" i="86"/>
  <c r="BE16" i="86"/>
  <c r="BE15" i="86"/>
  <c r="BF10" i="86"/>
  <c r="BA10" i="86"/>
  <c r="BA15" i="86" s="1"/>
  <c r="AT10" i="86"/>
  <c r="AT12" i="86" s="1"/>
  <c r="AY12" i="86"/>
  <c r="AY16" i="86"/>
  <c r="AW10" i="86"/>
  <c r="AW12" i="86" s="1"/>
  <c r="AV12" i="86"/>
  <c r="AU10" i="86"/>
  <c r="AU16" i="86" s="1"/>
  <c r="AY15" i="86"/>
  <c r="AZ12" i="86"/>
  <c r="AZ16" i="86"/>
  <c r="AZ15" i="86"/>
  <c r="AQ10" i="86"/>
  <c r="AQ15" i="86" s="1"/>
  <c r="AO123" i="4"/>
  <c r="AO121" i="4"/>
  <c r="AX16" i="86"/>
  <c r="AX12" i="86"/>
  <c r="AV16" i="86"/>
  <c r="AS10" i="86"/>
  <c r="AX15" i="86"/>
  <c r="AV15" i="86"/>
  <c r="AO10" i="86"/>
  <c r="AO12" i="86" s="1"/>
  <c r="AR10" i="86"/>
  <c r="AR16" i="86" s="1"/>
  <c r="AO140" i="4"/>
  <c r="AO129" i="4"/>
  <c r="AO126" i="4"/>
  <c r="AO132" i="4"/>
  <c r="AO148" i="4"/>
  <c r="AO136" i="4"/>
  <c r="AO146" i="4"/>
  <c r="AO125" i="4"/>
  <c r="AO113" i="4"/>
  <c r="AO116" i="4"/>
  <c r="AO110" i="4"/>
  <c r="AO143" i="4"/>
  <c r="AO137" i="4"/>
  <c r="AO107" i="4"/>
  <c r="AO124" i="4"/>
  <c r="AO127" i="4"/>
  <c r="AO149" i="4"/>
  <c r="AO112" i="4"/>
  <c r="AO131" i="4"/>
  <c r="AO119" i="4"/>
  <c r="AP12" i="86"/>
  <c r="AP16" i="86"/>
  <c r="AP15" i="86"/>
  <c r="AO102" i="4"/>
  <c r="AO118" i="4"/>
  <c r="AO142" i="4"/>
  <c r="AO100" i="4"/>
  <c r="AO105" i="4"/>
  <c r="M75" i="4"/>
  <c r="AF6" i="86" s="1"/>
  <c r="M74" i="4"/>
  <c r="M72" i="4"/>
  <c r="M73" i="4"/>
  <c r="I73" i="4"/>
  <c r="E72" i="4"/>
  <c r="F71" i="4"/>
  <c r="M64" i="4"/>
  <c r="AB6" i="86" s="1"/>
  <c r="F62" i="4"/>
  <c r="I38" i="82"/>
  <c r="F60" i="4"/>
  <c r="AU12" i="86" l="1"/>
  <c r="BD17" i="86"/>
  <c r="BC12" i="86"/>
  <c r="BC16" i="86"/>
  <c r="BC15" i="86"/>
  <c r="BF16" i="86"/>
  <c r="BF12" i="86"/>
  <c r="BF15" i="86"/>
  <c r="BE17" i="86"/>
  <c r="AQ16" i="86"/>
  <c r="AQ17" i="86" s="1"/>
  <c r="AQ12" i="86"/>
  <c r="AO15" i="86"/>
  <c r="AV17" i="86"/>
  <c r="AU15" i="86"/>
  <c r="AU17" i="86" s="1"/>
  <c r="BA12" i="86"/>
  <c r="BB15" i="86"/>
  <c r="AX17" i="86"/>
  <c r="BB16" i="86"/>
  <c r="BA16" i="86"/>
  <c r="BA17" i="86" s="1"/>
  <c r="AZ17" i="86"/>
  <c r="AY17" i="86"/>
  <c r="AW15" i="86"/>
  <c r="AW16" i="86"/>
  <c r="AT15" i="86"/>
  <c r="AT16" i="86"/>
  <c r="AS12" i="86"/>
  <c r="AS16" i="86"/>
  <c r="AS15" i="86"/>
  <c r="AO16" i="86"/>
  <c r="AR15" i="86"/>
  <c r="AR17" i="86" s="1"/>
  <c r="AR12" i="86"/>
  <c r="AP17" i="86"/>
  <c r="AE6" i="86"/>
  <c r="AA6" i="86"/>
  <c r="J156" i="4"/>
  <c r="K156" i="4" s="1"/>
  <c r="Q156" i="4"/>
  <c r="AM156" i="4"/>
  <c r="AL156" i="4"/>
  <c r="AQ156" i="4"/>
  <c r="AR156" i="4"/>
  <c r="AS156" i="4"/>
  <c r="BA156" i="4"/>
  <c r="BC156" i="4" s="1"/>
  <c r="BI9" i="86" s="1"/>
  <c r="BE270" i="4"/>
  <c r="Q270" i="4"/>
  <c r="AQ270" i="4"/>
  <c r="AR270" i="4"/>
  <c r="AS270" i="4"/>
  <c r="BA270" i="4"/>
  <c r="BC270" i="4" s="1"/>
  <c r="J64" i="4"/>
  <c r="K64" i="4" s="1"/>
  <c r="Q64" i="4"/>
  <c r="AK64" i="4"/>
  <c r="AM64" i="4" s="1"/>
  <c r="AL64" i="4"/>
  <c r="AQ64" i="4"/>
  <c r="AR64" i="4"/>
  <c r="AS64" i="4"/>
  <c r="BA64" i="4"/>
  <c r="BC64" i="4" s="1"/>
  <c r="J65" i="4"/>
  <c r="BE65" i="4" s="1"/>
  <c r="Q65" i="4"/>
  <c r="R65" i="4" s="1"/>
  <c r="AN65" i="4" s="1"/>
  <c r="AK65" i="4"/>
  <c r="AM65" i="4" s="1"/>
  <c r="AL65" i="4"/>
  <c r="AQ65" i="4"/>
  <c r="AR65" i="4"/>
  <c r="AS65" i="4"/>
  <c r="BA65" i="4"/>
  <c r="BC65" i="4" s="1"/>
  <c r="J66" i="4"/>
  <c r="BE66" i="4" s="1"/>
  <c r="Q66" i="4"/>
  <c r="R66" i="4" s="1"/>
  <c r="AN66" i="4" s="1"/>
  <c r="AK66" i="4"/>
  <c r="AM66" i="4" s="1"/>
  <c r="AL66" i="4"/>
  <c r="AQ66" i="4"/>
  <c r="AR66" i="4"/>
  <c r="AS66" i="4"/>
  <c r="BA66" i="4"/>
  <c r="BC66" i="4" s="1"/>
  <c r="J67" i="4"/>
  <c r="BE67" i="4" s="1"/>
  <c r="Q67" i="4"/>
  <c r="AK67" i="4"/>
  <c r="AL67" i="4"/>
  <c r="AQ67" i="4"/>
  <c r="AR67" i="4"/>
  <c r="AS67" i="4"/>
  <c r="BA67" i="4"/>
  <c r="BC67" i="4" s="1"/>
  <c r="J68" i="4"/>
  <c r="BE68" i="4" s="1"/>
  <c r="Q68" i="4"/>
  <c r="R68" i="4" s="1"/>
  <c r="AN68" i="4" s="1"/>
  <c r="AK68" i="4"/>
  <c r="AL68" i="4"/>
  <c r="AQ68" i="4"/>
  <c r="AR68" i="4"/>
  <c r="AS68" i="4"/>
  <c r="BA68" i="4"/>
  <c r="BC68" i="4" s="1"/>
  <c r="J69" i="4"/>
  <c r="K69" i="4" s="1"/>
  <c r="Q69" i="4"/>
  <c r="R69" i="4" s="1"/>
  <c r="AN69" i="4" s="1"/>
  <c r="AK69" i="4"/>
  <c r="AM69" i="4" s="1"/>
  <c r="AL69" i="4"/>
  <c r="AQ69" i="4"/>
  <c r="AR69" i="4"/>
  <c r="AS69" i="4"/>
  <c r="BA69" i="4"/>
  <c r="BC69" i="4" s="1"/>
  <c r="J70" i="4"/>
  <c r="K70" i="4" s="1"/>
  <c r="Q70" i="4"/>
  <c r="AK70" i="4"/>
  <c r="AM70" i="4" s="1"/>
  <c r="AL70" i="4"/>
  <c r="AQ70" i="4"/>
  <c r="AR70" i="4"/>
  <c r="AS70" i="4"/>
  <c r="BA70" i="4"/>
  <c r="BC70" i="4" s="1"/>
  <c r="J71" i="4"/>
  <c r="BE71" i="4" s="1"/>
  <c r="Q71" i="4"/>
  <c r="R71" i="4" s="1"/>
  <c r="AN71" i="4" s="1"/>
  <c r="AK71" i="4"/>
  <c r="AL71" i="4"/>
  <c r="AQ71" i="4"/>
  <c r="AR71" i="4"/>
  <c r="AS71" i="4"/>
  <c r="BA71" i="4"/>
  <c r="BC71" i="4" s="1"/>
  <c r="J72" i="4"/>
  <c r="BE72" i="4" s="1"/>
  <c r="Q72" i="4"/>
  <c r="R72" i="4" s="1"/>
  <c r="AN72" i="4" s="1"/>
  <c r="AK72" i="4"/>
  <c r="AM72" i="4" s="1"/>
  <c r="AL72" i="4"/>
  <c r="AQ72" i="4"/>
  <c r="AR72" i="4"/>
  <c r="AS72" i="4"/>
  <c r="BA72" i="4"/>
  <c r="BC72" i="4" s="1"/>
  <c r="J73" i="4"/>
  <c r="BE73" i="4" s="1"/>
  <c r="Q73" i="4"/>
  <c r="AK73" i="4"/>
  <c r="AM73" i="4" s="1"/>
  <c r="AL73" i="4"/>
  <c r="AQ73" i="4"/>
  <c r="AR73" i="4"/>
  <c r="AS73" i="4"/>
  <c r="BA73" i="4"/>
  <c r="BC73" i="4" s="1"/>
  <c r="J74" i="4"/>
  <c r="BE74" i="4" s="1"/>
  <c r="Q74" i="4"/>
  <c r="R74" i="4" s="1"/>
  <c r="AN74" i="4" s="1"/>
  <c r="AK74" i="4"/>
  <c r="AM74" i="4" s="1"/>
  <c r="AL74" i="4"/>
  <c r="AQ74" i="4"/>
  <c r="AR74" i="4"/>
  <c r="AS74" i="4"/>
  <c r="BA74" i="4"/>
  <c r="BC74" i="4" s="1"/>
  <c r="J75" i="4"/>
  <c r="K75" i="4" s="1"/>
  <c r="Q75" i="4"/>
  <c r="R75" i="4" s="1"/>
  <c r="AN75" i="4" s="1"/>
  <c r="AK75" i="4"/>
  <c r="AL75" i="4"/>
  <c r="AQ75" i="4"/>
  <c r="AR75" i="4"/>
  <c r="AS75" i="4"/>
  <c r="BA75" i="4"/>
  <c r="BC75" i="4" s="1"/>
  <c r="J76" i="4"/>
  <c r="K76" i="4" s="1"/>
  <c r="Q76" i="4"/>
  <c r="AK76" i="4"/>
  <c r="AM76" i="4" s="1"/>
  <c r="AL76" i="4"/>
  <c r="AR76" i="4"/>
  <c r="AS76" i="4"/>
  <c r="BA76" i="4"/>
  <c r="BC76" i="4" s="1"/>
  <c r="J77" i="4"/>
  <c r="BE77" i="4" s="1"/>
  <c r="Q77" i="4"/>
  <c r="R77" i="4" s="1"/>
  <c r="AN77" i="4" s="1"/>
  <c r="AK77" i="4"/>
  <c r="AL77" i="4"/>
  <c r="AQ77" i="4"/>
  <c r="AR77" i="4"/>
  <c r="AS77" i="4"/>
  <c r="BA77" i="4"/>
  <c r="BC77" i="4" s="1"/>
  <c r="J78" i="4"/>
  <c r="BE78" i="4" s="1"/>
  <c r="Q78" i="4"/>
  <c r="R78" i="4" s="1"/>
  <c r="AN78" i="4" s="1"/>
  <c r="AK78" i="4"/>
  <c r="AM78" i="4" s="1"/>
  <c r="AL78" i="4"/>
  <c r="AQ78" i="4"/>
  <c r="AR78" i="4"/>
  <c r="AS78" i="4"/>
  <c r="BA78" i="4"/>
  <c r="BC78" i="4" s="1"/>
  <c r="J79" i="4"/>
  <c r="BE79" i="4" s="1"/>
  <c r="Q79" i="4"/>
  <c r="AK79" i="4"/>
  <c r="AM79" i="4" s="1"/>
  <c r="AL79" i="4"/>
  <c r="AQ79" i="4"/>
  <c r="AR79" i="4"/>
  <c r="AS79" i="4"/>
  <c r="BA79" i="4"/>
  <c r="BC79" i="4" s="1"/>
  <c r="J80" i="4"/>
  <c r="BE80" i="4" s="1"/>
  <c r="Q80" i="4"/>
  <c r="R80" i="4" s="1"/>
  <c r="AN80" i="4" s="1"/>
  <c r="AK80" i="4"/>
  <c r="AL80" i="4"/>
  <c r="AQ80" i="4"/>
  <c r="AR80" i="4"/>
  <c r="AS80" i="4"/>
  <c r="BA80" i="4"/>
  <c r="BC80" i="4" s="1"/>
  <c r="J81" i="4"/>
  <c r="K81" i="4" s="1"/>
  <c r="Q81" i="4"/>
  <c r="R81" i="4" s="1"/>
  <c r="AN81" i="4" s="1"/>
  <c r="AK81" i="4"/>
  <c r="AM81" i="4" s="1"/>
  <c r="AL81" i="4"/>
  <c r="AQ81" i="4"/>
  <c r="AR81" i="4"/>
  <c r="AS81" i="4"/>
  <c r="BA81" i="4"/>
  <c r="BC81" i="4" s="1"/>
  <c r="J82" i="4"/>
  <c r="K82" i="4" s="1"/>
  <c r="Q82" i="4"/>
  <c r="AK82" i="4"/>
  <c r="AM82" i="4" s="1"/>
  <c r="AL82" i="4"/>
  <c r="AQ82" i="4"/>
  <c r="AR82" i="4"/>
  <c r="AS82" i="4"/>
  <c r="BA82" i="4"/>
  <c r="BC82" i="4" s="1"/>
  <c r="J83" i="4"/>
  <c r="BE83" i="4" s="1"/>
  <c r="Q83" i="4"/>
  <c r="R83" i="4" s="1"/>
  <c r="AN83" i="4" s="1"/>
  <c r="AK83" i="4"/>
  <c r="AL83" i="4"/>
  <c r="AQ83" i="4"/>
  <c r="AR83" i="4"/>
  <c r="AS83" i="4"/>
  <c r="BA83" i="4"/>
  <c r="BC83" i="4" s="1"/>
  <c r="J84" i="4"/>
  <c r="BE84" i="4" s="1"/>
  <c r="Q84" i="4"/>
  <c r="R84" i="4" s="1"/>
  <c r="AN84" i="4" s="1"/>
  <c r="AK84" i="4"/>
  <c r="AM84" i="4" s="1"/>
  <c r="AL84" i="4"/>
  <c r="AQ84" i="4"/>
  <c r="AR84" i="4"/>
  <c r="AS84" i="4"/>
  <c r="BA84" i="4"/>
  <c r="BC84" i="4" s="1"/>
  <c r="J85" i="4"/>
  <c r="BE85" i="4" s="1"/>
  <c r="Q85" i="4"/>
  <c r="AK85" i="4"/>
  <c r="AM85" i="4" s="1"/>
  <c r="AL85" i="4"/>
  <c r="AQ85" i="4"/>
  <c r="AR85" i="4"/>
  <c r="AS85" i="4"/>
  <c r="BA85" i="4"/>
  <c r="BC85" i="4" s="1"/>
  <c r="J86" i="4"/>
  <c r="BE86" i="4" s="1"/>
  <c r="Q86" i="4"/>
  <c r="R86" i="4" s="1"/>
  <c r="AN86" i="4" s="1"/>
  <c r="AK86" i="4"/>
  <c r="AL86" i="4"/>
  <c r="AQ86" i="4"/>
  <c r="AR86" i="4"/>
  <c r="AS86" i="4"/>
  <c r="BA86" i="4"/>
  <c r="BC86" i="4" s="1"/>
  <c r="J87" i="4"/>
  <c r="K87" i="4" s="1"/>
  <c r="Q87" i="4"/>
  <c r="R87" i="4" s="1"/>
  <c r="AN87" i="4" s="1"/>
  <c r="AK87" i="4"/>
  <c r="AM87" i="4" s="1"/>
  <c r="AL87" i="4"/>
  <c r="AQ87" i="4"/>
  <c r="AR87" i="4"/>
  <c r="AS87" i="4"/>
  <c r="BA87" i="4"/>
  <c r="BC87" i="4" s="1"/>
  <c r="J88" i="4"/>
  <c r="K88" i="4" s="1"/>
  <c r="Q88" i="4"/>
  <c r="AK88" i="4"/>
  <c r="AM88" i="4" s="1"/>
  <c r="AL88" i="4"/>
  <c r="AQ88" i="4"/>
  <c r="AR88" i="4"/>
  <c r="AS88" i="4"/>
  <c r="BA88" i="4"/>
  <c r="BC88" i="4" s="1"/>
  <c r="J89" i="4"/>
  <c r="BE89" i="4" s="1"/>
  <c r="Q89" i="4"/>
  <c r="R89" i="4" s="1"/>
  <c r="AN89" i="4" s="1"/>
  <c r="AK89" i="4"/>
  <c r="AL89" i="4"/>
  <c r="AQ89" i="4"/>
  <c r="AR89" i="4"/>
  <c r="AS89" i="4"/>
  <c r="BA89" i="4"/>
  <c r="BC89" i="4" s="1"/>
  <c r="J90" i="4"/>
  <c r="BE90" i="4" s="1"/>
  <c r="Q90" i="4"/>
  <c r="R90" i="4" s="1"/>
  <c r="AN90" i="4" s="1"/>
  <c r="AK90" i="4"/>
  <c r="AM90" i="4" s="1"/>
  <c r="AL90" i="4"/>
  <c r="AQ90" i="4"/>
  <c r="AR90" i="4"/>
  <c r="AS90" i="4"/>
  <c r="BA90" i="4"/>
  <c r="BC90" i="4" s="1"/>
  <c r="J91" i="4"/>
  <c r="BE91" i="4" s="1"/>
  <c r="Q91" i="4"/>
  <c r="AK91" i="4"/>
  <c r="AM91" i="4" s="1"/>
  <c r="AL91" i="4"/>
  <c r="AQ91" i="4"/>
  <c r="AR91" i="4"/>
  <c r="AS91" i="4"/>
  <c r="BA91" i="4"/>
  <c r="BC91" i="4" s="1"/>
  <c r="J92" i="4"/>
  <c r="BE92" i="4" s="1"/>
  <c r="Q92" i="4"/>
  <c r="R92" i="4" s="1"/>
  <c r="AN92" i="4" s="1"/>
  <c r="AK92" i="4"/>
  <c r="AL92" i="4"/>
  <c r="AQ92" i="4"/>
  <c r="AR92" i="4"/>
  <c r="AS92" i="4"/>
  <c r="BA92" i="4"/>
  <c r="BC92" i="4" s="1"/>
  <c r="J93" i="4"/>
  <c r="K93" i="4" s="1"/>
  <c r="Q93" i="4"/>
  <c r="R93" i="4" s="1"/>
  <c r="AN93" i="4" s="1"/>
  <c r="AK93" i="4"/>
  <c r="AM93" i="4" s="1"/>
  <c r="AL93" i="4"/>
  <c r="AQ93" i="4"/>
  <c r="AR93" i="4"/>
  <c r="AS93" i="4"/>
  <c r="BA93" i="4"/>
  <c r="BC93" i="4" s="1"/>
  <c r="J94" i="4"/>
  <c r="BE94" i="4" s="1"/>
  <c r="Q94" i="4"/>
  <c r="AK94" i="4"/>
  <c r="AM94" i="4" s="1"/>
  <c r="AL94" i="4"/>
  <c r="AQ94" i="4"/>
  <c r="AR94" i="4"/>
  <c r="AS94" i="4"/>
  <c r="BA94" i="4"/>
  <c r="BC94" i="4" s="1"/>
  <c r="J95" i="4"/>
  <c r="BE95" i="4" s="1"/>
  <c r="Q95" i="4"/>
  <c r="R95" i="4" s="1"/>
  <c r="AN95" i="4" s="1"/>
  <c r="AK95" i="4"/>
  <c r="AL95" i="4"/>
  <c r="AQ95" i="4"/>
  <c r="AR95" i="4"/>
  <c r="AS95" i="4"/>
  <c r="BA95" i="4"/>
  <c r="BC95" i="4" s="1"/>
  <c r="J96" i="4"/>
  <c r="BE96" i="4" s="1"/>
  <c r="Q96" i="4"/>
  <c r="R96" i="4" s="1"/>
  <c r="AK96" i="4"/>
  <c r="AM96" i="4" s="1"/>
  <c r="AL96" i="4"/>
  <c r="AQ96" i="4"/>
  <c r="AR96" i="4"/>
  <c r="AS96" i="4"/>
  <c r="BA96" i="4"/>
  <c r="BC96" i="4" s="1"/>
  <c r="J97" i="4"/>
  <c r="BE97" i="4" s="1"/>
  <c r="Q97" i="4"/>
  <c r="R97" i="4" s="1"/>
  <c r="AK97" i="4"/>
  <c r="AM97" i="4" s="1"/>
  <c r="AL97" i="4"/>
  <c r="AQ97" i="4"/>
  <c r="AR97" i="4"/>
  <c r="AS97" i="4"/>
  <c r="BA97" i="4"/>
  <c r="BC97" i="4" s="1"/>
  <c r="BE98" i="4"/>
  <c r="Q98" i="4"/>
  <c r="AK98" i="4"/>
  <c r="AL98" i="4"/>
  <c r="AQ98" i="4"/>
  <c r="AR98" i="4"/>
  <c r="AS98" i="4"/>
  <c r="BA98" i="4"/>
  <c r="BC98" i="4" s="1"/>
  <c r="BE99" i="4"/>
  <c r="Q99" i="4"/>
  <c r="AK99" i="4"/>
  <c r="AM99" i="4" s="1"/>
  <c r="AL99" i="4"/>
  <c r="AQ99" i="4"/>
  <c r="AR99" i="4"/>
  <c r="AS99" i="4"/>
  <c r="BA99" i="4"/>
  <c r="BC99" i="4" s="1"/>
  <c r="J152" i="4"/>
  <c r="BE152" i="4" s="1"/>
  <c r="Q152" i="4"/>
  <c r="AM152" i="4"/>
  <c r="AL152" i="4"/>
  <c r="BA152" i="4"/>
  <c r="BC152" i="4" s="1"/>
  <c r="J153" i="4"/>
  <c r="BE153" i="4" s="1"/>
  <c r="Q153" i="4"/>
  <c r="AM153" i="4"/>
  <c r="AL153" i="4"/>
  <c r="AQ153" i="4"/>
  <c r="AR153" i="4"/>
  <c r="AS153" i="4"/>
  <c r="BA153" i="4"/>
  <c r="BC153" i="4" s="1"/>
  <c r="J154" i="4"/>
  <c r="BE154" i="4" s="1"/>
  <c r="Q154" i="4"/>
  <c r="AM154" i="4"/>
  <c r="AL154" i="4"/>
  <c r="AQ154" i="4"/>
  <c r="AR154" i="4"/>
  <c r="AS154" i="4"/>
  <c r="BA154" i="4"/>
  <c r="BC154" i="4" s="1"/>
  <c r="J155" i="4"/>
  <c r="K155" i="4" s="1"/>
  <c r="Q155" i="4"/>
  <c r="AM155" i="4"/>
  <c r="AL155" i="4"/>
  <c r="AQ155" i="4"/>
  <c r="AR155" i="4"/>
  <c r="AS155" i="4"/>
  <c r="BA155" i="4"/>
  <c r="BC155" i="4" s="1"/>
  <c r="Z6" i="86"/>
  <c r="Y6" i="86"/>
  <c r="X6" i="86"/>
  <c r="E58" i="4"/>
  <c r="M57" i="4"/>
  <c r="C6" i="67" s="1"/>
  <c r="F55" i="4"/>
  <c r="E54" i="4"/>
  <c r="W6" i="86"/>
  <c r="V6" i="86"/>
  <c r="U6" i="86"/>
  <c r="AQ39" i="4"/>
  <c r="AR39" i="4"/>
  <c r="AS39" i="4"/>
  <c r="AQ40" i="4"/>
  <c r="AR40" i="4"/>
  <c r="AS40" i="4"/>
  <c r="AQ41" i="4"/>
  <c r="AR41" i="4"/>
  <c r="AS41" i="4"/>
  <c r="AQ42" i="4"/>
  <c r="AR42" i="4"/>
  <c r="AS42" i="4"/>
  <c r="AQ43" i="4"/>
  <c r="AR43" i="4"/>
  <c r="AS43" i="4"/>
  <c r="AQ44" i="4"/>
  <c r="AR44" i="4"/>
  <c r="AS44" i="4"/>
  <c r="AQ45" i="4"/>
  <c r="AR45" i="4"/>
  <c r="AS45" i="4"/>
  <c r="AQ46" i="4"/>
  <c r="AR46" i="4"/>
  <c r="AS46" i="4"/>
  <c r="AQ47" i="4"/>
  <c r="AR47" i="4"/>
  <c r="AS47" i="4"/>
  <c r="AR48" i="4"/>
  <c r="AS48" i="4"/>
  <c r="AQ49" i="4"/>
  <c r="AR49" i="4"/>
  <c r="AS49" i="4"/>
  <c r="AQ50" i="4"/>
  <c r="AR50" i="4"/>
  <c r="AS50" i="4"/>
  <c r="AQ51" i="4"/>
  <c r="AR51" i="4"/>
  <c r="AS51" i="4"/>
  <c r="AQ52" i="4"/>
  <c r="AR52" i="4"/>
  <c r="AS52" i="4"/>
  <c r="AQ53" i="4"/>
  <c r="AR53" i="4"/>
  <c r="AS53" i="4"/>
  <c r="AQ54" i="4"/>
  <c r="AR54" i="4"/>
  <c r="AS54" i="4"/>
  <c r="AQ55" i="4"/>
  <c r="AR55" i="4"/>
  <c r="AS55" i="4"/>
  <c r="AQ56" i="4"/>
  <c r="AR56" i="4"/>
  <c r="AS56" i="4"/>
  <c r="AQ57" i="4"/>
  <c r="AR57" i="4"/>
  <c r="AS57" i="4"/>
  <c r="AQ58" i="4"/>
  <c r="AR58" i="4"/>
  <c r="AS58" i="4"/>
  <c r="AQ59" i="4"/>
  <c r="AR59" i="4"/>
  <c r="AS59" i="4"/>
  <c r="AQ60" i="4"/>
  <c r="AR60" i="4"/>
  <c r="AS60" i="4"/>
  <c r="AQ61" i="4"/>
  <c r="AR61" i="4"/>
  <c r="AS61" i="4"/>
  <c r="AQ62" i="4"/>
  <c r="AR62" i="4"/>
  <c r="AS62" i="4"/>
  <c r="AQ63" i="4"/>
  <c r="AR63" i="4"/>
  <c r="AS63" i="4"/>
  <c r="CW9" i="86" l="1"/>
  <c r="F9" i="67"/>
  <c r="CW11" i="86"/>
  <c r="F11" i="67"/>
  <c r="R554" i="4"/>
  <c r="BG11" i="86"/>
  <c r="BG9" i="86"/>
  <c r="D9" i="67"/>
  <c r="BC17" i="86"/>
  <c r="BH9" i="86"/>
  <c r="L156" i="4"/>
  <c r="P156" i="4"/>
  <c r="L155" i="4"/>
  <c r="P155" i="4"/>
  <c r="AO17" i="86"/>
  <c r="BF17" i="86"/>
  <c r="AW17" i="86"/>
  <c r="BB17" i="86"/>
  <c r="AT17" i="86"/>
  <c r="AS17" i="86"/>
  <c r="BE156" i="4"/>
  <c r="R152" i="4"/>
  <c r="AN152" i="4" s="1"/>
  <c r="R156" i="4"/>
  <c r="AN156" i="4" s="1"/>
  <c r="R155" i="4"/>
  <c r="AP155" i="4" s="1"/>
  <c r="AM98" i="4"/>
  <c r="AN7" i="86"/>
  <c r="R553" i="4"/>
  <c r="R153" i="4"/>
  <c r="AP153" i="4" s="1"/>
  <c r="R551" i="4"/>
  <c r="AN9" i="86"/>
  <c r="R154" i="4"/>
  <c r="AP154" i="4" s="1"/>
  <c r="AN11" i="86"/>
  <c r="R552" i="4"/>
  <c r="R270" i="4"/>
  <c r="AP270" i="4" s="1"/>
  <c r="R99" i="4"/>
  <c r="AP99" i="4" s="1"/>
  <c r="R98" i="4"/>
  <c r="AG9" i="86"/>
  <c r="AI11" i="86"/>
  <c r="AM89" i="4"/>
  <c r="AP89" i="4" s="1"/>
  <c r="AK7" i="86"/>
  <c r="AM86" i="4"/>
  <c r="AP86" i="4" s="1"/>
  <c r="AJ7" i="86"/>
  <c r="AM83" i="4"/>
  <c r="AP83" i="4" s="1"/>
  <c r="AI7" i="86"/>
  <c r="AM80" i="4"/>
  <c r="AP80" i="4" s="1"/>
  <c r="AH7" i="86"/>
  <c r="AT76" i="4"/>
  <c r="AX76" i="4" s="1"/>
  <c r="K66" i="4"/>
  <c r="P66" i="4" s="1"/>
  <c r="AM95" i="4"/>
  <c r="AP95" i="4" s="1"/>
  <c r="AM7" i="86"/>
  <c r="AM92" i="4"/>
  <c r="AP92" i="4" s="1"/>
  <c r="AL7" i="86"/>
  <c r="AM9" i="86"/>
  <c r="AL9" i="86"/>
  <c r="AK9" i="86"/>
  <c r="AJ9" i="86"/>
  <c r="AI9" i="86"/>
  <c r="AH9" i="86"/>
  <c r="AM77" i="4"/>
  <c r="AP77" i="4" s="1"/>
  <c r="AG7" i="86"/>
  <c r="AM11" i="86"/>
  <c r="AK11" i="86"/>
  <c r="AG11" i="86"/>
  <c r="K85" i="4"/>
  <c r="L85" i="4" s="1"/>
  <c r="K154" i="4"/>
  <c r="AP96" i="4"/>
  <c r="BE88" i="4"/>
  <c r="BF88" i="4" s="1"/>
  <c r="K84" i="4"/>
  <c r="P84" i="4" s="1"/>
  <c r="AE11" i="86"/>
  <c r="AF9" i="86"/>
  <c r="K90" i="4"/>
  <c r="P90" i="4" s="1"/>
  <c r="AE9" i="86"/>
  <c r="AD9" i="86"/>
  <c r="AC9" i="86"/>
  <c r="AC11" i="86"/>
  <c r="AT91" i="4"/>
  <c r="AX91" i="4" s="1"/>
  <c r="K97" i="4"/>
  <c r="L97" i="4" s="1"/>
  <c r="AM75" i="4"/>
  <c r="AP75" i="4" s="1"/>
  <c r="AF7" i="86"/>
  <c r="AM71" i="4"/>
  <c r="AP71" i="4" s="1"/>
  <c r="AE7" i="86"/>
  <c r="AM68" i="4"/>
  <c r="AP68" i="4" s="1"/>
  <c r="AD7" i="86"/>
  <c r="AM67" i="4"/>
  <c r="AC7" i="86"/>
  <c r="K73" i="4"/>
  <c r="L73" i="4" s="1"/>
  <c r="BE70" i="4"/>
  <c r="BF70" i="4" s="1"/>
  <c r="AP66" i="4"/>
  <c r="K152" i="4"/>
  <c r="K78" i="4"/>
  <c r="P78" i="4" s="1"/>
  <c r="AT156" i="4"/>
  <c r="AX156" i="4" s="1"/>
  <c r="K153" i="4"/>
  <c r="BD99" i="4"/>
  <c r="AT84" i="4"/>
  <c r="AX84" i="4" s="1"/>
  <c r="AP69" i="4"/>
  <c r="K96" i="4"/>
  <c r="P96" i="4" s="1"/>
  <c r="AT95" i="4"/>
  <c r="AX95" i="4" s="1"/>
  <c r="K91" i="4"/>
  <c r="L91" i="4" s="1"/>
  <c r="K72" i="4"/>
  <c r="P72" i="4" s="1"/>
  <c r="AT154" i="4"/>
  <c r="AX154" i="4" s="1"/>
  <c r="AT83" i="4"/>
  <c r="AX83" i="4" s="1"/>
  <c r="AP81" i="4"/>
  <c r="AT96" i="4"/>
  <c r="AX96" i="4" s="1"/>
  <c r="K94" i="4"/>
  <c r="AT79" i="4"/>
  <c r="AX79" i="4" s="1"/>
  <c r="AP87" i="4"/>
  <c r="BE76" i="4"/>
  <c r="BF76" i="4" s="1"/>
  <c r="K67" i="4"/>
  <c r="L67" i="4" s="1"/>
  <c r="AT99" i="4"/>
  <c r="AX99" i="4" s="1"/>
  <c r="AT89" i="4"/>
  <c r="AX89" i="4" s="1"/>
  <c r="AT85" i="4"/>
  <c r="AX85" i="4" s="1"/>
  <c r="AT72" i="4"/>
  <c r="AX72" i="4" s="1"/>
  <c r="AT64" i="4"/>
  <c r="AX64" i="4" s="1"/>
  <c r="AT94" i="4"/>
  <c r="AX94" i="4" s="1"/>
  <c r="AP93" i="4"/>
  <c r="AT88" i="4"/>
  <c r="AX88" i="4" s="1"/>
  <c r="AT77" i="4"/>
  <c r="AX77" i="4" s="1"/>
  <c r="BE82" i="4"/>
  <c r="BF82" i="4" s="1"/>
  <c r="K79" i="4"/>
  <c r="P79" i="4" s="1"/>
  <c r="BF66" i="4"/>
  <c r="AT155" i="4"/>
  <c r="AX155" i="4" s="1"/>
  <c r="AT97" i="4"/>
  <c r="AX97" i="4" s="1"/>
  <c r="AT90" i="4"/>
  <c r="AX90" i="4" s="1"/>
  <c r="AT82" i="4"/>
  <c r="AX82" i="4" s="1"/>
  <c r="AT71" i="4"/>
  <c r="AX71" i="4" s="1"/>
  <c r="AT67" i="4"/>
  <c r="AX67" i="4" s="1"/>
  <c r="BE155" i="4"/>
  <c r="BF155" i="4" s="1"/>
  <c r="BF98" i="4"/>
  <c r="BF96" i="4"/>
  <c r="AT78" i="4"/>
  <c r="AX78" i="4" s="1"/>
  <c r="AT73" i="4"/>
  <c r="AX73" i="4" s="1"/>
  <c r="AT70" i="4"/>
  <c r="AX70" i="4" s="1"/>
  <c r="L88" i="4"/>
  <c r="BD88" i="4"/>
  <c r="P88" i="4"/>
  <c r="L70" i="4"/>
  <c r="BD70" i="4"/>
  <c r="P70" i="4"/>
  <c r="BD156" i="4"/>
  <c r="BI10" i="86" s="1"/>
  <c r="P81" i="4"/>
  <c r="BD81" i="4"/>
  <c r="L81" i="4"/>
  <c r="AP97" i="4"/>
  <c r="L76" i="4"/>
  <c r="BD76" i="4"/>
  <c r="P76" i="4"/>
  <c r="P87" i="4"/>
  <c r="BD87" i="4"/>
  <c r="L87" i="4"/>
  <c r="P69" i="4"/>
  <c r="BD69" i="4"/>
  <c r="L69" i="4"/>
  <c r="L82" i="4"/>
  <c r="BD82" i="4"/>
  <c r="P82" i="4"/>
  <c r="BD155" i="4"/>
  <c r="P93" i="4"/>
  <c r="BD93" i="4"/>
  <c r="L93" i="4"/>
  <c r="P75" i="4"/>
  <c r="BD75" i="4"/>
  <c r="L75" i="4"/>
  <c r="L64" i="4"/>
  <c r="P64" i="4"/>
  <c r="BD64" i="4"/>
  <c r="BF152" i="4"/>
  <c r="AT98" i="4"/>
  <c r="AX98" i="4" s="1"/>
  <c r="AN96" i="4"/>
  <c r="BF91" i="4"/>
  <c r="BF85" i="4"/>
  <c r="BF79" i="4"/>
  <c r="AP74" i="4"/>
  <c r="BF73" i="4"/>
  <c r="BF67" i="4"/>
  <c r="AT66" i="4"/>
  <c r="AX66" i="4" s="1"/>
  <c r="BF154" i="4"/>
  <c r="AN97" i="4"/>
  <c r="AP90" i="4"/>
  <c r="AP84" i="4"/>
  <c r="AP78" i="4"/>
  <c r="AP72" i="4"/>
  <c r="AT65" i="4"/>
  <c r="AX65" i="4" s="1"/>
  <c r="AT93" i="4"/>
  <c r="AX93" i="4" s="1"/>
  <c r="AT87" i="4"/>
  <c r="AX87" i="4" s="1"/>
  <c r="AT81" i="4"/>
  <c r="AX81" i="4" s="1"/>
  <c r="AT75" i="4"/>
  <c r="AX75" i="4" s="1"/>
  <c r="AT69" i="4"/>
  <c r="AX69" i="4" s="1"/>
  <c r="BE64" i="4"/>
  <c r="BF64" i="4" s="1"/>
  <c r="AT270" i="4"/>
  <c r="AX270" i="4" s="1"/>
  <c r="AT153" i="4"/>
  <c r="AX153" i="4" s="1"/>
  <c r="BF97" i="4"/>
  <c r="BF84" i="4"/>
  <c r="BF83" i="4"/>
  <c r="BF78" i="4"/>
  <c r="BF77" i="4"/>
  <c r="BF72" i="4"/>
  <c r="BF71" i="4"/>
  <c r="BF65" i="4"/>
  <c r="AP65" i="4"/>
  <c r="BF95" i="4"/>
  <c r="BF94" i="4"/>
  <c r="BF90" i="4"/>
  <c r="BF89" i="4"/>
  <c r="BF99" i="4"/>
  <c r="BE93" i="4"/>
  <c r="BF93" i="4" s="1"/>
  <c r="AT92" i="4"/>
  <c r="AX92" i="4" s="1"/>
  <c r="BE87" i="4"/>
  <c r="BF87" i="4" s="1"/>
  <c r="AT86" i="4"/>
  <c r="AX86" i="4" s="1"/>
  <c r="BE81" i="4"/>
  <c r="BF81" i="4" s="1"/>
  <c r="AT80" i="4"/>
  <c r="AX80" i="4" s="1"/>
  <c r="BE75" i="4"/>
  <c r="AT74" i="4"/>
  <c r="AX74" i="4" s="1"/>
  <c r="BE69" i="4"/>
  <c r="BF69" i="4" s="1"/>
  <c r="AT68" i="4"/>
  <c r="AX68" i="4" s="1"/>
  <c r="BF270" i="4"/>
  <c r="BF92" i="4"/>
  <c r="BF86" i="4"/>
  <c r="BF80" i="4"/>
  <c r="BF74" i="4"/>
  <c r="BF68" i="4"/>
  <c r="BF153" i="4"/>
  <c r="K95" i="4"/>
  <c r="R94" i="4"/>
  <c r="AP94" i="4" s="1"/>
  <c r="K92" i="4"/>
  <c r="R91" i="4"/>
  <c r="AP91" i="4" s="1"/>
  <c r="K89" i="4"/>
  <c r="R88" i="4"/>
  <c r="AP88" i="4" s="1"/>
  <c r="K86" i="4"/>
  <c r="R85" i="4"/>
  <c r="AP85" i="4" s="1"/>
  <c r="K83" i="4"/>
  <c r="R82" i="4"/>
  <c r="AP82" i="4" s="1"/>
  <c r="K80" i="4"/>
  <c r="R79" i="4"/>
  <c r="AP79" i="4" s="1"/>
  <c r="K77" i="4"/>
  <c r="R76" i="4"/>
  <c r="AP76" i="4" s="1"/>
  <c r="K74" i="4"/>
  <c r="R73" i="4"/>
  <c r="AP73" i="4" s="1"/>
  <c r="K71" i="4"/>
  <c r="R70" i="4"/>
  <c r="AP70" i="4" s="1"/>
  <c r="K68" i="4"/>
  <c r="R67" i="4"/>
  <c r="K65" i="4"/>
  <c r="R64" i="4"/>
  <c r="AP64" i="4" s="1"/>
  <c r="AT52" i="4"/>
  <c r="AX52" i="4" s="1"/>
  <c r="AT48" i="4"/>
  <c r="AX48" i="4" s="1"/>
  <c r="AT39" i="4"/>
  <c r="AX39" i="4" s="1"/>
  <c r="AT51" i="4"/>
  <c r="AX51" i="4" s="1"/>
  <c r="AT58" i="4"/>
  <c r="AX58" i="4" s="1"/>
  <c r="AT56" i="4"/>
  <c r="AX56" i="4" s="1"/>
  <c r="AT60" i="4"/>
  <c r="AX60" i="4" s="1"/>
  <c r="AT54" i="4"/>
  <c r="AX54" i="4" s="1"/>
  <c r="AT43" i="4"/>
  <c r="AX43" i="4" s="1"/>
  <c r="AT61" i="4"/>
  <c r="AX61" i="4" s="1"/>
  <c r="AT59" i="4"/>
  <c r="AX59" i="4" s="1"/>
  <c r="AT55" i="4"/>
  <c r="AX55" i="4" s="1"/>
  <c r="AT40" i="4"/>
  <c r="AX40" i="4" s="1"/>
  <c r="AT62" i="4"/>
  <c r="AX62" i="4" s="1"/>
  <c r="AT53" i="4"/>
  <c r="AX53" i="4" s="1"/>
  <c r="AT41" i="4"/>
  <c r="AX41" i="4" s="1"/>
  <c r="AT50" i="4"/>
  <c r="AX50" i="4" s="1"/>
  <c r="AT63" i="4"/>
  <c r="AX63" i="4" s="1"/>
  <c r="AT57" i="4"/>
  <c r="AX57" i="4" s="1"/>
  <c r="AT42" i="4"/>
  <c r="AX42" i="4" s="1"/>
  <c r="AT49" i="4"/>
  <c r="AX49" i="4" s="1"/>
  <c r="AT46" i="4"/>
  <c r="AX46" i="4" s="1"/>
  <c r="AT47" i="4"/>
  <c r="AX47" i="4" s="1"/>
  <c r="AT45" i="4"/>
  <c r="AX45" i="4" s="1"/>
  <c r="AT44" i="4"/>
  <c r="AX44" i="4" s="1"/>
  <c r="T6" i="86"/>
  <c r="I25" i="82"/>
  <c r="S6" i="86"/>
  <c r="F42" i="4"/>
  <c r="I21" i="82"/>
  <c r="R6" i="86"/>
  <c r="AS38" i="4"/>
  <c r="AR38" i="4"/>
  <c r="AQ38" i="4"/>
  <c r="Q6" i="86"/>
  <c r="P6" i="86"/>
  <c r="O6" i="86"/>
  <c r="AQ37" i="4"/>
  <c r="AR37" i="4"/>
  <c r="AS37" i="4"/>
  <c r="AS36" i="4"/>
  <c r="AR36" i="4"/>
  <c r="AQ36" i="4"/>
  <c r="AK35" i="4"/>
  <c r="AM35" i="4" s="1"/>
  <c r="AL35" i="4"/>
  <c r="AK36" i="4"/>
  <c r="AM36" i="4" s="1"/>
  <c r="AL36" i="4"/>
  <c r="AK37" i="4"/>
  <c r="AM37" i="4" s="1"/>
  <c r="AL37" i="4"/>
  <c r="AK38" i="4"/>
  <c r="AM38" i="4" s="1"/>
  <c r="AL38" i="4"/>
  <c r="AK39" i="4"/>
  <c r="AM39" i="4" s="1"/>
  <c r="AL39" i="4"/>
  <c r="AK40" i="4"/>
  <c r="AM40" i="4" s="1"/>
  <c r="AL40" i="4"/>
  <c r="AK41" i="4"/>
  <c r="AM41" i="4" s="1"/>
  <c r="AL41" i="4"/>
  <c r="AK42" i="4"/>
  <c r="AM42" i="4" s="1"/>
  <c r="AL42" i="4"/>
  <c r="AK43" i="4"/>
  <c r="AM43" i="4" s="1"/>
  <c r="AL43" i="4"/>
  <c r="AK44" i="4"/>
  <c r="AL44" i="4"/>
  <c r="AK45" i="4"/>
  <c r="AM45" i="4" s="1"/>
  <c r="AL45" i="4"/>
  <c r="AK46" i="4"/>
  <c r="AL46" i="4"/>
  <c r="AK47" i="4"/>
  <c r="AM47" i="4" s="1"/>
  <c r="AL47" i="4"/>
  <c r="AK48" i="4"/>
  <c r="AL48" i="4"/>
  <c r="AK49" i="4"/>
  <c r="AM49" i="4" s="1"/>
  <c r="AL49" i="4"/>
  <c r="AK50" i="4"/>
  <c r="AL50" i="4"/>
  <c r="AK51" i="4"/>
  <c r="AM51" i="4" s="1"/>
  <c r="AL51" i="4"/>
  <c r="AK52" i="4"/>
  <c r="AL52" i="4"/>
  <c r="AK53" i="4"/>
  <c r="AM53" i="4" s="1"/>
  <c r="AL53" i="4"/>
  <c r="AK54" i="4"/>
  <c r="AL54" i="4"/>
  <c r="AK55" i="4"/>
  <c r="AM55" i="4" s="1"/>
  <c r="AL55" i="4"/>
  <c r="AK56" i="4"/>
  <c r="AM56" i="4" s="1"/>
  <c r="AL56" i="4"/>
  <c r="AK57" i="4"/>
  <c r="AM57" i="4" s="1"/>
  <c r="AL57" i="4"/>
  <c r="AK58" i="4"/>
  <c r="AM58" i="4" s="1"/>
  <c r="AL58" i="4"/>
  <c r="AK59" i="4"/>
  <c r="AL59" i="4"/>
  <c r="AK60" i="4"/>
  <c r="AM60" i="4" s="1"/>
  <c r="AL60" i="4"/>
  <c r="AK61" i="4"/>
  <c r="AM61" i="4" s="1"/>
  <c r="AL61" i="4"/>
  <c r="AK62" i="4"/>
  <c r="AL62" i="4"/>
  <c r="AK63" i="4"/>
  <c r="AM63" i="4" s="1"/>
  <c r="AL63" i="4"/>
  <c r="AS35" i="4"/>
  <c r="AR35" i="4"/>
  <c r="AQ35" i="4"/>
  <c r="BA35" i="4"/>
  <c r="BC35" i="4" s="1"/>
  <c r="BA36" i="4"/>
  <c r="BC36" i="4" s="1"/>
  <c r="BA37" i="4"/>
  <c r="BC37" i="4" s="1"/>
  <c r="BA38" i="4"/>
  <c r="BC38" i="4" s="1"/>
  <c r="BA39" i="4"/>
  <c r="BC39" i="4" s="1"/>
  <c r="BA40" i="4"/>
  <c r="BC40" i="4" s="1"/>
  <c r="BA41" i="4"/>
  <c r="BC41" i="4" s="1"/>
  <c r="BA42" i="4"/>
  <c r="BC42" i="4" s="1"/>
  <c r="BA43" i="4"/>
  <c r="BC43" i="4" s="1"/>
  <c r="BA44" i="4"/>
  <c r="BC44" i="4" s="1"/>
  <c r="BA45" i="4"/>
  <c r="BC45" i="4" s="1"/>
  <c r="BA46" i="4"/>
  <c r="BC46" i="4" s="1"/>
  <c r="BA47" i="4"/>
  <c r="BC47" i="4" s="1"/>
  <c r="BA48" i="4"/>
  <c r="BC48" i="4" s="1"/>
  <c r="BA49" i="4"/>
  <c r="BC49" i="4" s="1"/>
  <c r="BA50" i="4"/>
  <c r="BC50" i="4" s="1"/>
  <c r="BA51" i="4"/>
  <c r="BC51" i="4" s="1"/>
  <c r="BA52" i="4"/>
  <c r="BC52" i="4" s="1"/>
  <c r="BA53" i="4"/>
  <c r="BC53" i="4" s="1"/>
  <c r="BA54" i="4"/>
  <c r="BC54" i="4" s="1"/>
  <c r="BA55" i="4"/>
  <c r="BC55" i="4" s="1"/>
  <c r="BA56" i="4"/>
  <c r="BC56" i="4" s="1"/>
  <c r="BA57" i="4"/>
  <c r="BC57" i="4" s="1"/>
  <c r="BA58" i="4"/>
  <c r="BC58" i="4" s="1"/>
  <c r="BA59" i="4"/>
  <c r="BC59" i="4" s="1"/>
  <c r="BA60" i="4"/>
  <c r="BC60" i="4" s="1"/>
  <c r="BA61" i="4"/>
  <c r="BC61" i="4" s="1"/>
  <c r="BA62" i="4"/>
  <c r="BC62" i="4" s="1"/>
  <c r="BA63" i="4"/>
  <c r="BC63" i="4" s="1"/>
  <c r="J35" i="4"/>
  <c r="K35" i="4" s="1"/>
  <c r="Q35" i="4"/>
  <c r="R35" i="4" s="1"/>
  <c r="J36" i="4"/>
  <c r="K36" i="4" s="1"/>
  <c r="Q36" i="4"/>
  <c r="R36" i="4" s="1"/>
  <c r="J37" i="4"/>
  <c r="BE37" i="4" s="1"/>
  <c r="Q37" i="4"/>
  <c r="R37" i="4" s="1"/>
  <c r="AN37" i="4" s="1"/>
  <c r="J38" i="4"/>
  <c r="BE38" i="4" s="1"/>
  <c r="Q38" i="4"/>
  <c r="J39" i="4"/>
  <c r="BE39" i="4" s="1"/>
  <c r="Q39" i="4"/>
  <c r="R39" i="4" s="1"/>
  <c r="J40" i="4"/>
  <c r="K40" i="4" s="1"/>
  <c r="Q40" i="4"/>
  <c r="R40" i="4" s="1"/>
  <c r="J41" i="4"/>
  <c r="BE41" i="4" s="1"/>
  <c r="Q41" i="4"/>
  <c r="J42" i="4"/>
  <c r="BE42" i="4" s="1"/>
  <c r="Q42" i="4"/>
  <c r="R42" i="4" s="1"/>
  <c r="J43" i="4"/>
  <c r="K43" i="4" s="1"/>
  <c r="L43" i="4" s="1"/>
  <c r="Q43" i="4"/>
  <c r="R43" i="4" s="1"/>
  <c r="J44" i="4"/>
  <c r="BE44" i="4" s="1"/>
  <c r="Q44" i="4"/>
  <c r="J45" i="4"/>
  <c r="BE45" i="4" s="1"/>
  <c r="Q45" i="4"/>
  <c r="J46" i="4"/>
  <c r="BE46" i="4" s="1"/>
  <c r="Q46" i="4"/>
  <c r="J47" i="4"/>
  <c r="BE47" i="4" s="1"/>
  <c r="Q47" i="4"/>
  <c r="J48" i="4"/>
  <c r="BE48" i="4" s="1"/>
  <c r="Q48" i="4"/>
  <c r="J49" i="4"/>
  <c r="BE49" i="4" s="1"/>
  <c r="Q49" i="4"/>
  <c r="J50" i="4"/>
  <c r="K50" i="4" s="1"/>
  <c r="Q50" i="4"/>
  <c r="J51" i="4"/>
  <c r="BE51" i="4" s="1"/>
  <c r="Q51" i="4"/>
  <c r="J52" i="4"/>
  <c r="K52" i="4" s="1"/>
  <c r="Q52" i="4"/>
  <c r="J53" i="4"/>
  <c r="K53" i="4" s="1"/>
  <c r="Q53" i="4"/>
  <c r="J54" i="4"/>
  <c r="BE54" i="4" s="1"/>
  <c r="Q54" i="4"/>
  <c r="J55" i="4"/>
  <c r="BE55" i="4" s="1"/>
  <c r="Q55" i="4"/>
  <c r="J56" i="4"/>
  <c r="BE56" i="4" s="1"/>
  <c r="Q56" i="4"/>
  <c r="J57" i="4"/>
  <c r="BE57" i="4" s="1"/>
  <c r="Q57" i="4"/>
  <c r="J58" i="4"/>
  <c r="BE58" i="4" s="1"/>
  <c r="Q58" i="4"/>
  <c r="J59" i="4"/>
  <c r="BE59" i="4" s="1"/>
  <c r="Q59" i="4"/>
  <c r="J60" i="4"/>
  <c r="BE60" i="4" s="1"/>
  <c r="Q60" i="4"/>
  <c r="J61" i="4"/>
  <c r="BE61" i="4" s="1"/>
  <c r="Q61" i="4"/>
  <c r="J62" i="4"/>
  <c r="BE62" i="4" s="1"/>
  <c r="Q62" i="4"/>
  <c r="J63" i="4"/>
  <c r="BE63" i="4" s="1"/>
  <c r="Q63" i="4"/>
  <c r="AQ32" i="4"/>
  <c r="AQ33" i="4"/>
  <c r="AQ34" i="4"/>
  <c r="AQ31" i="4"/>
  <c r="AQ30" i="4"/>
  <c r="AQ29" i="4"/>
  <c r="AQ28" i="4"/>
  <c r="AQ27" i="4"/>
  <c r="AQ26" i="4"/>
  <c r="AQ25" i="4"/>
  <c r="F30" i="4"/>
  <c r="N6" i="86"/>
  <c r="AN551" i="4" l="1"/>
  <c r="AO551" i="4" s="1"/>
  <c r="AP551" i="4"/>
  <c r="AN552" i="4"/>
  <c r="AO552" i="4" s="1"/>
  <c r="AP552" i="4"/>
  <c r="AN553" i="4"/>
  <c r="AO553" i="4" s="1"/>
  <c r="AP553" i="4"/>
  <c r="AN554" i="4"/>
  <c r="AO554" i="4" s="1"/>
  <c r="AP554" i="4"/>
  <c r="AN270" i="4"/>
  <c r="D11" i="67"/>
  <c r="BI15" i="86"/>
  <c r="BF156" i="4"/>
  <c r="BI11" i="86"/>
  <c r="BI12" i="86" s="1"/>
  <c r="BH11" i="86"/>
  <c r="BD154" i="4"/>
  <c r="L154" i="4"/>
  <c r="P154" i="4"/>
  <c r="L153" i="4"/>
  <c r="P153" i="4"/>
  <c r="L152" i="4"/>
  <c r="P152" i="4"/>
  <c r="AN155" i="4"/>
  <c r="AO155" i="4" s="1"/>
  <c r="AP152" i="4"/>
  <c r="C9" i="67"/>
  <c r="AN154" i="4"/>
  <c r="C7" i="67"/>
  <c r="AP98" i="4"/>
  <c r="AO156" i="4"/>
  <c r="AN8" i="86"/>
  <c r="AN13" i="86"/>
  <c r="AN14" i="86" s="1"/>
  <c r="AN153" i="4"/>
  <c r="AP156" i="4"/>
  <c r="AN99" i="4"/>
  <c r="AO99" i="4" s="1"/>
  <c r="AN98" i="4"/>
  <c r="AO98" i="4" s="1"/>
  <c r="L66" i="4"/>
  <c r="AO66" i="4" s="1"/>
  <c r="BD85" i="4"/>
  <c r="L90" i="4"/>
  <c r="AO90" i="4" s="1"/>
  <c r="P85" i="4"/>
  <c r="BD84" i="4"/>
  <c r="BD66" i="4"/>
  <c r="AG8" i="86"/>
  <c r="AG13" i="86"/>
  <c r="AG14" i="86" s="1"/>
  <c r="AJ13" i="86"/>
  <c r="AJ14" i="86" s="1"/>
  <c r="AJ8" i="86"/>
  <c r="AH11" i="86"/>
  <c r="AJ11" i="86"/>
  <c r="AL13" i="86"/>
  <c r="AL14" i="86" s="1"/>
  <c r="AL8" i="86"/>
  <c r="AH8" i="86"/>
  <c r="AH13" i="86"/>
  <c r="AH14" i="86" s="1"/>
  <c r="AK13" i="86"/>
  <c r="AK14" i="86" s="1"/>
  <c r="AK8" i="86"/>
  <c r="AL11" i="86"/>
  <c r="AM13" i="86"/>
  <c r="AM14" i="86" s="1"/>
  <c r="AM8" i="86"/>
  <c r="AI8" i="86"/>
  <c r="AI13" i="86"/>
  <c r="AI14" i="86" s="1"/>
  <c r="BD90" i="4"/>
  <c r="BD98" i="4"/>
  <c r="AN10" i="86" s="1"/>
  <c r="AP67" i="4"/>
  <c r="L84" i="4"/>
  <c r="AO84" i="4" s="1"/>
  <c r="AF10" i="86"/>
  <c r="AF15" i="86" s="1"/>
  <c r="P97" i="4"/>
  <c r="AO97" i="4" s="1"/>
  <c r="BD153" i="4"/>
  <c r="L96" i="4"/>
  <c r="AO96" i="4" s="1"/>
  <c r="BD96" i="4"/>
  <c r="P67" i="4"/>
  <c r="BD97" i="4"/>
  <c r="BD67" i="4"/>
  <c r="AB11" i="86"/>
  <c r="BD91" i="4"/>
  <c r="BD152" i="4"/>
  <c r="AB9" i="86"/>
  <c r="AD13" i="86"/>
  <c r="AD14" i="86" s="1"/>
  <c r="AD8" i="86"/>
  <c r="AM62" i="4"/>
  <c r="AB7" i="86"/>
  <c r="AE13" i="86"/>
  <c r="AE14" i="86" s="1"/>
  <c r="AE8" i="86"/>
  <c r="BD78" i="4"/>
  <c r="L78" i="4"/>
  <c r="AO78" i="4" s="1"/>
  <c r="AD11" i="86"/>
  <c r="BF75" i="4"/>
  <c r="AF11" i="86"/>
  <c r="AF8" i="86"/>
  <c r="AF13" i="86"/>
  <c r="AF14" i="86" s="1"/>
  <c r="AC8" i="86"/>
  <c r="AC13" i="86"/>
  <c r="AC14" i="86" s="1"/>
  <c r="BD73" i="4"/>
  <c r="P73" i="4"/>
  <c r="AO81" i="4"/>
  <c r="AO75" i="4"/>
  <c r="AO87" i="4"/>
  <c r="AN73" i="4"/>
  <c r="L72" i="4"/>
  <c r="AO72" i="4" s="1"/>
  <c r="L94" i="4"/>
  <c r="P94" i="4"/>
  <c r="BD94" i="4"/>
  <c r="P91" i="4"/>
  <c r="BD72" i="4"/>
  <c r="AO69" i="4"/>
  <c r="AN64" i="4"/>
  <c r="AO64" i="4" s="1"/>
  <c r="AO93" i="4"/>
  <c r="L79" i="4"/>
  <c r="BD79" i="4"/>
  <c r="AN76" i="4"/>
  <c r="AO76" i="4" s="1"/>
  <c r="AN67" i="4"/>
  <c r="AA9" i="86"/>
  <c r="AA11" i="86"/>
  <c r="AM59" i="4"/>
  <c r="AA7" i="86"/>
  <c r="AN85" i="4"/>
  <c r="AN94" i="4"/>
  <c r="L270" i="4"/>
  <c r="BD270" i="4"/>
  <c r="L80" i="4"/>
  <c r="P80" i="4"/>
  <c r="BD80" i="4"/>
  <c r="AH10" i="86" s="1"/>
  <c r="AN79" i="4"/>
  <c r="AN82" i="4"/>
  <c r="AO82" i="4" s="1"/>
  <c r="L65" i="4"/>
  <c r="P65" i="4"/>
  <c r="BD65" i="4"/>
  <c r="L74" i="4"/>
  <c r="P74" i="4"/>
  <c r="BD74" i="4"/>
  <c r="L83" i="4"/>
  <c r="P83" i="4"/>
  <c r="BD83" i="4"/>
  <c r="L92" i="4"/>
  <c r="P92" i="4"/>
  <c r="BD92" i="4"/>
  <c r="L71" i="4"/>
  <c r="P71" i="4"/>
  <c r="BD71" i="4"/>
  <c r="L89" i="4"/>
  <c r="P89" i="4"/>
  <c r="BD89" i="4"/>
  <c r="AN70" i="4"/>
  <c r="AO70" i="4" s="1"/>
  <c r="AN88" i="4"/>
  <c r="AO88" i="4" s="1"/>
  <c r="L68" i="4"/>
  <c r="P68" i="4"/>
  <c r="BD68" i="4"/>
  <c r="AD10" i="86" s="1"/>
  <c r="AD15" i="86" s="1"/>
  <c r="L77" i="4"/>
  <c r="P77" i="4"/>
  <c r="BD77" i="4"/>
  <c r="L86" i="4"/>
  <c r="P86" i="4"/>
  <c r="BD86" i="4"/>
  <c r="L95" i="4"/>
  <c r="P95" i="4"/>
  <c r="BD95" i="4"/>
  <c r="AN91" i="4"/>
  <c r="Z11" i="86"/>
  <c r="V11" i="86"/>
  <c r="X9" i="86"/>
  <c r="AM54" i="4"/>
  <c r="Z7" i="86"/>
  <c r="Z9" i="86"/>
  <c r="AM50" i="4"/>
  <c r="X7" i="86"/>
  <c r="Y9" i="86"/>
  <c r="AM52" i="4"/>
  <c r="Y7" i="86"/>
  <c r="S7" i="86"/>
  <c r="S13" i="86" s="1"/>
  <c r="S14" i="86" s="1"/>
  <c r="S9" i="86"/>
  <c r="T9" i="86"/>
  <c r="R57" i="4"/>
  <c r="AP57" i="4" s="1"/>
  <c r="AM48" i="4"/>
  <c r="W7" i="86"/>
  <c r="T7" i="86"/>
  <c r="T13" i="86" s="1"/>
  <c r="T14" i="86" s="1"/>
  <c r="R61" i="4"/>
  <c r="AN61" i="4" s="1"/>
  <c r="R58" i="4"/>
  <c r="AN58" i="4" s="1"/>
  <c r="R55" i="4"/>
  <c r="AP55" i="4" s="1"/>
  <c r="R52" i="4"/>
  <c r="AN52" i="4" s="1"/>
  <c r="V9" i="86"/>
  <c r="AM46" i="4"/>
  <c r="V7" i="86"/>
  <c r="R63" i="4"/>
  <c r="AN63" i="4" s="1"/>
  <c r="R51" i="4"/>
  <c r="AP51" i="4" s="1"/>
  <c r="R60" i="4"/>
  <c r="AN60" i="4" s="1"/>
  <c r="W9" i="86"/>
  <c r="AM44" i="4"/>
  <c r="U7" i="86"/>
  <c r="R54" i="4"/>
  <c r="U9" i="86"/>
  <c r="W11" i="86"/>
  <c r="U11" i="86"/>
  <c r="R49" i="4"/>
  <c r="AP49" i="4" s="1"/>
  <c r="R48" i="4"/>
  <c r="AN48" i="4" s="1"/>
  <c r="R46" i="4"/>
  <c r="AN46" i="4" s="1"/>
  <c r="R45" i="4"/>
  <c r="AP45" i="4" s="1"/>
  <c r="K51" i="4"/>
  <c r="L51" i="4" s="1"/>
  <c r="AP35" i="4"/>
  <c r="K42" i="4"/>
  <c r="L42" i="4" s="1"/>
  <c r="R11" i="86"/>
  <c r="BE50" i="4"/>
  <c r="K37" i="4"/>
  <c r="L37" i="4" s="1"/>
  <c r="BF59" i="4"/>
  <c r="AT38" i="4"/>
  <c r="AX38" i="4" s="1"/>
  <c r="Q9" i="86"/>
  <c r="K60" i="4"/>
  <c r="L60" i="4" s="1"/>
  <c r="K57" i="4"/>
  <c r="L57" i="4" s="1"/>
  <c r="K48" i="4"/>
  <c r="L48" i="4" s="1"/>
  <c r="K39" i="4"/>
  <c r="L39" i="4" s="1"/>
  <c r="BE53" i="4"/>
  <c r="BF53" i="4" s="1"/>
  <c r="K63" i="4"/>
  <c r="L63" i="4" s="1"/>
  <c r="K54" i="4"/>
  <c r="L54" i="4" s="1"/>
  <c r="K45" i="4"/>
  <c r="L45" i="4" s="1"/>
  <c r="L50" i="4"/>
  <c r="BD50" i="4"/>
  <c r="L52" i="4"/>
  <c r="BD52" i="4"/>
  <c r="L40" i="4"/>
  <c r="BD40" i="4"/>
  <c r="L53" i="4"/>
  <c r="BD53" i="4"/>
  <c r="K62" i="4"/>
  <c r="K59" i="4"/>
  <c r="K56" i="4"/>
  <c r="L56" i="4" s="1"/>
  <c r="K47" i="4"/>
  <c r="K44" i="4"/>
  <c r="L44" i="4" s="1"/>
  <c r="K41" i="4"/>
  <c r="L41" i="4" s="1"/>
  <c r="AP43" i="4"/>
  <c r="AP40" i="4"/>
  <c r="AT36" i="4"/>
  <c r="AX36" i="4" s="1"/>
  <c r="AN42" i="4"/>
  <c r="BE52" i="4"/>
  <c r="BF44" i="4"/>
  <c r="R9" i="86"/>
  <c r="AT35" i="4"/>
  <c r="AX35" i="4" s="1"/>
  <c r="BF62" i="4"/>
  <c r="BF58" i="4"/>
  <c r="BE43" i="4"/>
  <c r="BE40" i="4"/>
  <c r="AP42" i="4"/>
  <c r="AN43" i="4"/>
  <c r="AN40" i="4"/>
  <c r="R62" i="4"/>
  <c r="K61" i="4"/>
  <c r="L61" i="4" s="1"/>
  <c r="R59" i="4"/>
  <c r="K58" i="4"/>
  <c r="L58" i="4" s="1"/>
  <c r="R56" i="4"/>
  <c r="AP56" i="4" s="1"/>
  <c r="K55" i="4"/>
  <c r="L55" i="4" s="1"/>
  <c r="R53" i="4"/>
  <c r="AP53" i="4" s="1"/>
  <c r="R50" i="4"/>
  <c r="AN50" i="4" s="1"/>
  <c r="K49" i="4"/>
  <c r="R47" i="4"/>
  <c r="AP47" i="4" s="1"/>
  <c r="K46" i="4"/>
  <c r="L46" i="4" s="1"/>
  <c r="R44" i="4"/>
  <c r="R41" i="4"/>
  <c r="AP41" i="4" s="1"/>
  <c r="AT37" i="4"/>
  <c r="AX37" i="4" s="1"/>
  <c r="BF51" i="4"/>
  <c r="BF42" i="4"/>
  <c r="AN35" i="4"/>
  <c r="R7" i="86"/>
  <c r="R13" i="86" s="1"/>
  <c r="R14" i="86" s="1"/>
  <c r="BF54" i="4"/>
  <c r="BF49" i="4"/>
  <c r="BF47" i="4"/>
  <c r="BD43" i="4"/>
  <c r="Q7" i="86"/>
  <c r="Q13" i="86" s="1"/>
  <c r="Q14" i="86" s="1"/>
  <c r="BF60" i="4"/>
  <c r="BF57" i="4"/>
  <c r="BF55" i="4"/>
  <c r="BF46" i="4"/>
  <c r="BF63" i="4"/>
  <c r="BF41" i="4"/>
  <c r="AP39" i="4"/>
  <c r="AN39" i="4"/>
  <c r="R38" i="4"/>
  <c r="AP38" i="4" s="1"/>
  <c r="BF39" i="4"/>
  <c r="K38" i="4"/>
  <c r="P38" i="4" s="1"/>
  <c r="AP37" i="4"/>
  <c r="BF37" i="4"/>
  <c r="AP36" i="4"/>
  <c r="AN36" i="4"/>
  <c r="L36" i="4"/>
  <c r="BD36" i="4"/>
  <c r="BE36" i="4"/>
  <c r="L35" i="4"/>
  <c r="BD35" i="4"/>
  <c r="BE35" i="4"/>
  <c r="BF35" i="4" s="1"/>
  <c r="BF61" i="4"/>
  <c r="BF38" i="4"/>
  <c r="BF56" i="4"/>
  <c r="BF48" i="4"/>
  <c r="BF45" i="4"/>
  <c r="P53" i="4"/>
  <c r="P52" i="4"/>
  <c r="P50" i="4"/>
  <c r="P43" i="4"/>
  <c r="P40" i="4"/>
  <c r="P36" i="4"/>
  <c r="P35" i="4"/>
  <c r="I18" i="82"/>
  <c r="M6" i="86"/>
  <c r="L6" i="86"/>
  <c r="CW10" i="86" l="1"/>
  <c r="CW15" i="86" s="1"/>
  <c r="F10" i="67"/>
  <c r="AO270" i="4"/>
  <c r="BG10" i="86"/>
  <c r="BG16" i="86" s="1"/>
  <c r="D10" i="67"/>
  <c r="AO152" i="4"/>
  <c r="BH10" i="86"/>
  <c r="BH16" i="86" s="1"/>
  <c r="BI16" i="86"/>
  <c r="BI17" i="86" s="1"/>
  <c r="C11" i="67"/>
  <c r="AO154" i="4"/>
  <c r="AO85" i="4"/>
  <c r="C13" i="67"/>
  <c r="C14" i="67" s="1"/>
  <c r="C8" i="67"/>
  <c r="AL10" i="86"/>
  <c r="AL16" i="86" s="1"/>
  <c r="AN16" i="86"/>
  <c r="AN12" i="86"/>
  <c r="AO153" i="4"/>
  <c r="AO74" i="4"/>
  <c r="AN15" i="86"/>
  <c r="AK10" i="86"/>
  <c r="AK15" i="86" s="1"/>
  <c r="AI10" i="86"/>
  <c r="AI15" i="86" s="1"/>
  <c r="AG10" i="86"/>
  <c r="AG16" i="86" s="1"/>
  <c r="AC10" i="86"/>
  <c r="AC12" i="86" s="1"/>
  <c r="AM10" i="86"/>
  <c r="AM15" i="86" s="1"/>
  <c r="AH16" i="86"/>
  <c r="AH12" i="86"/>
  <c r="AH15" i="86"/>
  <c r="AF12" i="86"/>
  <c r="AP62" i="4"/>
  <c r="AO67" i="4"/>
  <c r="AF16" i="86"/>
  <c r="AF17" i="86" s="1"/>
  <c r="AE10" i="86"/>
  <c r="AE12" i="86" s="1"/>
  <c r="AO92" i="4"/>
  <c r="AO94" i="4"/>
  <c r="AO91" i="4"/>
  <c r="AO89" i="4"/>
  <c r="AD12" i="86"/>
  <c r="AD16" i="86"/>
  <c r="AD17" i="86" s="1"/>
  <c r="AO73" i="4"/>
  <c r="AP59" i="4"/>
  <c r="AO80" i="4"/>
  <c r="AB13" i="86"/>
  <c r="AB14" i="86" s="1"/>
  <c r="AB8" i="86"/>
  <c r="AO79" i="4"/>
  <c r="AO86" i="4"/>
  <c r="AO68" i="4"/>
  <c r="P59" i="4"/>
  <c r="BD59" i="4"/>
  <c r="AO71" i="4"/>
  <c r="AO83" i="4"/>
  <c r="AO65" i="4"/>
  <c r="AA8" i="86"/>
  <c r="AA13" i="86"/>
  <c r="AA14" i="86" s="1"/>
  <c r="AO95" i="4"/>
  <c r="AO77" i="4"/>
  <c r="AN45" i="4"/>
  <c r="AP60" i="4"/>
  <c r="Y10" i="86"/>
  <c r="Y15" i="86" s="1"/>
  <c r="AN57" i="4"/>
  <c r="BF50" i="4"/>
  <c r="X11" i="86"/>
  <c r="AP52" i="4"/>
  <c r="S8" i="86"/>
  <c r="BF52" i="4"/>
  <c r="Y11" i="86"/>
  <c r="AP54" i="4"/>
  <c r="AP61" i="4"/>
  <c r="Y8" i="86"/>
  <c r="Y13" i="86"/>
  <c r="Y14" i="86" s="1"/>
  <c r="Z13" i="86"/>
  <c r="Z14" i="86" s="1"/>
  <c r="Z8" i="86"/>
  <c r="X13" i="86"/>
  <c r="X14" i="86" s="1"/>
  <c r="X8" i="86"/>
  <c r="AN56" i="4"/>
  <c r="AN55" i="4"/>
  <c r="AN51" i="4"/>
  <c r="AP50" i="4"/>
  <c r="AP48" i="4"/>
  <c r="AO50" i="4"/>
  <c r="AP63" i="4"/>
  <c r="AP58" i="4"/>
  <c r="BD51" i="4"/>
  <c r="X10" i="86" s="1"/>
  <c r="BF40" i="4"/>
  <c r="S11" i="86"/>
  <c r="AN53" i="4"/>
  <c r="AO53" i="4" s="1"/>
  <c r="AP44" i="4"/>
  <c r="BF43" i="4"/>
  <c r="T11" i="86"/>
  <c r="AN59" i="4"/>
  <c r="AN54" i="4"/>
  <c r="AN62" i="4"/>
  <c r="W8" i="86"/>
  <c r="W13" i="86"/>
  <c r="W14" i="86" s="1"/>
  <c r="AO52" i="4"/>
  <c r="P51" i="4"/>
  <c r="AP46" i="4"/>
  <c r="U13" i="86"/>
  <c r="U14" i="86" s="1"/>
  <c r="U8" i="86"/>
  <c r="V13" i="86"/>
  <c r="V14" i="86" s="1"/>
  <c r="V8" i="86"/>
  <c r="T8" i="86"/>
  <c r="AN49" i="4"/>
  <c r="BD48" i="4"/>
  <c r="AN47" i="4"/>
  <c r="AN44" i="4"/>
  <c r="BD41" i="4"/>
  <c r="S10" i="86" s="1"/>
  <c r="P42" i="4"/>
  <c r="AO42" i="4" s="1"/>
  <c r="BD42" i="4"/>
  <c r="T10" i="86" s="1"/>
  <c r="P45" i="4"/>
  <c r="BD56" i="4"/>
  <c r="P44" i="4"/>
  <c r="P54" i="4"/>
  <c r="BD57" i="4"/>
  <c r="P58" i="4"/>
  <c r="AO58" i="4" s="1"/>
  <c r="P37" i="4"/>
  <c r="AO37" i="4" s="1"/>
  <c r="P63" i="4"/>
  <c r="AO63" i="4" s="1"/>
  <c r="BD37" i="4"/>
  <c r="Q10" i="86" s="1"/>
  <c r="BD63" i="4"/>
  <c r="P60" i="4"/>
  <c r="AO60" i="4" s="1"/>
  <c r="BD60" i="4"/>
  <c r="BD45" i="4"/>
  <c r="P48" i="4"/>
  <c r="AO48" i="4" s="1"/>
  <c r="P57" i="4"/>
  <c r="P46" i="4"/>
  <c r="AO46" i="4" s="1"/>
  <c r="P39" i="4"/>
  <c r="AO39" i="4" s="1"/>
  <c r="P61" i="4"/>
  <c r="AO61" i="4" s="1"/>
  <c r="BD44" i="4"/>
  <c r="BD58" i="4"/>
  <c r="BD54" i="4"/>
  <c r="AN41" i="4"/>
  <c r="BD39" i="4"/>
  <c r="P41" i="4"/>
  <c r="BD61" i="4"/>
  <c r="L47" i="4"/>
  <c r="BD47" i="4"/>
  <c r="AO35" i="4"/>
  <c r="P47" i="4"/>
  <c r="L49" i="4"/>
  <c r="BD49" i="4"/>
  <c r="L62" i="4"/>
  <c r="BD62" i="4"/>
  <c r="AO43" i="4"/>
  <c r="P49" i="4"/>
  <c r="P55" i="4"/>
  <c r="AO40" i="4"/>
  <c r="BD55" i="4"/>
  <c r="R8" i="86"/>
  <c r="L59" i="4"/>
  <c r="P56" i="4"/>
  <c r="P62" i="4"/>
  <c r="BD46" i="4"/>
  <c r="Q8" i="86"/>
  <c r="BF36" i="4"/>
  <c r="Q11" i="86"/>
  <c r="AN38" i="4"/>
  <c r="L38" i="4"/>
  <c r="BD38" i="4"/>
  <c r="AO36" i="4"/>
  <c r="AS26" i="4"/>
  <c r="I25" i="4"/>
  <c r="E25" i="4"/>
  <c r="I24" i="4"/>
  <c r="M24" i="4"/>
  <c r="BA24" i="4" s="1"/>
  <c r="J6" i="86"/>
  <c r="I12" i="82"/>
  <c r="I21" i="4"/>
  <c r="M20" i="4"/>
  <c r="BA20" i="4" s="1"/>
  <c r="I20" i="4"/>
  <c r="I3" i="82"/>
  <c r="I4" i="82"/>
  <c r="I7" i="82"/>
  <c r="BA3" i="4"/>
  <c r="BC3" i="4" s="1"/>
  <c r="H6" i="86"/>
  <c r="G6" i="86"/>
  <c r="G5" i="86"/>
  <c r="H5" i="86" s="1"/>
  <c r="I5" i="86" s="1"/>
  <c r="J5" i="86" s="1"/>
  <c r="K5" i="86" s="1"/>
  <c r="L5" i="86" s="1"/>
  <c r="M5" i="86" s="1"/>
  <c r="N5" i="86" s="1"/>
  <c r="O5" i="86" s="1"/>
  <c r="P5" i="86" s="1"/>
  <c r="Q5" i="86" s="1"/>
  <c r="R5" i="86" s="1"/>
  <c r="S5" i="86" s="1"/>
  <c r="T5" i="86" s="1"/>
  <c r="U5" i="86" s="1"/>
  <c r="V5" i="86" s="1"/>
  <c r="W5" i="86" s="1"/>
  <c r="X5" i="86" s="1"/>
  <c r="Y5" i="86" s="1"/>
  <c r="Z5" i="86" s="1"/>
  <c r="AA5" i="86" s="1"/>
  <c r="AB5" i="86" s="1"/>
  <c r="AC5" i="86" s="1"/>
  <c r="AD5" i="86" s="1"/>
  <c r="AE5" i="86" s="1"/>
  <c r="AF5" i="86" s="1"/>
  <c r="AG5" i="86" s="1"/>
  <c r="AH5" i="86" s="1"/>
  <c r="AI5" i="86" s="1"/>
  <c r="AJ5" i="86" s="1"/>
  <c r="AK5" i="86" s="1"/>
  <c r="AL5" i="86" s="1"/>
  <c r="AM5" i="86" s="1"/>
  <c r="AN5" i="86" s="1"/>
  <c r="AO5" i="86" s="1"/>
  <c r="AP5" i="86" s="1"/>
  <c r="AQ5" i="86" s="1"/>
  <c r="AR5" i="86" s="1"/>
  <c r="AS5" i="86" s="1"/>
  <c r="AT5" i="86" s="1"/>
  <c r="AU5" i="86" s="1"/>
  <c r="AV5" i="86" s="1"/>
  <c r="AW5" i="86" s="1"/>
  <c r="AX5" i="86" s="1"/>
  <c r="AY5" i="86" s="1"/>
  <c r="AZ5" i="86" s="1"/>
  <c r="BA5" i="86" s="1"/>
  <c r="BB5" i="86" s="1"/>
  <c r="BC5" i="86" s="1"/>
  <c r="BD5" i="86" s="1"/>
  <c r="BE5" i="86" s="1"/>
  <c r="BF5" i="86" s="1"/>
  <c r="BG5" i="86" s="1"/>
  <c r="BH5" i="86" s="1"/>
  <c r="BI5" i="86" s="1"/>
  <c r="BJ5" i="86" s="1"/>
  <c r="BK5" i="86" s="1"/>
  <c r="BL5" i="86" s="1"/>
  <c r="BM5" i="86" s="1"/>
  <c r="BN5" i="86" s="1"/>
  <c r="BO5" i="86" s="1"/>
  <c r="BP5" i="86" s="1"/>
  <c r="BQ5" i="86" s="1"/>
  <c r="BR5" i="86" s="1"/>
  <c r="BS5" i="86" s="1"/>
  <c r="BT5" i="86" s="1"/>
  <c r="BU5" i="86" s="1"/>
  <c r="BV5" i="86" s="1"/>
  <c r="BW5" i="86" s="1"/>
  <c r="BX5" i="86" s="1"/>
  <c r="BY5" i="86" s="1"/>
  <c r="BZ5" i="86" s="1"/>
  <c r="CA5" i="86" s="1"/>
  <c r="CB5" i="86" s="1"/>
  <c r="CC5" i="86" s="1"/>
  <c r="CD5" i="86" s="1"/>
  <c r="CE5" i="86" s="1"/>
  <c r="CF5" i="86" s="1"/>
  <c r="CG5" i="86" s="1"/>
  <c r="CH5" i="86" s="1"/>
  <c r="CI5" i="86" s="1"/>
  <c r="CJ5" i="86" s="1"/>
  <c r="CK5" i="86" s="1"/>
  <c r="CL5" i="86" s="1"/>
  <c r="CM5" i="86" s="1"/>
  <c r="CN5" i="86" s="1"/>
  <c r="CO5" i="86" s="1"/>
  <c r="CP5" i="86" s="1"/>
  <c r="CQ5" i="86" s="1"/>
  <c r="CR5" i="86" s="1"/>
  <c r="CS5" i="86" s="1"/>
  <c r="CT5" i="86" s="1"/>
  <c r="CU5" i="86" s="1"/>
  <c r="CV5" i="86" s="1"/>
  <c r="CW5" i="86" s="1"/>
  <c r="CX5" i="86" s="1"/>
  <c r="CY5" i="86" s="1"/>
  <c r="CZ5" i="86" s="1"/>
  <c r="DA5" i="86" s="1"/>
  <c r="DB5" i="86" s="1"/>
  <c r="DC5" i="86" s="1"/>
  <c r="DD5" i="86" s="1"/>
  <c r="DE5" i="86" s="1"/>
  <c r="DF5" i="86" s="1"/>
  <c r="DG5" i="86" s="1"/>
  <c r="DH5" i="86" s="1"/>
  <c r="DI5" i="86" s="1"/>
  <c r="DJ5" i="86" s="1"/>
  <c r="DK5" i="86" s="1"/>
  <c r="DL5" i="86" s="1"/>
  <c r="DM5" i="86" s="1"/>
  <c r="DN5" i="86" s="1"/>
  <c r="DO5" i="86" s="1"/>
  <c r="DP5" i="86" s="1"/>
  <c r="DQ5" i="86" s="1"/>
  <c r="DR5" i="86" s="1"/>
  <c r="DS5" i="86" s="1"/>
  <c r="DT5" i="86" s="1"/>
  <c r="DU5" i="86" s="1"/>
  <c r="DV5" i="86" s="1"/>
  <c r="DW5" i="86" s="1"/>
  <c r="DX5" i="86" s="1"/>
  <c r="DY5" i="86" s="1"/>
  <c r="DZ5" i="86" s="1"/>
  <c r="EA5" i="86" s="1"/>
  <c r="EB5" i="86" s="1"/>
  <c r="EC5" i="86" s="1"/>
  <c r="ED5" i="86" s="1"/>
  <c r="EE5" i="86" s="1"/>
  <c r="EF5" i="86" s="1"/>
  <c r="EG5" i="86" s="1"/>
  <c r="EH5" i="86" s="1"/>
  <c r="EI5" i="86" s="1"/>
  <c r="EJ5" i="86" s="1"/>
  <c r="EK5" i="86" s="1"/>
  <c r="EL5" i="86" s="1"/>
  <c r="EM5" i="86" s="1"/>
  <c r="EN5" i="86" s="1"/>
  <c r="EO5" i="86" s="1"/>
  <c r="EP5" i="86" s="1"/>
  <c r="EQ5" i="86" s="1"/>
  <c r="ER5" i="86" s="1"/>
  <c r="ES5" i="86" s="1"/>
  <c r="ET5" i="86" s="1"/>
  <c r="EU5" i="86" s="1"/>
  <c r="EV5" i="86" s="1"/>
  <c r="EW5" i="86" s="1"/>
  <c r="EX5" i="86" s="1"/>
  <c r="EY5" i="86" s="1"/>
  <c r="EZ5" i="86" s="1"/>
  <c r="FA5" i="86" s="1"/>
  <c r="FB5" i="86" s="1"/>
  <c r="FC5" i="86" s="1"/>
  <c r="FD5" i="86" s="1"/>
  <c r="FE5" i="86" s="1"/>
  <c r="FF5" i="86" s="1"/>
  <c r="BA4" i="4"/>
  <c r="BA5" i="4"/>
  <c r="BA6" i="4"/>
  <c r="BA7" i="4"/>
  <c r="BA8" i="4"/>
  <c r="BA9" i="4"/>
  <c r="BA10" i="4"/>
  <c r="BA11" i="4"/>
  <c r="BA12" i="4"/>
  <c r="BA13" i="4"/>
  <c r="BA15" i="4"/>
  <c r="BA16" i="4"/>
  <c r="BA17" i="4"/>
  <c r="BA18" i="4"/>
  <c r="BA19" i="4"/>
  <c r="BA21" i="4"/>
  <c r="BA22" i="4"/>
  <c r="BA23" i="4"/>
  <c r="BA25" i="4"/>
  <c r="BA26" i="4"/>
  <c r="BA27" i="4"/>
  <c r="BA28" i="4"/>
  <c r="BA29" i="4"/>
  <c r="BA30" i="4"/>
  <c r="BA31" i="4"/>
  <c r="BA32" i="4"/>
  <c r="BA33" i="4"/>
  <c r="BA34" i="4"/>
  <c r="CW16" i="86" l="1"/>
  <c r="CW17" i="86" s="1"/>
  <c r="CW12" i="86"/>
  <c r="F12" i="67"/>
  <c r="F16" i="67"/>
  <c r="F15" i="67"/>
  <c r="BG12" i="86"/>
  <c r="BG15" i="86"/>
  <c r="BG17" i="86" s="1"/>
  <c r="D15" i="67"/>
  <c r="D12" i="67"/>
  <c r="D16" i="67"/>
  <c r="BH12" i="86"/>
  <c r="BH15" i="86"/>
  <c r="BH17" i="86" s="1"/>
  <c r="C10" i="67"/>
  <c r="AL15" i="86"/>
  <c r="AL17" i="86" s="1"/>
  <c r="AN17" i="86"/>
  <c r="AL12" i="86"/>
  <c r="AI12" i="86"/>
  <c r="AK16" i="86"/>
  <c r="AK17" i="86" s="1"/>
  <c r="AG15" i="86"/>
  <c r="AG17" i="86" s="1"/>
  <c r="AC15" i="86"/>
  <c r="AC16" i="86"/>
  <c r="AI16" i="86"/>
  <c r="AI17" i="86" s="1"/>
  <c r="AG12" i="86"/>
  <c r="AK12" i="86"/>
  <c r="AM12" i="86"/>
  <c r="AM16" i="86"/>
  <c r="AM17" i="86" s="1"/>
  <c r="AH17" i="86"/>
  <c r="AE15" i="86"/>
  <c r="AE16" i="86"/>
  <c r="AB10" i="86"/>
  <c r="U10" i="86"/>
  <c r="U16" i="86" s="1"/>
  <c r="AO56" i="4"/>
  <c r="AO45" i="4"/>
  <c r="AA10" i="86"/>
  <c r="Y16" i="86"/>
  <c r="Y17" i="86" s="1"/>
  <c r="Y12" i="86"/>
  <c r="Z10" i="86"/>
  <c r="Z16" i="86" s="1"/>
  <c r="AO57" i="4"/>
  <c r="X15" i="86"/>
  <c r="X16" i="86"/>
  <c r="W10" i="86"/>
  <c r="W12" i="86" s="1"/>
  <c r="X12" i="86"/>
  <c r="AO55" i="4"/>
  <c r="AO51" i="4"/>
  <c r="AO62" i="4"/>
  <c r="S12" i="86"/>
  <c r="S15" i="86"/>
  <c r="S16" i="86"/>
  <c r="T15" i="86"/>
  <c r="T12" i="86"/>
  <c r="T16" i="86"/>
  <c r="V10" i="86"/>
  <c r="AO49" i="4"/>
  <c r="AO54" i="4"/>
  <c r="AO59" i="4"/>
  <c r="AO47" i="4"/>
  <c r="AO44" i="4"/>
  <c r="R10" i="86"/>
  <c r="R12" i="86" s="1"/>
  <c r="AO41" i="4"/>
  <c r="AO38" i="4"/>
  <c r="Q16" i="86"/>
  <c r="Q12" i="86"/>
  <c r="Q15" i="86"/>
  <c r="I6" i="86"/>
  <c r="K6" i="86"/>
  <c r="F17" i="67" l="1"/>
  <c r="D17" i="67"/>
  <c r="AC17" i="86"/>
  <c r="U12" i="86"/>
  <c r="AE17" i="86"/>
  <c r="U15" i="86"/>
  <c r="U17" i="86" s="1"/>
  <c r="AB15" i="86"/>
  <c r="AB16" i="86"/>
  <c r="AB12" i="86"/>
  <c r="AA16" i="86"/>
  <c r="AA12" i="86"/>
  <c r="AA15" i="86"/>
  <c r="R16" i="86"/>
  <c r="T17" i="86"/>
  <c r="Z12" i="86"/>
  <c r="Z15" i="86"/>
  <c r="Z17" i="86" s="1"/>
  <c r="X17" i="86"/>
  <c r="W15" i="86"/>
  <c r="W16" i="86"/>
  <c r="R15" i="86"/>
  <c r="V12" i="86"/>
  <c r="V16" i="86"/>
  <c r="V15" i="86"/>
  <c r="S17" i="86"/>
  <c r="Q17" i="86"/>
  <c r="Q12" i="82"/>
  <c r="Q13" i="82"/>
  <c r="Q14" i="82"/>
  <c r="Q15" i="82"/>
  <c r="Q16" i="82"/>
  <c r="Q17" i="82"/>
  <c r="Q18" i="82"/>
  <c r="Q19" i="82"/>
  <c r="Q20" i="82"/>
  <c r="Q21" i="82"/>
  <c r="Q22" i="82"/>
  <c r="Q23" i="82"/>
  <c r="Q24" i="82"/>
  <c r="Q25" i="82"/>
  <c r="Q26" i="82"/>
  <c r="Q27" i="82"/>
  <c r="Q28" i="82"/>
  <c r="Q29" i="82"/>
  <c r="Q30" i="82"/>
  <c r="Q31" i="82"/>
  <c r="Q32" i="82"/>
  <c r="Q33" i="82"/>
  <c r="Q34" i="82"/>
  <c r="Q35" i="82"/>
  <c r="Q36" i="82"/>
  <c r="Q37" i="82"/>
  <c r="Q38" i="82"/>
  <c r="Q39" i="82"/>
  <c r="Q40" i="82"/>
  <c r="Q41" i="82"/>
  <c r="Q42" i="82"/>
  <c r="Q43" i="82"/>
  <c r="Q44" i="82"/>
  <c r="Q45" i="82"/>
  <c r="Q46" i="82"/>
  <c r="Q47" i="82"/>
  <c r="Q48" i="82"/>
  <c r="Q49" i="82"/>
  <c r="Q50" i="82"/>
  <c r="Q51" i="82"/>
  <c r="Q52" i="82"/>
  <c r="Q53" i="82"/>
  <c r="Q54" i="82"/>
  <c r="Q55" i="82"/>
  <c r="Q56" i="82"/>
  <c r="Q57" i="82"/>
  <c r="Q58" i="82"/>
  <c r="Q59" i="82"/>
  <c r="Q60" i="82"/>
  <c r="Q61" i="82"/>
  <c r="Q62" i="82"/>
  <c r="Q63" i="82"/>
  <c r="Q64" i="82"/>
  <c r="Q65" i="82"/>
  <c r="Q66" i="82"/>
  <c r="Q67" i="82"/>
  <c r="Q68" i="82"/>
  <c r="Q69" i="82"/>
  <c r="Q70" i="82"/>
  <c r="Q71" i="82"/>
  <c r="Q72" i="82"/>
  <c r="Q73" i="82"/>
  <c r="Q74" i="82"/>
  <c r="Q75" i="82"/>
  <c r="Q76" i="82"/>
  <c r="Q77" i="82"/>
  <c r="Q78" i="82"/>
  <c r="Q79" i="82"/>
  <c r="Q80" i="82"/>
  <c r="Q81" i="82"/>
  <c r="Q82" i="82"/>
  <c r="Q83" i="82"/>
  <c r="Q84" i="82"/>
  <c r="Q85" i="82"/>
  <c r="Q86" i="82"/>
  <c r="Q87" i="82"/>
  <c r="Q88" i="82"/>
  <c r="Q89" i="82"/>
  <c r="Q90" i="82"/>
  <c r="Q91" i="82"/>
  <c r="Q92" i="82"/>
  <c r="Q93" i="82"/>
  <c r="Q94" i="82"/>
  <c r="Q95" i="82"/>
  <c r="Q96" i="82"/>
  <c r="Q97" i="82"/>
  <c r="Q98" i="82"/>
  <c r="Q99" i="82"/>
  <c r="Q100" i="82"/>
  <c r="Q101" i="82"/>
  <c r="Q102" i="82"/>
  <c r="Q103" i="82"/>
  <c r="Q104" i="82"/>
  <c r="Q105" i="82"/>
  <c r="Q106" i="82"/>
  <c r="Q107" i="82"/>
  <c r="Q108" i="82"/>
  <c r="Q109" i="82"/>
  <c r="Q110" i="82"/>
  <c r="Q111" i="82"/>
  <c r="Q112" i="82"/>
  <c r="Q113" i="82"/>
  <c r="Q114" i="82"/>
  <c r="Q115" i="82"/>
  <c r="Q116" i="82"/>
  <c r="Q117" i="82"/>
  <c r="Q118" i="82"/>
  <c r="Q119" i="82"/>
  <c r="Q120" i="82"/>
  <c r="Q121" i="82"/>
  <c r="Q122" i="82"/>
  <c r="Q123" i="82"/>
  <c r="Q124" i="82"/>
  <c r="Q125" i="82"/>
  <c r="Q126" i="82"/>
  <c r="Q127" i="82"/>
  <c r="Q128" i="82"/>
  <c r="Q129" i="82"/>
  <c r="Q130" i="82"/>
  <c r="Q131" i="82"/>
  <c r="Q132" i="82"/>
  <c r="Q133" i="82"/>
  <c r="Q134" i="82"/>
  <c r="Q135" i="82"/>
  <c r="Q136" i="82"/>
  <c r="Q137" i="82"/>
  <c r="Q138" i="82"/>
  <c r="Q139" i="82"/>
  <c r="Q140" i="82"/>
  <c r="Q141" i="82"/>
  <c r="Q142" i="82"/>
  <c r="Q143" i="82"/>
  <c r="Q144" i="82"/>
  <c r="R144" i="82" s="1"/>
  <c r="Q145" i="82"/>
  <c r="R145" i="82" s="1"/>
  <c r="Q146" i="82"/>
  <c r="R146" i="82" s="1"/>
  <c r="Q147" i="82"/>
  <c r="R147" i="82" s="1"/>
  <c r="Q148" i="82"/>
  <c r="R148" i="82" s="1"/>
  <c r="Q149" i="82"/>
  <c r="R149" i="82" s="1"/>
  <c r="Q151" i="82"/>
  <c r="R151" i="82" s="1"/>
  <c r="Q152" i="82"/>
  <c r="R152" i="82" s="1"/>
  <c r="Q153" i="82"/>
  <c r="R153" i="82" s="1"/>
  <c r="Q154" i="82"/>
  <c r="R154" i="82" s="1"/>
  <c r="Q155" i="82"/>
  <c r="R155" i="82" s="1"/>
  <c r="Q156" i="82"/>
  <c r="R156" i="82" s="1"/>
  <c r="Q157" i="82"/>
  <c r="R157" i="82" s="1"/>
  <c r="Q158" i="82"/>
  <c r="R158" i="82" s="1"/>
  <c r="Q159" i="82"/>
  <c r="R159" i="82" s="1"/>
  <c r="Q160" i="82"/>
  <c r="R160" i="82" s="1"/>
  <c r="Q161" i="82"/>
  <c r="R161" i="82" s="1"/>
  <c r="Q162" i="82"/>
  <c r="R162" i="82" s="1"/>
  <c r="Q163" i="82"/>
  <c r="R163" i="82" s="1"/>
  <c r="Q164" i="82"/>
  <c r="R164" i="82" s="1"/>
  <c r="Q165" i="82"/>
  <c r="Q166" i="82"/>
  <c r="R166" i="82" s="1"/>
  <c r="Q167" i="82"/>
  <c r="R167" i="82" s="1"/>
  <c r="Q168" i="82"/>
  <c r="R168" i="82" s="1"/>
  <c r="Q169" i="82"/>
  <c r="R169" i="82" s="1"/>
  <c r="Q170" i="82"/>
  <c r="R170" i="82" s="1"/>
  <c r="Q171" i="82"/>
  <c r="R171" i="82" s="1"/>
  <c r="Q172" i="82"/>
  <c r="R172" i="82" s="1"/>
  <c r="Q173" i="82"/>
  <c r="R173" i="82" s="1"/>
  <c r="Q174" i="82"/>
  <c r="R174" i="82" s="1"/>
  <c r="Q175" i="82"/>
  <c r="R175" i="82" s="1"/>
  <c r="Q176" i="82"/>
  <c r="R176" i="82" s="1"/>
  <c r="Q177" i="82"/>
  <c r="R177" i="82" s="1"/>
  <c r="Q178" i="82"/>
  <c r="R178" i="82" s="1"/>
  <c r="Q179" i="82"/>
  <c r="R179" i="82" s="1"/>
  <c r="Q180" i="82"/>
  <c r="R180" i="82" s="1"/>
  <c r="Q181" i="82"/>
  <c r="R181" i="82" s="1"/>
  <c r="Q182" i="82"/>
  <c r="R182" i="82" s="1"/>
  <c r="Q183" i="82"/>
  <c r="R183" i="82" s="1"/>
  <c r="Q184" i="82"/>
  <c r="R184" i="82" s="1"/>
  <c r="Q185" i="82"/>
  <c r="R185" i="82" s="1"/>
  <c r="Q186" i="82"/>
  <c r="R186" i="82" s="1"/>
  <c r="Q187" i="82"/>
  <c r="R187" i="82" s="1"/>
  <c r="Q188" i="82"/>
  <c r="R188" i="82" s="1"/>
  <c r="Q189" i="82"/>
  <c r="R189" i="82" s="1"/>
  <c r="Q190" i="82"/>
  <c r="R190" i="82" s="1"/>
  <c r="Q191" i="82"/>
  <c r="R191" i="82" s="1"/>
  <c r="Q192" i="82"/>
  <c r="R192" i="82" s="1"/>
  <c r="Q193" i="82"/>
  <c r="R193" i="82" s="1"/>
  <c r="Q194" i="82"/>
  <c r="R194" i="82" s="1"/>
  <c r="Q195" i="82"/>
  <c r="R195" i="82" s="1"/>
  <c r="Q196" i="82"/>
  <c r="R196" i="82" s="1"/>
  <c r="Q197" i="82"/>
  <c r="R197" i="82" s="1"/>
  <c r="Q198" i="82"/>
  <c r="R198" i="82" s="1"/>
  <c r="Q199" i="82"/>
  <c r="R199" i="82" s="1"/>
  <c r="Q200" i="82"/>
  <c r="R200" i="82" s="1"/>
  <c r="Q201" i="82"/>
  <c r="R201" i="82" s="1"/>
  <c r="Q202" i="82"/>
  <c r="R202" i="82" s="1"/>
  <c r="Q203" i="82"/>
  <c r="R203" i="82" s="1"/>
  <c r="Q204" i="82"/>
  <c r="R204" i="82" s="1"/>
  <c r="Q205" i="82"/>
  <c r="R205" i="82" s="1"/>
  <c r="Q3" i="82"/>
  <c r="Q4" i="82"/>
  <c r="Q5" i="82"/>
  <c r="Q6" i="82"/>
  <c r="Q7" i="82"/>
  <c r="Q8" i="82"/>
  <c r="Q9" i="82"/>
  <c r="Q10" i="82"/>
  <c r="R165" i="82"/>
  <c r="E16" i="4"/>
  <c r="I14" i="4"/>
  <c r="M14" i="4"/>
  <c r="B6" i="67" s="1"/>
  <c r="E13" i="4"/>
  <c r="E6" i="86"/>
  <c r="AE45" i="82"/>
  <c r="AE46" i="82"/>
  <c r="AE47" i="82"/>
  <c r="AE48" i="82"/>
  <c r="AE49" i="82"/>
  <c r="AE50" i="82"/>
  <c r="AE51" i="82"/>
  <c r="AE52" i="82"/>
  <c r="AE53" i="82"/>
  <c r="AE54" i="82"/>
  <c r="AE55" i="82"/>
  <c r="AE56" i="82"/>
  <c r="AE57" i="82"/>
  <c r="AE58" i="82"/>
  <c r="AE59" i="82"/>
  <c r="AE60" i="82"/>
  <c r="AE61" i="82"/>
  <c r="AE62" i="82"/>
  <c r="AE63" i="82"/>
  <c r="AE64" i="82"/>
  <c r="AE65" i="82"/>
  <c r="AE66" i="82"/>
  <c r="AE67" i="82"/>
  <c r="AE68" i="82"/>
  <c r="AE69" i="82"/>
  <c r="AE70" i="82"/>
  <c r="AE71" i="82"/>
  <c r="AE72" i="82"/>
  <c r="AE73" i="82"/>
  <c r="AE74" i="82"/>
  <c r="AE75" i="82"/>
  <c r="AE76" i="82"/>
  <c r="AE77" i="82"/>
  <c r="AE78" i="82"/>
  <c r="AE79" i="82"/>
  <c r="AE80" i="82"/>
  <c r="AE81" i="82"/>
  <c r="AE82" i="82"/>
  <c r="AE83" i="82"/>
  <c r="AE84" i="82"/>
  <c r="AE85" i="82"/>
  <c r="AE86" i="82"/>
  <c r="AE87" i="82"/>
  <c r="AE88" i="82"/>
  <c r="AE89" i="82"/>
  <c r="AE90" i="82"/>
  <c r="AE91" i="82"/>
  <c r="AE92" i="82"/>
  <c r="AE93" i="82"/>
  <c r="AE94" i="82"/>
  <c r="AE95" i="82"/>
  <c r="AE96" i="82"/>
  <c r="AE97" i="82"/>
  <c r="AE98" i="82"/>
  <c r="AE99" i="82"/>
  <c r="AE100" i="82"/>
  <c r="AE101" i="82"/>
  <c r="AE102" i="82"/>
  <c r="AE103" i="82"/>
  <c r="AE104" i="82"/>
  <c r="AE105" i="82"/>
  <c r="AE106" i="82"/>
  <c r="AE107" i="82"/>
  <c r="AE108" i="82"/>
  <c r="AE109" i="82"/>
  <c r="AE110" i="82"/>
  <c r="AE111" i="82"/>
  <c r="AE112" i="82"/>
  <c r="AE113" i="82"/>
  <c r="AE114" i="82"/>
  <c r="AE115" i="82"/>
  <c r="AE116" i="82"/>
  <c r="AE117" i="82"/>
  <c r="AE118" i="82"/>
  <c r="AE119" i="82"/>
  <c r="AE120" i="82"/>
  <c r="AE121" i="82"/>
  <c r="AE122" i="82"/>
  <c r="AE123" i="82"/>
  <c r="AE124" i="82"/>
  <c r="AE125" i="82"/>
  <c r="AE126" i="82"/>
  <c r="AE127" i="82"/>
  <c r="AE128" i="82"/>
  <c r="AE129" i="82"/>
  <c r="AE130" i="82"/>
  <c r="AE131" i="82"/>
  <c r="AE132" i="82"/>
  <c r="AE133" i="82"/>
  <c r="AE134" i="82"/>
  <c r="AE135" i="82"/>
  <c r="AE136" i="82"/>
  <c r="AE137" i="82"/>
  <c r="AE138" i="82"/>
  <c r="AE139" i="82"/>
  <c r="AE140" i="82"/>
  <c r="AE141" i="82"/>
  <c r="AE142" i="82"/>
  <c r="Q11" i="82"/>
  <c r="J26" i="82"/>
  <c r="K26" i="82" s="1"/>
  <c r="J27" i="82"/>
  <c r="K27" i="82" s="1"/>
  <c r="J28" i="82"/>
  <c r="K28" i="82" s="1"/>
  <c r="J29" i="82"/>
  <c r="K29" i="82" s="1"/>
  <c r="J30" i="82"/>
  <c r="K30" i="82" s="1"/>
  <c r="J31" i="82"/>
  <c r="K31" i="82" s="1"/>
  <c r="J32" i="82"/>
  <c r="K32" i="82" s="1"/>
  <c r="J33" i="82"/>
  <c r="K33" i="82" s="1"/>
  <c r="J34" i="82"/>
  <c r="K34" i="82" s="1"/>
  <c r="J35" i="82"/>
  <c r="K35" i="82" s="1"/>
  <c r="J36" i="82"/>
  <c r="K36" i="82" s="1"/>
  <c r="J37" i="82"/>
  <c r="K37" i="82" s="1"/>
  <c r="J38" i="82"/>
  <c r="K38" i="82" s="1"/>
  <c r="J39" i="82"/>
  <c r="K39" i="82" s="1"/>
  <c r="J40" i="82"/>
  <c r="K40" i="82" s="1"/>
  <c r="J41" i="82"/>
  <c r="K41" i="82" s="1"/>
  <c r="J42" i="82"/>
  <c r="K42" i="82" s="1"/>
  <c r="J43" i="82"/>
  <c r="K43" i="82" s="1"/>
  <c r="J44" i="82"/>
  <c r="K44" i="82" s="1"/>
  <c r="J45" i="82"/>
  <c r="K45" i="82" s="1"/>
  <c r="J46" i="82"/>
  <c r="K46" i="82" s="1"/>
  <c r="J47" i="82"/>
  <c r="K47" i="82" s="1"/>
  <c r="J48" i="82"/>
  <c r="K48" i="82" s="1"/>
  <c r="J49" i="82"/>
  <c r="K49" i="82" s="1"/>
  <c r="J50" i="82"/>
  <c r="K50" i="82" s="1"/>
  <c r="J51" i="82"/>
  <c r="K51" i="82" s="1"/>
  <c r="J52" i="82"/>
  <c r="K52" i="82" s="1"/>
  <c r="J53" i="82"/>
  <c r="K53" i="82" s="1"/>
  <c r="J54" i="82"/>
  <c r="K54" i="82" s="1"/>
  <c r="J55" i="82"/>
  <c r="K55" i="82" s="1"/>
  <c r="J56" i="82"/>
  <c r="K56" i="82" s="1"/>
  <c r="J57" i="82"/>
  <c r="K57" i="82" s="1"/>
  <c r="J58" i="82"/>
  <c r="K58" i="82" s="1"/>
  <c r="J59" i="82"/>
  <c r="K59" i="82" s="1"/>
  <c r="J60" i="82"/>
  <c r="K60" i="82" s="1"/>
  <c r="J61" i="82"/>
  <c r="K61" i="82" s="1"/>
  <c r="J62" i="82"/>
  <c r="K62" i="82" s="1"/>
  <c r="J63" i="82"/>
  <c r="K63" i="82" s="1"/>
  <c r="J64" i="82"/>
  <c r="K64" i="82" s="1"/>
  <c r="J65" i="82"/>
  <c r="K65" i="82" s="1"/>
  <c r="J66" i="82"/>
  <c r="K66" i="82" s="1"/>
  <c r="J67" i="82"/>
  <c r="K67" i="82" s="1"/>
  <c r="J68" i="82"/>
  <c r="K68" i="82" s="1"/>
  <c r="J69" i="82"/>
  <c r="K69" i="82" s="1"/>
  <c r="J70" i="82"/>
  <c r="K70" i="82" s="1"/>
  <c r="J71" i="82"/>
  <c r="K71" i="82" s="1"/>
  <c r="J72" i="82"/>
  <c r="K72" i="82" s="1"/>
  <c r="J73" i="82"/>
  <c r="K73" i="82" s="1"/>
  <c r="J74" i="82"/>
  <c r="K74" i="82" s="1"/>
  <c r="J75" i="82"/>
  <c r="K75" i="82" s="1"/>
  <c r="J76" i="82"/>
  <c r="K76" i="82" s="1"/>
  <c r="J77" i="82"/>
  <c r="K77" i="82" s="1"/>
  <c r="J78" i="82"/>
  <c r="K78" i="82" s="1"/>
  <c r="J79" i="82"/>
  <c r="K79" i="82" s="1"/>
  <c r="J80" i="82"/>
  <c r="K80" i="82" s="1"/>
  <c r="J81" i="82"/>
  <c r="K81" i="82" s="1"/>
  <c r="J82" i="82"/>
  <c r="K82" i="82" s="1"/>
  <c r="J83" i="82"/>
  <c r="K83" i="82" s="1"/>
  <c r="J84" i="82"/>
  <c r="K84" i="82" s="1"/>
  <c r="J85" i="82"/>
  <c r="K85" i="82" s="1"/>
  <c r="J86" i="82"/>
  <c r="K86" i="82" s="1"/>
  <c r="J87" i="82"/>
  <c r="K87" i="82" s="1"/>
  <c r="J88" i="82"/>
  <c r="K88" i="82" s="1"/>
  <c r="J89" i="82"/>
  <c r="K89" i="82" s="1"/>
  <c r="J90" i="82"/>
  <c r="K90" i="82" s="1"/>
  <c r="J91" i="82"/>
  <c r="K91" i="82" s="1"/>
  <c r="J92" i="82"/>
  <c r="K92" i="82" s="1"/>
  <c r="J93" i="82"/>
  <c r="K93" i="82" s="1"/>
  <c r="J94" i="82"/>
  <c r="K94" i="82" s="1"/>
  <c r="J95" i="82"/>
  <c r="K95" i="82" s="1"/>
  <c r="J96" i="82"/>
  <c r="K96" i="82" s="1"/>
  <c r="J97" i="82"/>
  <c r="K97" i="82" s="1"/>
  <c r="J98" i="82"/>
  <c r="K98" i="82" s="1"/>
  <c r="J99" i="82"/>
  <c r="K99" i="82" s="1"/>
  <c r="J100" i="82"/>
  <c r="K100" i="82" s="1"/>
  <c r="J101" i="82"/>
  <c r="K101" i="82" s="1"/>
  <c r="J102" i="82"/>
  <c r="K102" i="82" s="1"/>
  <c r="J103" i="82"/>
  <c r="K103" i="82" s="1"/>
  <c r="J104" i="82"/>
  <c r="K104" i="82" s="1"/>
  <c r="J105" i="82"/>
  <c r="K105" i="82" s="1"/>
  <c r="J106" i="82"/>
  <c r="K106" i="82" s="1"/>
  <c r="J107" i="82"/>
  <c r="K107" i="82" s="1"/>
  <c r="J108" i="82"/>
  <c r="K108" i="82" s="1"/>
  <c r="J109" i="82"/>
  <c r="K109" i="82" s="1"/>
  <c r="J110" i="82"/>
  <c r="K110" i="82" s="1"/>
  <c r="J111" i="82"/>
  <c r="K111" i="82" s="1"/>
  <c r="J112" i="82"/>
  <c r="K112" i="82" s="1"/>
  <c r="J113" i="82"/>
  <c r="K113" i="82" s="1"/>
  <c r="J114" i="82"/>
  <c r="K114" i="82" s="1"/>
  <c r="J115" i="82"/>
  <c r="K115" i="82" s="1"/>
  <c r="J116" i="82"/>
  <c r="K116" i="82" s="1"/>
  <c r="J117" i="82"/>
  <c r="K117" i="82" s="1"/>
  <c r="J118" i="82"/>
  <c r="K118" i="82" s="1"/>
  <c r="J119" i="82"/>
  <c r="K119" i="82" s="1"/>
  <c r="J120" i="82"/>
  <c r="K120" i="82" s="1"/>
  <c r="J121" i="82"/>
  <c r="K121" i="82" s="1"/>
  <c r="J122" i="82"/>
  <c r="K122" i="82" s="1"/>
  <c r="J123" i="82"/>
  <c r="K123" i="82" s="1"/>
  <c r="J124" i="82"/>
  <c r="K124" i="82" s="1"/>
  <c r="J125" i="82"/>
  <c r="K125" i="82" s="1"/>
  <c r="J126" i="82"/>
  <c r="K126" i="82" s="1"/>
  <c r="J127" i="82"/>
  <c r="K127" i="82" s="1"/>
  <c r="J128" i="82"/>
  <c r="K128" i="82" s="1"/>
  <c r="J129" i="82"/>
  <c r="K129" i="82" s="1"/>
  <c r="J130" i="82"/>
  <c r="K130" i="82" s="1"/>
  <c r="J131" i="82"/>
  <c r="K131" i="82" s="1"/>
  <c r="J132" i="82"/>
  <c r="K132" i="82" s="1"/>
  <c r="J133" i="82"/>
  <c r="K133" i="82" s="1"/>
  <c r="J134" i="82"/>
  <c r="K134" i="82" s="1"/>
  <c r="J135" i="82"/>
  <c r="K135" i="82" s="1"/>
  <c r="J136" i="82"/>
  <c r="K136" i="82" s="1"/>
  <c r="J137" i="82"/>
  <c r="K137" i="82" s="1"/>
  <c r="J138" i="82"/>
  <c r="K138" i="82" s="1"/>
  <c r="J139" i="82"/>
  <c r="K139" i="82" s="1"/>
  <c r="J140" i="82"/>
  <c r="K140" i="82" s="1"/>
  <c r="J141" i="82"/>
  <c r="K141" i="82" s="1"/>
  <c r="J142" i="82"/>
  <c r="K142" i="82" s="1"/>
  <c r="J143" i="82"/>
  <c r="K143" i="82" s="1"/>
  <c r="J144" i="82"/>
  <c r="K144" i="82" s="1"/>
  <c r="J145" i="82"/>
  <c r="K145" i="82" s="1"/>
  <c r="J146" i="82"/>
  <c r="K146" i="82" s="1"/>
  <c r="J147" i="82"/>
  <c r="K147" i="82" s="1"/>
  <c r="J148" i="82"/>
  <c r="K148" i="82" s="1"/>
  <c r="J149" i="82"/>
  <c r="K149" i="82" s="1"/>
  <c r="J151" i="82"/>
  <c r="K151" i="82" s="1"/>
  <c r="J152" i="82"/>
  <c r="K152" i="82" s="1"/>
  <c r="J153" i="82"/>
  <c r="K153" i="82" s="1"/>
  <c r="J154" i="82"/>
  <c r="K154" i="82" s="1"/>
  <c r="J155" i="82"/>
  <c r="K155" i="82" s="1"/>
  <c r="J156" i="82"/>
  <c r="K156" i="82" s="1"/>
  <c r="J157" i="82"/>
  <c r="K157" i="82" s="1"/>
  <c r="J158" i="82"/>
  <c r="K158" i="82" s="1"/>
  <c r="J159" i="82"/>
  <c r="K159" i="82" s="1"/>
  <c r="J160" i="82"/>
  <c r="K160" i="82" s="1"/>
  <c r="J161" i="82"/>
  <c r="K161" i="82" s="1"/>
  <c r="J162" i="82"/>
  <c r="K162" i="82" s="1"/>
  <c r="J163" i="82"/>
  <c r="K163" i="82" s="1"/>
  <c r="J164" i="82"/>
  <c r="K164" i="82" s="1"/>
  <c r="J165" i="82"/>
  <c r="K165" i="82" s="1"/>
  <c r="J166" i="82"/>
  <c r="K166" i="82" s="1"/>
  <c r="J167" i="82"/>
  <c r="K167" i="82" s="1"/>
  <c r="J168" i="82"/>
  <c r="K168" i="82" s="1"/>
  <c r="J169" i="82"/>
  <c r="K169" i="82" s="1"/>
  <c r="J170" i="82"/>
  <c r="K170" i="82" s="1"/>
  <c r="J171" i="82"/>
  <c r="K171" i="82" s="1"/>
  <c r="J172" i="82"/>
  <c r="K172" i="82" s="1"/>
  <c r="J173" i="82"/>
  <c r="K173" i="82" s="1"/>
  <c r="J174" i="82"/>
  <c r="K174" i="82" s="1"/>
  <c r="J175" i="82"/>
  <c r="K175" i="82" s="1"/>
  <c r="J176" i="82"/>
  <c r="K176" i="82" s="1"/>
  <c r="J177" i="82"/>
  <c r="K177" i="82" s="1"/>
  <c r="J178" i="82"/>
  <c r="K178" i="82" s="1"/>
  <c r="J179" i="82"/>
  <c r="K179" i="82" s="1"/>
  <c r="J180" i="82"/>
  <c r="K180" i="82" s="1"/>
  <c r="J181" i="82"/>
  <c r="K181" i="82" s="1"/>
  <c r="J182" i="82"/>
  <c r="K182" i="82" s="1"/>
  <c r="J183" i="82"/>
  <c r="K183" i="82" s="1"/>
  <c r="J184" i="82"/>
  <c r="K184" i="82" s="1"/>
  <c r="J185" i="82"/>
  <c r="K185" i="82" s="1"/>
  <c r="J186" i="82"/>
  <c r="K186" i="82" s="1"/>
  <c r="J187" i="82"/>
  <c r="K187" i="82" s="1"/>
  <c r="J188" i="82"/>
  <c r="K188" i="82" s="1"/>
  <c r="J189" i="82"/>
  <c r="K189" i="82" s="1"/>
  <c r="J190" i="82"/>
  <c r="K190" i="82" s="1"/>
  <c r="J191" i="82"/>
  <c r="K191" i="82" s="1"/>
  <c r="J192" i="82"/>
  <c r="K192" i="82" s="1"/>
  <c r="J193" i="82"/>
  <c r="K193" i="82" s="1"/>
  <c r="J194" i="82"/>
  <c r="K194" i="82" s="1"/>
  <c r="J195" i="82"/>
  <c r="K195" i="82" s="1"/>
  <c r="J196" i="82"/>
  <c r="K196" i="82" s="1"/>
  <c r="J197" i="82"/>
  <c r="K197" i="82" s="1"/>
  <c r="J198" i="82"/>
  <c r="K198" i="82" s="1"/>
  <c r="J199" i="82"/>
  <c r="K199" i="82" s="1"/>
  <c r="J200" i="82"/>
  <c r="K200" i="82" s="1"/>
  <c r="J201" i="82"/>
  <c r="K201" i="82" s="1"/>
  <c r="J202" i="82"/>
  <c r="K202" i="82" s="1"/>
  <c r="J203" i="82"/>
  <c r="K203" i="82" s="1"/>
  <c r="J204" i="82"/>
  <c r="J205" i="82"/>
  <c r="J22" i="82"/>
  <c r="K22" i="82" s="1"/>
  <c r="J23" i="82"/>
  <c r="K23" i="82" s="1"/>
  <c r="J24" i="82"/>
  <c r="K24" i="82" s="1"/>
  <c r="J25" i="82"/>
  <c r="K25" i="82" s="1"/>
  <c r="J19" i="82"/>
  <c r="K19" i="82" s="1"/>
  <c r="J20" i="82"/>
  <c r="K20" i="82" s="1"/>
  <c r="J21" i="82"/>
  <c r="K21" i="82" s="1"/>
  <c r="J12" i="82"/>
  <c r="K12" i="82" s="1"/>
  <c r="J13" i="82"/>
  <c r="K13" i="82" s="1"/>
  <c r="J14" i="82"/>
  <c r="K14" i="82" s="1"/>
  <c r="J15" i="82"/>
  <c r="K15" i="82" s="1"/>
  <c r="J16" i="82"/>
  <c r="K16" i="82" s="1"/>
  <c r="J17" i="82"/>
  <c r="K17" i="82" s="1"/>
  <c r="J18" i="82"/>
  <c r="K18" i="82" s="1"/>
  <c r="BC8" i="4"/>
  <c r="R137" i="82" l="1"/>
  <c r="R131" i="82"/>
  <c r="R125" i="82"/>
  <c r="R119" i="82"/>
  <c r="R113" i="82"/>
  <c r="R107" i="82"/>
  <c r="R101" i="82"/>
  <c r="R95" i="82"/>
  <c r="R89" i="82"/>
  <c r="R83" i="82"/>
  <c r="R77" i="82"/>
  <c r="R71" i="82"/>
  <c r="R65" i="82"/>
  <c r="R59" i="82"/>
  <c r="R53" i="82"/>
  <c r="R47" i="82"/>
  <c r="R141" i="82"/>
  <c r="R135" i="82"/>
  <c r="R129" i="82"/>
  <c r="R123" i="82"/>
  <c r="R117" i="82"/>
  <c r="R111" i="82"/>
  <c r="R105" i="82"/>
  <c r="R99" i="82"/>
  <c r="R93" i="82"/>
  <c r="R87" i="82"/>
  <c r="R81" i="82"/>
  <c r="R75" i="82"/>
  <c r="R69" i="82"/>
  <c r="R63" i="82"/>
  <c r="R57" i="82"/>
  <c r="R51" i="82"/>
  <c r="R45" i="82"/>
  <c r="R140" i="82"/>
  <c r="R134" i="82"/>
  <c r="R128" i="82"/>
  <c r="R122" i="82"/>
  <c r="R116" i="82"/>
  <c r="R110" i="82"/>
  <c r="R104" i="82"/>
  <c r="R98" i="82"/>
  <c r="R92" i="82"/>
  <c r="R86" i="82"/>
  <c r="R80" i="82"/>
  <c r="R68" i="82"/>
  <c r="R56" i="82"/>
  <c r="AB17" i="86"/>
  <c r="AA17" i="86"/>
  <c r="R17" i="86"/>
  <c r="W17" i="86"/>
  <c r="V17" i="86"/>
  <c r="R74" i="82"/>
  <c r="R62" i="82"/>
  <c r="R50" i="82"/>
  <c r="F6" i="86"/>
  <c r="BA14" i="4"/>
  <c r="BC14" i="4" s="1"/>
  <c r="R142" i="82"/>
  <c r="R136" i="82"/>
  <c r="R130" i="82"/>
  <c r="R124" i="82"/>
  <c r="R118" i="82"/>
  <c r="R112" i="82"/>
  <c r="R106" i="82"/>
  <c r="R100" i="82"/>
  <c r="R94" i="82"/>
  <c r="R88" i="82"/>
  <c r="R82" i="82"/>
  <c r="R76" i="82"/>
  <c r="R70" i="82"/>
  <c r="R64" i="82"/>
  <c r="R58" i="82"/>
  <c r="R52" i="82"/>
  <c r="R46" i="82"/>
  <c r="R139" i="82"/>
  <c r="R133" i="82"/>
  <c r="R127" i="82"/>
  <c r="R121" i="82"/>
  <c r="R115" i="82"/>
  <c r="R109" i="82"/>
  <c r="R103" i="82"/>
  <c r="R97" i="82"/>
  <c r="R91" i="82"/>
  <c r="R85" i="82"/>
  <c r="R79" i="82"/>
  <c r="R73" i="82"/>
  <c r="R67" i="82"/>
  <c r="R61" i="82"/>
  <c r="R55" i="82"/>
  <c r="R49" i="82"/>
  <c r="R138" i="82"/>
  <c r="R132" i="82"/>
  <c r="R126" i="82"/>
  <c r="R120" i="82"/>
  <c r="R114" i="82"/>
  <c r="R108" i="82"/>
  <c r="R102" i="82"/>
  <c r="R96" i="82"/>
  <c r="R90" i="82"/>
  <c r="R84" i="82"/>
  <c r="R78" i="82"/>
  <c r="R72" i="82"/>
  <c r="R66" i="82"/>
  <c r="R60" i="82"/>
  <c r="R54" i="82"/>
  <c r="R48" i="82"/>
  <c r="D6" i="86"/>
  <c r="BC4" i="4"/>
  <c r="BC5" i="4"/>
  <c r="BC6" i="4"/>
  <c r="BC7" i="4"/>
  <c r="BC9" i="4"/>
  <c r="D9" i="86" s="1"/>
  <c r="BC10" i="4"/>
  <c r="BC11" i="4"/>
  <c r="BC12" i="4"/>
  <c r="BC13" i="4"/>
  <c r="BC15" i="4"/>
  <c r="BC16" i="4"/>
  <c r="BC17" i="4"/>
  <c r="BC18" i="4"/>
  <c r="BC19" i="4"/>
  <c r="BC20" i="4"/>
  <c r="BC21" i="4"/>
  <c r="G9" i="86" l="1"/>
  <c r="E9" i="86"/>
  <c r="C9" i="86"/>
  <c r="I9" i="86"/>
  <c r="H9" i="86"/>
  <c r="F9" i="86"/>
  <c r="B9" i="86"/>
  <c r="C6" i="86"/>
  <c r="B6" i="86"/>
  <c r="F7" i="4"/>
  <c r="BC22" i="4"/>
  <c r="BC23" i="4"/>
  <c r="BC24" i="4"/>
  <c r="BC25" i="4"/>
  <c r="BC26" i="4"/>
  <c r="BC27" i="4"/>
  <c r="BC28" i="4"/>
  <c r="BC29" i="4"/>
  <c r="BC30" i="4"/>
  <c r="BC31" i="4"/>
  <c r="BC32" i="4"/>
  <c r="BC33" i="4"/>
  <c r="BC34" i="4"/>
  <c r="P9" i="86" s="1"/>
  <c r="BC562" i="4" l="1"/>
  <c r="B9" i="67"/>
  <c r="GM6" i="86"/>
  <c r="O9" i="86"/>
  <c r="K9" i="86"/>
  <c r="M9" i="86"/>
  <c r="J9" i="86"/>
  <c r="L9" i="86"/>
  <c r="N9" i="86"/>
  <c r="GM9" i="86" l="1"/>
  <c r="O43" i="63"/>
  <c r="O44" i="63"/>
  <c r="O45" i="63"/>
  <c r="O46" i="63"/>
  <c r="O47" i="63"/>
  <c r="O48" i="63"/>
  <c r="O49" i="63"/>
  <c r="O50" i="63"/>
  <c r="O51" i="63"/>
  <c r="O52" i="63"/>
  <c r="O53" i="63"/>
  <c r="O54" i="63"/>
  <c r="O55" i="63"/>
  <c r="O56" i="63"/>
  <c r="O57" i="63"/>
  <c r="O58" i="63"/>
  <c r="O59" i="63"/>
  <c r="O60" i="63"/>
  <c r="O61" i="63"/>
  <c r="O62" i="63"/>
  <c r="O63" i="63"/>
  <c r="O64" i="63"/>
  <c r="O65" i="63"/>
  <c r="O66" i="63"/>
  <c r="O67" i="63"/>
  <c r="O68" i="63"/>
  <c r="O69" i="63"/>
  <c r="O70" i="63"/>
  <c r="O71" i="63"/>
  <c r="O72" i="63"/>
  <c r="O73" i="63"/>
  <c r="O74" i="63"/>
  <c r="O75" i="63"/>
  <c r="O76" i="63"/>
  <c r="O77" i="63"/>
  <c r="O78" i="63"/>
  <c r="O79" i="63"/>
  <c r="O80" i="63"/>
  <c r="O81" i="63"/>
  <c r="O82" i="63"/>
  <c r="O83" i="63"/>
  <c r="O84" i="63"/>
  <c r="O85" i="63"/>
  <c r="O86" i="63"/>
  <c r="O87" i="63"/>
  <c r="O88" i="63"/>
  <c r="O89" i="63"/>
  <c r="O90" i="63"/>
  <c r="O91" i="63"/>
  <c r="O92" i="63"/>
  <c r="O93" i="63"/>
  <c r="O94" i="63"/>
  <c r="O95" i="63"/>
  <c r="O96" i="63"/>
  <c r="O97" i="63"/>
  <c r="O98" i="63"/>
  <c r="O99" i="63"/>
  <c r="O100" i="63"/>
  <c r="O101" i="63"/>
  <c r="O102" i="63"/>
  <c r="O103" i="63"/>
  <c r="O104" i="63"/>
  <c r="O105" i="63"/>
  <c r="O106" i="63"/>
  <c r="O107" i="63"/>
  <c r="O108" i="63"/>
  <c r="O109" i="63"/>
  <c r="O110" i="63"/>
  <c r="O111" i="63"/>
  <c r="O112" i="63"/>
  <c r="O113" i="63"/>
  <c r="O114" i="63"/>
  <c r="O115" i="63"/>
  <c r="O116" i="63"/>
  <c r="O117" i="63"/>
  <c r="O118" i="63"/>
  <c r="O119" i="63"/>
  <c r="O120" i="63"/>
  <c r="O121" i="63"/>
  <c r="O122" i="63"/>
  <c r="O123" i="63"/>
  <c r="O124" i="63"/>
  <c r="O125" i="63"/>
  <c r="O126" i="63"/>
  <c r="O127" i="63"/>
  <c r="O128" i="63"/>
  <c r="O129" i="63"/>
  <c r="O130" i="63"/>
  <c r="O131" i="63"/>
  <c r="O132" i="63"/>
  <c r="O133" i="63"/>
  <c r="O134" i="63"/>
  <c r="O135" i="63"/>
  <c r="O136" i="63"/>
  <c r="O137" i="63"/>
  <c r="O138" i="63"/>
  <c r="O139" i="63"/>
  <c r="O140" i="63"/>
  <c r="O141" i="63"/>
  <c r="O142" i="63"/>
  <c r="O143" i="63"/>
  <c r="O144" i="63"/>
  <c r="O145" i="63"/>
  <c r="O146" i="63"/>
  <c r="O147" i="63"/>
  <c r="O148" i="63"/>
  <c r="O149" i="63"/>
  <c r="O150" i="63"/>
  <c r="O151" i="63"/>
  <c r="O152" i="63"/>
  <c r="O153" i="63"/>
  <c r="O154" i="63"/>
  <c r="O155" i="63"/>
  <c r="O156" i="63"/>
  <c r="O157" i="63"/>
  <c r="O158" i="63"/>
  <c r="O159" i="63"/>
  <c r="O160" i="63"/>
  <c r="O161" i="63"/>
  <c r="O162" i="63"/>
  <c r="O163" i="63"/>
  <c r="O164" i="63"/>
  <c r="O165" i="63"/>
  <c r="O166" i="63"/>
  <c r="O167" i="63"/>
  <c r="O168" i="63"/>
  <c r="O169" i="63"/>
  <c r="O170" i="63"/>
  <c r="O171" i="63"/>
  <c r="O172" i="63"/>
  <c r="O173" i="63"/>
  <c r="O174" i="63"/>
  <c r="O175" i="63"/>
  <c r="O176" i="63"/>
  <c r="O177" i="63"/>
  <c r="O178" i="63"/>
  <c r="O179" i="63"/>
  <c r="O180" i="63"/>
  <c r="O181" i="63"/>
  <c r="O182" i="63"/>
  <c r="O183" i="63"/>
  <c r="O184" i="63"/>
  <c r="O185" i="63"/>
  <c r="O186" i="63"/>
  <c r="O187" i="63"/>
  <c r="O188" i="63"/>
  <c r="O189" i="63"/>
  <c r="O190" i="63"/>
  <c r="O191" i="63"/>
  <c r="O192" i="63"/>
  <c r="O193" i="63"/>
  <c r="O194" i="63"/>
  <c r="O195" i="63"/>
  <c r="O196" i="63"/>
  <c r="O197" i="63"/>
  <c r="O198" i="63"/>
  <c r="O199" i="63"/>
  <c r="O200" i="63"/>
  <c r="O201" i="63"/>
  <c r="O202" i="63"/>
  <c r="O203" i="63"/>
  <c r="O204" i="63"/>
  <c r="O205" i="63"/>
  <c r="O206" i="63"/>
  <c r="O207" i="63"/>
  <c r="O208" i="63"/>
  <c r="O209" i="63"/>
  <c r="O210" i="63"/>
  <c r="O211" i="63"/>
  <c r="O212" i="63"/>
  <c r="O213" i="63"/>
  <c r="O214" i="63"/>
  <c r="O215" i="63"/>
  <c r="O216" i="63"/>
  <c r="O217" i="63"/>
  <c r="O218" i="63"/>
  <c r="O219" i="63"/>
  <c r="O220" i="63"/>
  <c r="O221" i="63"/>
  <c r="O222" i="63"/>
  <c r="O223" i="63"/>
  <c r="O224" i="63"/>
  <c r="O225" i="63"/>
  <c r="O226" i="63"/>
  <c r="O227" i="63"/>
  <c r="O228" i="63"/>
  <c r="O229" i="63"/>
  <c r="O230" i="63"/>
  <c r="O231" i="63"/>
  <c r="O232" i="63"/>
  <c r="O233" i="63"/>
  <c r="O234" i="63"/>
  <c r="O235" i="63"/>
  <c r="O236" i="63"/>
  <c r="O237" i="63"/>
  <c r="O238" i="63"/>
  <c r="O239" i="63"/>
  <c r="O240" i="63"/>
  <c r="O241" i="63"/>
  <c r="O242" i="63"/>
  <c r="O243" i="63"/>
  <c r="O244" i="63"/>
  <c r="O245" i="63"/>
  <c r="O246" i="63"/>
  <c r="O247" i="63"/>
  <c r="O248" i="63"/>
  <c r="O249" i="63"/>
  <c r="O250" i="63"/>
  <c r="O251" i="63"/>
  <c r="O252" i="63"/>
  <c r="O253" i="63"/>
  <c r="O254" i="63"/>
  <c r="O255" i="63"/>
  <c r="O256" i="63"/>
  <c r="O257" i="63"/>
  <c r="O258" i="63"/>
  <c r="O259" i="63"/>
  <c r="O260" i="63"/>
  <c r="O261" i="63"/>
  <c r="O262" i="63"/>
  <c r="O263" i="63"/>
  <c r="O264" i="63"/>
  <c r="O265" i="63"/>
  <c r="O266" i="63"/>
  <c r="O267" i="63"/>
  <c r="O268" i="63"/>
  <c r="O269" i="63"/>
  <c r="O270" i="63"/>
  <c r="O271" i="63"/>
  <c r="O272" i="63"/>
  <c r="O273" i="63"/>
  <c r="O274" i="63"/>
  <c r="O275" i="63"/>
  <c r="O276" i="63"/>
  <c r="O277" i="63"/>
  <c r="O278" i="63"/>
  <c r="O279" i="63"/>
  <c r="O280" i="63"/>
  <c r="O281" i="63"/>
  <c r="O282" i="63"/>
  <c r="O283" i="63"/>
  <c r="O284" i="63"/>
  <c r="O285" i="63"/>
  <c r="O286" i="63"/>
  <c r="O287" i="63"/>
  <c r="O288" i="63"/>
  <c r="O289" i="63"/>
  <c r="O290" i="63"/>
  <c r="O291" i="63"/>
  <c r="O292" i="63"/>
  <c r="O293" i="63"/>
  <c r="O294" i="63"/>
  <c r="O295" i="63"/>
  <c r="O296" i="63"/>
  <c r="O297" i="63"/>
  <c r="O298" i="63"/>
  <c r="O299" i="63"/>
  <c r="O300" i="63"/>
  <c r="O301" i="63"/>
  <c r="O302" i="63"/>
  <c r="O303" i="63"/>
  <c r="O304" i="63"/>
  <c r="O305" i="63"/>
  <c r="O306" i="63"/>
  <c r="O307" i="63"/>
  <c r="O308" i="63"/>
  <c r="O309" i="63"/>
  <c r="O310" i="63"/>
  <c r="O311" i="63"/>
  <c r="O312" i="63"/>
  <c r="O313" i="63"/>
  <c r="O314" i="63"/>
  <c r="O315" i="63"/>
  <c r="O316" i="63"/>
  <c r="O317" i="63"/>
  <c r="O318" i="63"/>
  <c r="O319" i="63"/>
  <c r="O320" i="63"/>
  <c r="O321" i="63"/>
  <c r="O322" i="63"/>
  <c r="O323" i="63"/>
  <c r="O324" i="63"/>
  <c r="O325" i="63"/>
  <c r="O326" i="63"/>
  <c r="O327" i="63"/>
  <c r="O328" i="63"/>
  <c r="O329" i="63"/>
  <c r="O330" i="63"/>
  <c r="O331" i="63"/>
  <c r="O332" i="63"/>
  <c r="O333" i="63"/>
  <c r="O334" i="63"/>
  <c r="O335" i="63"/>
  <c r="O336" i="63"/>
  <c r="O337" i="63"/>
  <c r="O338" i="63"/>
  <c r="O339" i="63"/>
  <c r="O340" i="63"/>
  <c r="O341" i="63"/>
  <c r="O342" i="63"/>
  <c r="O343" i="63"/>
  <c r="O344" i="63"/>
  <c r="O345" i="63"/>
  <c r="O346" i="63"/>
  <c r="O347" i="63"/>
  <c r="O348" i="63"/>
  <c r="O349" i="63"/>
  <c r="O350" i="63"/>
  <c r="O351" i="63"/>
  <c r="O352" i="63"/>
  <c r="O353" i="63"/>
  <c r="O354" i="63"/>
  <c r="O355" i="63"/>
  <c r="O356" i="63"/>
  <c r="O357" i="63"/>
  <c r="O358" i="63"/>
  <c r="O359" i="63"/>
  <c r="O360" i="63"/>
  <c r="O361" i="63"/>
  <c r="O362" i="63"/>
  <c r="O363" i="63"/>
  <c r="O364" i="63"/>
  <c r="O365" i="63"/>
  <c r="O366" i="63"/>
  <c r="O367" i="63"/>
  <c r="O368" i="63"/>
  <c r="O369" i="63"/>
  <c r="O370" i="63"/>
  <c r="O371" i="63"/>
  <c r="O372" i="63"/>
  <c r="O373" i="63"/>
  <c r="O374" i="63"/>
  <c r="O375" i="63"/>
  <c r="O376" i="63"/>
  <c r="O377" i="63"/>
  <c r="O378" i="63"/>
  <c r="O379" i="63"/>
  <c r="O380" i="63"/>
  <c r="O381" i="63"/>
  <c r="O382" i="63"/>
  <c r="O383" i="63"/>
  <c r="O384" i="63"/>
  <c r="O385" i="63"/>
  <c r="O386" i="63"/>
  <c r="O387" i="63"/>
  <c r="O388" i="63"/>
  <c r="O389" i="63"/>
  <c r="O390" i="63"/>
  <c r="O391" i="63"/>
  <c r="O392" i="63"/>
  <c r="O393" i="63"/>
  <c r="O394" i="63"/>
  <c r="O395" i="63"/>
  <c r="O396" i="63"/>
  <c r="O397" i="63"/>
  <c r="O398" i="63"/>
  <c r="O399" i="63"/>
  <c r="O400" i="63"/>
  <c r="O401" i="63"/>
  <c r="O402" i="63"/>
  <c r="O403" i="63"/>
  <c r="O404" i="63"/>
  <c r="O405" i="63"/>
  <c r="O406" i="63"/>
  <c r="O407" i="63"/>
  <c r="O408" i="63"/>
  <c r="O409" i="63"/>
  <c r="O410" i="63"/>
  <c r="O411" i="63"/>
  <c r="O412" i="63"/>
  <c r="O413" i="63"/>
  <c r="O414" i="63"/>
  <c r="O415" i="63"/>
  <c r="O416" i="63"/>
  <c r="O417" i="63"/>
  <c r="O418" i="63"/>
  <c r="O419" i="63"/>
  <c r="O420" i="63"/>
  <c r="O421" i="63"/>
  <c r="O422" i="63"/>
  <c r="O423" i="63"/>
  <c r="O424" i="63"/>
  <c r="O425" i="63"/>
  <c r="O426" i="63"/>
  <c r="O427" i="63"/>
  <c r="O428" i="63"/>
  <c r="O429" i="63"/>
  <c r="O430" i="63"/>
  <c r="O431" i="63"/>
  <c r="O432" i="63"/>
  <c r="O433" i="63"/>
  <c r="O434" i="63"/>
  <c r="O435" i="63"/>
  <c r="O436" i="63"/>
  <c r="O437" i="63"/>
  <c r="O438" i="63"/>
  <c r="O439" i="63"/>
  <c r="O440" i="63"/>
  <c r="O441" i="63"/>
  <c r="O442" i="63"/>
  <c r="O443" i="63"/>
  <c r="O444" i="63"/>
  <c r="O445" i="63"/>
  <c r="O446" i="63"/>
  <c r="O447" i="63"/>
  <c r="O448" i="63"/>
  <c r="O449" i="63"/>
  <c r="O450" i="63"/>
  <c r="O451" i="63"/>
  <c r="O452" i="63"/>
  <c r="O453" i="63"/>
  <c r="O454" i="63"/>
  <c r="O455" i="63"/>
  <c r="O456" i="63"/>
  <c r="O457" i="63"/>
  <c r="O458" i="63"/>
  <c r="O459" i="63"/>
  <c r="O460" i="63"/>
  <c r="O461" i="63"/>
  <c r="O462" i="63"/>
  <c r="O463" i="63"/>
  <c r="O464" i="63"/>
  <c r="O465" i="63"/>
  <c r="O466" i="63"/>
  <c r="O467" i="63"/>
  <c r="O468" i="63"/>
  <c r="O469" i="63"/>
  <c r="O470" i="63"/>
  <c r="O471" i="63"/>
  <c r="O472" i="63"/>
  <c r="O473" i="63"/>
  <c r="O474" i="63"/>
  <c r="O475" i="63"/>
  <c r="O476" i="63"/>
  <c r="O477" i="63"/>
  <c r="O478" i="63"/>
  <c r="O479" i="63"/>
  <c r="O480" i="63"/>
  <c r="O481" i="63"/>
  <c r="O482" i="63"/>
  <c r="O483" i="63"/>
  <c r="O484" i="63"/>
  <c r="O485" i="63"/>
  <c r="O486" i="63"/>
  <c r="O487" i="63"/>
  <c r="O488" i="63"/>
  <c r="O489" i="63"/>
  <c r="O490" i="63"/>
  <c r="O491" i="63"/>
  <c r="O492" i="63"/>
  <c r="O493" i="63"/>
  <c r="O494" i="63"/>
  <c r="O495" i="63"/>
  <c r="O496" i="63"/>
  <c r="O497" i="63"/>
  <c r="O498" i="63"/>
  <c r="O499" i="63"/>
  <c r="O500" i="63"/>
  <c r="O501" i="63"/>
  <c r="O502" i="63"/>
  <c r="O503" i="63"/>
  <c r="O504" i="63"/>
  <c r="O505" i="63"/>
  <c r="O506" i="63"/>
  <c r="O507" i="63"/>
  <c r="O508" i="63"/>
  <c r="O509" i="63"/>
  <c r="O510" i="63"/>
  <c r="O511" i="63"/>
  <c r="O512" i="63"/>
  <c r="O513" i="63"/>
  <c r="O514" i="63"/>
  <c r="O515" i="63"/>
  <c r="O516" i="63"/>
  <c r="O517" i="63"/>
  <c r="O518" i="63"/>
  <c r="O519" i="63"/>
  <c r="O520" i="63"/>
  <c r="O521" i="63"/>
  <c r="O522" i="63"/>
  <c r="O523" i="63"/>
  <c r="O524" i="63"/>
  <c r="O525" i="63"/>
  <c r="O526" i="63"/>
  <c r="O527" i="63"/>
  <c r="O528" i="63"/>
  <c r="O529" i="63"/>
  <c r="O530" i="63"/>
  <c r="O531" i="63"/>
  <c r="O532" i="63"/>
  <c r="O533" i="63"/>
  <c r="O534" i="63"/>
  <c r="O535" i="63"/>
  <c r="O536" i="63"/>
  <c r="O537" i="63"/>
  <c r="O538" i="63"/>
  <c r="O539" i="63"/>
  <c r="O540" i="63"/>
  <c r="O541" i="63"/>
  <c r="O542" i="63"/>
  <c r="O543" i="63"/>
  <c r="O544" i="63"/>
  <c r="O545" i="63"/>
  <c r="O546" i="63"/>
  <c r="O547" i="63"/>
  <c r="O548" i="63"/>
  <c r="O549" i="63"/>
  <c r="O550" i="63"/>
  <c r="O551" i="63"/>
  <c r="O552" i="63"/>
  <c r="O553" i="63"/>
  <c r="O554" i="63"/>
  <c r="O555" i="63"/>
  <c r="O556" i="63"/>
  <c r="O557" i="63"/>
  <c r="O558" i="63"/>
  <c r="O559" i="63"/>
  <c r="O560" i="63"/>
  <c r="O561" i="63"/>
  <c r="O562" i="63"/>
  <c r="O563" i="63"/>
  <c r="O564" i="63"/>
  <c r="O565" i="63"/>
  <c r="O566" i="63"/>
  <c r="O567" i="63"/>
  <c r="O568" i="63"/>
  <c r="O569" i="63"/>
  <c r="O570" i="63"/>
  <c r="O571" i="63"/>
  <c r="O572" i="63"/>
  <c r="O573" i="63"/>
  <c r="O574" i="63"/>
  <c r="O575" i="63"/>
  <c r="O576" i="63"/>
  <c r="O577" i="63"/>
  <c r="O578" i="63"/>
  <c r="O579" i="63"/>
  <c r="O580" i="63"/>
  <c r="O581" i="63"/>
  <c r="O582" i="63"/>
  <c r="O583" i="63"/>
  <c r="O584" i="63"/>
  <c r="O585" i="63"/>
  <c r="O586" i="63"/>
  <c r="O587" i="63"/>
  <c r="O588" i="63"/>
  <c r="O589" i="63"/>
  <c r="O590" i="63"/>
  <c r="O591" i="63"/>
  <c r="O592" i="63"/>
  <c r="O593" i="63"/>
  <c r="O594" i="63"/>
  <c r="O595" i="63"/>
  <c r="O596" i="63"/>
  <c r="O597" i="63"/>
  <c r="O598" i="63"/>
  <c r="O599" i="63"/>
  <c r="O600" i="63"/>
  <c r="O601" i="63"/>
  <c r="O602" i="63"/>
  <c r="O603" i="63"/>
  <c r="O604" i="63"/>
  <c r="O605" i="63"/>
  <c r="O606" i="63"/>
  <c r="O607" i="63"/>
  <c r="O608" i="63"/>
  <c r="O609" i="63"/>
  <c r="O610" i="63"/>
  <c r="O611" i="63"/>
  <c r="O612" i="63"/>
  <c r="O613" i="63"/>
  <c r="O614" i="63"/>
  <c r="O615" i="63"/>
  <c r="O616" i="63"/>
  <c r="O617" i="63"/>
  <c r="O618" i="63"/>
  <c r="O619" i="63"/>
  <c r="O620" i="63"/>
  <c r="O621" i="63"/>
  <c r="O622" i="63"/>
  <c r="O623" i="63"/>
  <c r="O624" i="63"/>
  <c r="O625" i="63"/>
  <c r="O626" i="63"/>
  <c r="O627" i="63"/>
  <c r="O628" i="63"/>
  <c r="O629" i="63"/>
  <c r="O630" i="63"/>
  <c r="O631" i="63"/>
  <c r="O632" i="63"/>
  <c r="O633" i="63"/>
  <c r="O634" i="63"/>
  <c r="O635" i="63"/>
  <c r="O636" i="63"/>
  <c r="O637" i="63"/>
  <c r="O638" i="63"/>
  <c r="O639" i="63"/>
  <c r="O640" i="63"/>
  <c r="O641" i="63"/>
  <c r="O642" i="63"/>
  <c r="O643" i="63"/>
  <c r="O644" i="63"/>
  <c r="O645" i="63"/>
  <c r="O646" i="63"/>
  <c r="O647" i="63"/>
  <c r="O648" i="63"/>
  <c r="O649" i="63"/>
  <c r="O650" i="63"/>
  <c r="O651" i="63"/>
  <c r="O652" i="63"/>
  <c r="O653" i="63"/>
  <c r="O654" i="63"/>
  <c r="O655" i="63"/>
  <c r="O656" i="63"/>
  <c r="O657" i="63"/>
  <c r="O658" i="63"/>
  <c r="O659" i="63"/>
  <c r="O660" i="63"/>
  <c r="O661" i="63"/>
  <c r="O662" i="63"/>
  <c r="O663" i="63"/>
  <c r="O664" i="63"/>
  <c r="O665" i="63"/>
  <c r="O666" i="63"/>
  <c r="O667" i="63"/>
  <c r="O668" i="63"/>
  <c r="O669" i="63"/>
  <c r="O670" i="63"/>
  <c r="O671" i="63"/>
  <c r="O672" i="63"/>
  <c r="O673" i="63"/>
  <c r="O674" i="63"/>
  <c r="O675" i="63"/>
  <c r="O676" i="63"/>
  <c r="O677" i="63"/>
  <c r="O678" i="63"/>
  <c r="C3" i="63"/>
  <c r="C4" i="63"/>
  <c r="C5" i="63"/>
  <c r="C6" i="63"/>
  <c r="C7" i="63"/>
  <c r="C8" i="63"/>
  <c r="C9" i="63"/>
  <c r="C10" i="63"/>
  <c r="C11" i="63"/>
  <c r="C12" i="63"/>
  <c r="C13" i="63"/>
  <c r="C14" i="63"/>
  <c r="C15" i="63"/>
  <c r="C16" i="63"/>
  <c r="C17" i="63"/>
  <c r="C18" i="63"/>
  <c r="C19" i="63"/>
  <c r="C20" i="63"/>
  <c r="C21" i="63"/>
  <c r="C22" i="63"/>
  <c r="C23" i="63"/>
  <c r="C24" i="63"/>
  <c r="C25" i="63"/>
  <c r="C26" i="63"/>
  <c r="C27" i="63"/>
  <c r="C28" i="63"/>
  <c r="C29" i="63"/>
  <c r="C30" i="63"/>
  <c r="C31" i="63"/>
  <c r="C32" i="63"/>
  <c r="C33" i="63"/>
  <c r="C34" i="63"/>
  <c r="C35" i="63"/>
  <c r="C36" i="63"/>
  <c r="C37" i="63"/>
  <c r="C38" i="63"/>
  <c r="C39" i="63"/>
  <c r="C40" i="63"/>
  <c r="C41" i="63"/>
  <c r="C42" i="63"/>
  <c r="C43" i="63"/>
  <c r="C44" i="63"/>
  <c r="C45" i="63"/>
  <c r="C46" i="63"/>
  <c r="C47" i="63"/>
  <c r="C48" i="63"/>
  <c r="C49" i="63"/>
  <c r="C50" i="63"/>
  <c r="C51" i="63"/>
  <c r="C52" i="63"/>
  <c r="C53" i="63"/>
  <c r="C54" i="63"/>
  <c r="C55" i="63"/>
  <c r="C56" i="63"/>
  <c r="C57" i="63"/>
  <c r="C58" i="63"/>
  <c r="C59" i="63"/>
  <c r="C60" i="63"/>
  <c r="C61" i="63"/>
  <c r="C62" i="63"/>
  <c r="C63" i="63"/>
  <c r="C64" i="63"/>
  <c r="C65" i="63"/>
  <c r="C66" i="63"/>
  <c r="C67" i="63"/>
  <c r="C68" i="63"/>
  <c r="C69" i="63"/>
  <c r="C70" i="63"/>
  <c r="C71" i="63"/>
  <c r="C72" i="63"/>
  <c r="C73" i="63"/>
  <c r="C74" i="63"/>
  <c r="C75" i="63"/>
  <c r="C76" i="63"/>
  <c r="C77" i="63"/>
  <c r="C78" i="63"/>
  <c r="C79" i="63"/>
  <c r="C80" i="63"/>
  <c r="C81" i="63"/>
  <c r="C82" i="63"/>
  <c r="C83" i="63"/>
  <c r="C84" i="63"/>
  <c r="C85" i="63"/>
  <c r="C86" i="63"/>
  <c r="C87" i="63"/>
  <c r="C88" i="63"/>
  <c r="C89" i="63"/>
  <c r="C90" i="63"/>
  <c r="C91" i="63"/>
  <c r="C92" i="63"/>
  <c r="C93" i="63"/>
  <c r="C94" i="63"/>
  <c r="C95" i="63"/>
  <c r="C96" i="63"/>
  <c r="C97" i="63"/>
  <c r="C98" i="63"/>
  <c r="C99" i="63"/>
  <c r="C100" i="63"/>
  <c r="C101" i="63"/>
  <c r="C102" i="63"/>
  <c r="C103" i="63"/>
  <c r="C104" i="63"/>
  <c r="C105" i="63"/>
  <c r="C106" i="63"/>
  <c r="C107" i="63"/>
  <c r="C108" i="63"/>
  <c r="C109" i="63"/>
  <c r="C110" i="63"/>
  <c r="C111" i="63"/>
  <c r="C112" i="63"/>
  <c r="C113" i="63"/>
  <c r="C114" i="63"/>
  <c r="C115" i="63"/>
  <c r="C116" i="63"/>
  <c r="C117" i="63"/>
  <c r="C118" i="63"/>
  <c r="C119" i="63"/>
  <c r="C120" i="63"/>
  <c r="C121" i="63"/>
  <c r="C122" i="63"/>
  <c r="C123" i="63"/>
  <c r="C124" i="63"/>
  <c r="C125" i="63"/>
  <c r="C126" i="63"/>
  <c r="C127" i="63"/>
  <c r="C128" i="63"/>
  <c r="C129" i="63"/>
  <c r="C130" i="63"/>
  <c r="C131" i="63"/>
  <c r="C132" i="63"/>
  <c r="C133" i="63"/>
  <c r="C134" i="63"/>
  <c r="C135" i="63"/>
  <c r="C136" i="63"/>
  <c r="C137" i="63"/>
  <c r="C138" i="63"/>
  <c r="C139" i="63"/>
  <c r="C140" i="63"/>
  <c r="C141" i="63"/>
  <c r="C142" i="63"/>
  <c r="C143" i="63"/>
  <c r="C144" i="63"/>
  <c r="C145" i="63"/>
  <c r="C146" i="63"/>
  <c r="C147" i="63"/>
  <c r="C148" i="63"/>
  <c r="C149" i="63"/>
  <c r="C150" i="63"/>
  <c r="C151" i="63"/>
  <c r="C152" i="63"/>
  <c r="C153" i="63"/>
  <c r="C154" i="63"/>
  <c r="C155" i="63"/>
  <c r="C156" i="63"/>
  <c r="C157" i="63"/>
  <c r="C158" i="63"/>
  <c r="C159" i="63"/>
  <c r="C160" i="63"/>
  <c r="C161" i="63"/>
  <c r="C162" i="63"/>
  <c r="C163" i="63"/>
  <c r="C164" i="63"/>
  <c r="C165" i="63"/>
  <c r="C166" i="63"/>
  <c r="C167" i="63"/>
  <c r="C168" i="63"/>
  <c r="C169" i="63"/>
  <c r="C170" i="63"/>
  <c r="C171" i="63"/>
  <c r="C172" i="63"/>
  <c r="C173" i="63"/>
  <c r="C174" i="63"/>
  <c r="C175" i="63"/>
  <c r="C176" i="63"/>
  <c r="C177" i="63"/>
  <c r="C178" i="63"/>
  <c r="C179" i="63"/>
  <c r="C180" i="63"/>
  <c r="C181" i="63"/>
  <c r="C182" i="63"/>
  <c r="C183" i="63"/>
  <c r="C184" i="63"/>
  <c r="C185" i="63"/>
  <c r="C186" i="63"/>
  <c r="C187" i="63"/>
  <c r="C188" i="63"/>
  <c r="C189" i="63"/>
  <c r="C190" i="63"/>
  <c r="C191" i="63"/>
  <c r="C192" i="63"/>
  <c r="C193" i="63"/>
  <c r="C194" i="63"/>
  <c r="C195" i="63"/>
  <c r="C196" i="63"/>
  <c r="C197" i="63"/>
  <c r="C198" i="63"/>
  <c r="C199" i="63"/>
  <c r="C200" i="63"/>
  <c r="C201" i="63"/>
  <c r="C202" i="63"/>
  <c r="C203" i="63"/>
  <c r="C204" i="63"/>
  <c r="C205" i="63"/>
  <c r="C206" i="63"/>
  <c r="C207" i="63"/>
  <c r="C208" i="63"/>
  <c r="C209" i="63"/>
  <c r="C210" i="63"/>
  <c r="C211" i="63"/>
  <c r="C212" i="63"/>
  <c r="C213" i="63"/>
  <c r="C214" i="63"/>
  <c r="C215" i="63"/>
  <c r="C216" i="63"/>
  <c r="C217" i="63"/>
  <c r="C218" i="63"/>
  <c r="C219" i="63"/>
  <c r="C220" i="63"/>
  <c r="C221" i="63"/>
  <c r="C222" i="63"/>
  <c r="C223" i="63"/>
  <c r="C224" i="63"/>
  <c r="C225" i="63"/>
  <c r="C226" i="63"/>
  <c r="C227" i="63"/>
  <c r="C228" i="63"/>
  <c r="C229" i="63"/>
  <c r="C230" i="63"/>
  <c r="C231" i="63"/>
  <c r="C232" i="63"/>
  <c r="C233" i="63"/>
  <c r="C234" i="63"/>
  <c r="C235" i="63"/>
  <c r="C236" i="63"/>
  <c r="C237" i="63"/>
  <c r="C238" i="63"/>
  <c r="C239" i="63"/>
  <c r="C240" i="63"/>
  <c r="C241" i="63"/>
  <c r="C242" i="63"/>
  <c r="C243" i="63"/>
  <c r="C244" i="63"/>
  <c r="C245" i="63"/>
  <c r="C246" i="63"/>
  <c r="C247" i="63"/>
  <c r="C248" i="63"/>
  <c r="C249" i="63"/>
  <c r="C250" i="63"/>
  <c r="C251" i="63"/>
  <c r="C252" i="63"/>
  <c r="C253" i="63"/>
  <c r="C254" i="63"/>
  <c r="C255" i="63"/>
  <c r="C256" i="63"/>
  <c r="C257" i="63"/>
  <c r="C258" i="63"/>
  <c r="C259" i="63"/>
  <c r="C260" i="63"/>
  <c r="C261" i="63"/>
  <c r="C262" i="63"/>
  <c r="C263" i="63"/>
  <c r="C264" i="63"/>
  <c r="C265" i="63"/>
  <c r="C266" i="63"/>
  <c r="C267" i="63"/>
  <c r="C268" i="63"/>
  <c r="C269" i="63"/>
  <c r="C270" i="63"/>
  <c r="C271" i="63"/>
  <c r="C272" i="63"/>
  <c r="C273" i="63"/>
  <c r="C274" i="63"/>
  <c r="C275" i="63"/>
  <c r="C276" i="63"/>
  <c r="C277" i="63"/>
  <c r="C278" i="63"/>
  <c r="C279" i="63"/>
  <c r="C280" i="63"/>
  <c r="C281" i="63"/>
  <c r="C282" i="63"/>
  <c r="C283" i="63"/>
  <c r="C284" i="63"/>
  <c r="C285" i="63"/>
  <c r="C286" i="63"/>
  <c r="C287" i="63"/>
  <c r="C288" i="63"/>
  <c r="C289" i="63"/>
  <c r="C290" i="63"/>
  <c r="C291" i="63"/>
  <c r="C292" i="63"/>
  <c r="C293" i="63"/>
  <c r="C294" i="63"/>
  <c r="C295" i="63"/>
  <c r="C296" i="63"/>
  <c r="C297" i="63"/>
  <c r="C298" i="63"/>
  <c r="C299" i="63"/>
  <c r="C300" i="63"/>
  <c r="C301" i="63"/>
  <c r="C302" i="63"/>
  <c r="C303" i="63"/>
  <c r="C304" i="63"/>
  <c r="C305" i="63"/>
  <c r="C306" i="63"/>
  <c r="C307" i="63"/>
  <c r="C308" i="63"/>
  <c r="C309" i="63"/>
  <c r="C310" i="63"/>
  <c r="C311" i="63"/>
  <c r="C312" i="63"/>
  <c r="C313" i="63"/>
  <c r="C314" i="63"/>
  <c r="C315" i="63"/>
  <c r="C316" i="63"/>
  <c r="C317" i="63"/>
  <c r="C318" i="63"/>
  <c r="C319" i="63"/>
  <c r="C320" i="63"/>
  <c r="C321" i="63"/>
  <c r="C322" i="63"/>
  <c r="C323" i="63"/>
  <c r="C324" i="63"/>
  <c r="C325" i="63"/>
  <c r="C326" i="63"/>
  <c r="C327" i="63"/>
  <c r="C328" i="63"/>
  <c r="C329" i="63"/>
  <c r="C330" i="63"/>
  <c r="C331" i="63"/>
  <c r="C332" i="63"/>
  <c r="C333" i="63"/>
  <c r="C334" i="63"/>
  <c r="C335" i="63"/>
  <c r="C336" i="63"/>
  <c r="C337" i="63"/>
  <c r="C338" i="63"/>
  <c r="C339" i="63"/>
  <c r="C340" i="63"/>
  <c r="C341" i="63"/>
  <c r="C342" i="63"/>
  <c r="C343" i="63"/>
  <c r="C344" i="63"/>
  <c r="C345" i="63"/>
  <c r="C346" i="63"/>
  <c r="C347" i="63"/>
  <c r="C348" i="63"/>
  <c r="C349" i="63"/>
  <c r="C350" i="63"/>
  <c r="C351" i="63"/>
  <c r="C352" i="63"/>
  <c r="C353" i="63"/>
  <c r="C354" i="63"/>
  <c r="C355" i="63"/>
  <c r="C356" i="63"/>
  <c r="C357" i="63"/>
  <c r="C358" i="63"/>
  <c r="C359" i="63"/>
  <c r="C360" i="63"/>
  <c r="C361" i="63"/>
  <c r="C362" i="63"/>
  <c r="C363" i="63"/>
  <c r="C364" i="63"/>
  <c r="C365" i="63"/>
  <c r="C366" i="63"/>
  <c r="C367" i="63"/>
  <c r="C368" i="63"/>
  <c r="C369" i="63"/>
  <c r="C370" i="63"/>
  <c r="C371" i="63"/>
  <c r="C372" i="63"/>
  <c r="C373" i="63"/>
  <c r="C374" i="63"/>
  <c r="C375" i="63"/>
  <c r="C376" i="63"/>
  <c r="C377" i="63"/>
  <c r="C378" i="63"/>
  <c r="C379" i="63"/>
  <c r="C380" i="63"/>
  <c r="C381" i="63"/>
  <c r="C382" i="63"/>
  <c r="C383" i="63"/>
  <c r="C384" i="63"/>
  <c r="C385" i="63"/>
  <c r="C386" i="63"/>
  <c r="C387" i="63"/>
  <c r="C388" i="63"/>
  <c r="C389" i="63"/>
  <c r="C390" i="63"/>
  <c r="C391" i="63"/>
  <c r="C392" i="63"/>
  <c r="C393" i="63"/>
  <c r="C394" i="63"/>
  <c r="C395" i="63"/>
  <c r="C396" i="63"/>
  <c r="C397" i="63"/>
  <c r="C398" i="63"/>
  <c r="C399" i="63"/>
  <c r="C400" i="63"/>
  <c r="C401" i="63"/>
  <c r="C402" i="63"/>
  <c r="C403" i="63"/>
  <c r="C404" i="63"/>
  <c r="C405" i="63"/>
  <c r="C406" i="63"/>
  <c r="C407" i="63"/>
  <c r="C408" i="63"/>
  <c r="C409" i="63"/>
  <c r="C410" i="63"/>
  <c r="C411" i="63"/>
  <c r="C412" i="63"/>
  <c r="C413" i="63"/>
  <c r="C414" i="63"/>
  <c r="C415" i="63"/>
  <c r="C416" i="63"/>
  <c r="C417" i="63"/>
  <c r="C418" i="63"/>
  <c r="C419" i="63"/>
  <c r="C420" i="63"/>
  <c r="C421" i="63"/>
  <c r="C422" i="63"/>
  <c r="C423" i="63"/>
  <c r="C424" i="63"/>
  <c r="C425" i="63"/>
  <c r="C426" i="63"/>
  <c r="C427" i="63"/>
  <c r="C428" i="63"/>
  <c r="C429" i="63"/>
  <c r="C430" i="63"/>
  <c r="C431" i="63"/>
  <c r="C432" i="63"/>
  <c r="C433" i="63"/>
  <c r="C434" i="63"/>
  <c r="C435" i="63"/>
  <c r="C436" i="63"/>
  <c r="C437" i="63"/>
  <c r="C438" i="63"/>
  <c r="C439" i="63"/>
  <c r="C440" i="63"/>
  <c r="C441" i="63"/>
  <c r="C442" i="63"/>
  <c r="C443" i="63"/>
  <c r="C444" i="63"/>
  <c r="C445" i="63"/>
  <c r="C446" i="63"/>
  <c r="C447" i="63"/>
  <c r="C448" i="63"/>
  <c r="C449" i="63"/>
  <c r="C450" i="63"/>
  <c r="C451" i="63"/>
  <c r="C452" i="63"/>
  <c r="C453" i="63"/>
  <c r="C454" i="63"/>
  <c r="C455" i="63"/>
  <c r="C456" i="63"/>
  <c r="C457" i="63"/>
  <c r="C458" i="63"/>
  <c r="C459" i="63"/>
  <c r="C460" i="63"/>
  <c r="C461" i="63"/>
  <c r="C462" i="63"/>
  <c r="C463" i="63"/>
  <c r="C464" i="63"/>
  <c r="C465" i="63"/>
  <c r="C466" i="63"/>
  <c r="C467" i="63"/>
  <c r="C468" i="63"/>
  <c r="C469" i="63"/>
  <c r="C470" i="63"/>
  <c r="C471" i="63"/>
  <c r="C472" i="63"/>
  <c r="C473" i="63"/>
  <c r="C474" i="63"/>
  <c r="C475" i="63"/>
  <c r="C476" i="63"/>
  <c r="C477" i="63"/>
  <c r="C478" i="63"/>
  <c r="C479" i="63"/>
  <c r="C480" i="63"/>
  <c r="C481" i="63"/>
  <c r="C482" i="63"/>
  <c r="C483" i="63"/>
  <c r="C484" i="63"/>
  <c r="C485" i="63"/>
  <c r="C486" i="63"/>
  <c r="C487" i="63"/>
  <c r="C488" i="63"/>
  <c r="C489" i="63"/>
  <c r="C490" i="63"/>
  <c r="C491" i="63"/>
  <c r="C492" i="63"/>
  <c r="C493" i="63"/>
  <c r="C494" i="63"/>
  <c r="C495" i="63"/>
  <c r="C496" i="63"/>
  <c r="C497" i="63"/>
  <c r="C498" i="63"/>
  <c r="C499" i="63"/>
  <c r="C500" i="63"/>
  <c r="C501" i="63"/>
  <c r="C502" i="63"/>
  <c r="C503" i="63"/>
  <c r="C504" i="63"/>
  <c r="C505" i="63"/>
  <c r="C506" i="63"/>
  <c r="C507" i="63"/>
  <c r="C508" i="63"/>
  <c r="C509" i="63"/>
  <c r="C510" i="63"/>
  <c r="C511" i="63"/>
  <c r="C512" i="63"/>
  <c r="C513" i="63"/>
  <c r="C514" i="63"/>
  <c r="C515" i="63"/>
  <c r="C516" i="63"/>
  <c r="C517" i="63"/>
  <c r="C518" i="63"/>
  <c r="C519" i="63"/>
  <c r="C520" i="63"/>
  <c r="C521" i="63"/>
  <c r="C522" i="63"/>
  <c r="C523" i="63"/>
  <c r="C524" i="63"/>
  <c r="C525" i="63"/>
  <c r="C526" i="63"/>
  <c r="C527" i="63"/>
  <c r="C528" i="63"/>
  <c r="C529" i="63"/>
  <c r="C530" i="63"/>
  <c r="C531" i="63"/>
  <c r="C532" i="63"/>
  <c r="C533" i="63"/>
  <c r="C534" i="63"/>
  <c r="C535" i="63"/>
  <c r="C536" i="63"/>
  <c r="C537" i="63"/>
  <c r="C538" i="63"/>
  <c r="C539" i="63"/>
  <c r="C540" i="63"/>
  <c r="C541" i="63"/>
  <c r="C542" i="63"/>
  <c r="C543" i="63"/>
  <c r="C544" i="63"/>
  <c r="C545" i="63"/>
  <c r="C546" i="63"/>
  <c r="C547" i="63"/>
  <c r="C548" i="63"/>
  <c r="C549" i="63"/>
  <c r="C550" i="63"/>
  <c r="C551" i="63"/>
  <c r="C552" i="63"/>
  <c r="C553" i="63"/>
  <c r="C554" i="63"/>
  <c r="C555" i="63"/>
  <c r="C556" i="63"/>
  <c r="C557" i="63"/>
  <c r="C558" i="63"/>
  <c r="C559" i="63"/>
  <c r="C560" i="63"/>
  <c r="C561" i="63"/>
  <c r="C562" i="63"/>
  <c r="C563" i="63"/>
  <c r="C564" i="63"/>
  <c r="C565" i="63"/>
  <c r="C566" i="63"/>
  <c r="C567" i="63"/>
  <c r="C568" i="63"/>
  <c r="C569" i="63"/>
  <c r="C570" i="63"/>
  <c r="C571" i="63"/>
  <c r="C572" i="63"/>
  <c r="C573" i="63"/>
  <c r="C574" i="63"/>
  <c r="C575" i="63"/>
  <c r="C576" i="63"/>
  <c r="C577" i="63"/>
  <c r="C578" i="63"/>
  <c r="C579" i="63"/>
  <c r="C580" i="63"/>
  <c r="C581" i="63"/>
  <c r="C582" i="63"/>
  <c r="C583" i="63"/>
  <c r="C584" i="63"/>
  <c r="C585" i="63"/>
  <c r="C586" i="63"/>
  <c r="C587" i="63"/>
  <c r="C588" i="63"/>
  <c r="C589" i="63"/>
  <c r="C590" i="63"/>
  <c r="C591" i="63"/>
  <c r="C592" i="63"/>
  <c r="C593" i="63"/>
  <c r="C594" i="63"/>
  <c r="C595" i="63"/>
  <c r="C596" i="63"/>
  <c r="C597" i="63"/>
  <c r="C598" i="63"/>
  <c r="C599" i="63"/>
  <c r="C600" i="63"/>
  <c r="C601" i="63"/>
  <c r="C602" i="63"/>
  <c r="C603" i="63"/>
  <c r="C604" i="63"/>
  <c r="C605" i="63"/>
  <c r="C606" i="63"/>
  <c r="C607" i="63"/>
  <c r="C608" i="63"/>
  <c r="C609" i="63"/>
  <c r="C610" i="63"/>
  <c r="C611" i="63"/>
  <c r="C612" i="63"/>
  <c r="C613" i="63"/>
  <c r="C614" i="63"/>
  <c r="C615" i="63"/>
  <c r="C616" i="63"/>
  <c r="C617" i="63"/>
  <c r="C618" i="63"/>
  <c r="C619" i="63"/>
  <c r="C620" i="63"/>
  <c r="C621" i="63"/>
  <c r="C622" i="63"/>
  <c r="C623" i="63"/>
  <c r="C624" i="63"/>
  <c r="C625" i="63"/>
  <c r="C626" i="63"/>
  <c r="C627" i="63"/>
  <c r="C628" i="63"/>
  <c r="C629" i="63"/>
  <c r="C630" i="63"/>
  <c r="C631" i="63"/>
  <c r="C632" i="63"/>
  <c r="C633" i="63"/>
  <c r="C634" i="63"/>
  <c r="C635" i="63"/>
  <c r="C636" i="63"/>
  <c r="C637" i="63"/>
  <c r="C638" i="63"/>
  <c r="C639" i="63"/>
  <c r="C640" i="63"/>
  <c r="C641" i="63"/>
  <c r="C642" i="63"/>
  <c r="C643" i="63"/>
  <c r="C644" i="63"/>
  <c r="C645" i="63"/>
  <c r="C646" i="63"/>
  <c r="C647" i="63"/>
  <c r="C648" i="63"/>
  <c r="C649" i="63"/>
  <c r="C650" i="63"/>
  <c r="C651" i="63"/>
  <c r="C652" i="63"/>
  <c r="C653" i="63"/>
  <c r="C654" i="63"/>
  <c r="C655" i="63"/>
  <c r="C656" i="63"/>
  <c r="C657" i="63"/>
  <c r="C658" i="63"/>
  <c r="C659" i="63"/>
  <c r="C660" i="63"/>
  <c r="C661" i="63"/>
  <c r="C662" i="63"/>
  <c r="C663" i="63"/>
  <c r="C664" i="63"/>
  <c r="C665" i="63"/>
  <c r="C666" i="63"/>
  <c r="C667" i="63"/>
  <c r="C668" i="63"/>
  <c r="C669" i="63"/>
  <c r="C670" i="63"/>
  <c r="C671" i="63"/>
  <c r="C672" i="63"/>
  <c r="C673" i="63"/>
  <c r="C674" i="63"/>
  <c r="C675" i="63"/>
  <c r="C676" i="63"/>
  <c r="C677" i="63"/>
  <c r="C678" i="63"/>
  <c r="C2" i="63"/>
  <c r="B2" i="63" s="1"/>
  <c r="A52" i="63"/>
  <c r="A53" i="63"/>
  <c r="A54" i="63"/>
  <c r="A55" i="63"/>
  <c r="A56" i="63"/>
  <c r="A57" i="63"/>
  <c r="A58" i="63"/>
  <c r="A59" i="63"/>
  <c r="A60" i="63"/>
  <c r="A61" i="63"/>
  <c r="A62" i="63"/>
  <c r="A63" i="63"/>
  <c r="A64" i="63"/>
  <c r="A65" i="63"/>
  <c r="A66" i="63"/>
  <c r="A67" i="63"/>
  <c r="A68" i="63"/>
  <c r="A69" i="63"/>
  <c r="A70" i="63"/>
  <c r="A71" i="63"/>
  <c r="A72" i="63"/>
  <c r="A73" i="63"/>
  <c r="A74" i="63"/>
  <c r="A75" i="63"/>
  <c r="A76" i="63"/>
  <c r="A77" i="63"/>
  <c r="A78" i="63"/>
  <c r="A79" i="63"/>
  <c r="A80" i="63"/>
  <c r="A81" i="63"/>
  <c r="A82" i="63"/>
  <c r="A83" i="63"/>
  <c r="A84" i="63"/>
  <c r="A85" i="63"/>
  <c r="A86" i="63"/>
  <c r="A87" i="63"/>
  <c r="A88" i="63"/>
  <c r="A89" i="63"/>
  <c r="A90" i="63"/>
  <c r="A91" i="63"/>
  <c r="A92" i="63"/>
  <c r="A93" i="63"/>
  <c r="A94" i="63"/>
  <c r="A95" i="63"/>
  <c r="A96" i="63"/>
  <c r="A97" i="63"/>
  <c r="A98" i="63"/>
  <c r="A99" i="63"/>
  <c r="A100" i="63"/>
  <c r="A101" i="63"/>
  <c r="A102" i="63"/>
  <c r="A103" i="63"/>
  <c r="A104" i="63"/>
  <c r="A105" i="63"/>
  <c r="A106" i="63"/>
  <c r="A107" i="63"/>
  <c r="A108" i="63"/>
  <c r="A109" i="63"/>
  <c r="A110" i="63"/>
  <c r="A111" i="63"/>
  <c r="A112" i="63"/>
  <c r="A113" i="63"/>
  <c r="A114" i="63"/>
  <c r="A115" i="63"/>
  <c r="A116" i="63"/>
  <c r="A117" i="63"/>
  <c r="A118" i="63"/>
  <c r="A119" i="63"/>
  <c r="A120" i="63"/>
  <c r="A121" i="63"/>
  <c r="A122" i="63"/>
  <c r="A123" i="63"/>
  <c r="A124" i="63"/>
  <c r="A125" i="63"/>
  <c r="A126" i="63"/>
  <c r="A127" i="63"/>
  <c r="A128" i="63"/>
  <c r="A129" i="63"/>
  <c r="A130" i="63"/>
  <c r="A131" i="63"/>
  <c r="A132" i="63"/>
  <c r="A133" i="63"/>
  <c r="A134" i="63"/>
  <c r="A135" i="63"/>
  <c r="A136" i="63"/>
  <c r="A137" i="63"/>
  <c r="A138" i="63"/>
  <c r="A139" i="63"/>
  <c r="A140" i="63"/>
  <c r="A141" i="63"/>
  <c r="A142" i="63"/>
  <c r="A143" i="63"/>
  <c r="A144" i="63"/>
  <c r="A145" i="63"/>
  <c r="A146" i="63"/>
  <c r="A147" i="63"/>
  <c r="A148" i="63"/>
  <c r="A149" i="63"/>
  <c r="A150" i="63"/>
  <c r="A151" i="63"/>
  <c r="A152" i="63"/>
  <c r="A153" i="63"/>
  <c r="A154" i="63"/>
  <c r="A155" i="63"/>
  <c r="A156" i="63"/>
  <c r="A157" i="63"/>
  <c r="A158" i="63"/>
  <c r="A159" i="63"/>
  <c r="A160" i="63"/>
  <c r="A161" i="63"/>
  <c r="A162" i="63"/>
  <c r="A163" i="63"/>
  <c r="A164" i="63"/>
  <c r="A165" i="63"/>
  <c r="A166" i="63"/>
  <c r="A167" i="63"/>
  <c r="A168" i="63"/>
  <c r="A169" i="63"/>
  <c r="A170" i="63"/>
  <c r="A171" i="63"/>
  <c r="A172" i="63"/>
  <c r="A173" i="63"/>
  <c r="A174" i="63"/>
  <c r="A175" i="63"/>
  <c r="A176" i="63"/>
  <c r="A177" i="63"/>
  <c r="A178" i="63"/>
  <c r="A179" i="63"/>
  <c r="A180" i="63"/>
  <c r="A181" i="63"/>
  <c r="A182" i="63"/>
  <c r="A183" i="63"/>
  <c r="A184" i="63"/>
  <c r="A185" i="63"/>
  <c r="A186" i="63"/>
  <c r="A187" i="63"/>
  <c r="A188" i="63"/>
  <c r="A189" i="63"/>
  <c r="A190" i="63"/>
  <c r="A191" i="63"/>
  <c r="A192" i="63"/>
  <c r="A193" i="63"/>
  <c r="A194" i="63"/>
  <c r="A195" i="63"/>
  <c r="A196" i="63"/>
  <c r="A197" i="63"/>
  <c r="A198" i="63"/>
  <c r="A199" i="63"/>
  <c r="A200" i="63"/>
  <c r="A201" i="63"/>
  <c r="A202" i="63"/>
  <c r="A203" i="63"/>
  <c r="A204" i="63"/>
  <c r="A205" i="63"/>
  <c r="A206" i="63"/>
  <c r="A207" i="63"/>
  <c r="A208" i="63"/>
  <c r="A209" i="63"/>
  <c r="A210" i="63"/>
  <c r="A211" i="63"/>
  <c r="A212" i="63"/>
  <c r="A213" i="63"/>
  <c r="A214" i="63"/>
  <c r="A215" i="63"/>
  <c r="A216" i="63"/>
  <c r="A217" i="63"/>
  <c r="A218" i="63"/>
  <c r="A219" i="63"/>
  <c r="A220" i="63"/>
  <c r="A221" i="63"/>
  <c r="A222" i="63"/>
  <c r="A223" i="63"/>
  <c r="A224" i="63"/>
  <c r="A225" i="63"/>
  <c r="A226" i="63"/>
  <c r="A227" i="63"/>
  <c r="A228" i="63"/>
  <c r="A229" i="63"/>
  <c r="A230" i="63"/>
  <c r="A231" i="63"/>
  <c r="A232" i="63"/>
  <c r="A233" i="63"/>
  <c r="A234" i="63"/>
  <c r="A235" i="63"/>
  <c r="A236" i="63"/>
  <c r="A237" i="63"/>
  <c r="A238" i="63"/>
  <c r="A239" i="63"/>
  <c r="A240" i="63"/>
  <c r="A241" i="63"/>
  <c r="A242" i="63"/>
  <c r="A243" i="63"/>
  <c r="A244" i="63"/>
  <c r="A245" i="63"/>
  <c r="A246" i="63"/>
  <c r="A247" i="63"/>
  <c r="A248" i="63"/>
  <c r="A249" i="63"/>
  <c r="A250" i="63"/>
  <c r="A251" i="63"/>
  <c r="A252" i="63"/>
  <c r="A253" i="63"/>
  <c r="A254" i="63"/>
  <c r="A255" i="63"/>
  <c r="A256" i="63"/>
  <c r="A257" i="63"/>
  <c r="A258" i="63"/>
  <c r="A259" i="63"/>
  <c r="A260" i="63"/>
  <c r="A261" i="63"/>
  <c r="A262" i="63"/>
  <c r="A263" i="63"/>
  <c r="A264" i="63"/>
  <c r="A265" i="63"/>
  <c r="A266" i="63"/>
  <c r="A267" i="63"/>
  <c r="A268" i="63"/>
  <c r="A269" i="63"/>
  <c r="A270" i="63"/>
  <c r="A271" i="63"/>
  <c r="A272" i="63"/>
  <c r="A273" i="63"/>
  <c r="A274" i="63"/>
  <c r="A275" i="63"/>
  <c r="A276" i="63"/>
  <c r="A277" i="63"/>
  <c r="A278" i="63"/>
  <c r="A279" i="63"/>
  <c r="A280" i="63"/>
  <c r="A281" i="63"/>
  <c r="A282" i="63"/>
  <c r="A283" i="63"/>
  <c r="A284" i="63"/>
  <c r="A285" i="63"/>
  <c r="A286" i="63"/>
  <c r="A287" i="63"/>
  <c r="A288" i="63"/>
  <c r="A289" i="63"/>
  <c r="A290" i="63"/>
  <c r="A291" i="63"/>
  <c r="A292" i="63"/>
  <c r="A293" i="63"/>
  <c r="A294" i="63"/>
  <c r="A295" i="63"/>
  <c r="A296" i="63"/>
  <c r="A297" i="63"/>
  <c r="A298" i="63"/>
  <c r="A299" i="63"/>
  <c r="A300" i="63"/>
  <c r="A301" i="63"/>
  <c r="A302" i="63"/>
  <c r="A303" i="63"/>
  <c r="A304" i="63"/>
  <c r="A305" i="63"/>
  <c r="A306" i="63"/>
  <c r="A307" i="63"/>
  <c r="A308" i="63"/>
  <c r="A309" i="63"/>
  <c r="A310" i="63"/>
  <c r="A311" i="63"/>
  <c r="A312" i="63"/>
  <c r="A313" i="63"/>
  <c r="A314" i="63"/>
  <c r="A315" i="63"/>
  <c r="A316" i="63"/>
  <c r="A317" i="63"/>
  <c r="A318" i="63"/>
  <c r="A319" i="63"/>
  <c r="A320" i="63"/>
  <c r="A321" i="63"/>
  <c r="A322" i="63"/>
  <c r="A323" i="63"/>
  <c r="A324" i="63"/>
  <c r="A325" i="63"/>
  <c r="A326" i="63"/>
  <c r="A327" i="63"/>
  <c r="A328" i="63"/>
  <c r="A329" i="63"/>
  <c r="A330" i="63"/>
  <c r="A331" i="63"/>
  <c r="A332" i="63"/>
  <c r="A333" i="63"/>
  <c r="A334" i="63"/>
  <c r="A335" i="63"/>
  <c r="A336" i="63"/>
  <c r="A337" i="63"/>
  <c r="A338" i="63"/>
  <c r="A339" i="63"/>
  <c r="A340" i="63"/>
  <c r="A341" i="63"/>
  <c r="A342" i="63"/>
  <c r="A343" i="63"/>
  <c r="A344" i="63"/>
  <c r="A345" i="63"/>
  <c r="A346" i="63"/>
  <c r="A347" i="63"/>
  <c r="A348" i="63"/>
  <c r="A349" i="63"/>
  <c r="A350" i="63"/>
  <c r="A351" i="63"/>
  <c r="A352" i="63"/>
  <c r="A353" i="63"/>
  <c r="A354" i="63"/>
  <c r="A355" i="63"/>
  <c r="A356" i="63"/>
  <c r="A357" i="63"/>
  <c r="A358" i="63"/>
  <c r="A359" i="63"/>
  <c r="A360" i="63"/>
  <c r="A361" i="63"/>
  <c r="A362" i="63"/>
  <c r="A363" i="63"/>
  <c r="A364" i="63"/>
  <c r="A365" i="63"/>
  <c r="A366" i="63"/>
  <c r="A367" i="63"/>
  <c r="A368" i="63"/>
  <c r="A369" i="63"/>
  <c r="A370" i="63"/>
  <c r="A371" i="63"/>
  <c r="A372" i="63"/>
  <c r="A373" i="63"/>
  <c r="A374" i="63"/>
  <c r="A375" i="63"/>
  <c r="A376" i="63"/>
  <c r="A377" i="63"/>
  <c r="A378" i="63"/>
  <c r="A379" i="63"/>
  <c r="A380" i="63"/>
  <c r="A381" i="63"/>
  <c r="A382" i="63"/>
  <c r="A383" i="63"/>
  <c r="A384" i="63"/>
  <c r="A385" i="63"/>
  <c r="A386" i="63"/>
  <c r="A387" i="63"/>
  <c r="A388" i="63"/>
  <c r="A389" i="63"/>
  <c r="A390" i="63"/>
  <c r="A391" i="63"/>
  <c r="A392" i="63"/>
  <c r="A393" i="63"/>
  <c r="A394" i="63"/>
  <c r="A395" i="63"/>
  <c r="A396" i="63"/>
  <c r="A397" i="63"/>
  <c r="A398" i="63"/>
  <c r="A399" i="63"/>
  <c r="A400" i="63"/>
  <c r="A401" i="63"/>
  <c r="A402" i="63"/>
  <c r="A403" i="63"/>
  <c r="A404" i="63"/>
  <c r="A405" i="63"/>
  <c r="A406" i="63"/>
  <c r="A407" i="63"/>
  <c r="A408" i="63"/>
  <c r="A409" i="63"/>
  <c r="A410" i="63"/>
  <c r="A411" i="63"/>
  <c r="A412" i="63"/>
  <c r="A413" i="63"/>
  <c r="A414" i="63"/>
  <c r="A415" i="63"/>
  <c r="A416" i="63"/>
  <c r="A417" i="63"/>
  <c r="A418" i="63"/>
  <c r="A419" i="63"/>
  <c r="A420" i="63"/>
  <c r="A421" i="63"/>
  <c r="A422" i="63"/>
  <c r="A423" i="63"/>
  <c r="A424" i="63"/>
  <c r="A425" i="63"/>
  <c r="A426" i="63"/>
  <c r="A427" i="63"/>
  <c r="A428" i="63"/>
  <c r="A429" i="63"/>
  <c r="A430" i="63"/>
  <c r="A431" i="63"/>
  <c r="A432" i="63"/>
  <c r="A433" i="63"/>
  <c r="A434" i="63"/>
  <c r="A435" i="63"/>
  <c r="A436" i="63"/>
  <c r="A437" i="63"/>
  <c r="A438" i="63"/>
  <c r="A439" i="63"/>
  <c r="A440" i="63"/>
  <c r="A441" i="63"/>
  <c r="A442" i="63"/>
  <c r="A443" i="63"/>
  <c r="A444" i="63"/>
  <c r="A445" i="63"/>
  <c r="A446" i="63"/>
  <c r="A447" i="63"/>
  <c r="A448" i="63"/>
  <c r="A449" i="63"/>
  <c r="A450" i="63"/>
  <c r="A451" i="63"/>
  <c r="A452" i="63"/>
  <c r="A453" i="63"/>
  <c r="A454" i="63"/>
  <c r="A455" i="63"/>
  <c r="A456" i="63"/>
  <c r="A457" i="63"/>
  <c r="A458" i="63"/>
  <c r="A459" i="63"/>
  <c r="A460" i="63"/>
  <c r="A461" i="63"/>
  <c r="A462" i="63"/>
  <c r="A463" i="63"/>
  <c r="A464" i="63"/>
  <c r="A465" i="63"/>
  <c r="A466" i="63"/>
  <c r="A467" i="63"/>
  <c r="A468" i="63"/>
  <c r="A469" i="63"/>
  <c r="A470" i="63"/>
  <c r="A471" i="63"/>
  <c r="A472" i="63"/>
  <c r="A473" i="63"/>
  <c r="A474" i="63"/>
  <c r="A475" i="63"/>
  <c r="A476" i="63"/>
  <c r="A477" i="63"/>
  <c r="A478" i="63"/>
  <c r="A479" i="63"/>
  <c r="A480" i="63"/>
  <c r="A481" i="63"/>
  <c r="A482" i="63"/>
  <c r="A483" i="63"/>
  <c r="A484" i="63"/>
  <c r="A485" i="63"/>
  <c r="A486" i="63"/>
  <c r="A487" i="63"/>
  <c r="A488" i="63"/>
  <c r="A489" i="63"/>
  <c r="A490" i="63"/>
  <c r="A491" i="63"/>
  <c r="A492" i="63"/>
  <c r="A493" i="63"/>
  <c r="A494" i="63"/>
  <c r="A495" i="63"/>
  <c r="A496" i="63"/>
  <c r="A497" i="63"/>
  <c r="A498" i="63"/>
  <c r="A499" i="63"/>
  <c r="A500" i="63"/>
  <c r="A501" i="63"/>
  <c r="A502" i="63"/>
  <c r="A503" i="63"/>
  <c r="A504" i="63"/>
  <c r="A505" i="63"/>
  <c r="A506" i="63"/>
  <c r="A507" i="63"/>
  <c r="A508" i="63"/>
  <c r="A509" i="63"/>
  <c r="A510" i="63"/>
  <c r="A511" i="63"/>
  <c r="A512" i="63"/>
  <c r="A513" i="63"/>
  <c r="A514" i="63"/>
  <c r="A515" i="63"/>
  <c r="A516" i="63"/>
  <c r="A517" i="63"/>
  <c r="A518" i="63"/>
  <c r="A519" i="63"/>
  <c r="A520" i="63"/>
  <c r="A521" i="63"/>
  <c r="A522" i="63"/>
  <c r="A523" i="63"/>
  <c r="A524" i="63"/>
  <c r="A525" i="63"/>
  <c r="A526" i="63"/>
  <c r="A527" i="63"/>
  <c r="A528" i="63"/>
  <c r="A529" i="63"/>
  <c r="A530" i="63"/>
  <c r="A531" i="63"/>
  <c r="A532" i="63"/>
  <c r="A533" i="63"/>
  <c r="A534" i="63"/>
  <c r="A535" i="63"/>
  <c r="A536" i="63"/>
  <c r="A537" i="63"/>
  <c r="A538" i="63"/>
  <c r="A539" i="63"/>
  <c r="A540" i="63"/>
  <c r="A541" i="63"/>
  <c r="A542" i="63"/>
  <c r="A543" i="63"/>
  <c r="A544" i="63"/>
  <c r="A545" i="63"/>
  <c r="A546" i="63"/>
  <c r="A547" i="63"/>
  <c r="A548" i="63"/>
  <c r="A549" i="63"/>
  <c r="A550" i="63"/>
  <c r="A551" i="63"/>
  <c r="A552" i="63"/>
  <c r="A553" i="63"/>
  <c r="A554" i="63"/>
  <c r="A555" i="63"/>
  <c r="A556" i="63"/>
  <c r="A557" i="63"/>
  <c r="A558" i="63"/>
  <c r="A559" i="63"/>
  <c r="A560" i="63"/>
  <c r="A561" i="63"/>
  <c r="A562" i="63"/>
  <c r="A563" i="63"/>
  <c r="A564" i="63"/>
  <c r="A565" i="63"/>
  <c r="A566" i="63"/>
  <c r="A567" i="63"/>
  <c r="A568" i="63"/>
  <c r="A569" i="63"/>
  <c r="A570" i="63"/>
  <c r="A571" i="63"/>
  <c r="A572" i="63"/>
  <c r="A573" i="63"/>
  <c r="A574" i="63"/>
  <c r="A575" i="63"/>
  <c r="A576" i="63"/>
  <c r="A577" i="63"/>
  <c r="A578" i="63"/>
  <c r="A579" i="63"/>
  <c r="A580" i="63"/>
  <c r="A581" i="63"/>
  <c r="A582" i="63"/>
  <c r="A583" i="63"/>
  <c r="A584" i="63"/>
  <c r="A585" i="63"/>
  <c r="A586" i="63"/>
  <c r="A587" i="63"/>
  <c r="A588" i="63"/>
  <c r="A589" i="63"/>
  <c r="A590" i="63"/>
  <c r="A591" i="63"/>
  <c r="A592" i="63"/>
  <c r="A593" i="63"/>
  <c r="A594" i="63"/>
  <c r="A595" i="63"/>
  <c r="A596" i="63"/>
  <c r="A597" i="63"/>
  <c r="A598" i="63"/>
  <c r="A599" i="63"/>
  <c r="A600" i="63"/>
  <c r="A601" i="63"/>
  <c r="A602" i="63"/>
  <c r="A603" i="63"/>
  <c r="A604" i="63"/>
  <c r="A605" i="63"/>
  <c r="A606" i="63"/>
  <c r="A607" i="63"/>
  <c r="A608" i="63"/>
  <c r="A609" i="63"/>
  <c r="A610" i="63"/>
  <c r="A611" i="63"/>
  <c r="A612" i="63"/>
  <c r="A613" i="63"/>
  <c r="A614" i="63"/>
  <c r="A615" i="63"/>
  <c r="A616" i="63"/>
  <c r="A617" i="63"/>
  <c r="A618" i="63"/>
  <c r="A619" i="63"/>
  <c r="A620" i="63"/>
  <c r="A621" i="63"/>
  <c r="A622" i="63"/>
  <c r="A623" i="63"/>
  <c r="A624" i="63"/>
  <c r="A625" i="63"/>
  <c r="A626" i="63"/>
  <c r="A627" i="63"/>
  <c r="A628" i="63"/>
  <c r="A629" i="63"/>
  <c r="A630" i="63"/>
  <c r="A631" i="63"/>
  <c r="A632" i="63"/>
  <c r="A633" i="63"/>
  <c r="A634" i="63"/>
  <c r="A635" i="63"/>
  <c r="A636" i="63"/>
  <c r="A637" i="63"/>
  <c r="A638" i="63"/>
  <c r="A639" i="63"/>
  <c r="A640" i="63"/>
  <c r="A641" i="63"/>
  <c r="A642" i="63"/>
  <c r="A643" i="63"/>
  <c r="A644" i="63"/>
  <c r="A645" i="63"/>
  <c r="A646" i="63"/>
  <c r="A647" i="63"/>
  <c r="A648" i="63"/>
  <c r="A649" i="63"/>
  <c r="A650" i="63"/>
  <c r="A651" i="63"/>
  <c r="A652" i="63"/>
  <c r="A653" i="63"/>
  <c r="A654" i="63"/>
  <c r="A655" i="63"/>
  <c r="A656" i="63"/>
  <c r="A657" i="63"/>
  <c r="A658" i="63"/>
  <c r="A659" i="63"/>
  <c r="A660" i="63"/>
  <c r="A661" i="63"/>
  <c r="A662" i="63"/>
  <c r="A663" i="63"/>
  <c r="A664" i="63"/>
  <c r="A665" i="63"/>
  <c r="A666" i="63"/>
  <c r="A667" i="63"/>
  <c r="A668" i="63"/>
  <c r="A669" i="63"/>
  <c r="A670" i="63"/>
  <c r="A671" i="63"/>
  <c r="A672" i="63"/>
  <c r="A673" i="63"/>
  <c r="A674" i="63"/>
  <c r="A675" i="63"/>
  <c r="A676" i="63"/>
  <c r="A677" i="63"/>
  <c r="A678" i="63"/>
  <c r="A2" i="63"/>
  <c r="K9" i="67" l="1"/>
  <c r="K10" i="67"/>
  <c r="I5" i="4"/>
  <c r="I4" i="4"/>
  <c r="I3" i="4"/>
  <c r="AQ3" i="4" l="1"/>
  <c r="AR3" i="4"/>
  <c r="AS3" i="4"/>
  <c r="AQ4" i="4"/>
  <c r="AR4" i="4"/>
  <c r="AS4" i="4"/>
  <c r="AQ5" i="4"/>
  <c r="AR5" i="4"/>
  <c r="AS5" i="4"/>
  <c r="AQ6" i="4"/>
  <c r="AR6" i="4"/>
  <c r="AS6" i="4"/>
  <c r="AQ7" i="4"/>
  <c r="AR7" i="4"/>
  <c r="AS7" i="4"/>
  <c r="AQ8" i="4"/>
  <c r="AR8" i="4"/>
  <c r="AS8" i="4"/>
  <c r="AQ9" i="4"/>
  <c r="AR9" i="4"/>
  <c r="AS9" i="4"/>
  <c r="AQ10" i="4"/>
  <c r="AR10" i="4"/>
  <c r="AS10" i="4"/>
  <c r="AQ11" i="4"/>
  <c r="AR11" i="4"/>
  <c r="AS11" i="4"/>
  <c r="AQ12" i="4"/>
  <c r="AR12" i="4"/>
  <c r="AS12" i="4"/>
  <c r="AQ13" i="4"/>
  <c r="AR13" i="4"/>
  <c r="AS13" i="4"/>
  <c r="AQ14" i="4"/>
  <c r="AR14" i="4"/>
  <c r="AS14" i="4"/>
  <c r="AQ15" i="4"/>
  <c r="AR15" i="4"/>
  <c r="AS15" i="4"/>
  <c r="AQ16" i="4"/>
  <c r="AR16" i="4"/>
  <c r="AS16" i="4"/>
  <c r="AQ17" i="4"/>
  <c r="AR17" i="4"/>
  <c r="AS17" i="4"/>
  <c r="AQ18" i="4"/>
  <c r="AR18" i="4"/>
  <c r="AS18" i="4"/>
  <c r="AQ19" i="4"/>
  <c r="AR19" i="4"/>
  <c r="AS19" i="4"/>
  <c r="AQ20" i="4"/>
  <c r="AR20" i="4"/>
  <c r="AS20" i="4"/>
  <c r="AQ21" i="4"/>
  <c r="AR21" i="4"/>
  <c r="AS21" i="4"/>
  <c r="AQ22" i="4"/>
  <c r="AR22" i="4"/>
  <c r="AS22" i="4"/>
  <c r="AQ23" i="4"/>
  <c r="AR23" i="4"/>
  <c r="AS23" i="4"/>
  <c r="AQ24" i="4"/>
  <c r="AR24" i="4"/>
  <c r="AS24" i="4"/>
  <c r="AR25" i="4"/>
  <c r="AS25" i="4"/>
  <c r="AR26" i="4"/>
  <c r="AT26" i="4" s="1"/>
  <c r="AR27" i="4"/>
  <c r="AS27" i="4"/>
  <c r="AR28" i="4"/>
  <c r="AS28" i="4"/>
  <c r="AR29" i="4"/>
  <c r="AS29" i="4"/>
  <c r="AR30" i="4"/>
  <c r="AS30" i="4"/>
  <c r="AR31" i="4"/>
  <c r="AS31" i="4"/>
  <c r="AR32" i="4"/>
  <c r="AS32" i="4"/>
  <c r="AR33" i="4"/>
  <c r="AS33" i="4"/>
  <c r="AR34" i="4"/>
  <c r="AS34" i="4"/>
  <c r="AG144" i="82"/>
  <c r="AG145" i="82"/>
  <c r="AG146" i="82"/>
  <c r="AG147" i="82"/>
  <c r="AG148" i="82"/>
  <c r="AG149" i="82"/>
  <c r="AG151" i="82"/>
  <c r="AG152" i="82"/>
  <c r="AG153" i="82"/>
  <c r="AG154" i="82"/>
  <c r="AG155" i="82"/>
  <c r="AG156" i="82"/>
  <c r="AG157" i="82"/>
  <c r="AG158" i="82"/>
  <c r="AG159" i="82"/>
  <c r="AG160" i="82"/>
  <c r="AG161" i="82"/>
  <c r="AG162" i="82"/>
  <c r="AG163" i="82"/>
  <c r="AG164" i="82"/>
  <c r="AG165" i="82"/>
  <c r="AG166" i="82"/>
  <c r="AG167" i="82"/>
  <c r="AG168" i="82"/>
  <c r="AG169" i="82"/>
  <c r="AG170" i="82"/>
  <c r="AG171" i="82"/>
  <c r="AG172" i="82"/>
  <c r="AG173" i="82"/>
  <c r="AG174" i="82"/>
  <c r="AG175" i="82"/>
  <c r="AG176" i="82"/>
  <c r="AG177" i="82"/>
  <c r="AG178" i="82"/>
  <c r="AG179" i="82"/>
  <c r="AG180" i="82"/>
  <c r="AG181" i="82"/>
  <c r="AG182" i="82"/>
  <c r="AG183" i="82"/>
  <c r="AG184" i="82"/>
  <c r="AG185" i="82"/>
  <c r="AG186" i="82"/>
  <c r="AG187" i="82"/>
  <c r="AG188" i="82"/>
  <c r="AG189" i="82"/>
  <c r="AG190" i="82"/>
  <c r="AG191" i="82"/>
  <c r="AG192" i="82"/>
  <c r="AG193" i="82"/>
  <c r="AG194" i="82"/>
  <c r="AG195" i="82"/>
  <c r="AG196" i="82"/>
  <c r="AG197" i="82"/>
  <c r="AG198" i="82"/>
  <c r="AG199" i="82"/>
  <c r="AG200" i="82"/>
  <c r="AG201" i="82"/>
  <c r="AG202" i="82"/>
  <c r="AG203" i="82"/>
  <c r="AG204" i="82"/>
  <c r="AG205" i="82"/>
  <c r="AE143" i="82"/>
  <c r="R143" i="82" s="1"/>
  <c r="AT16" i="4" l="1"/>
  <c r="AX16" i="4" s="1"/>
  <c r="AT28" i="4"/>
  <c r="AX28" i="4" s="1"/>
  <c r="AT23" i="4"/>
  <c r="AX23" i="4" s="1"/>
  <c r="AT25" i="4"/>
  <c r="AX25" i="4" s="1"/>
  <c r="AT9" i="4"/>
  <c r="AX9" i="4" s="1"/>
  <c r="AT5" i="4"/>
  <c r="AX5" i="4" s="1"/>
  <c r="AT33" i="4"/>
  <c r="AX33" i="4" s="1"/>
  <c r="AT29" i="4"/>
  <c r="AX29" i="4" s="1"/>
  <c r="AT4" i="4"/>
  <c r="AX4" i="4" s="1"/>
  <c r="AT32" i="4"/>
  <c r="AX32" i="4" s="1"/>
  <c r="AT22" i="4"/>
  <c r="AX22" i="4" s="1"/>
  <c r="AT20" i="4"/>
  <c r="AX20" i="4" s="1"/>
  <c r="AT18" i="4"/>
  <c r="AX18" i="4" s="1"/>
  <c r="AT17" i="4"/>
  <c r="AX17" i="4" s="1"/>
  <c r="AT10" i="4"/>
  <c r="AX10" i="4" s="1"/>
  <c r="AT8" i="4"/>
  <c r="AX8" i="4" s="1"/>
  <c r="AT6" i="4"/>
  <c r="AX6" i="4" s="1"/>
  <c r="AT21" i="4"/>
  <c r="AX21" i="4" s="1"/>
  <c r="AT34" i="4"/>
  <c r="AX34" i="4" s="1"/>
  <c r="AT30" i="4"/>
  <c r="AX30" i="4" s="1"/>
  <c r="AT13" i="4"/>
  <c r="AX13" i="4" s="1"/>
  <c r="AT11" i="4"/>
  <c r="AX11" i="4" s="1"/>
  <c r="AT31" i="4"/>
  <c r="AX31" i="4" s="1"/>
  <c r="AX26" i="4"/>
  <c r="AT24" i="4"/>
  <c r="AX24" i="4" s="1"/>
  <c r="AT27" i="4"/>
  <c r="AX27" i="4" s="1"/>
  <c r="AT15" i="4"/>
  <c r="AX15" i="4" s="1"/>
  <c r="AT3" i="4"/>
  <c r="AX3" i="4" s="1"/>
  <c r="AT14" i="4"/>
  <c r="AX14" i="4" s="1"/>
  <c r="AT12" i="4"/>
  <c r="AX12" i="4" s="1"/>
  <c r="AT7" i="4"/>
  <c r="AX7" i="4" s="1"/>
  <c r="AT19" i="4"/>
  <c r="AX19" i="4" s="1"/>
  <c r="T558" i="4"/>
  <c r="U558" i="4"/>
  <c r="V558" i="4"/>
  <c r="W558" i="4"/>
  <c r="X558" i="4"/>
  <c r="Y558" i="4"/>
  <c r="Z558" i="4"/>
  <c r="AA558" i="4"/>
  <c r="AB558" i="4"/>
  <c r="AC558" i="4"/>
  <c r="AD558" i="4"/>
  <c r="S558" i="4"/>
  <c r="J3" i="4" l="1"/>
  <c r="Q3" i="4"/>
  <c r="AK3" i="4"/>
  <c r="AL3" i="4"/>
  <c r="J4" i="4"/>
  <c r="Q4" i="4"/>
  <c r="AK4" i="4"/>
  <c r="AM4" i="4" s="1"/>
  <c r="AL4" i="4"/>
  <c r="J5" i="4"/>
  <c r="Q5" i="4"/>
  <c r="AK5" i="4"/>
  <c r="AM5" i="4" s="1"/>
  <c r="AL5" i="4"/>
  <c r="J6" i="4"/>
  <c r="Q6" i="4"/>
  <c r="AK6" i="4"/>
  <c r="AL6" i="4"/>
  <c r="J7" i="4"/>
  <c r="Q7" i="4"/>
  <c r="AK7" i="4"/>
  <c r="AM7" i="4" s="1"/>
  <c r="AL7" i="4"/>
  <c r="J8" i="4"/>
  <c r="Q8" i="4"/>
  <c r="AK8" i="4"/>
  <c r="AM8" i="4" s="1"/>
  <c r="AL8" i="4"/>
  <c r="J9" i="4"/>
  <c r="Q9" i="4"/>
  <c r="AK9" i="4"/>
  <c r="AL9" i="4"/>
  <c r="J10" i="4"/>
  <c r="Q10" i="4"/>
  <c r="AK10" i="4"/>
  <c r="AM10" i="4" s="1"/>
  <c r="AL10" i="4"/>
  <c r="J11" i="4"/>
  <c r="Q11" i="4"/>
  <c r="AK11" i="4"/>
  <c r="AL11" i="4"/>
  <c r="J12" i="4"/>
  <c r="Q12" i="4"/>
  <c r="AK12" i="4"/>
  <c r="AM12" i="4" s="1"/>
  <c r="AL12" i="4"/>
  <c r="J13" i="4"/>
  <c r="Q13" i="4"/>
  <c r="AK13" i="4"/>
  <c r="AL13" i="4"/>
  <c r="J14" i="4"/>
  <c r="Q14" i="4"/>
  <c r="AK14" i="4"/>
  <c r="AM14" i="4" s="1"/>
  <c r="AL14" i="4"/>
  <c r="J15" i="4"/>
  <c r="Q15" i="4"/>
  <c r="AK15" i="4"/>
  <c r="AM15" i="4" s="1"/>
  <c r="AL15" i="4"/>
  <c r="J16" i="4"/>
  <c r="Q16" i="4"/>
  <c r="AK16" i="4"/>
  <c r="AL16" i="4"/>
  <c r="J17" i="4"/>
  <c r="Q17" i="4"/>
  <c r="AK17" i="4"/>
  <c r="AM17" i="4" s="1"/>
  <c r="AL17" i="4"/>
  <c r="J18" i="4"/>
  <c r="Q18" i="4"/>
  <c r="AK18" i="4"/>
  <c r="AL18" i="4"/>
  <c r="J19" i="4"/>
  <c r="Q19" i="4"/>
  <c r="AK19" i="4"/>
  <c r="AM19" i="4" s="1"/>
  <c r="AL19" i="4"/>
  <c r="J20" i="4"/>
  <c r="Q20" i="4"/>
  <c r="AK20" i="4"/>
  <c r="AL20" i="4"/>
  <c r="J21" i="4"/>
  <c r="Q21" i="4"/>
  <c r="AK21" i="4"/>
  <c r="AM21" i="4" s="1"/>
  <c r="AL21" i="4"/>
  <c r="J22" i="4"/>
  <c r="Q22" i="4"/>
  <c r="AK22" i="4"/>
  <c r="AL22" i="4"/>
  <c r="J23" i="4"/>
  <c r="Q23" i="4"/>
  <c r="AK23" i="4"/>
  <c r="AM23" i="4" s="1"/>
  <c r="AL23" i="4"/>
  <c r="J24" i="4"/>
  <c r="Q24" i="4"/>
  <c r="AK24" i="4"/>
  <c r="AL24" i="4"/>
  <c r="J25" i="4"/>
  <c r="Q25" i="4"/>
  <c r="AK25" i="4"/>
  <c r="AM25" i="4" s="1"/>
  <c r="AL25" i="4"/>
  <c r="J26" i="4"/>
  <c r="Q26" i="4"/>
  <c r="AK26" i="4"/>
  <c r="AL26" i="4"/>
  <c r="J27" i="4"/>
  <c r="Q27" i="4"/>
  <c r="AK27" i="4"/>
  <c r="AM27" i="4" s="1"/>
  <c r="AL27" i="4"/>
  <c r="J28" i="4"/>
  <c r="Q28" i="4"/>
  <c r="AK28" i="4"/>
  <c r="AL28" i="4"/>
  <c r="J29" i="4"/>
  <c r="Q29" i="4"/>
  <c r="AK29" i="4"/>
  <c r="AM29" i="4" s="1"/>
  <c r="AL29" i="4"/>
  <c r="J30" i="4"/>
  <c r="Q30" i="4"/>
  <c r="AK30" i="4"/>
  <c r="AL30" i="4"/>
  <c r="J31" i="4"/>
  <c r="Q31" i="4"/>
  <c r="AK31" i="4"/>
  <c r="AM31" i="4" s="1"/>
  <c r="AL31" i="4"/>
  <c r="J32" i="4"/>
  <c r="Q32" i="4"/>
  <c r="AK32" i="4"/>
  <c r="AM32" i="4" s="1"/>
  <c r="AL32" i="4"/>
  <c r="J33" i="4"/>
  <c r="Q33" i="4"/>
  <c r="AK33" i="4"/>
  <c r="AL33" i="4"/>
  <c r="J34" i="4"/>
  <c r="Q34" i="4"/>
  <c r="AK34" i="4"/>
  <c r="AL34" i="4"/>
  <c r="B353" i="63"/>
  <c r="B354" i="63"/>
  <c r="B355" i="63"/>
  <c r="B356" i="63"/>
  <c r="B357" i="63"/>
  <c r="B358" i="63"/>
  <c r="B359" i="63"/>
  <c r="B360" i="63"/>
  <c r="B361" i="63"/>
  <c r="B362" i="63"/>
  <c r="B363" i="63"/>
  <c r="B364" i="63"/>
  <c r="B365" i="63"/>
  <c r="B366" i="63"/>
  <c r="B367" i="63"/>
  <c r="B368" i="63"/>
  <c r="B369" i="63"/>
  <c r="B370" i="63"/>
  <c r="B371" i="63"/>
  <c r="B372" i="63"/>
  <c r="B373" i="63"/>
  <c r="B374" i="63"/>
  <c r="B375" i="63"/>
  <c r="B376" i="63"/>
  <c r="B377" i="63"/>
  <c r="B378" i="63"/>
  <c r="B379" i="63"/>
  <c r="B380" i="63"/>
  <c r="B381" i="63"/>
  <c r="B382" i="63"/>
  <c r="B383" i="63"/>
  <c r="B384" i="63"/>
  <c r="B385" i="63"/>
  <c r="B386" i="63"/>
  <c r="B387" i="63"/>
  <c r="B388" i="63"/>
  <c r="B389" i="63"/>
  <c r="B390" i="63"/>
  <c r="B391" i="63"/>
  <c r="B392" i="63"/>
  <c r="B393" i="63"/>
  <c r="B394" i="63"/>
  <c r="B395" i="63"/>
  <c r="B396" i="63"/>
  <c r="B397" i="63"/>
  <c r="B398" i="63"/>
  <c r="B399" i="63"/>
  <c r="B400" i="63"/>
  <c r="B401" i="63"/>
  <c r="B402" i="63"/>
  <c r="B403" i="63"/>
  <c r="B404" i="63"/>
  <c r="B405" i="63"/>
  <c r="B406" i="63"/>
  <c r="B407" i="63"/>
  <c r="B408" i="63"/>
  <c r="B409" i="63"/>
  <c r="B410" i="63"/>
  <c r="B411" i="63"/>
  <c r="B412" i="63"/>
  <c r="B413" i="63"/>
  <c r="B414" i="63"/>
  <c r="B415" i="63"/>
  <c r="B416" i="63"/>
  <c r="B417" i="63"/>
  <c r="B418" i="63"/>
  <c r="B419" i="63"/>
  <c r="B420" i="63"/>
  <c r="B421" i="63"/>
  <c r="B422" i="63"/>
  <c r="B423" i="63"/>
  <c r="B424" i="63"/>
  <c r="B425" i="63"/>
  <c r="B426" i="63"/>
  <c r="B427" i="63"/>
  <c r="B428" i="63"/>
  <c r="B429" i="63"/>
  <c r="B430" i="63"/>
  <c r="B431" i="63"/>
  <c r="B432" i="63"/>
  <c r="B433" i="63"/>
  <c r="B434" i="63"/>
  <c r="B435" i="63"/>
  <c r="B436" i="63"/>
  <c r="B437" i="63"/>
  <c r="B438" i="63"/>
  <c r="B439" i="63"/>
  <c r="B440" i="63"/>
  <c r="B441" i="63"/>
  <c r="B442" i="63"/>
  <c r="B443" i="63"/>
  <c r="B444" i="63"/>
  <c r="B445" i="63"/>
  <c r="B446" i="63"/>
  <c r="B447" i="63"/>
  <c r="B448" i="63"/>
  <c r="B449" i="63"/>
  <c r="B450" i="63"/>
  <c r="B451" i="63"/>
  <c r="B452" i="63"/>
  <c r="B453" i="63"/>
  <c r="B454" i="63"/>
  <c r="B455" i="63"/>
  <c r="B456" i="63"/>
  <c r="B457" i="63"/>
  <c r="B458" i="63"/>
  <c r="B459" i="63"/>
  <c r="B460" i="63"/>
  <c r="B461" i="63"/>
  <c r="B462" i="63"/>
  <c r="B463" i="63"/>
  <c r="B464" i="63"/>
  <c r="B465" i="63"/>
  <c r="B466" i="63"/>
  <c r="B467" i="63"/>
  <c r="B468" i="63"/>
  <c r="B469" i="63"/>
  <c r="B470" i="63"/>
  <c r="B471" i="63"/>
  <c r="B472" i="63"/>
  <c r="B473" i="63"/>
  <c r="B474" i="63"/>
  <c r="B475" i="63"/>
  <c r="B476" i="63"/>
  <c r="B477" i="63"/>
  <c r="B478" i="63"/>
  <c r="B479" i="63"/>
  <c r="B480" i="63"/>
  <c r="B481" i="63"/>
  <c r="B482" i="63"/>
  <c r="B483" i="63"/>
  <c r="B484" i="63"/>
  <c r="B485" i="63"/>
  <c r="B486" i="63"/>
  <c r="B487" i="63"/>
  <c r="B488" i="63"/>
  <c r="B489" i="63"/>
  <c r="B490" i="63"/>
  <c r="B491" i="63"/>
  <c r="B492" i="63"/>
  <c r="B493" i="63"/>
  <c r="B494" i="63"/>
  <c r="B495" i="63"/>
  <c r="B496" i="63"/>
  <c r="B497" i="63"/>
  <c r="B498" i="63"/>
  <c r="B499" i="63"/>
  <c r="B500" i="63"/>
  <c r="B501" i="63"/>
  <c r="B502" i="63"/>
  <c r="B503" i="63"/>
  <c r="B504" i="63"/>
  <c r="B505" i="63"/>
  <c r="B506" i="63"/>
  <c r="B507" i="63"/>
  <c r="B508" i="63"/>
  <c r="B509" i="63"/>
  <c r="B510" i="63"/>
  <c r="B511" i="63"/>
  <c r="B512" i="63"/>
  <c r="B513" i="63"/>
  <c r="B514" i="63"/>
  <c r="B515" i="63"/>
  <c r="B516" i="63"/>
  <c r="B517" i="63"/>
  <c r="B518" i="63"/>
  <c r="B519" i="63"/>
  <c r="B520" i="63"/>
  <c r="B521" i="63"/>
  <c r="B522" i="63"/>
  <c r="B523" i="63"/>
  <c r="B524" i="63"/>
  <c r="B525" i="63"/>
  <c r="B526" i="63"/>
  <c r="B527" i="63"/>
  <c r="B528" i="63"/>
  <c r="B529" i="63"/>
  <c r="B530" i="63"/>
  <c r="B531" i="63"/>
  <c r="B532" i="63"/>
  <c r="B533" i="63"/>
  <c r="B534" i="63"/>
  <c r="B535" i="63"/>
  <c r="B536" i="63"/>
  <c r="B537" i="63"/>
  <c r="B538" i="63"/>
  <c r="B539" i="63"/>
  <c r="B540" i="63"/>
  <c r="B541" i="63"/>
  <c r="B542" i="63"/>
  <c r="B543" i="63"/>
  <c r="B544" i="63"/>
  <c r="B545" i="63"/>
  <c r="B546" i="63"/>
  <c r="B547" i="63"/>
  <c r="B548" i="63"/>
  <c r="B549" i="63"/>
  <c r="B550" i="63"/>
  <c r="B551" i="63"/>
  <c r="B552" i="63"/>
  <c r="B553" i="63"/>
  <c r="B554" i="63"/>
  <c r="B555" i="63"/>
  <c r="B556" i="63"/>
  <c r="B557" i="63"/>
  <c r="B558" i="63"/>
  <c r="B559" i="63"/>
  <c r="B560" i="63"/>
  <c r="B561" i="63"/>
  <c r="B562" i="63"/>
  <c r="B563" i="63"/>
  <c r="B564" i="63"/>
  <c r="B565" i="63"/>
  <c r="B566" i="63"/>
  <c r="B567" i="63"/>
  <c r="B568" i="63"/>
  <c r="B569" i="63"/>
  <c r="B570" i="63"/>
  <c r="B571" i="63"/>
  <c r="B572" i="63"/>
  <c r="B573" i="63"/>
  <c r="B574" i="63"/>
  <c r="B575" i="63"/>
  <c r="B576" i="63"/>
  <c r="B577" i="63"/>
  <c r="B578" i="63"/>
  <c r="B579" i="63"/>
  <c r="B580" i="63"/>
  <c r="B581" i="63"/>
  <c r="B582" i="63"/>
  <c r="B583" i="63"/>
  <c r="B584" i="63"/>
  <c r="B585" i="63"/>
  <c r="B586" i="63"/>
  <c r="B587" i="63"/>
  <c r="B588" i="63"/>
  <c r="B589" i="63"/>
  <c r="B590" i="63"/>
  <c r="B591" i="63"/>
  <c r="B592" i="63"/>
  <c r="B593" i="63"/>
  <c r="B594" i="63"/>
  <c r="B595" i="63"/>
  <c r="B596" i="63"/>
  <c r="B597" i="63"/>
  <c r="B598" i="63"/>
  <c r="B599" i="63"/>
  <c r="B600" i="63"/>
  <c r="B601" i="63"/>
  <c r="B602" i="63"/>
  <c r="B603" i="63"/>
  <c r="B604" i="63"/>
  <c r="B605" i="63"/>
  <c r="B606" i="63"/>
  <c r="B607" i="63"/>
  <c r="B608" i="63"/>
  <c r="B609" i="63"/>
  <c r="B610" i="63"/>
  <c r="B611" i="63"/>
  <c r="B612" i="63"/>
  <c r="B613" i="63"/>
  <c r="B614" i="63"/>
  <c r="B615" i="63"/>
  <c r="B616" i="63"/>
  <c r="B617" i="63"/>
  <c r="B618" i="63"/>
  <c r="B619" i="63"/>
  <c r="B620" i="63"/>
  <c r="B621" i="63"/>
  <c r="B622" i="63"/>
  <c r="B623" i="63"/>
  <c r="B624" i="63"/>
  <c r="B625" i="63"/>
  <c r="B626" i="63"/>
  <c r="B627" i="63"/>
  <c r="B628" i="63"/>
  <c r="B629" i="63"/>
  <c r="B630" i="63"/>
  <c r="B631" i="63"/>
  <c r="B632" i="63"/>
  <c r="B633" i="63"/>
  <c r="B634" i="63"/>
  <c r="B635" i="63"/>
  <c r="B636" i="63"/>
  <c r="B637" i="63"/>
  <c r="B638" i="63"/>
  <c r="B639" i="63"/>
  <c r="B640" i="63"/>
  <c r="B641" i="63"/>
  <c r="B642" i="63"/>
  <c r="B643" i="63"/>
  <c r="B644" i="63"/>
  <c r="B645" i="63"/>
  <c r="B646" i="63"/>
  <c r="B647" i="63"/>
  <c r="B648" i="63"/>
  <c r="B649" i="63"/>
  <c r="B650" i="63"/>
  <c r="B651" i="63"/>
  <c r="B652" i="63"/>
  <c r="B653" i="63"/>
  <c r="B654" i="63"/>
  <c r="B655" i="63"/>
  <c r="B656" i="63"/>
  <c r="B657" i="63"/>
  <c r="B658" i="63"/>
  <c r="B659" i="63"/>
  <c r="B660" i="63"/>
  <c r="B661" i="63"/>
  <c r="B662" i="63"/>
  <c r="B663" i="63"/>
  <c r="B664" i="63"/>
  <c r="B665" i="63"/>
  <c r="B666" i="63"/>
  <c r="B667" i="63"/>
  <c r="B668" i="63"/>
  <c r="B669" i="63"/>
  <c r="B670" i="63"/>
  <c r="B671" i="63"/>
  <c r="B672" i="63"/>
  <c r="B673" i="63"/>
  <c r="B674" i="63"/>
  <c r="B675" i="63"/>
  <c r="B676" i="63"/>
  <c r="B677" i="63"/>
  <c r="B678" i="63"/>
  <c r="L122" i="82"/>
  <c r="AG122" i="82"/>
  <c r="AG123" i="82"/>
  <c r="L124" i="82"/>
  <c r="AG124" i="82"/>
  <c r="AG125" i="82"/>
  <c r="L126" i="82"/>
  <c r="AG126" i="82"/>
  <c r="AG127" i="82"/>
  <c r="L128" i="82"/>
  <c r="AG128" i="82"/>
  <c r="AG129" i="82"/>
  <c r="L130" i="82"/>
  <c r="AG130" i="82"/>
  <c r="AG131" i="82"/>
  <c r="L132" i="82"/>
  <c r="AG132" i="82"/>
  <c r="AG133" i="82"/>
  <c r="L134" i="82"/>
  <c r="AG134" i="82"/>
  <c r="AG135" i="82"/>
  <c r="L136" i="82"/>
  <c r="AG136" i="82"/>
  <c r="AG137" i="82"/>
  <c r="L138" i="82"/>
  <c r="AG138" i="82"/>
  <c r="AG139" i="82"/>
  <c r="L140" i="82"/>
  <c r="AG140" i="82"/>
  <c r="AG141" i="82"/>
  <c r="L142" i="82"/>
  <c r="AG142" i="82"/>
  <c r="AG143" i="82"/>
  <c r="L144" i="82"/>
  <c r="L146" i="82"/>
  <c r="P147" i="82"/>
  <c r="L148" i="82"/>
  <c r="L152" i="82"/>
  <c r="P153" i="82"/>
  <c r="L154" i="82"/>
  <c r="L156" i="82"/>
  <c r="L158" i="82"/>
  <c r="P159" i="82"/>
  <c r="L160" i="82"/>
  <c r="P161" i="82"/>
  <c r="L162" i="82"/>
  <c r="P163" i="82"/>
  <c r="L164" i="82"/>
  <c r="P165" i="82"/>
  <c r="L166" i="82"/>
  <c r="P167" i="82"/>
  <c r="L168" i="82"/>
  <c r="P169" i="82"/>
  <c r="L170" i="82"/>
  <c r="L172" i="82"/>
  <c r="L174" i="82"/>
  <c r="L176" i="82"/>
  <c r="L178" i="82"/>
  <c r="L180" i="82"/>
  <c r="P181" i="82"/>
  <c r="L182" i="82"/>
  <c r="P183" i="82"/>
  <c r="L184" i="82"/>
  <c r="P185" i="82"/>
  <c r="L186" i="82"/>
  <c r="L187" i="82"/>
  <c r="L188" i="82"/>
  <c r="L190" i="82"/>
  <c r="L192" i="82"/>
  <c r="L194" i="82"/>
  <c r="L198" i="82"/>
  <c r="L200" i="82"/>
  <c r="L202" i="82"/>
  <c r="K204" i="82"/>
  <c r="L204" i="82" s="1"/>
  <c r="K205" i="82"/>
  <c r="AG117" i="82"/>
  <c r="B339" i="63"/>
  <c r="B340" i="63"/>
  <c r="B341" i="63"/>
  <c r="B342" i="63"/>
  <c r="B343" i="63"/>
  <c r="B344" i="63"/>
  <c r="B345" i="63"/>
  <c r="B346" i="63"/>
  <c r="B347" i="63"/>
  <c r="B348" i="63"/>
  <c r="B349" i="63"/>
  <c r="B350" i="63"/>
  <c r="B351" i="63"/>
  <c r="B352" i="63"/>
  <c r="B7" i="67" l="1"/>
  <c r="B13" i="67" s="1"/>
  <c r="AM34" i="4"/>
  <c r="P7" i="86"/>
  <c r="AM33" i="4"/>
  <c r="O7" i="86"/>
  <c r="I7" i="86"/>
  <c r="I13" i="86" s="1"/>
  <c r="I14" i="86" s="1"/>
  <c r="O42" i="63"/>
  <c r="O39" i="63"/>
  <c r="O36" i="63"/>
  <c r="O33" i="63"/>
  <c r="BE34" i="4"/>
  <c r="AM26" i="4"/>
  <c r="L7" i="86"/>
  <c r="O18" i="63"/>
  <c r="BE19" i="4"/>
  <c r="BF19" i="4" s="1"/>
  <c r="O15" i="63"/>
  <c r="BE16" i="4"/>
  <c r="BF16" i="4" s="1"/>
  <c r="O12" i="63"/>
  <c r="BE13" i="4"/>
  <c r="BF13" i="4" s="1"/>
  <c r="O9" i="63"/>
  <c r="BE10" i="4"/>
  <c r="BF10" i="4" s="1"/>
  <c r="O6" i="63"/>
  <c r="BE7" i="4"/>
  <c r="BF7" i="4" s="1"/>
  <c r="O3" i="63"/>
  <c r="BE4" i="4"/>
  <c r="O40" i="63"/>
  <c r="O37" i="63"/>
  <c r="O34" i="63"/>
  <c r="O31" i="63"/>
  <c r="BE32" i="4"/>
  <c r="AM30" i="4"/>
  <c r="N7" i="86"/>
  <c r="AM24" i="4"/>
  <c r="K7" i="86"/>
  <c r="AM18" i="4"/>
  <c r="H7" i="86"/>
  <c r="O16" i="63"/>
  <c r="BE17" i="4"/>
  <c r="BF17" i="4" s="1"/>
  <c r="O13" i="63"/>
  <c r="BE14" i="4"/>
  <c r="BF14" i="4" s="1"/>
  <c r="O10" i="63"/>
  <c r="BE11" i="4"/>
  <c r="BF11" i="4" s="1"/>
  <c r="O7" i="63"/>
  <c r="BE8" i="4"/>
  <c r="O4" i="63"/>
  <c r="BE5" i="4"/>
  <c r="BF5" i="4" s="1"/>
  <c r="O41" i="63"/>
  <c r="O38" i="63"/>
  <c r="O35" i="63"/>
  <c r="O32" i="63"/>
  <c r="BE33" i="4"/>
  <c r="BF33" i="4" s="1"/>
  <c r="AM28" i="4"/>
  <c r="M7" i="86"/>
  <c r="AM22" i="4"/>
  <c r="J7" i="86"/>
  <c r="O17" i="63"/>
  <c r="BE18" i="4"/>
  <c r="BF18" i="4" s="1"/>
  <c r="AM16" i="4"/>
  <c r="G7" i="86"/>
  <c r="O14" i="63"/>
  <c r="BE15" i="4"/>
  <c r="BF15" i="4" s="1"/>
  <c r="AM13" i="4"/>
  <c r="F7" i="86"/>
  <c r="O11" i="63"/>
  <c r="BE12" i="4"/>
  <c r="BF12" i="4" s="1"/>
  <c r="O8" i="63"/>
  <c r="BE9" i="4"/>
  <c r="O5" i="63"/>
  <c r="BE6" i="4"/>
  <c r="O2" i="63"/>
  <c r="BE3" i="4"/>
  <c r="O30" i="63"/>
  <c r="BE31" i="4"/>
  <c r="BF31" i="4" s="1"/>
  <c r="O29" i="63"/>
  <c r="BE30" i="4"/>
  <c r="O28" i="63"/>
  <c r="BE29" i="4"/>
  <c r="BF29" i="4" s="1"/>
  <c r="O27" i="63"/>
  <c r="BE28" i="4"/>
  <c r="O26" i="63"/>
  <c r="BE27" i="4"/>
  <c r="BF27" i="4" s="1"/>
  <c r="O25" i="63"/>
  <c r="BE26" i="4"/>
  <c r="O24" i="63"/>
  <c r="BE25" i="4"/>
  <c r="BF25" i="4" s="1"/>
  <c r="O23" i="63"/>
  <c r="BE24" i="4"/>
  <c r="O22" i="63"/>
  <c r="BE23" i="4"/>
  <c r="BF23" i="4" s="1"/>
  <c r="O21" i="63"/>
  <c r="BE22" i="4"/>
  <c r="O20" i="63"/>
  <c r="BE21" i="4"/>
  <c r="BF21" i="4" s="1"/>
  <c r="O19" i="63"/>
  <c r="BE20" i="4"/>
  <c r="AM20" i="4"/>
  <c r="B14" i="67"/>
  <c r="AM3" i="4"/>
  <c r="B7" i="86"/>
  <c r="R24" i="4"/>
  <c r="R31" i="4"/>
  <c r="R22" i="4"/>
  <c r="R19" i="4"/>
  <c r="R7" i="4"/>
  <c r="R32" i="4"/>
  <c r="AN32" i="4" s="1"/>
  <c r="AM6" i="4"/>
  <c r="C7" i="86"/>
  <c r="R30" i="4"/>
  <c r="R18" i="4"/>
  <c r="AN18" i="4" s="1"/>
  <c r="R6" i="4"/>
  <c r="AN6" i="4" s="1"/>
  <c r="R3" i="4"/>
  <c r="R26" i="4"/>
  <c r="R20" i="4"/>
  <c r="AN20" i="4" s="1"/>
  <c r="R34" i="4"/>
  <c r="R28" i="4"/>
  <c r="R25" i="4"/>
  <c r="AP25" i="4" s="1"/>
  <c r="R4" i="4"/>
  <c r="AN4" i="4" s="1"/>
  <c r="R16" i="4"/>
  <c r="R14" i="4"/>
  <c r="R13" i="4"/>
  <c r="R12" i="4"/>
  <c r="AM11" i="4"/>
  <c r="E7" i="86"/>
  <c r="R11" i="4"/>
  <c r="AM9" i="4"/>
  <c r="D7" i="86"/>
  <c r="D13" i="86" s="1"/>
  <c r="D14" i="86" s="1"/>
  <c r="R9" i="4"/>
  <c r="R8" i="4"/>
  <c r="AP8" i="4" s="1"/>
  <c r="M13" i="67"/>
  <c r="P170" i="82"/>
  <c r="P178" i="82"/>
  <c r="K14" i="4"/>
  <c r="K28" i="4"/>
  <c r="BD28" i="4" s="1"/>
  <c r="K20" i="4"/>
  <c r="K12" i="4"/>
  <c r="BD12" i="4" s="1"/>
  <c r="K4" i="4"/>
  <c r="K6" i="4"/>
  <c r="BD6" i="4" s="1"/>
  <c r="K17" i="4"/>
  <c r="BD17" i="4" s="1"/>
  <c r="K9" i="4"/>
  <c r="K31" i="4"/>
  <c r="K23" i="4"/>
  <c r="BD23" i="4" s="1"/>
  <c r="K15" i="4"/>
  <c r="K7" i="4"/>
  <c r="BD7" i="4" s="1"/>
  <c r="K22" i="4"/>
  <c r="BD22" i="4" s="1"/>
  <c r="K34" i="4"/>
  <c r="BD34" i="4" s="1"/>
  <c r="P10" i="86" s="1"/>
  <c r="K26" i="4"/>
  <c r="BD26" i="4" s="1"/>
  <c r="K18" i="4"/>
  <c r="K10" i="4"/>
  <c r="BD10" i="4" s="1"/>
  <c r="K29" i="4"/>
  <c r="BD29" i="4" s="1"/>
  <c r="K21" i="4"/>
  <c r="K13" i="4"/>
  <c r="K5" i="4"/>
  <c r="K30" i="4"/>
  <c r="BD30" i="4" s="1"/>
  <c r="K33" i="4"/>
  <c r="BD33" i="4" s="1"/>
  <c r="K25" i="4"/>
  <c r="BD25" i="4" s="1"/>
  <c r="K32" i="4"/>
  <c r="BD32" i="4" s="1"/>
  <c r="K24" i="4"/>
  <c r="BD24" i="4" s="1"/>
  <c r="K16" i="4"/>
  <c r="BD16" i="4" s="1"/>
  <c r="K8" i="4"/>
  <c r="BD8" i="4" s="1"/>
  <c r="K27" i="4"/>
  <c r="K19" i="4"/>
  <c r="BD19" i="4" s="1"/>
  <c r="K11" i="4"/>
  <c r="BD11" i="4" s="1"/>
  <c r="K3" i="4"/>
  <c r="BD3" i="4" s="1"/>
  <c r="P187" i="82"/>
  <c r="R5" i="4"/>
  <c r="R29" i="4"/>
  <c r="R23" i="4"/>
  <c r="R17" i="4"/>
  <c r="R33" i="4"/>
  <c r="R27" i="4"/>
  <c r="R21" i="4"/>
  <c r="R15" i="4"/>
  <c r="R10" i="4"/>
  <c r="L189" i="82"/>
  <c r="P189" i="82"/>
  <c r="P122" i="82"/>
  <c r="P176" i="82"/>
  <c r="P174" i="82"/>
  <c r="L181" i="82"/>
  <c r="P180" i="82"/>
  <c r="P172" i="82"/>
  <c r="P156" i="82"/>
  <c r="P144" i="82"/>
  <c r="P137" i="82"/>
  <c r="L137" i="82"/>
  <c r="P129" i="82"/>
  <c r="L129" i="82"/>
  <c r="P177" i="82"/>
  <c r="L177" i="82"/>
  <c r="P151" i="82"/>
  <c r="L151" i="82"/>
  <c r="P139" i="82"/>
  <c r="L139" i="82"/>
  <c r="P131" i="82"/>
  <c r="L131" i="82"/>
  <c r="P123" i="82"/>
  <c r="L123" i="82"/>
  <c r="L196" i="82"/>
  <c r="P196" i="82"/>
  <c r="P205" i="82"/>
  <c r="L205" i="82"/>
  <c r="L197" i="82"/>
  <c r="P197" i="82"/>
  <c r="P175" i="82"/>
  <c r="L175" i="82"/>
  <c r="P143" i="82"/>
  <c r="L143" i="82"/>
  <c r="P135" i="82"/>
  <c r="L135" i="82"/>
  <c r="P127" i="82"/>
  <c r="L127" i="82"/>
  <c r="P203" i="82"/>
  <c r="L203" i="82"/>
  <c r="P173" i="82"/>
  <c r="L173" i="82"/>
  <c r="P157" i="82"/>
  <c r="L157" i="82"/>
  <c r="P149" i="82"/>
  <c r="L149" i="82"/>
  <c r="P145" i="82"/>
  <c r="L145" i="82"/>
  <c r="P199" i="82"/>
  <c r="L199" i="82"/>
  <c r="P179" i="82"/>
  <c r="L179" i="82"/>
  <c r="P155" i="82"/>
  <c r="L155" i="82"/>
  <c r="P141" i="82"/>
  <c r="L141" i="82"/>
  <c r="P133" i="82"/>
  <c r="L133" i="82"/>
  <c r="P125" i="82"/>
  <c r="L125" i="82"/>
  <c r="L193" i="82"/>
  <c r="P193" i="82"/>
  <c r="P201" i="82"/>
  <c r="L201" i="82"/>
  <c r="P195" i="82"/>
  <c r="L195" i="82"/>
  <c r="P191" i="82"/>
  <c r="L191" i="82"/>
  <c r="P171" i="82"/>
  <c r="L171" i="82"/>
  <c r="P148" i="82"/>
  <c r="L169" i="82"/>
  <c r="P168" i="82"/>
  <c r="L167" i="82"/>
  <c r="P166" i="82"/>
  <c r="L165" i="82"/>
  <c r="P164" i="82"/>
  <c r="L163" i="82"/>
  <c r="P162" i="82"/>
  <c r="L161" i="82"/>
  <c r="P160" i="82"/>
  <c r="L159" i="82"/>
  <c r="P158" i="82"/>
  <c r="L147" i="82"/>
  <c r="P146" i="82"/>
  <c r="P204" i="82"/>
  <c r="P202" i="82"/>
  <c r="P200" i="82"/>
  <c r="P198" i="82"/>
  <c r="P194" i="82"/>
  <c r="P192" i="82"/>
  <c r="P190" i="82"/>
  <c r="P188" i="82"/>
  <c r="AI188" i="82" s="1"/>
  <c r="P186" i="82"/>
  <c r="P154" i="82"/>
  <c r="P142" i="82"/>
  <c r="P140" i="82"/>
  <c r="P138" i="82"/>
  <c r="P136" i="82"/>
  <c r="P134" i="82"/>
  <c r="P132" i="82"/>
  <c r="P130" i="82"/>
  <c r="P128" i="82"/>
  <c r="P126" i="82"/>
  <c r="P124" i="82"/>
  <c r="L185" i="82"/>
  <c r="P184" i="82"/>
  <c r="L183" i="82"/>
  <c r="P182" i="82"/>
  <c r="L153" i="82"/>
  <c r="P152" i="82"/>
  <c r="L117" i="82"/>
  <c r="P117" i="82"/>
  <c r="L102" i="82"/>
  <c r="AG98" i="82"/>
  <c r="AG99" i="82"/>
  <c r="AG100" i="82"/>
  <c r="AG101" i="82"/>
  <c r="AG102" i="82"/>
  <c r="AG103" i="82"/>
  <c r="AG104" i="82"/>
  <c r="AG105" i="82"/>
  <c r="AG106" i="82"/>
  <c r="AG107" i="82"/>
  <c r="AG108" i="82"/>
  <c r="AG109" i="82"/>
  <c r="AG110" i="82"/>
  <c r="AG111" i="82"/>
  <c r="AG112" i="82"/>
  <c r="AG113" i="82"/>
  <c r="AG114" i="82"/>
  <c r="AG115" i="82"/>
  <c r="AG116" i="82"/>
  <c r="AG118" i="82"/>
  <c r="AG119" i="82"/>
  <c r="L98" i="82"/>
  <c r="L99" i="82"/>
  <c r="L100" i="82"/>
  <c r="L101" i="82"/>
  <c r="L103" i="82"/>
  <c r="L104" i="82"/>
  <c r="L105" i="82"/>
  <c r="L106" i="82"/>
  <c r="L107" i="82"/>
  <c r="L109" i="82"/>
  <c r="L111" i="82"/>
  <c r="L112" i="82"/>
  <c r="L113" i="82"/>
  <c r="L115" i="82"/>
  <c r="L116" i="82"/>
  <c r="L118" i="82"/>
  <c r="L119" i="82"/>
  <c r="L120" i="82"/>
  <c r="L121" i="82"/>
  <c r="L97" i="82"/>
  <c r="A4" i="82"/>
  <c r="A5" i="82" s="1"/>
  <c r="A6" i="82" s="1"/>
  <c r="A7" i="82" s="1"/>
  <c r="A8" i="82" s="1"/>
  <c r="A9" i="82" s="1"/>
  <c r="A10" i="82" s="1"/>
  <c r="A11" i="82" s="1"/>
  <c r="A12" i="82" s="1"/>
  <c r="A13" i="82" s="1"/>
  <c r="A14" i="82" s="1"/>
  <c r="A15" i="82" s="1"/>
  <c r="A16" i="82" s="1"/>
  <c r="A17" i="82" s="1"/>
  <c r="A18" i="82" s="1"/>
  <c r="A19" i="82" s="1"/>
  <c r="A20" i="82" s="1"/>
  <c r="A21" i="82" s="1"/>
  <c r="A22" i="82" s="1"/>
  <c r="A23" i="82" s="1"/>
  <c r="A24" i="82" s="1"/>
  <c r="A25" i="82" s="1"/>
  <c r="A26" i="82" s="1"/>
  <c r="A27" i="82" s="1"/>
  <c r="A28" i="82" s="1"/>
  <c r="A29" i="82" s="1"/>
  <c r="A30" i="82" s="1"/>
  <c r="A31" i="82" s="1"/>
  <c r="A32" i="82" s="1"/>
  <c r="A33" i="82" s="1"/>
  <c r="A34" i="82" s="1"/>
  <c r="A35" i="82" s="1"/>
  <c r="A36" i="82" s="1"/>
  <c r="A37" i="82" s="1"/>
  <c r="A38" i="82" s="1"/>
  <c r="A39" i="82" s="1"/>
  <c r="A40" i="82" s="1"/>
  <c r="A41" i="82" s="1"/>
  <c r="A42" i="82" s="1"/>
  <c r="A43" i="82" s="1"/>
  <c r="A44" i="82" s="1"/>
  <c r="A45" i="82" s="1"/>
  <c r="A46" i="82" s="1"/>
  <c r="A47" i="82" s="1"/>
  <c r="A48" i="82" s="1"/>
  <c r="A49" i="82" s="1"/>
  <c r="A50" i="82" s="1"/>
  <c r="A51" i="82" s="1"/>
  <c r="A52" i="82" s="1"/>
  <c r="A53" i="82" s="1"/>
  <c r="A54" i="82" s="1"/>
  <c r="A55" i="82" s="1"/>
  <c r="A56" i="82" s="1"/>
  <c r="A57" i="82" s="1"/>
  <c r="A58" i="82" s="1"/>
  <c r="A59" i="82" s="1"/>
  <c r="A60" i="82" s="1"/>
  <c r="A61" i="82" s="1"/>
  <c r="A62" i="82" s="1"/>
  <c r="A63" i="82" s="1"/>
  <c r="A64" i="82" s="1"/>
  <c r="A65" i="82" s="1"/>
  <c r="A66" i="82" s="1"/>
  <c r="A67" i="82" s="1"/>
  <c r="A68" i="82" s="1"/>
  <c r="A69" i="82" s="1"/>
  <c r="A70" i="82" s="1"/>
  <c r="A71" i="82" s="1"/>
  <c r="A72" i="82" s="1"/>
  <c r="A73" i="82" s="1"/>
  <c r="A74" i="82" s="1"/>
  <c r="A75" i="82" s="1"/>
  <c r="A76" i="82" s="1"/>
  <c r="A77" i="82" s="1"/>
  <c r="A78" i="82" s="1"/>
  <c r="A79" i="82" s="1"/>
  <c r="A80" i="82" s="1"/>
  <c r="A81" i="82" s="1"/>
  <c r="A82" i="82" s="1"/>
  <c r="A83" i="82" s="1"/>
  <c r="A84" i="82" s="1"/>
  <c r="A85" i="82" s="1"/>
  <c r="A86" i="82" s="1"/>
  <c r="A87" i="82" s="1"/>
  <c r="A88" i="82" s="1"/>
  <c r="A89" i="82" s="1"/>
  <c r="A90" i="82" s="1"/>
  <c r="A91" i="82" s="1"/>
  <c r="A92" i="82" s="1"/>
  <c r="A93" i="82" s="1"/>
  <c r="A94" i="82" s="1"/>
  <c r="A95" i="82" s="1"/>
  <c r="A96" i="82" s="1"/>
  <c r="A97" i="82" s="1"/>
  <c r="A98" i="82" s="1"/>
  <c r="A99" i="82" s="1"/>
  <c r="A100" i="82" s="1"/>
  <c r="A101" i="82" s="1"/>
  <c r="A102" i="82" s="1"/>
  <c r="A103" i="82" s="1"/>
  <c r="A104" i="82" s="1"/>
  <c r="A105" i="82" s="1"/>
  <c r="A106" i="82" s="1"/>
  <c r="A107" i="82" s="1"/>
  <c r="A108" i="82" s="1"/>
  <c r="A109" i="82" s="1"/>
  <c r="A110" i="82" s="1"/>
  <c r="A111" i="82" s="1"/>
  <c r="A112" i="82" s="1"/>
  <c r="A113" i="82" s="1"/>
  <c r="A114" i="82" s="1"/>
  <c r="A115" i="82" s="1"/>
  <c r="A116" i="82" s="1"/>
  <c r="A117" i="82" s="1"/>
  <c r="A118" i="82" s="1"/>
  <c r="A119" i="82" s="1"/>
  <c r="A120" i="82" s="1"/>
  <c r="A121" i="82" s="1"/>
  <c r="A122" i="82" s="1"/>
  <c r="A123" i="82" s="1"/>
  <c r="A124" i="82" s="1"/>
  <c r="A125" i="82" s="1"/>
  <c r="A126" i="82" s="1"/>
  <c r="A127" i="82" s="1"/>
  <c r="A128" i="82" s="1"/>
  <c r="A129" i="82" s="1"/>
  <c r="A130" i="82" s="1"/>
  <c r="A131" i="82" s="1"/>
  <c r="A132" i="82" s="1"/>
  <c r="A133" i="82" s="1"/>
  <c r="A134" i="82" s="1"/>
  <c r="A135" i="82" s="1"/>
  <c r="A136" i="82" s="1"/>
  <c r="A137" i="82" s="1"/>
  <c r="A138" i="82" s="1"/>
  <c r="A139" i="82" s="1"/>
  <c r="A140" i="82" s="1"/>
  <c r="A141" i="82" s="1"/>
  <c r="A142" i="82" s="1"/>
  <c r="A143" i="82" s="1"/>
  <c r="A144" i="82" s="1"/>
  <c r="A145" i="82" s="1"/>
  <c r="A146" i="82" s="1"/>
  <c r="A147" i="82" s="1"/>
  <c r="A148" i="82" s="1"/>
  <c r="A149" i="82" s="1"/>
  <c r="A150" i="82" s="1"/>
  <c r="A151" i="82" s="1"/>
  <c r="A152" i="82" s="1"/>
  <c r="A153" i="82" s="1"/>
  <c r="A154" i="82" s="1"/>
  <c r="A155" i="82" s="1"/>
  <c r="A156" i="82" s="1"/>
  <c r="A157" i="82" s="1"/>
  <c r="A158" i="82" s="1"/>
  <c r="A159" i="82" s="1"/>
  <c r="A160" i="82" s="1"/>
  <c r="A161" i="82" s="1"/>
  <c r="A162" i="82" s="1"/>
  <c r="A163" i="82" s="1"/>
  <c r="A164" i="82" s="1"/>
  <c r="A165" i="82" s="1"/>
  <c r="A166" i="82" s="1"/>
  <c r="A167" i="82" s="1"/>
  <c r="A168" i="82" s="1"/>
  <c r="A169" i="82" s="1"/>
  <c r="A170" i="82" s="1"/>
  <c r="A171" i="82" s="1"/>
  <c r="A172" i="82" s="1"/>
  <c r="A173" i="82" s="1"/>
  <c r="A174" i="82" s="1"/>
  <c r="A175" i="82" s="1"/>
  <c r="A176" i="82" s="1"/>
  <c r="A177" i="82" s="1"/>
  <c r="A178" i="82" s="1"/>
  <c r="A179" i="82" s="1"/>
  <c r="A180" i="82" s="1"/>
  <c r="A181" i="82" s="1"/>
  <c r="A182" i="82" s="1"/>
  <c r="A183" i="82" s="1"/>
  <c r="A184" i="82" s="1"/>
  <c r="A185" i="82" s="1"/>
  <c r="A186" i="82" s="1"/>
  <c r="A187" i="82" s="1"/>
  <c r="A188" i="82" s="1"/>
  <c r="A189" i="82" s="1"/>
  <c r="A190" i="82" s="1"/>
  <c r="A191" i="82" s="1"/>
  <c r="A192" i="82" s="1"/>
  <c r="A193" i="82" s="1"/>
  <c r="A194" i="82" s="1"/>
  <c r="A195" i="82" s="1"/>
  <c r="A196" i="82" s="1"/>
  <c r="A197" i="82" s="1"/>
  <c r="A198" i="82" s="1"/>
  <c r="A199" i="82" s="1"/>
  <c r="A200" i="82" s="1"/>
  <c r="A201" i="82" s="1"/>
  <c r="A202" i="82" s="1"/>
  <c r="A203" i="82" s="1"/>
  <c r="A204" i="82" s="1"/>
  <c r="A205" i="82" s="1"/>
  <c r="B11" i="67" l="1"/>
  <c r="GM7" i="86"/>
  <c r="BE562" i="4"/>
  <c r="G10" i="86"/>
  <c r="G15" i="86" s="1"/>
  <c r="I8" i="86"/>
  <c r="BF32" i="4"/>
  <c r="O11" i="86"/>
  <c r="P15" i="86"/>
  <c r="BF34" i="4"/>
  <c r="P11" i="86"/>
  <c r="P16" i="86" s="1"/>
  <c r="P13" i="86"/>
  <c r="P14" i="86" s="1"/>
  <c r="P8" i="86"/>
  <c r="O10" i="86"/>
  <c r="O13" i="86"/>
  <c r="O14" i="86" s="1"/>
  <c r="O8" i="86"/>
  <c r="AP34" i="4"/>
  <c r="D11" i="86"/>
  <c r="AP22" i="4"/>
  <c r="I11" i="86"/>
  <c r="AP24" i="4"/>
  <c r="AP16" i="4"/>
  <c r="F11" i="86"/>
  <c r="M10" i="86"/>
  <c r="M15" i="86" s="1"/>
  <c r="AP6" i="4"/>
  <c r="K10" i="86"/>
  <c r="K15" i="86" s="1"/>
  <c r="C10" i="86"/>
  <c r="AP28" i="4"/>
  <c r="C11" i="86"/>
  <c r="H11" i="86"/>
  <c r="P5" i="4"/>
  <c r="BD5" i="4"/>
  <c r="P18" i="4"/>
  <c r="BD18" i="4"/>
  <c r="H10" i="86" s="1"/>
  <c r="P15" i="4"/>
  <c r="BD15" i="4"/>
  <c r="P14" i="4"/>
  <c r="BD14" i="4"/>
  <c r="BF20" i="4"/>
  <c r="BF24" i="4"/>
  <c r="K11" i="86"/>
  <c r="BF30" i="4"/>
  <c r="N11" i="86"/>
  <c r="H13" i="86"/>
  <c r="H14" i="86" s="1"/>
  <c r="H8" i="86"/>
  <c r="G11" i="86"/>
  <c r="L13" i="86"/>
  <c r="L14" i="86" s="1"/>
  <c r="L8" i="86"/>
  <c r="M8" i="86"/>
  <c r="M13" i="86"/>
  <c r="M14" i="86" s="1"/>
  <c r="J11" i="86"/>
  <c r="BF28" i="4"/>
  <c r="M11" i="86"/>
  <c r="K13" i="86"/>
  <c r="K14" i="86" s="1"/>
  <c r="K8" i="86"/>
  <c r="E11" i="86"/>
  <c r="P13" i="4"/>
  <c r="BD13" i="4"/>
  <c r="P4" i="4"/>
  <c r="BD4" i="4"/>
  <c r="BF4" i="4" s="1"/>
  <c r="B11" i="86"/>
  <c r="BF3" i="4"/>
  <c r="G13" i="86"/>
  <c r="G14" i="86" s="1"/>
  <c r="G8" i="86"/>
  <c r="BF22" i="4"/>
  <c r="F13" i="86"/>
  <c r="F14" i="86" s="1"/>
  <c r="F8" i="86"/>
  <c r="BF26" i="4"/>
  <c r="L11" i="86"/>
  <c r="N13" i="86"/>
  <c r="N14" i="86" s="1"/>
  <c r="N8" i="86"/>
  <c r="BF8" i="4"/>
  <c r="J10" i="86"/>
  <c r="P9" i="4"/>
  <c r="BD9" i="4"/>
  <c r="D10" i="86" s="1"/>
  <c r="D15" i="86" s="1"/>
  <c r="E10" i="86"/>
  <c r="E15" i="86" s="1"/>
  <c r="J8" i="86"/>
  <c r="J13" i="86"/>
  <c r="J14" i="86" s="1"/>
  <c r="P31" i="4"/>
  <c r="BD31" i="4"/>
  <c r="N10" i="86" s="1"/>
  <c r="P27" i="4"/>
  <c r="BD27" i="4"/>
  <c r="L10" i="86" s="1"/>
  <c r="P21" i="4"/>
  <c r="BD21" i="4"/>
  <c r="P20" i="4"/>
  <c r="BD20" i="4"/>
  <c r="AN19" i="4"/>
  <c r="AP19" i="4"/>
  <c r="AP20" i="4"/>
  <c r="AP12" i="4"/>
  <c r="AP32" i="4"/>
  <c r="AN26" i="4"/>
  <c r="AP18" i="4"/>
  <c r="AP31" i="4"/>
  <c r="AN3" i="4"/>
  <c r="AP26" i="4"/>
  <c r="AP13" i="4"/>
  <c r="AP4" i="4"/>
  <c r="AN30" i="4"/>
  <c r="AN25" i="4"/>
  <c r="AP33" i="4"/>
  <c r="AN7" i="4"/>
  <c r="AN34" i="4"/>
  <c r="AN22" i="4"/>
  <c r="AP7" i="4"/>
  <c r="AP3" i="4"/>
  <c r="BF6" i="4"/>
  <c r="AN8" i="4"/>
  <c r="AP30" i="4"/>
  <c r="AN28" i="4"/>
  <c r="B8" i="86"/>
  <c r="B13" i="86"/>
  <c r="B14" i="86" s="1"/>
  <c r="C13" i="86"/>
  <c r="C14" i="86" s="1"/>
  <c r="C8" i="86"/>
  <c r="AN24" i="4"/>
  <c r="AN31" i="4"/>
  <c r="AN16" i="4"/>
  <c r="AN14" i="4"/>
  <c r="AP14" i="4"/>
  <c r="AN13" i="4"/>
  <c r="AN12" i="4"/>
  <c r="E13" i="86"/>
  <c r="E14" i="86" s="1"/>
  <c r="E8" i="86"/>
  <c r="AP11" i="4"/>
  <c r="AN11" i="4"/>
  <c r="D8" i="86"/>
  <c r="AP9" i="4"/>
  <c r="AN9" i="4"/>
  <c r="BF9" i="4"/>
  <c r="M11" i="67"/>
  <c r="M14" i="67"/>
  <c r="M8" i="67"/>
  <c r="P11" i="4"/>
  <c r="P16" i="4"/>
  <c r="L33" i="4"/>
  <c r="P33" i="4"/>
  <c r="P29" i="4"/>
  <c r="P10" i="4"/>
  <c r="L24" i="4"/>
  <c r="P24" i="4"/>
  <c r="P23" i="4"/>
  <c r="L12" i="4"/>
  <c r="P12" i="4"/>
  <c r="L32" i="4"/>
  <c r="P32" i="4"/>
  <c r="P26" i="4"/>
  <c r="L6" i="4"/>
  <c r="P6" i="4"/>
  <c r="P3" i="4"/>
  <c r="P28" i="4"/>
  <c r="L19" i="4"/>
  <c r="P19" i="4"/>
  <c r="L8" i="4"/>
  <c r="P8" i="4"/>
  <c r="P25" i="4"/>
  <c r="L30" i="4"/>
  <c r="P30" i="4"/>
  <c r="P34" i="4"/>
  <c r="P22" i="4"/>
  <c r="L7" i="4"/>
  <c r="P7" i="4"/>
  <c r="P17" i="4"/>
  <c r="L17" i="4"/>
  <c r="L31" i="4"/>
  <c r="L14" i="4"/>
  <c r="L25" i="4"/>
  <c r="L13" i="4"/>
  <c r="L20" i="4"/>
  <c r="L10" i="4"/>
  <c r="L34" i="4"/>
  <c r="L26" i="4"/>
  <c r="L28" i="4"/>
  <c r="L27" i="4"/>
  <c r="L15" i="4"/>
  <c r="L22" i="4"/>
  <c r="L29" i="4"/>
  <c r="L16" i="4"/>
  <c r="L9" i="4"/>
  <c r="L18" i="4"/>
  <c r="L11" i="4"/>
  <c r="L21" i="4"/>
  <c r="L5" i="4"/>
  <c r="L23" i="4"/>
  <c r="L3" i="4"/>
  <c r="L4" i="4"/>
  <c r="AN5" i="4"/>
  <c r="AP5" i="4"/>
  <c r="AP10" i="4"/>
  <c r="AN23" i="4"/>
  <c r="AP23" i="4"/>
  <c r="AP21" i="4"/>
  <c r="AP29" i="4"/>
  <c r="AN27" i="4"/>
  <c r="AN10" i="4"/>
  <c r="AP15" i="4"/>
  <c r="AN33" i="4"/>
  <c r="AP17" i="4"/>
  <c r="AN17" i="4"/>
  <c r="AN15" i="4"/>
  <c r="AN21" i="4"/>
  <c r="AP27" i="4"/>
  <c r="AN29" i="4"/>
  <c r="P111" i="82"/>
  <c r="P105" i="82"/>
  <c r="P119" i="82"/>
  <c r="L110" i="82"/>
  <c r="P110" i="82"/>
  <c r="P116" i="82"/>
  <c r="P104" i="82"/>
  <c r="P121" i="82"/>
  <c r="P113" i="82"/>
  <c r="P99" i="82"/>
  <c r="P120" i="82"/>
  <c r="P112" i="82"/>
  <c r="P97" i="82"/>
  <c r="P118" i="82"/>
  <c r="P115" i="82"/>
  <c r="L114" i="82"/>
  <c r="P114" i="82"/>
  <c r="P109" i="82"/>
  <c r="L108" i="82"/>
  <c r="P108" i="82"/>
  <c r="P107" i="82"/>
  <c r="P106" i="82"/>
  <c r="P103" i="82"/>
  <c r="P102" i="82"/>
  <c r="P101" i="82"/>
  <c r="P98" i="82"/>
  <c r="P100" i="82"/>
  <c r="FM16" i="86" l="1"/>
  <c r="FM17" i="86" s="1"/>
  <c r="B10" i="67"/>
  <c r="B12" i="67" s="1"/>
  <c r="AJ10" i="86"/>
  <c r="AJ12" i="86" s="1"/>
  <c r="GM11" i="86"/>
  <c r="GM8" i="86"/>
  <c r="GM13" i="86"/>
  <c r="GM14" i="86"/>
  <c r="BD562" i="4"/>
  <c r="G12" i="86"/>
  <c r="AO18" i="4"/>
  <c r="P12" i="86"/>
  <c r="G16" i="86"/>
  <c r="G17" i="86" s="1"/>
  <c r="O16" i="86"/>
  <c r="O12" i="86"/>
  <c r="O15" i="86"/>
  <c r="P17" i="86"/>
  <c r="AO13" i="4"/>
  <c r="M16" i="86"/>
  <c r="M17" i="86" s="1"/>
  <c r="K16" i="86"/>
  <c r="K17" i="86" s="1"/>
  <c r="AO4" i="4"/>
  <c r="N12" i="86"/>
  <c r="N15" i="86"/>
  <c r="N16" i="86"/>
  <c r="AO14" i="4"/>
  <c r="K12" i="86"/>
  <c r="L16" i="86"/>
  <c r="L12" i="86"/>
  <c r="L15" i="86"/>
  <c r="J12" i="86"/>
  <c r="J16" i="86"/>
  <c r="J15" i="86"/>
  <c r="B10" i="86"/>
  <c r="H16" i="86"/>
  <c r="H12" i="86"/>
  <c r="H15" i="86"/>
  <c r="M12" i="86"/>
  <c r="AO20" i="4"/>
  <c r="I10" i="86"/>
  <c r="F10" i="86"/>
  <c r="AO31" i="4"/>
  <c r="C15" i="86"/>
  <c r="C12" i="86"/>
  <c r="C16" i="86"/>
  <c r="AO10" i="4"/>
  <c r="AO8" i="4"/>
  <c r="E16" i="86"/>
  <c r="E17" i="86" s="1"/>
  <c r="E12" i="86"/>
  <c r="AO9" i="4"/>
  <c r="D12" i="86"/>
  <c r="D16" i="86"/>
  <c r="D17" i="86" s="1"/>
  <c r="AO32" i="4"/>
  <c r="AO7" i="4"/>
  <c r="AO12" i="4"/>
  <c r="AO30" i="4"/>
  <c r="AO24" i="4"/>
  <c r="AO19" i="4"/>
  <c r="AO6" i="4"/>
  <c r="AO28" i="4"/>
  <c r="AO34" i="4"/>
  <c r="AO33" i="4"/>
  <c r="AO25" i="4"/>
  <c r="AO15" i="4"/>
  <c r="AO3" i="4"/>
  <c r="AO26" i="4"/>
  <c r="AO22" i="4"/>
  <c r="AO29" i="4"/>
  <c r="AO27" i="4"/>
  <c r="AO16" i="4"/>
  <c r="AO11" i="4"/>
  <c r="AO23" i="4"/>
  <c r="AO17" i="4"/>
  <c r="AO21" i="4"/>
  <c r="AO5" i="4"/>
  <c r="C12" i="67" l="1"/>
  <c r="C16" i="67"/>
  <c r="C15" i="67"/>
  <c r="AJ16" i="86"/>
  <c r="AJ15" i="86"/>
  <c r="B15" i="86"/>
  <c r="GM10" i="86"/>
  <c r="GM12" i="86" s="1"/>
  <c r="J17" i="86"/>
  <c r="O17" i="86"/>
  <c r="B12" i="86"/>
  <c r="L17" i="86"/>
  <c r="N17" i="86"/>
  <c r="B16" i="86"/>
  <c r="H17" i="86"/>
  <c r="F16" i="86"/>
  <c r="F12" i="86"/>
  <c r="F15" i="86"/>
  <c r="I16" i="86"/>
  <c r="I12" i="86"/>
  <c r="I15" i="86"/>
  <c r="F47" i="86"/>
  <c r="B15" i="67"/>
  <c r="C17" i="86"/>
  <c r="B290" i="63"/>
  <c r="B291" i="63"/>
  <c r="B292" i="63"/>
  <c r="B293" i="63"/>
  <c r="B294" i="63"/>
  <c r="B295" i="63"/>
  <c r="B296" i="63"/>
  <c r="B297" i="63"/>
  <c r="B298" i="63"/>
  <c r="B299" i="63"/>
  <c r="B300" i="63"/>
  <c r="B301" i="63"/>
  <c r="B302" i="63"/>
  <c r="B303" i="63"/>
  <c r="B304" i="63"/>
  <c r="B305" i="63"/>
  <c r="B306" i="63"/>
  <c r="B307" i="63"/>
  <c r="B308" i="63"/>
  <c r="B309" i="63"/>
  <c r="B310" i="63"/>
  <c r="B311" i="63"/>
  <c r="B312" i="63"/>
  <c r="B313" i="63"/>
  <c r="B314" i="63"/>
  <c r="B315" i="63"/>
  <c r="B316" i="63"/>
  <c r="B317" i="63"/>
  <c r="B318" i="63"/>
  <c r="B319" i="63"/>
  <c r="B320" i="63"/>
  <c r="B321" i="63"/>
  <c r="B322" i="63"/>
  <c r="B323" i="63"/>
  <c r="B324" i="63"/>
  <c r="B325" i="63"/>
  <c r="B326" i="63"/>
  <c r="B327" i="63"/>
  <c r="B328" i="63"/>
  <c r="B329" i="63"/>
  <c r="B330" i="63"/>
  <c r="B331" i="63"/>
  <c r="B332" i="63"/>
  <c r="B333" i="63"/>
  <c r="B334" i="63"/>
  <c r="B335" i="63"/>
  <c r="B336" i="63"/>
  <c r="B337" i="63"/>
  <c r="B338" i="63"/>
  <c r="B275" i="63"/>
  <c r="B276" i="63"/>
  <c r="B277" i="63"/>
  <c r="B278" i="63"/>
  <c r="B279" i="63"/>
  <c r="B280" i="63"/>
  <c r="B281" i="63"/>
  <c r="B282" i="63"/>
  <c r="B283" i="63"/>
  <c r="B284" i="63"/>
  <c r="B285" i="63"/>
  <c r="B286" i="63"/>
  <c r="B287" i="63"/>
  <c r="B288" i="63"/>
  <c r="B289" i="63"/>
  <c r="K4" i="8"/>
  <c r="E5" i="8"/>
  <c r="E6" i="8"/>
  <c r="E7" i="8"/>
  <c r="E8" i="8"/>
  <c r="E9" i="8"/>
  <c r="E10" i="8"/>
  <c r="E11" i="8"/>
  <c r="E4" i="8"/>
  <c r="C55" i="68"/>
  <c r="AJ17" i="86" l="1"/>
  <c r="C17" i="67"/>
  <c r="B17" i="86"/>
  <c r="F17" i="86"/>
  <c r="I17" i="86"/>
  <c r="K11" i="67"/>
  <c r="L11" i="67"/>
  <c r="AG76" i="82"/>
  <c r="P76" i="82" l="1"/>
  <c r="L76" i="82"/>
  <c r="AG65" i="82" l="1"/>
  <c r="AG66" i="82"/>
  <c r="AG67" i="82"/>
  <c r="AG59" i="82" l="1"/>
  <c r="AG60" i="82"/>
  <c r="AG61" i="82"/>
  <c r="AG62" i="82"/>
  <c r="B205" i="63" l="1"/>
  <c r="B206" i="63"/>
  <c r="B207" i="63"/>
  <c r="B208" i="63"/>
  <c r="B209" i="63"/>
  <c r="B210" i="63"/>
  <c r="B211" i="63"/>
  <c r="B212" i="63"/>
  <c r="B213" i="63"/>
  <c r="B214" i="63"/>
  <c r="B215" i="63"/>
  <c r="B216" i="63"/>
  <c r="B217" i="63"/>
  <c r="B218" i="63"/>
  <c r="B219" i="63"/>
  <c r="B220" i="63"/>
  <c r="B221" i="63"/>
  <c r="B222" i="63"/>
  <c r="B223" i="63"/>
  <c r="B224" i="63"/>
  <c r="B225" i="63"/>
  <c r="B226" i="63"/>
  <c r="B227" i="63"/>
  <c r="B228" i="63"/>
  <c r="B229" i="63"/>
  <c r="B230" i="63"/>
  <c r="B231" i="63"/>
  <c r="B232" i="63"/>
  <c r="B233" i="63"/>
  <c r="B234" i="63"/>
  <c r="B235" i="63"/>
  <c r="B236" i="63"/>
  <c r="B237" i="63"/>
  <c r="B238" i="63"/>
  <c r="B239" i="63"/>
  <c r="B240" i="63"/>
  <c r="B241" i="63"/>
  <c r="B242" i="63"/>
  <c r="B243" i="63"/>
  <c r="B244" i="63"/>
  <c r="B245" i="63"/>
  <c r="B246" i="63"/>
  <c r="B247" i="63"/>
  <c r="B248" i="63"/>
  <c r="B249" i="63"/>
  <c r="B250" i="63"/>
  <c r="B251" i="63"/>
  <c r="B252" i="63"/>
  <c r="B253" i="63"/>
  <c r="B254" i="63"/>
  <c r="B255" i="63"/>
  <c r="B256" i="63"/>
  <c r="B257" i="63"/>
  <c r="B258" i="63"/>
  <c r="B259" i="63"/>
  <c r="B260" i="63"/>
  <c r="B261" i="63"/>
  <c r="B262" i="63"/>
  <c r="B263" i="63"/>
  <c r="B264" i="63"/>
  <c r="B265" i="63"/>
  <c r="B266" i="63"/>
  <c r="B267" i="63"/>
  <c r="B268" i="63"/>
  <c r="B269" i="63"/>
  <c r="B270" i="63"/>
  <c r="B271" i="63"/>
  <c r="B272" i="63"/>
  <c r="B273" i="63"/>
  <c r="B274" i="63"/>
  <c r="AE44" i="82" l="1"/>
  <c r="AE3" i="82"/>
  <c r="AE4" i="82"/>
  <c r="AE5" i="82"/>
  <c r="AE6" i="82"/>
  <c r="AE7" i="82"/>
  <c r="AE8" i="82"/>
  <c r="AE9" i="82"/>
  <c r="AE10" i="82"/>
  <c r="AE11" i="82"/>
  <c r="AE12" i="82"/>
  <c r="AE13" i="82"/>
  <c r="AE14" i="82"/>
  <c r="AE15" i="82"/>
  <c r="AE16" i="82"/>
  <c r="AE17" i="82"/>
  <c r="AE18" i="82"/>
  <c r="AE19" i="82"/>
  <c r="AE20" i="82"/>
  <c r="AE21" i="82"/>
  <c r="AE22" i="82"/>
  <c r="AE23" i="82"/>
  <c r="AE24" i="82"/>
  <c r="AE25" i="82"/>
  <c r="AE26" i="82"/>
  <c r="AE27" i="82"/>
  <c r="AE28" i="82"/>
  <c r="AE29" i="82"/>
  <c r="AE30" i="82"/>
  <c r="AE31" i="82"/>
  <c r="AE32" i="82"/>
  <c r="AE33" i="82"/>
  <c r="AE34" i="82"/>
  <c r="AE35" i="82"/>
  <c r="AE36" i="82"/>
  <c r="AE37" i="82"/>
  <c r="AE38" i="82"/>
  <c r="AE39" i="82"/>
  <c r="AE40" i="82"/>
  <c r="AE41" i="82"/>
  <c r="AE42" i="82"/>
  <c r="AE43" i="82"/>
  <c r="AG45" i="82"/>
  <c r="AG46" i="82"/>
  <c r="AG47" i="82"/>
  <c r="AG48" i="82"/>
  <c r="AG49" i="82"/>
  <c r="AG50" i="82"/>
  <c r="AG51" i="82"/>
  <c r="AG52" i="82"/>
  <c r="AG53" i="82"/>
  <c r="AG54" i="82"/>
  <c r="AG55" i="82"/>
  <c r="AG56" i="82"/>
  <c r="AG57" i="82"/>
  <c r="AG58" i="82"/>
  <c r="AG63" i="82"/>
  <c r="AG64" i="82"/>
  <c r="AG68" i="82"/>
  <c r="AG69" i="82"/>
  <c r="AG70" i="82"/>
  <c r="AG71" i="82"/>
  <c r="AG72" i="82"/>
  <c r="AG73" i="82"/>
  <c r="AG74" i="82"/>
  <c r="AG75" i="82"/>
  <c r="AG77" i="82"/>
  <c r="AG78" i="82"/>
  <c r="AG79" i="82"/>
  <c r="AG80" i="82"/>
  <c r="AG81" i="82"/>
  <c r="AG82" i="82"/>
  <c r="AG83" i="82"/>
  <c r="AG84" i="82"/>
  <c r="AG85" i="82"/>
  <c r="AG86" i="82"/>
  <c r="AG87" i="82"/>
  <c r="AG88" i="82"/>
  <c r="AG89" i="82"/>
  <c r="AG90" i="82"/>
  <c r="AG91" i="82"/>
  <c r="AG92" i="82"/>
  <c r="AG93" i="82"/>
  <c r="AG94" i="82"/>
  <c r="AG95" i="82"/>
  <c r="AG96" i="82"/>
  <c r="AG97" i="82"/>
  <c r="AG120" i="82"/>
  <c r="AG121" i="82"/>
  <c r="AG43" i="82" l="1"/>
  <c r="R43" i="82"/>
  <c r="AG37" i="82"/>
  <c r="R37" i="82"/>
  <c r="AG31" i="82"/>
  <c r="R31" i="82"/>
  <c r="AG25" i="82"/>
  <c r="R25" i="82"/>
  <c r="AG19" i="82"/>
  <c r="R19" i="82"/>
  <c r="AG13" i="82"/>
  <c r="R13" i="82"/>
  <c r="AG7" i="82"/>
  <c r="R7" i="82"/>
  <c r="AG24" i="82"/>
  <c r="R24" i="82"/>
  <c r="AG29" i="82"/>
  <c r="R29" i="82"/>
  <c r="AG23" i="82"/>
  <c r="R23" i="82"/>
  <c r="AG17" i="82"/>
  <c r="R17" i="82"/>
  <c r="AG11" i="82"/>
  <c r="R11" i="82"/>
  <c r="AG5" i="82"/>
  <c r="R5" i="82"/>
  <c r="AG36" i="82"/>
  <c r="R36" i="82"/>
  <c r="AG12" i="82"/>
  <c r="R12" i="82"/>
  <c r="AG40" i="82"/>
  <c r="R40" i="82"/>
  <c r="AG34" i="82"/>
  <c r="R34" i="82"/>
  <c r="AG28" i="82"/>
  <c r="R28" i="82"/>
  <c r="AG22" i="82"/>
  <c r="R22" i="82"/>
  <c r="AG16" i="82"/>
  <c r="R16" i="82"/>
  <c r="AG10" i="82"/>
  <c r="R10" i="82"/>
  <c r="AG4" i="82"/>
  <c r="R4" i="82"/>
  <c r="AG30" i="82"/>
  <c r="R30" i="82"/>
  <c r="AG18" i="82"/>
  <c r="R18" i="82"/>
  <c r="AG35" i="82"/>
  <c r="R35" i="82"/>
  <c r="AG39" i="82"/>
  <c r="R39" i="82"/>
  <c r="AG33" i="82"/>
  <c r="R33" i="82"/>
  <c r="AG27" i="82"/>
  <c r="R27" i="82"/>
  <c r="AG21" i="82"/>
  <c r="R21" i="82"/>
  <c r="AG15" i="82"/>
  <c r="R15" i="82"/>
  <c r="AG9" i="82"/>
  <c r="R9" i="82"/>
  <c r="AG3" i="82"/>
  <c r="R3" i="82"/>
  <c r="AG42" i="82"/>
  <c r="R42" i="82"/>
  <c r="AG6" i="82"/>
  <c r="R6" i="82"/>
  <c r="AG41" i="82"/>
  <c r="R41" i="82"/>
  <c r="AG38" i="82"/>
  <c r="R38" i="82"/>
  <c r="AG32" i="82"/>
  <c r="R32" i="82"/>
  <c r="AG26" i="82"/>
  <c r="R26" i="82"/>
  <c r="AG20" i="82"/>
  <c r="R20" i="82"/>
  <c r="AG14" i="82"/>
  <c r="R14" i="82"/>
  <c r="AG8" i="82"/>
  <c r="R8" i="82"/>
  <c r="AG44" i="82"/>
  <c r="R44" i="82"/>
  <c r="J11" i="67"/>
  <c r="I11" i="67"/>
  <c r="K16" i="67" l="1"/>
  <c r="J7" i="82" l="1"/>
  <c r="K7" i="82" s="1"/>
  <c r="L14" i="82" l="1"/>
  <c r="L16" i="82"/>
  <c r="L20" i="82"/>
  <c r="L22" i="82"/>
  <c r="L23" i="82"/>
  <c r="L26" i="82"/>
  <c r="L28" i="82"/>
  <c r="L32" i="82"/>
  <c r="L34" i="82"/>
  <c r="L40" i="82"/>
  <c r="L52" i="82"/>
  <c r="L88" i="82"/>
  <c r="J11" i="82"/>
  <c r="K11" i="82" l="1"/>
  <c r="P11" i="82" s="1"/>
  <c r="K12" i="67"/>
  <c r="P38" i="82"/>
  <c r="L38" i="82"/>
  <c r="P37" i="82"/>
  <c r="L37" i="82"/>
  <c r="P16" i="82"/>
  <c r="P14" i="82"/>
  <c r="P70" i="82"/>
  <c r="L70" i="82"/>
  <c r="P64" i="82"/>
  <c r="L64" i="82"/>
  <c r="P58" i="82"/>
  <c r="L58" i="82"/>
  <c r="P93" i="82"/>
  <c r="L93" i="82"/>
  <c r="P75" i="82"/>
  <c r="L75" i="82"/>
  <c r="P69" i="82"/>
  <c r="L69" i="82"/>
  <c r="P57" i="82"/>
  <c r="L57" i="82"/>
  <c r="P51" i="82"/>
  <c r="L51" i="82"/>
  <c r="P45" i="82"/>
  <c r="L45" i="82"/>
  <c r="P92" i="82"/>
  <c r="L92" i="82"/>
  <c r="P80" i="82"/>
  <c r="L80" i="82"/>
  <c r="P74" i="82"/>
  <c r="L74" i="82"/>
  <c r="P68" i="82"/>
  <c r="L68" i="82"/>
  <c r="P62" i="82"/>
  <c r="L62" i="82"/>
  <c r="P56" i="82"/>
  <c r="L56" i="82"/>
  <c r="P44" i="82"/>
  <c r="L44" i="82"/>
  <c r="P91" i="82"/>
  <c r="L91" i="82"/>
  <c r="P85" i="82"/>
  <c r="L85" i="82"/>
  <c r="P79" i="82"/>
  <c r="L79" i="82"/>
  <c r="P73" i="82"/>
  <c r="L73" i="82"/>
  <c r="P67" i="82"/>
  <c r="L67" i="82"/>
  <c r="P61" i="82"/>
  <c r="L61" i="82"/>
  <c r="P55" i="82"/>
  <c r="L55" i="82"/>
  <c r="P49" i="82"/>
  <c r="L49" i="82"/>
  <c r="P96" i="82"/>
  <c r="L96" i="82"/>
  <c r="P90" i="82"/>
  <c r="L90" i="82"/>
  <c r="P84" i="82"/>
  <c r="L84" i="82"/>
  <c r="P78" i="82"/>
  <c r="L78" i="82"/>
  <c r="P72" i="82"/>
  <c r="L72" i="82"/>
  <c r="P66" i="82"/>
  <c r="L66" i="82"/>
  <c r="P60" i="82"/>
  <c r="L60" i="82"/>
  <c r="P54" i="82"/>
  <c r="L54" i="82"/>
  <c r="P48" i="82"/>
  <c r="L48" i="82"/>
  <c r="P95" i="82"/>
  <c r="L95" i="82"/>
  <c r="P89" i="82"/>
  <c r="L89" i="82"/>
  <c r="P83" i="82"/>
  <c r="L83" i="82"/>
  <c r="P77" i="82"/>
  <c r="L77" i="82"/>
  <c r="P71" i="82"/>
  <c r="L71" i="82"/>
  <c r="P65" i="82"/>
  <c r="L65" i="82"/>
  <c r="P59" i="82"/>
  <c r="L59" i="82"/>
  <c r="P53" i="82"/>
  <c r="L53" i="82"/>
  <c r="P47" i="82"/>
  <c r="L47" i="82"/>
  <c r="P88" i="82"/>
  <c r="P94" i="82"/>
  <c r="L94" i="82"/>
  <c r="P82" i="82"/>
  <c r="L82" i="82"/>
  <c r="P46" i="82"/>
  <c r="L46" i="82"/>
  <c r="P87" i="82"/>
  <c r="L87" i="82"/>
  <c r="P81" i="82"/>
  <c r="L81" i="82"/>
  <c r="P63" i="82"/>
  <c r="L63" i="82"/>
  <c r="P52" i="82"/>
  <c r="P86" i="82"/>
  <c r="L86" i="82"/>
  <c r="P50" i="82"/>
  <c r="L50" i="82"/>
  <c r="P43" i="82"/>
  <c r="L43" i="82"/>
  <c r="P42" i="82"/>
  <c r="L42" i="82"/>
  <c r="P41" i="82"/>
  <c r="L41" i="82"/>
  <c r="P40" i="82"/>
  <c r="P39" i="82"/>
  <c r="L39" i="82"/>
  <c r="P36" i="82"/>
  <c r="L36" i="82"/>
  <c r="P35" i="82"/>
  <c r="L35" i="82"/>
  <c r="P33" i="82"/>
  <c r="L33" i="82"/>
  <c r="P31" i="82"/>
  <c r="L31" i="82"/>
  <c r="P19" i="82"/>
  <c r="L19" i="82"/>
  <c r="P18" i="82"/>
  <c r="L18" i="82"/>
  <c r="P17" i="82"/>
  <c r="L17" i="82"/>
  <c r="P27" i="82"/>
  <c r="L27" i="82"/>
  <c r="P15" i="82"/>
  <c r="L15" i="82"/>
  <c r="P25" i="82"/>
  <c r="L25" i="82"/>
  <c r="P13" i="82"/>
  <c r="L13" i="82"/>
  <c r="P34" i="82"/>
  <c r="P24" i="82"/>
  <c r="L24" i="82"/>
  <c r="P12" i="82"/>
  <c r="L12" i="82"/>
  <c r="P32" i="82"/>
  <c r="P28" i="82"/>
  <c r="P26" i="82"/>
  <c r="P30" i="82"/>
  <c r="L30" i="82"/>
  <c r="P29" i="82"/>
  <c r="L29" i="82"/>
  <c r="P23" i="82"/>
  <c r="P22" i="82"/>
  <c r="P21" i="82"/>
  <c r="L21" i="82"/>
  <c r="P20" i="82"/>
  <c r="J10" i="82"/>
  <c r="K10" i="82" s="1"/>
  <c r="K15" i="67" l="1"/>
  <c r="O682" i="63" l="1"/>
  <c r="E2"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0"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3" i="63"/>
  <c r="B174" i="63"/>
  <c r="B175" i="63"/>
  <c r="B176" i="63"/>
  <c r="B177" i="63"/>
  <c r="B178" i="63"/>
  <c r="B179" i="63"/>
  <c r="B180" i="63"/>
  <c r="B181" i="63"/>
  <c r="B182" i="63"/>
  <c r="B183" i="63"/>
  <c r="B184" i="63"/>
  <c r="B185" i="63"/>
  <c r="B186" i="63"/>
  <c r="B187" i="63"/>
  <c r="B188" i="63"/>
  <c r="B189" i="63"/>
  <c r="B190" i="63"/>
  <c r="B191" i="63"/>
  <c r="B192" i="63"/>
  <c r="B193" i="63"/>
  <c r="B194" i="63"/>
  <c r="B195" i="63"/>
  <c r="B196" i="63"/>
  <c r="B197" i="63"/>
  <c r="B198" i="63"/>
  <c r="B199" i="63"/>
  <c r="B200" i="63"/>
  <c r="B201" i="63"/>
  <c r="B202" i="63"/>
  <c r="B203" i="63"/>
  <c r="B204" i="63"/>
  <c r="J9" i="82"/>
  <c r="K9" i="82" s="1"/>
  <c r="L10" i="82"/>
  <c r="L11" i="82"/>
  <c r="L7" i="82"/>
  <c r="J8" i="82"/>
  <c r="J6" i="82"/>
  <c r="K8" i="82" l="1"/>
  <c r="L8" i="82" s="1"/>
  <c r="K6" i="82"/>
  <c r="L6" i="82" s="1"/>
  <c r="P10" i="82"/>
  <c r="L9" i="82"/>
  <c r="P9" i="82"/>
  <c r="P7" i="82"/>
  <c r="P8" i="82" l="1"/>
  <c r="B6" i="65"/>
  <c r="B3" i="63" l="1"/>
  <c r="B4" i="63"/>
  <c r="B5" i="63"/>
  <c r="B6" i="63"/>
  <c r="B7" i="63"/>
  <c r="B8" i="63"/>
  <c r="B9" i="63"/>
  <c r="B10" i="63"/>
  <c r="B11" i="63"/>
  <c r="B12" i="63"/>
  <c r="B13" i="63"/>
  <c r="B14" i="63"/>
  <c r="B15" i="63"/>
  <c r="B16" i="63"/>
  <c r="B17" i="63"/>
  <c r="B18" i="63"/>
  <c r="B19" i="63"/>
  <c r="B20" i="63"/>
  <c r="B21" i="63"/>
  <c r="B22" i="63"/>
  <c r="B23" i="63"/>
  <c r="B24" i="63"/>
  <c r="B25" i="63"/>
  <c r="B26" i="63"/>
  <c r="B27" i="63"/>
  <c r="B28" i="63"/>
  <c r="B29" i="63"/>
  <c r="B30" i="63"/>
  <c r="B31" i="63"/>
  <c r="B32" i="63"/>
  <c r="B33" i="63"/>
  <c r="B34" i="63"/>
  <c r="B35" i="63"/>
  <c r="B36" i="63"/>
  <c r="B37" i="63"/>
  <c r="B38" i="63"/>
  <c r="B39" i="63"/>
  <c r="L13" i="67" l="1"/>
  <c r="L14" i="67" s="1"/>
  <c r="L8" i="67"/>
  <c r="B8" i="67"/>
  <c r="K8" i="67" l="1"/>
  <c r="K13" i="67"/>
  <c r="K14" i="67" s="1"/>
  <c r="K17" i="67" s="1"/>
  <c r="J13" i="67"/>
  <c r="J14" i="67" s="1"/>
  <c r="J8" i="67"/>
  <c r="I13" i="67"/>
  <c r="I14" i="67" s="1"/>
  <c r="I8" i="67"/>
  <c r="P6" i="82" l="1"/>
  <c r="J4" i="82"/>
  <c r="K4" i="82" s="1"/>
  <c r="P4" i="82" s="1"/>
  <c r="J5" i="82"/>
  <c r="K5" i="82" l="1"/>
  <c r="L5" i="82" s="1"/>
  <c r="L4" i="82"/>
  <c r="P5" i="82" l="1"/>
  <c r="J3" i="82"/>
  <c r="K3" i="82" s="1"/>
  <c r="K6" i="65"/>
  <c r="P3" i="82" l="1"/>
  <c r="L3" i="82"/>
  <c r="K7" i="65" l="1"/>
  <c r="J6" i="65" l="1"/>
  <c r="I6" i="65" l="1"/>
  <c r="H6" i="65" l="1"/>
  <c r="H7" i="65" l="1"/>
  <c r="G6" i="65" l="1"/>
  <c r="G7" i="65" l="1"/>
  <c r="F6" i="65" l="1"/>
  <c r="F7" i="65" l="1"/>
  <c r="E6" i="65" l="1"/>
  <c r="E7" i="65" l="1"/>
  <c r="D6" i="65"/>
  <c r="D7" i="65" l="1"/>
  <c r="D8" i="65" s="1"/>
  <c r="AH11" i="81"/>
  <c r="J11" i="81"/>
  <c r="O11" i="81" s="1"/>
  <c r="AH10" i="81"/>
  <c r="AH9" i="81"/>
  <c r="AO9" i="58"/>
  <c r="AO10" i="58"/>
  <c r="AO11" i="58"/>
  <c r="AP11" i="58"/>
  <c r="AP10" i="58"/>
  <c r="K11" i="81" l="1"/>
  <c r="AI11" i="81" s="1"/>
  <c r="AF4" i="77" l="1"/>
  <c r="AF5" i="77"/>
  <c r="AF6" i="77"/>
  <c r="AF7" i="77"/>
  <c r="AF8" i="77"/>
  <c r="AF9" i="77"/>
  <c r="AF10" i="77"/>
  <c r="AF11" i="77"/>
  <c r="AF12" i="77"/>
  <c r="AF13" i="77"/>
  <c r="AE4" i="77"/>
  <c r="AE5" i="77"/>
  <c r="AE6" i="77"/>
  <c r="AE7" i="77"/>
  <c r="AE8" i="77"/>
  <c r="AE9" i="77"/>
  <c r="AE10" i="77"/>
  <c r="AE11" i="77"/>
  <c r="AE12" i="77"/>
  <c r="AP9" i="58"/>
  <c r="AH8" i="81"/>
  <c r="AH7" i="81" l="1"/>
  <c r="AP4" i="58"/>
  <c r="AP5" i="58"/>
  <c r="AP6" i="58"/>
  <c r="AP7" i="58"/>
  <c r="AP8" i="58"/>
  <c r="AO4" i="58"/>
  <c r="AO5" i="58"/>
  <c r="AO6" i="58"/>
  <c r="AO7" i="58"/>
  <c r="AO8" i="58"/>
  <c r="AH6" i="81" l="1"/>
  <c r="AG6" i="81"/>
  <c r="AH4" i="81" l="1"/>
  <c r="AH5" i="81"/>
  <c r="AG4" i="81"/>
  <c r="AG5" i="81"/>
  <c r="J4" i="81"/>
  <c r="K4" i="81" s="1"/>
  <c r="J5" i="81"/>
  <c r="K5" i="81" s="1"/>
  <c r="J6" i="81"/>
  <c r="K6" i="81" s="1"/>
  <c r="J7" i="81"/>
  <c r="K7" i="81" s="1"/>
  <c r="J8" i="81"/>
  <c r="K8" i="81" s="1"/>
  <c r="J9" i="81"/>
  <c r="O9" i="81" s="1"/>
  <c r="J10" i="81"/>
  <c r="J4" i="77"/>
  <c r="O4" i="77" s="1"/>
  <c r="J5" i="77"/>
  <c r="K5" i="77" s="1"/>
  <c r="J6" i="77"/>
  <c r="O6" i="77" s="1"/>
  <c r="J7" i="77"/>
  <c r="K7" i="77" s="1"/>
  <c r="J8" i="77"/>
  <c r="K8" i="77" s="1"/>
  <c r="J9" i="77"/>
  <c r="O9" i="77" s="1"/>
  <c r="J10" i="77"/>
  <c r="K10" i="77" s="1"/>
  <c r="J11" i="77"/>
  <c r="J12" i="77"/>
  <c r="K12" i="77" s="1"/>
  <c r="AG12" i="77" s="1"/>
  <c r="J13" i="77"/>
  <c r="K13" i="77" s="1"/>
  <c r="AG13" i="77" s="1"/>
  <c r="J4" i="58"/>
  <c r="O4" i="58" s="1"/>
  <c r="J5" i="58"/>
  <c r="O5" i="58" s="1"/>
  <c r="J6" i="58"/>
  <c r="O6" i="58" s="1"/>
  <c r="J7" i="58"/>
  <c r="O7" i="58" s="1"/>
  <c r="J8" i="58"/>
  <c r="O8" i="58" s="1"/>
  <c r="J9" i="58"/>
  <c r="K9" i="58" s="1"/>
  <c r="J10" i="58"/>
  <c r="O10" i="58" s="1"/>
  <c r="J11" i="58"/>
  <c r="J12" i="58"/>
  <c r="K12" i="58" s="1"/>
  <c r="J13" i="58"/>
  <c r="K13" i="58" s="1"/>
  <c r="J14" i="58"/>
  <c r="K14" i="58" s="1"/>
  <c r="J15" i="58"/>
  <c r="K15" i="58" s="1"/>
  <c r="J16" i="58"/>
  <c r="K16" i="58" s="1"/>
  <c r="AF4" i="80"/>
  <c r="AF5" i="80"/>
  <c r="AF6" i="80"/>
  <c r="AF7" i="80"/>
  <c r="AF8" i="80"/>
  <c r="AF9" i="80"/>
  <c r="AF10" i="80"/>
  <c r="AF11" i="80"/>
  <c r="AF12" i="80"/>
  <c r="AE4" i="80"/>
  <c r="AE5" i="80"/>
  <c r="AE6" i="80"/>
  <c r="AE7" i="80"/>
  <c r="AE8" i="80"/>
  <c r="AE9" i="80"/>
  <c r="AE10" i="80"/>
  <c r="AE11" i="80"/>
  <c r="J4" i="80"/>
  <c r="O4" i="80" s="1"/>
  <c r="J5" i="80"/>
  <c r="K5" i="80" s="1"/>
  <c r="J6" i="80"/>
  <c r="K6" i="80" s="1"/>
  <c r="J7" i="80"/>
  <c r="O7" i="80" s="1"/>
  <c r="J8" i="80"/>
  <c r="K8" i="80" s="1"/>
  <c r="J9" i="80"/>
  <c r="K9" i="80" s="1"/>
  <c r="J10" i="80"/>
  <c r="K10" i="80" s="1"/>
  <c r="J11" i="80"/>
  <c r="K11" i="80" s="1"/>
  <c r="J12" i="80"/>
  <c r="K12" i="80" s="1"/>
  <c r="J13" i="80"/>
  <c r="K13" i="80" s="1"/>
  <c r="J14" i="80"/>
  <c r="K14" i="80" s="1"/>
  <c r="J15" i="80"/>
  <c r="K15" i="80" s="1"/>
  <c r="K5" i="58" l="1"/>
  <c r="K6" i="77"/>
  <c r="AG6" i="77" s="1"/>
  <c r="K9" i="81"/>
  <c r="AI9" i="81" s="1"/>
  <c r="K7" i="80"/>
  <c r="AG7" i="80" s="1"/>
  <c r="K9" i="77"/>
  <c r="AG9" i="77" s="1"/>
  <c r="O8" i="81"/>
  <c r="AI8" i="81" s="1"/>
  <c r="K6" i="58"/>
  <c r="O5" i="81"/>
  <c r="AI5" i="81" s="1"/>
  <c r="K10" i="81"/>
  <c r="O10" i="81"/>
  <c r="K4" i="80"/>
  <c r="AG4" i="80" s="1"/>
  <c r="K11" i="58"/>
  <c r="O11" i="58"/>
  <c r="K4" i="77"/>
  <c r="AG4" i="77" s="1"/>
  <c r="O9" i="80"/>
  <c r="AG9" i="80" s="1"/>
  <c r="K11" i="77"/>
  <c r="O11" i="77"/>
  <c r="O10" i="77"/>
  <c r="AG10" i="77" s="1"/>
  <c r="K10" i="58"/>
  <c r="O11" i="80"/>
  <c r="O10" i="80"/>
  <c r="AG10" i="80" s="1"/>
  <c r="O9" i="58"/>
  <c r="O8" i="77"/>
  <c r="AG8" i="77" s="1"/>
  <c r="K8" i="58"/>
  <c r="O8" i="80"/>
  <c r="AG8" i="80" s="1"/>
  <c r="O7" i="81"/>
  <c r="AI7" i="81" s="1"/>
  <c r="O7" i="77"/>
  <c r="AG7" i="77" s="1"/>
  <c r="K7" i="58"/>
  <c r="O6" i="81"/>
  <c r="AI6" i="81" s="1"/>
  <c r="O6" i="80"/>
  <c r="AG6" i="80" s="1"/>
  <c r="O5" i="77"/>
  <c r="AG5" i="77" s="1"/>
  <c r="K4" i="58"/>
  <c r="O5" i="80"/>
  <c r="AG5" i="80" s="1"/>
  <c r="O4" i="81"/>
  <c r="AI4" i="81" s="1"/>
  <c r="I3" i="81"/>
  <c r="AC3" i="80"/>
  <c r="AI10" i="81" l="1"/>
  <c r="AG11" i="77"/>
  <c r="C6" i="65"/>
  <c r="C7" i="65" l="1"/>
  <c r="M15" i="65" l="1"/>
  <c r="L6" i="65" l="1"/>
  <c r="M12" i="65" l="1"/>
  <c r="M13" i="65"/>
  <c r="M14" i="65" s="1"/>
  <c r="M16" i="65"/>
  <c r="M17" i="65" l="1"/>
  <c r="N11" i="67" l="1"/>
  <c r="K11" i="65" l="1"/>
  <c r="J11" i="65"/>
  <c r="J10" i="65"/>
  <c r="J9" i="65" l="1"/>
  <c r="N8" i="67" l="1"/>
  <c r="N13" i="67"/>
  <c r="N14" i="67"/>
  <c r="J7" i="65"/>
  <c r="I7" i="65"/>
  <c r="L7" i="65" l="1"/>
  <c r="L13" i="65" s="1"/>
  <c r="L14" i="65" s="1"/>
  <c r="I11" i="65" l="1"/>
  <c r="I9" i="65" l="1"/>
  <c r="L11" i="65" l="1"/>
  <c r="K13" i="65"/>
  <c r="K14" i="65" s="1"/>
  <c r="L9" i="65" l="1"/>
  <c r="J13" i="65"/>
  <c r="J14" i="65" s="1"/>
  <c r="I10" i="65" l="1"/>
  <c r="L10" i="65" l="1"/>
  <c r="L15" i="65" s="1"/>
  <c r="L12" i="65" l="1"/>
  <c r="L16" i="65"/>
  <c r="L17" i="65" l="1"/>
  <c r="G13" i="65" l="1"/>
  <c r="G14" i="65" s="1"/>
  <c r="H10" i="65" l="1"/>
  <c r="H11" i="65"/>
  <c r="H9" i="65" l="1"/>
  <c r="J16" i="65" l="1"/>
  <c r="J12" i="65"/>
  <c r="I16" i="65"/>
  <c r="I12" i="65"/>
  <c r="H12" i="65"/>
  <c r="I15" i="65"/>
  <c r="H15" i="65" l="1"/>
  <c r="J15" i="65"/>
  <c r="J17" i="65" s="1"/>
  <c r="H16" i="65"/>
  <c r="AD3" i="77" l="1"/>
  <c r="G11" i="65" l="1"/>
  <c r="F11" i="65"/>
  <c r="G10" i="65" l="1"/>
  <c r="F10" i="65"/>
  <c r="G9" i="65" l="1"/>
  <c r="F9" i="65"/>
  <c r="G12" i="65"/>
  <c r="F16" i="65"/>
  <c r="G16" i="65" l="1"/>
  <c r="G15" i="65"/>
  <c r="F12" i="65"/>
  <c r="F15" i="65"/>
  <c r="G17" i="65" l="1"/>
  <c r="E11" i="65"/>
  <c r="H13" i="65" l="1"/>
  <c r="H14" i="65" s="1"/>
  <c r="H17" i="65" s="1"/>
  <c r="F13" i="65"/>
  <c r="F14" i="65" s="1"/>
  <c r="F17" i="65" s="1"/>
  <c r="E13" i="65"/>
  <c r="E14" i="65" s="1"/>
  <c r="I13" i="65"/>
  <c r="I14" i="65" s="1"/>
  <c r="I17" i="65" s="1"/>
  <c r="AM3" i="58" l="1"/>
  <c r="AD3" i="80"/>
  <c r="AE3" i="80" s="1"/>
  <c r="D13" i="65" l="1"/>
  <c r="D14" i="65" s="1"/>
  <c r="D11" i="65" l="1"/>
  <c r="J3" i="81" l="1"/>
  <c r="C11" i="65" l="1"/>
  <c r="B11" i="65" l="1"/>
  <c r="C13" i="65"/>
  <c r="C14" i="65" s="1"/>
  <c r="B7" i="65" l="1"/>
  <c r="AG3" i="81"/>
  <c r="AH3" i="81"/>
  <c r="K3" i="81"/>
  <c r="O3" i="81"/>
  <c r="AF3" i="81"/>
  <c r="AE3" i="77"/>
  <c r="AF3" i="77"/>
  <c r="J3" i="77"/>
  <c r="O3" i="77" s="1"/>
  <c r="AO3" i="58"/>
  <c r="P3" i="58" s="1"/>
  <c r="Q3" i="58"/>
  <c r="AN3" i="58"/>
  <c r="AN478" i="58"/>
  <c r="Q479" i="80"/>
  <c r="P479" i="80"/>
  <c r="I479" i="80"/>
  <c r="J479" i="80" s="1"/>
  <c r="K479" i="80" s="1"/>
  <c r="Q478" i="80"/>
  <c r="P478" i="80"/>
  <c r="I478" i="80"/>
  <c r="J478" i="80" s="1"/>
  <c r="Q477" i="80"/>
  <c r="P477" i="80"/>
  <c r="I477" i="80"/>
  <c r="J477" i="80" s="1"/>
  <c r="O477" i="80" s="1"/>
  <c r="Q476" i="80"/>
  <c r="P476" i="80"/>
  <c r="I476" i="80"/>
  <c r="J476" i="80" s="1"/>
  <c r="Q475" i="80"/>
  <c r="P475" i="80"/>
  <c r="I475" i="80"/>
  <c r="J475" i="80" s="1"/>
  <c r="O475" i="80" s="1"/>
  <c r="Q474" i="80"/>
  <c r="P474" i="80"/>
  <c r="I474" i="80"/>
  <c r="J474" i="80" s="1"/>
  <c r="K474" i="80" s="1"/>
  <c r="Q473" i="80"/>
  <c r="P473" i="80"/>
  <c r="I473" i="80"/>
  <c r="J473" i="80" s="1"/>
  <c r="O473" i="80" s="1"/>
  <c r="Q472" i="80"/>
  <c r="P472" i="80"/>
  <c r="I472" i="80"/>
  <c r="J472" i="80" s="1"/>
  <c r="O472" i="80" s="1"/>
  <c r="Q471" i="80"/>
  <c r="P471" i="80"/>
  <c r="I471" i="80"/>
  <c r="J471" i="80" s="1"/>
  <c r="O471" i="80" s="1"/>
  <c r="Q470" i="80"/>
  <c r="P470" i="80"/>
  <c r="I470" i="80"/>
  <c r="J470" i="80" s="1"/>
  <c r="Q469" i="80"/>
  <c r="P469" i="80"/>
  <c r="I469" i="80"/>
  <c r="J469" i="80" s="1"/>
  <c r="O469" i="80" s="1"/>
  <c r="Q468" i="80"/>
  <c r="P468" i="80"/>
  <c r="I468" i="80"/>
  <c r="J468" i="80" s="1"/>
  <c r="O468" i="80" s="1"/>
  <c r="Q467" i="80"/>
  <c r="P467" i="80"/>
  <c r="I467" i="80"/>
  <c r="J467" i="80" s="1"/>
  <c r="K467" i="80" s="1"/>
  <c r="Q466" i="80"/>
  <c r="P466" i="80"/>
  <c r="I466" i="80"/>
  <c r="J466" i="80" s="1"/>
  <c r="O466" i="80" s="1"/>
  <c r="Q465" i="80"/>
  <c r="P465" i="80"/>
  <c r="I465" i="80"/>
  <c r="J465" i="80" s="1"/>
  <c r="Q464" i="80"/>
  <c r="P464" i="80"/>
  <c r="I464" i="80"/>
  <c r="J464" i="80" s="1"/>
  <c r="O464" i="80" s="1"/>
  <c r="Q463" i="80"/>
  <c r="P463" i="80"/>
  <c r="I463" i="80"/>
  <c r="J463" i="80" s="1"/>
  <c r="Q462" i="80"/>
  <c r="P462" i="80"/>
  <c r="I462" i="80"/>
  <c r="J462" i="80" s="1"/>
  <c r="K462" i="80" s="1"/>
  <c r="Q461" i="80"/>
  <c r="P461" i="80"/>
  <c r="I461" i="80"/>
  <c r="J461" i="80" s="1"/>
  <c r="O461" i="80" s="1"/>
  <c r="Q460" i="80"/>
  <c r="P460" i="80"/>
  <c r="I460" i="80"/>
  <c r="J460" i="80" s="1"/>
  <c r="O460" i="80" s="1"/>
  <c r="Q459" i="80"/>
  <c r="P459" i="80"/>
  <c r="I459" i="80"/>
  <c r="J459" i="80" s="1"/>
  <c r="Q458" i="80"/>
  <c r="P458" i="80"/>
  <c r="I458" i="80"/>
  <c r="J458" i="80" s="1"/>
  <c r="O458" i="80" s="1"/>
  <c r="Q457" i="80"/>
  <c r="P457" i="80"/>
  <c r="I457" i="80"/>
  <c r="J457" i="80" s="1"/>
  <c r="O457" i="80" s="1"/>
  <c r="Q456" i="80"/>
  <c r="P456" i="80"/>
  <c r="I456" i="80"/>
  <c r="J456" i="80" s="1"/>
  <c r="O456" i="80" s="1"/>
  <c r="Q455" i="80"/>
  <c r="P455" i="80"/>
  <c r="I455" i="80"/>
  <c r="J455" i="80" s="1"/>
  <c r="K455" i="80" s="1"/>
  <c r="Q454" i="80"/>
  <c r="P454" i="80"/>
  <c r="I454" i="80"/>
  <c r="J454" i="80" s="1"/>
  <c r="Q453" i="80"/>
  <c r="P453" i="80"/>
  <c r="I453" i="80"/>
  <c r="J453" i="80" s="1"/>
  <c r="O453" i="80" s="1"/>
  <c r="Q452" i="80"/>
  <c r="P452" i="80"/>
  <c r="I452" i="80"/>
  <c r="J452" i="80" s="1"/>
  <c r="K452" i="80" s="1"/>
  <c r="Q451" i="80"/>
  <c r="P451" i="80"/>
  <c r="I451" i="80"/>
  <c r="J451" i="80" s="1"/>
  <c r="O451" i="80" s="1"/>
  <c r="Q450" i="80"/>
  <c r="P450" i="80"/>
  <c r="I450" i="80"/>
  <c r="J450" i="80" s="1"/>
  <c r="K450" i="80" s="1"/>
  <c r="Q449" i="80"/>
  <c r="P449" i="80"/>
  <c r="I449" i="80"/>
  <c r="J449" i="80" s="1"/>
  <c r="O449" i="80" s="1"/>
  <c r="Q448" i="80"/>
  <c r="P448" i="80"/>
  <c r="I448" i="80"/>
  <c r="J448" i="80" s="1"/>
  <c r="K448" i="80" s="1"/>
  <c r="Q447" i="80"/>
  <c r="P447" i="80"/>
  <c r="I447" i="80"/>
  <c r="J447" i="80" s="1"/>
  <c r="O447" i="80" s="1"/>
  <c r="Q446" i="80"/>
  <c r="P446" i="80"/>
  <c r="I446" i="80"/>
  <c r="J446" i="80" s="1"/>
  <c r="O446" i="80" s="1"/>
  <c r="Q445" i="80"/>
  <c r="P445" i="80"/>
  <c r="I445" i="80"/>
  <c r="J445" i="80" s="1"/>
  <c r="K445" i="80" s="1"/>
  <c r="Q444" i="80"/>
  <c r="P444" i="80"/>
  <c r="I444" i="80"/>
  <c r="J444" i="80" s="1"/>
  <c r="K444" i="80" s="1"/>
  <c r="Q443" i="80"/>
  <c r="P443" i="80"/>
  <c r="I443" i="80"/>
  <c r="J443" i="80" s="1"/>
  <c r="O443" i="80" s="1"/>
  <c r="Q442" i="80"/>
  <c r="P442" i="80"/>
  <c r="I442" i="80"/>
  <c r="J442" i="80" s="1"/>
  <c r="Q441" i="80"/>
  <c r="P441" i="80"/>
  <c r="I441" i="80"/>
  <c r="J441" i="80" s="1"/>
  <c r="O441" i="80" s="1"/>
  <c r="Q440" i="80"/>
  <c r="P440" i="80"/>
  <c r="I440" i="80"/>
  <c r="J440" i="80" s="1"/>
  <c r="K440" i="80" s="1"/>
  <c r="Q439" i="80"/>
  <c r="P439" i="80"/>
  <c r="I439" i="80"/>
  <c r="J439" i="80" s="1"/>
  <c r="Q438" i="80"/>
  <c r="P438" i="80"/>
  <c r="I438" i="80"/>
  <c r="J438" i="80" s="1"/>
  <c r="K438" i="80" s="1"/>
  <c r="Q437" i="80"/>
  <c r="P437" i="80"/>
  <c r="I437" i="80"/>
  <c r="J437" i="80" s="1"/>
  <c r="Q436" i="80"/>
  <c r="P436" i="80"/>
  <c r="I436" i="80"/>
  <c r="J436" i="80" s="1"/>
  <c r="O436" i="80" s="1"/>
  <c r="Q435" i="80"/>
  <c r="P435" i="80"/>
  <c r="I435" i="80"/>
  <c r="J435" i="80" s="1"/>
  <c r="K435" i="80" s="1"/>
  <c r="Q434" i="80"/>
  <c r="P434" i="80"/>
  <c r="I434" i="80"/>
  <c r="J434" i="80" s="1"/>
  <c r="O434" i="80" s="1"/>
  <c r="Q433" i="80"/>
  <c r="P433" i="80"/>
  <c r="I433" i="80"/>
  <c r="J433" i="80" s="1"/>
  <c r="O433" i="80" s="1"/>
  <c r="Q432" i="80"/>
  <c r="P432" i="80"/>
  <c r="I432" i="80"/>
  <c r="J432" i="80" s="1"/>
  <c r="Q431" i="80"/>
  <c r="P431" i="80"/>
  <c r="I431" i="80"/>
  <c r="J431" i="80" s="1"/>
  <c r="Q430" i="80"/>
  <c r="P430" i="80"/>
  <c r="I430" i="80"/>
  <c r="J430" i="80" s="1"/>
  <c r="K430" i="80" s="1"/>
  <c r="Q429" i="80"/>
  <c r="P429" i="80"/>
  <c r="I429" i="80"/>
  <c r="J429" i="80" s="1"/>
  <c r="K429" i="80" s="1"/>
  <c r="Q428" i="80"/>
  <c r="P428" i="80"/>
  <c r="I428" i="80"/>
  <c r="J428" i="80" s="1"/>
  <c r="K428" i="80" s="1"/>
  <c r="Q427" i="80"/>
  <c r="P427" i="80"/>
  <c r="I427" i="80"/>
  <c r="J427" i="80" s="1"/>
  <c r="O427" i="80" s="1"/>
  <c r="Q426" i="80"/>
  <c r="P426" i="80"/>
  <c r="I426" i="80"/>
  <c r="J426" i="80" s="1"/>
  <c r="O426" i="80" s="1"/>
  <c r="Q425" i="80"/>
  <c r="P425" i="80"/>
  <c r="I425" i="80"/>
  <c r="J425" i="80" s="1"/>
  <c r="O425" i="80" s="1"/>
  <c r="Q424" i="80"/>
  <c r="P424" i="80"/>
  <c r="I424" i="80"/>
  <c r="J424" i="80" s="1"/>
  <c r="K424" i="80" s="1"/>
  <c r="Q423" i="80"/>
  <c r="P423" i="80"/>
  <c r="I423" i="80"/>
  <c r="J423" i="80" s="1"/>
  <c r="O423" i="80" s="1"/>
  <c r="Q422" i="80"/>
  <c r="P422" i="80"/>
  <c r="I422" i="80"/>
  <c r="J422" i="80" s="1"/>
  <c r="O422" i="80" s="1"/>
  <c r="Q421" i="80"/>
  <c r="P421" i="80"/>
  <c r="I421" i="80"/>
  <c r="J421" i="80" s="1"/>
  <c r="K421" i="80" s="1"/>
  <c r="Q420" i="80"/>
  <c r="P420" i="80"/>
  <c r="I420" i="80"/>
  <c r="J420" i="80" s="1"/>
  <c r="O420" i="80" s="1"/>
  <c r="Q419" i="80"/>
  <c r="P419" i="80"/>
  <c r="I419" i="80"/>
  <c r="J419" i="80" s="1"/>
  <c r="O419" i="80" s="1"/>
  <c r="Q418" i="80"/>
  <c r="P418" i="80"/>
  <c r="I418" i="80"/>
  <c r="J418" i="80" s="1"/>
  <c r="O418" i="80" s="1"/>
  <c r="Q417" i="80"/>
  <c r="P417" i="80"/>
  <c r="I417" i="80"/>
  <c r="J417" i="80" s="1"/>
  <c r="O417" i="80" s="1"/>
  <c r="Q416" i="80"/>
  <c r="P416" i="80"/>
  <c r="I416" i="80"/>
  <c r="J416" i="80" s="1"/>
  <c r="K416" i="80" s="1"/>
  <c r="Q415" i="80"/>
  <c r="P415" i="80"/>
  <c r="I415" i="80"/>
  <c r="J415" i="80" s="1"/>
  <c r="Q414" i="80"/>
  <c r="P414" i="80"/>
  <c r="I414" i="80"/>
  <c r="J414" i="80" s="1"/>
  <c r="O414" i="80" s="1"/>
  <c r="Q413" i="80"/>
  <c r="P413" i="80"/>
  <c r="I413" i="80"/>
  <c r="J413" i="80" s="1"/>
  <c r="K413" i="80" s="1"/>
  <c r="Q412" i="80"/>
  <c r="P412" i="80"/>
  <c r="I412" i="80"/>
  <c r="J412" i="80" s="1"/>
  <c r="K412" i="80" s="1"/>
  <c r="Q411" i="80"/>
  <c r="P411" i="80"/>
  <c r="I411" i="80"/>
  <c r="J411" i="80" s="1"/>
  <c r="K411" i="80" s="1"/>
  <c r="Q410" i="80"/>
  <c r="P410" i="80"/>
  <c r="I410" i="80"/>
  <c r="J410" i="80" s="1"/>
  <c r="O410" i="80" s="1"/>
  <c r="Q409" i="80"/>
  <c r="P409" i="80"/>
  <c r="I409" i="80"/>
  <c r="J409" i="80" s="1"/>
  <c r="O409" i="80" s="1"/>
  <c r="Q408" i="80"/>
  <c r="P408" i="80"/>
  <c r="I408" i="80"/>
  <c r="J408" i="80" s="1"/>
  <c r="Q407" i="80"/>
  <c r="P407" i="80"/>
  <c r="I407" i="80"/>
  <c r="J407" i="80" s="1"/>
  <c r="Q406" i="80"/>
  <c r="P406" i="80"/>
  <c r="I406" i="80"/>
  <c r="J406" i="80" s="1"/>
  <c r="O406" i="80" s="1"/>
  <c r="Q405" i="80"/>
  <c r="P405" i="80"/>
  <c r="I405" i="80"/>
  <c r="J405" i="80" s="1"/>
  <c r="K405" i="80" s="1"/>
  <c r="Q404" i="80"/>
  <c r="P404" i="80"/>
  <c r="I404" i="80"/>
  <c r="J404" i="80" s="1"/>
  <c r="K404" i="80" s="1"/>
  <c r="Q403" i="80"/>
  <c r="P403" i="80"/>
  <c r="I403" i="80"/>
  <c r="J403" i="80" s="1"/>
  <c r="Q402" i="80"/>
  <c r="P402" i="80"/>
  <c r="I402" i="80"/>
  <c r="J402" i="80" s="1"/>
  <c r="O402" i="80" s="1"/>
  <c r="Q401" i="80"/>
  <c r="P401" i="80"/>
  <c r="I401" i="80"/>
  <c r="J401" i="80" s="1"/>
  <c r="O401" i="80" s="1"/>
  <c r="Q400" i="80"/>
  <c r="P400" i="80"/>
  <c r="I400" i="80"/>
  <c r="J400" i="80" s="1"/>
  <c r="O400" i="80" s="1"/>
  <c r="Q399" i="80"/>
  <c r="P399" i="80"/>
  <c r="I399" i="80"/>
  <c r="J399" i="80" s="1"/>
  <c r="O399" i="80" s="1"/>
  <c r="Q398" i="80"/>
  <c r="P398" i="80"/>
  <c r="I398" i="80"/>
  <c r="J398" i="80" s="1"/>
  <c r="Q397" i="80"/>
  <c r="P397" i="80"/>
  <c r="I397" i="80"/>
  <c r="J397" i="80" s="1"/>
  <c r="Q396" i="80"/>
  <c r="P396" i="80"/>
  <c r="I396" i="80"/>
  <c r="J396" i="80" s="1"/>
  <c r="O396" i="80" s="1"/>
  <c r="Q395" i="80"/>
  <c r="P395" i="80"/>
  <c r="I395" i="80"/>
  <c r="J395" i="80" s="1"/>
  <c r="O395" i="80" s="1"/>
  <c r="Q394" i="80"/>
  <c r="P394" i="80"/>
  <c r="I394" i="80"/>
  <c r="J394" i="80" s="1"/>
  <c r="O394" i="80" s="1"/>
  <c r="Q393" i="80"/>
  <c r="P393" i="80"/>
  <c r="I393" i="80"/>
  <c r="J393" i="80" s="1"/>
  <c r="O393" i="80" s="1"/>
  <c r="Q392" i="80"/>
  <c r="P392" i="80"/>
  <c r="I392" i="80"/>
  <c r="J392" i="80" s="1"/>
  <c r="O392" i="80" s="1"/>
  <c r="Q391" i="80"/>
  <c r="P391" i="80"/>
  <c r="I391" i="80"/>
  <c r="J391" i="80" s="1"/>
  <c r="O391" i="80" s="1"/>
  <c r="Q390" i="80"/>
  <c r="P390" i="80"/>
  <c r="I390" i="80"/>
  <c r="J390" i="80" s="1"/>
  <c r="K390" i="80" s="1"/>
  <c r="Q389" i="80"/>
  <c r="P389" i="80"/>
  <c r="I389" i="80"/>
  <c r="J389" i="80" s="1"/>
  <c r="K389" i="80" s="1"/>
  <c r="Q388" i="80"/>
  <c r="P388" i="80"/>
  <c r="I388" i="80"/>
  <c r="J388" i="80" s="1"/>
  <c r="K388" i="80" s="1"/>
  <c r="Q387" i="80"/>
  <c r="P387" i="80"/>
  <c r="I387" i="80"/>
  <c r="J387" i="80" s="1"/>
  <c r="Q386" i="80"/>
  <c r="P386" i="80"/>
  <c r="I386" i="80"/>
  <c r="J386" i="80" s="1"/>
  <c r="K386" i="80" s="1"/>
  <c r="Q385" i="80"/>
  <c r="P385" i="80"/>
  <c r="I385" i="80"/>
  <c r="J385" i="80" s="1"/>
  <c r="Q384" i="80"/>
  <c r="P384" i="80"/>
  <c r="I384" i="80"/>
  <c r="J384" i="80" s="1"/>
  <c r="K384" i="80" s="1"/>
  <c r="Q383" i="80"/>
  <c r="P383" i="80"/>
  <c r="I383" i="80"/>
  <c r="J383" i="80" s="1"/>
  <c r="O383" i="80" s="1"/>
  <c r="Q382" i="80"/>
  <c r="P382" i="80"/>
  <c r="I382" i="80"/>
  <c r="J382" i="80" s="1"/>
  <c r="K382" i="80" s="1"/>
  <c r="Q381" i="80"/>
  <c r="P381" i="80"/>
  <c r="I381" i="80"/>
  <c r="J381" i="80" s="1"/>
  <c r="O381" i="80" s="1"/>
  <c r="Q380" i="80"/>
  <c r="P380" i="80"/>
  <c r="I380" i="80"/>
  <c r="J380" i="80" s="1"/>
  <c r="O380" i="80" s="1"/>
  <c r="Q379" i="80"/>
  <c r="P379" i="80"/>
  <c r="I379" i="80"/>
  <c r="J379" i="80" s="1"/>
  <c r="O379" i="80" s="1"/>
  <c r="Q378" i="80"/>
  <c r="P378" i="80"/>
  <c r="I378" i="80"/>
  <c r="J378" i="80" s="1"/>
  <c r="Q377" i="80"/>
  <c r="P377" i="80"/>
  <c r="I377" i="80"/>
  <c r="J377" i="80" s="1"/>
  <c r="Q376" i="80"/>
  <c r="P376" i="80"/>
  <c r="I376" i="80"/>
  <c r="J376" i="80" s="1"/>
  <c r="Q375" i="80"/>
  <c r="P375" i="80"/>
  <c r="I375" i="80"/>
  <c r="J375" i="80" s="1"/>
  <c r="Q374" i="80"/>
  <c r="P374" i="80"/>
  <c r="I374" i="80"/>
  <c r="J374" i="80" s="1"/>
  <c r="K374" i="80" s="1"/>
  <c r="Q373" i="80"/>
  <c r="P373" i="80"/>
  <c r="I373" i="80"/>
  <c r="J373" i="80" s="1"/>
  <c r="K373" i="80" s="1"/>
  <c r="Q372" i="80"/>
  <c r="P372" i="80"/>
  <c r="I372" i="80"/>
  <c r="J372" i="80" s="1"/>
  <c r="Q371" i="80"/>
  <c r="P371" i="80"/>
  <c r="I371" i="80"/>
  <c r="J371" i="80" s="1"/>
  <c r="K371" i="80" s="1"/>
  <c r="Q370" i="80"/>
  <c r="P370" i="80"/>
  <c r="I370" i="80"/>
  <c r="J370" i="80" s="1"/>
  <c r="O370" i="80" s="1"/>
  <c r="Q369" i="80"/>
  <c r="P369" i="80"/>
  <c r="I369" i="80"/>
  <c r="J369" i="80" s="1"/>
  <c r="K369" i="80" s="1"/>
  <c r="Q368" i="80"/>
  <c r="P368" i="80"/>
  <c r="I368" i="80"/>
  <c r="J368" i="80" s="1"/>
  <c r="Q367" i="80"/>
  <c r="P367" i="80"/>
  <c r="I367" i="80"/>
  <c r="J367" i="80" s="1"/>
  <c r="K367" i="80" s="1"/>
  <c r="Q366" i="80"/>
  <c r="P366" i="80"/>
  <c r="I366" i="80"/>
  <c r="J366" i="80" s="1"/>
  <c r="O366" i="80" s="1"/>
  <c r="Q365" i="80"/>
  <c r="P365" i="80"/>
  <c r="I365" i="80"/>
  <c r="J365" i="80" s="1"/>
  <c r="Q364" i="80"/>
  <c r="P364" i="80"/>
  <c r="I364" i="80"/>
  <c r="J364" i="80" s="1"/>
  <c r="K364" i="80" s="1"/>
  <c r="Q363" i="80"/>
  <c r="P363" i="80"/>
  <c r="I363" i="80"/>
  <c r="J363" i="80" s="1"/>
  <c r="K363" i="80" s="1"/>
  <c r="Q362" i="80"/>
  <c r="P362" i="80"/>
  <c r="I362" i="80"/>
  <c r="J362" i="80" s="1"/>
  <c r="K362" i="80" s="1"/>
  <c r="Q361" i="80"/>
  <c r="P361" i="80"/>
  <c r="I361" i="80"/>
  <c r="J361" i="80" s="1"/>
  <c r="K361" i="80" s="1"/>
  <c r="Q360" i="80"/>
  <c r="P360" i="80"/>
  <c r="I360" i="80"/>
  <c r="J360" i="80" s="1"/>
  <c r="O360" i="80" s="1"/>
  <c r="Q359" i="80"/>
  <c r="P359" i="80"/>
  <c r="I359" i="80"/>
  <c r="J359" i="80" s="1"/>
  <c r="O359" i="80" s="1"/>
  <c r="Q358" i="80"/>
  <c r="P358" i="80"/>
  <c r="I358" i="80"/>
  <c r="J358" i="80" s="1"/>
  <c r="Q357" i="80"/>
  <c r="P357" i="80"/>
  <c r="I357" i="80"/>
  <c r="J357" i="80" s="1"/>
  <c r="K357" i="80" s="1"/>
  <c r="Q356" i="80"/>
  <c r="P356" i="80"/>
  <c r="I356" i="80"/>
  <c r="J356" i="80" s="1"/>
  <c r="Q355" i="80"/>
  <c r="P355" i="80"/>
  <c r="I355" i="80"/>
  <c r="J355" i="80" s="1"/>
  <c r="O355" i="80" s="1"/>
  <c r="Q354" i="80"/>
  <c r="P354" i="80"/>
  <c r="I354" i="80"/>
  <c r="J354" i="80" s="1"/>
  <c r="K354" i="80" s="1"/>
  <c r="Q353" i="80"/>
  <c r="P353" i="80"/>
  <c r="I353" i="80"/>
  <c r="J353" i="80" s="1"/>
  <c r="O353" i="80" s="1"/>
  <c r="Q352" i="80"/>
  <c r="P352" i="80"/>
  <c r="I352" i="80"/>
  <c r="J352" i="80" s="1"/>
  <c r="K352" i="80" s="1"/>
  <c r="Q351" i="80"/>
  <c r="P351" i="80"/>
  <c r="I351" i="80"/>
  <c r="J351" i="80" s="1"/>
  <c r="O351" i="80" s="1"/>
  <c r="Q350" i="80"/>
  <c r="P350" i="80"/>
  <c r="I350" i="80"/>
  <c r="J350" i="80" s="1"/>
  <c r="Q349" i="80"/>
  <c r="P349" i="80"/>
  <c r="I349" i="80"/>
  <c r="J349" i="80" s="1"/>
  <c r="O349" i="80" s="1"/>
  <c r="Q348" i="80"/>
  <c r="P348" i="80"/>
  <c r="I348" i="80"/>
  <c r="J348" i="80" s="1"/>
  <c r="K348" i="80" s="1"/>
  <c r="Q347" i="80"/>
  <c r="P347" i="80"/>
  <c r="I347" i="80"/>
  <c r="J347" i="80" s="1"/>
  <c r="Q346" i="80"/>
  <c r="P346" i="80"/>
  <c r="I346" i="80"/>
  <c r="J346" i="80" s="1"/>
  <c r="K346" i="80" s="1"/>
  <c r="Q345" i="80"/>
  <c r="P345" i="80"/>
  <c r="I345" i="80"/>
  <c r="J345" i="80" s="1"/>
  <c r="K345" i="80" s="1"/>
  <c r="Q344" i="80"/>
  <c r="P344" i="80"/>
  <c r="I344" i="80"/>
  <c r="J344" i="80" s="1"/>
  <c r="O344" i="80" s="1"/>
  <c r="Q343" i="80"/>
  <c r="P343" i="80"/>
  <c r="I343" i="80"/>
  <c r="J343" i="80" s="1"/>
  <c r="O343" i="80" s="1"/>
  <c r="Q342" i="80"/>
  <c r="P342" i="80"/>
  <c r="I342" i="80"/>
  <c r="J342" i="80" s="1"/>
  <c r="K342" i="80" s="1"/>
  <c r="Q341" i="80"/>
  <c r="P341" i="80"/>
  <c r="I341" i="80"/>
  <c r="J341" i="80" s="1"/>
  <c r="O341" i="80" s="1"/>
  <c r="Q340" i="80"/>
  <c r="P340" i="80"/>
  <c r="I340" i="80"/>
  <c r="J340" i="80" s="1"/>
  <c r="Q339" i="80"/>
  <c r="P339" i="80"/>
  <c r="I339" i="80"/>
  <c r="J339" i="80" s="1"/>
  <c r="O339" i="80" s="1"/>
  <c r="Q338" i="80"/>
  <c r="P338" i="80"/>
  <c r="I338" i="80"/>
  <c r="J338" i="80" s="1"/>
  <c r="O338" i="80" s="1"/>
  <c r="Q337" i="80"/>
  <c r="P337" i="80"/>
  <c r="I337" i="80"/>
  <c r="J337" i="80" s="1"/>
  <c r="K337" i="80" s="1"/>
  <c r="Q336" i="80"/>
  <c r="P336" i="80"/>
  <c r="I336" i="80"/>
  <c r="J336" i="80" s="1"/>
  <c r="O336" i="80" s="1"/>
  <c r="Q335" i="80"/>
  <c r="P335" i="80"/>
  <c r="I335" i="80"/>
  <c r="J335" i="80" s="1"/>
  <c r="O335" i="80" s="1"/>
  <c r="Q334" i="80"/>
  <c r="P334" i="80"/>
  <c r="I334" i="80"/>
  <c r="J334" i="80" s="1"/>
  <c r="Q333" i="80"/>
  <c r="P333" i="80"/>
  <c r="I333" i="80"/>
  <c r="J333" i="80" s="1"/>
  <c r="O333" i="80" s="1"/>
  <c r="Q332" i="80"/>
  <c r="P332" i="80"/>
  <c r="I332" i="80"/>
  <c r="J332" i="80" s="1"/>
  <c r="K332" i="80" s="1"/>
  <c r="Q331" i="80"/>
  <c r="P331" i="80"/>
  <c r="I331" i="80"/>
  <c r="J331" i="80" s="1"/>
  <c r="O331" i="80" s="1"/>
  <c r="Q330" i="80"/>
  <c r="P330" i="80"/>
  <c r="I330" i="80"/>
  <c r="J330" i="80" s="1"/>
  <c r="Q329" i="80"/>
  <c r="P329" i="80"/>
  <c r="I329" i="80"/>
  <c r="J329" i="80" s="1"/>
  <c r="O329" i="80" s="1"/>
  <c r="Q328" i="80"/>
  <c r="P328" i="80"/>
  <c r="I328" i="80"/>
  <c r="J328" i="80" s="1"/>
  <c r="O328" i="80" s="1"/>
  <c r="Q327" i="80"/>
  <c r="P327" i="80"/>
  <c r="I327" i="80"/>
  <c r="J327" i="80" s="1"/>
  <c r="O327" i="80" s="1"/>
  <c r="Q326" i="80"/>
  <c r="P326" i="80"/>
  <c r="I326" i="80"/>
  <c r="J326" i="80" s="1"/>
  <c r="Q325" i="80"/>
  <c r="P325" i="80"/>
  <c r="I325" i="80"/>
  <c r="J325" i="80" s="1"/>
  <c r="O325" i="80" s="1"/>
  <c r="Q324" i="80"/>
  <c r="P324" i="80"/>
  <c r="I324" i="80"/>
  <c r="J324" i="80" s="1"/>
  <c r="O324" i="80" s="1"/>
  <c r="Q323" i="80"/>
  <c r="P323" i="80"/>
  <c r="I323" i="80"/>
  <c r="J323" i="80" s="1"/>
  <c r="O323" i="80" s="1"/>
  <c r="Q322" i="80"/>
  <c r="P322" i="80"/>
  <c r="I322" i="80"/>
  <c r="J322" i="80" s="1"/>
  <c r="Q321" i="80"/>
  <c r="P321" i="80"/>
  <c r="I321" i="80"/>
  <c r="J321" i="80" s="1"/>
  <c r="O321" i="80" s="1"/>
  <c r="Q320" i="80"/>
  <c r="P320" i="80"/>
  <c r="I320" i="80"/>
  <c r="J320" i="80" s="1"/>
  <c r="Q319" i="80"/>
  <c r="P319" i="80"/>
  <c r="I319" i="80"/>
  <c r="J319" i="80" s="1"/>
  <c r="Q318" i="80"/>
  <c r="P318" i="80"/>
  <c r="I318" i="80"/>
  <c r="J318" i="80" s="1"/>
  <c r="O318" i="80" s="1"/>
  <c r="Q317" i="80"/>
  <c r="P317" i="80"/>
  <c r="I317" i="80"/>
  <c r="J317" i="80" s="1"/>
  <c r="Q316" i="80"/>
  <c r="P316" i="80"/>
  <c r="I316" i="80"/>
  <c r="J316" i="80" s="1"/>
  <c r="Q315" i="80"/>
  <c r="P315" i="80"/>
  <c r="I315" i="80"/>
  <c r="J315" i="80" s="1"/>
  <c r="O315" i="80" s="1"/>
  <c r="Q314" i="80"/>
  <c r="P314" i="80"/>
  <c r="I314" i="80"/>
  <c r="J314" i="80" s="1"/>
  <c r="O314" i="80" s="1"/>
  <c r="Q313" i="80"/>
  <c r="P313" i="80"/>
  <c r="I313" i="80"/>
  <c r="J313" i="80" s="1"/>
  <c r="O313" i="80" s="1"/>
  <c r="Q312" i="80"/>
  <c r="P312" i="80"/>
  <c r="I312" i="80"/>
  <c r="J312" i="80" s="1"/>
  <c r="Q311" i="80"/>
  <c r="P311" i="80"/>
  <c r="I311" i="80"/>
  <c r="J311" i="80" s="1"/>
  <c r="K311" i="80" s="1"/>
  <c r="Q310" i="80"/>
  <c r="P310" i="80"/>
  <c r="I310" i="80"/>
  <c r="J310" i="80" s="1"/>
  <c r="K310" i="80" s="1"/>
  <c r="Q309" i="80"/>
  <c r="P309" i="80"/>
  <c r="I309" i="80"/>
  <c r="J309" i="80" s="1"/>
  <c r="Q308" i="80"/>
  <c r="P308" i="80"/>
  <c r="I308" i="80"/>
  <c r="J308" i="80" s="1"/>
  <c r="K308" i="80" s="1"/>
  <c r="Q307" i="80"/>
  <c r="P307" i="80"/>
  <c r="I307" i="80"/>
  <c r="J307" i="80" s="1"/>
  <c r="K307" i="80" s="1"/>
  <c r="Q306" i="80"/>
  <c r="P306" i="80"/>
  <c r="I306" i="80"/>
  <c r="J306" i="80" s="1"/>
  <c r="K306" i="80" s="1"/>
  <c r="Q305" i="80"/>
  <c r="P305" i="80"/>
  <c r="I305" i="80"/>
  <c r="J305" i="80" s="1"/>
  <c r="K305" i="80" s="1"/>
  <c r="Q304" i="80"/>
  <c r="P304" i="80"/>
  <c r="I304" i="80"/>
  <c r="J304" i="80" s="1"/>
  <c r="Q303" i="80"/>
  <c r="P303" i="80"/>
  <c r="I303" i="80"/>
  <c r="J303" i="80" s="1"/>
  <c r="K303" i="80" s="1"/>
  <c r="Q302" i="80"/>
  <c r="P302" i="80"/>
  <c r="I302" i="80"/>
  <c r="J302" i="80" s="1"/>
  <c r="K302" i="80" s="1"/>
  <c r="Q301" i="80"/>
  <c r="P301" i="80"/>
  <c r="I301" i="80"/>
  <c r="J301" i="80" s="1"/>
  <c r="K301" i="80" s="1"/>
  <c r="Q300" i="80"/>
  <c r="P300" i="80"/>
  <c r="I300" i="80"/>
  <c r="J300" i="80" s="1"/>
  <c r="Q299" i="80"/>
  <c r="P299" i="80"/>
  <c r="I299" i="80"/>
  <c r="J299" i="80" s="1"/>
  <c r="K299" i="80" s="1"/>
  <c r="Q298" i="80"/>
  <c r="P298" i="80"/>
  <c r="I298" i="80"/>
  <c r="J298" i="80" s="1"/>
  <c r="K298" i="80" s="1"/>
  <c r="Q297" i="80"/>
  <c r="P297" i="80"/>
  <c r="I297" i="80"/>
  <c r="J297" i="80" s="1"/>
  <c r="Q296" i="80"/>
  <c r="P296" i="80"/>
  <c r="I296" i="80"/>
  <c r="J296" i="80" s="1"/>
  <c r="Q295" i="80"/>
  <c r="P295" i="80"/>
  <c r="I295" i="80"/>
  <c r="J295" i="80" s="1"/>
  <c r="O295" i="80" s="1"/>
  <c r="Q294" i="80"/>
  <c r="P294" i="80"/>
  <c r="I294" i="80"/>
  <c r="J294" i="80" s="1"/>
  <c r="Q293" i="80"/>
  <c r="P293" i="80"/>
  <c r="I293" i="80"/>
  <c r="J293" i="80" s="1"/>
  <c r="O293" i="80" s="1"/>
  <c r="Q292" i="80"/>
  <c r="P292" i="80"/>
  <c r="I292" i="80"/>
  <c r="J292" i="80" s="1"/>
  <c r="Q291" i="80"/>
  <c r="P291" i="80"/>
  <c r="I291" i="80"/>
  <c r="J291" i="80" s="1"/>
  <c r="O291" i="80" s="1"/>
  <c r="Q290" i="80"/>
  <c r="P290" i="80"/>
  <c r="I290" i="80"/>
  <c r="J290" i="80" s="1"/>
  <c r="O290" i="80" s="1"/>
  <c r="Q289" i="80"/>
  <c r="P289" i="80"/>
  <c r="I289" i="80"/>
  <c r="J289" i="80" s="1"/>
  <c r="K289" i="80" s="1"/>
  <c r="Q288" i="80"/>
  <c r="P288" i="80"/>
  <c r="I288" i="80"/>
  <c r="J288" i="80" s="1"/>
  <c r="O288" i="80" s="1"/>
  <c r="Q287" i="80"/>
  <c r="P287" i="80"/>
  <c r="I287" i="80"/>
  <c r="J287" i="80" s="1"/>
  <c r="O287" i="80" s="1"/>
  <c r="Q286" i="80"/>
  <c r="P286" i="80"/>
  <c r="I286" i="80"/>
  <c r="J286" i="80" s="1"/>
  <c r="K286" i="80" s="1"/>
  <c r="Q285" i="80"/>
  <c r="P285" i="80"/>
  <c r="I285" i="80"/>
  <c r="J285" i="80" s="1"/>
  <c r="Q284" i="80"/>
  <c r="P284" i="80"/>
  <c r="I284" i="80"/>
  <c r="J284" i="80" s="1"/>
  <c r="Q283" i="80"/>
  <c r="P283" i="80"/>
  <c r="I283" i="80"/>
  <c r="J283" i="80" s="1"/>
  <c r="O283" i="80" s="1"/>
  <c r="Q282" i="80"/>
  <c r="P282" i="80"/>
  <c r="I282" i="80"/>
  <c r="J282" i="80" s="1"/>
  <c r="K282" i="80" s="1"/>
  <c r="Q281" i="80"/>
  <c r="P281" i="80"/>
  <c r="I281" i="80"/>
  <c r="J281" i="80" s="1"/>
  <c r="Q280" i="80"/>
  <c r="P280" i="80"/>
  <c r="I280" i="80"/>
  <c r="J280" i="80" s="1"/>
  <c r="K280" i="80" s="1"/>
  <c r="Q279" i="80"/>
  <c r="P279" i="80"/>
  <c r="I279" i="80"/>
  <c r="J279" i="80" s="1"/>
  <c r="K279" i="80" s="1"/>
  <c r="Q278" i="80"/>
  <c r="P278" i="80"/>
  <c r="I278" i="80"/>
  <c r="J278" i="80" s="1"/>
  <c r="Q277" i="80"/>
  <c r="P277" i="80"/>
  <c r="I277" i="80"/>
  <c r="J277" i="80" s="1"/>
  <c r="O277" i="80" s="1"/>
  <c r="Q276" i="80"/>
  <c r="P276" i="80"/>
  <c r="I276" i="80"/>
  <c r="J276" i="80" s="1"/>
  <c r="K276" i="80" s="1"/>
  <c r="Q275" i="80"/>
  <c r="P275" i="80"/>
  <c r="I275" i="80"/>
  <c r="J275" i="80" s="1"/>
  <c r="O275" i="80" s="1"/>
  <c r="Q274" i="80"/>
  <c r="P274" i="80"/>
  <c r="I274" i="80"/>
  <c r="J274" i="80" s="1"/>
  <c r="K274" i="80" s="1"/>
  <c r="Q273" i="80"/>
  <c r="P273" i="80"/>
  <c r="I273" i="80"/>
  <c r="J273" i="80" s="1"/>
  <c r="O273" i="80" s="1"/>
  <c r="Q272" i="80"/>
  <c r="P272" i="80"/>
  <c r="I272" i="80"/>
  <c r="J272" i="80" s="1"/>
  <c r="Q271" i="80"/>
  <c r="P271" i="80"/>
  <c r="I271" i="80"/>
  <c r="J271" i="80" s="1"/>
  <c r="K271" i="80" s="1"/>
  <c r="Q270" i="80"/>
  <c r="P270" i="80"/>
  <c r="I270" i="80"/>
  <c r="J270" i="80" s="1"/>
  <c r="O270" i="80" s="1"/>
  <c r="Q269" i="80"/>
  <c r="P269" i="80"/>
  <c r="I269" i="80"/>
  <c r="J269" i="80" s="1"/>
  <c r="O269" i="80" s="1"/>
  <c r="Q268" i="80"/>
  <c r="P268" i="80"/>
  <c r="I268" i="80"/>
  <c r="J268" i="80" s="1"/>
  <c r="Q267" i="80"/>
  <c r="P267" i="80"/>
  <c r="I267" i="80"/>
  <c r="J267" i="80" s="1"/>
  <c r="Q266" i="80"/>
  <c r="P266" i="80"/>
  <c r="I266" i="80"/>
  <c r="J266" i="80" s="1"/>
  <c r="Q265" i="80"/>
  <c r="P265" i="80"/>
  <c r="I265" i="80"/>
  <c r="J265" i="80" s="1"/>
  <c r="O265" i="80" s="1"/>
  <c r="Q264" i="80"/>
  <c r="P264" i="80"/>
  <c r="I264" i="80"/>
  <c r="J264" i="80" s="1"/>
  <c r="K264" i="80" s="1"/>
  <c r="Q263" i="80"/>
  <c r="P263" i="80"/>
  <c r="I263" i="80"/>
  <c r="J263" i="80" s="1"/>
  <c r="O263" i="80" s="1"/>
  <c r="Q262" i="80"/>
  <c r="P262" i="80"/>
  <c r="I262" i="80"/>
  <c r="J262" i="80" s="1"/>
  <c r="Q261" i="80"/>
  <c r="P261" i="80"/>
  <c r="I261" i="80"/>
  <c r="J261" i="80" s="1"/>
  <c r="O261" i="80" s="1"/>
  <c r="Q260" i="80"/>
  <c r="P260" i="80"/>
  <c r="I260" i="80"/>
  <c r="J260" i="80" s="1"/>
  <c r="K260" i="80" s="1"/>
  <c r="Q259" i="80"/>
  <c r="P259" i="80"/>
  <c r="I259" i="80"/>
  <c r="J259" i="80" s="1"/>
  <c r="O259" i="80" s="1"/>
  <c r="Q258" i="80"/>
  <c r="P258" i="80"/>
  <c r="I258" i="80"/>
  <c r="J258" i="80" s="1"/>
  <c r="O258" i="80" s="1"/>
  <c r="Q257" i="80"/>
  <c r="P257" i="80"/>
  <c r="I257" i="80"/>
  <c r="J257" i="80" s="1"/>
  <c r="Q256" i="80"/>
  <c r="P256" i="80"/>
  <c r="I256" i="80"/>
  <c r="J256" i="80" s="1"/>
  <c r="O256" i="80" s="1"/>
  <c r="Q255" i="80"/>
  <c r="P255" i="80"/>
  <c r="I255" i="80"/>
  <c r="J255" i="80" s="1"/>
  <c r="K255" i="80" s="1"/>
  <c r="Q254" i="80"/>
  <c r="P254" i="80"/>
  <c r="I254" i="80"/>
  <c r="J254" i="80" s="1"/>
  <c r="K254" i="80" s="1"/>
  <c r="Q253" i="80"/>
  <c r="P253" i="80"/>
  <c r="I253" i="80"/>
  <c r="J253" i="80" s="1"/>
  <c r="Q252" i="80"/>
  <c r="P252" i="80"/>
  <c r="I252" i="80"/>
  <c r="J252" i="80" s="1"/>
  <c r="K252" i="80" s="1"/>
  <c r="Q251" i="80"/>
  <c r="P251" i="80"/>
  <c r="I251" i="80"/>
  <c r="J251" i="80" s="1"/>
  <c r="O251" i="80" s="1"/>
  <c r="Q250" i="80"/>
  <c r="P250" i="80"/>
  <c r="I250" i="80"/>
  <c r="J250" i="80" s="1"/>
  <c r="Q249" i="80"/>
  <c r="P249" i="80"/>
  <c r="I249" i="80"/>
  <c r="J249" i="80" s="1"/>
  <c r="K249" i="80" s="1"/>
  <c r="Q248" i="80"/>
  <c r="P248" i="80"/>
  <c r="I248" i="80"/>
  <c r="J248" i="80" s="1"/>
  <c r="K248" i="80" s="1"/>
  <c r="Q247" i="80"/>
  <c r="P247" i="80"/>
  <c r="I247" i="80"/>
  <c r="J247" i="80" s="1"/>
  <c r="O247" i="80" s="1"/>
  <c r="Q246" i="80"/>
  <c r="P246" i="80"/>
  <c r="I246" i="80"/>
  <c r="J246" i="80" s="1"/>
  <c r="Q245" i="80"/>
  <c r="P245" i="80"/>
  <c r="I245" i="80"/>
  <c r="J245" i="80" s="1"/>
  <c r="O245" i="80" s="1"/>
  <c r="Q244" i="80"/>
  <c r="P244" i="80"/>
  <c r="I244" i="80"/>
  <c r="J244" i="80" s="1"/>
  <c r="O244" i="80" s="1"/>
  <c r="Q243" i="80"/>
  <c r="P243" i="80"/>
  <c r="I243" i="80"/>
  <c r="J243" i="80" s="1"/>
  <c r="Q242" i="80"/>
  <c r="P242" i="80"/>
  <c r="I242" i="80"/>
  <c r="J242" i="80" s="1"/>
  <c r="O242" i="80" s="1"/>
  <c r="Q241" i="80"/>
  <c r="P241" i="80"/>
  <c r="I241" i="80"/>
  <c r="J241" i="80" s="1"/>
  <c r="O241" i="80" s="1"/>
  <c r="Q240" i="80"/>
  <c r="P240" i="80"/>
  <c r="I240" i="80"/>
  <c r="J240" i="80" s="1"/>
  <c r="Q239" i="80"/>
  <c r="P239" i="80"/>
  <c r="I239" i="80"/>
  <c r="J239" i="80" s="1"/>
  <c r="O239" i="80" s="1"/>
  <c r="Q238" i="80"/>
  <c r="P238" i="80"/>
  <c r="I238" i="80"/>
  <c r="J238" i="80" s="1"/>
  <c r="O238" i="80" s="1"/>
  <c r="Q237" i="80"/>
  <c r="P237" i="80"/>
  <c r="I237" i="80"/>
  <c r="J237" i="80" s="1"/>
  <c r="Q236" i="80"/>
  <c r="P236" i="80"/>
  <c r="I236" i="80"/>
  <c r="J236" i="80" s="1"/>
  <c r="K236" i="80" s="1"/>
  <c r="Q235" i="80"/>
  <c r="P235" i="80"/>
  <c r="I235" i="80"/>
  <c r="J235" i="80" s="1"/>
  <c r="O235" i="80" s="1"/>
  <c r="Q234" i="80"/>
  <c r="P234" i="80"/>
  <c r="I234" i="80"/>
  <c r="J234" i="80" s="1"/>
  <c r="Q233" i="80"/>
  <c r="P233" i="80"/>
  <c r="I233" i="80"/>
  <c r="J233" i="80" s="1"/>
  <c r="O233" i="80" s="1"/>
  <c r="Q232" i="80"/>
  <c r="P232" i="80"/>
  <c r="I232" i="80"/>
  <c r="J232" i="80" s="1"/>
  <c r="Q231" i="80"/>
  <c r="P231" i="80"/>
  <c r="I231" i="80"/>
  <c r="J231" i="80" s="1"/>
  <c r="K231" i="80" s="1"/>
  <c r="Q230" i="80"/>
  <c r="P230" i="80"/>
  <c r="I230" i="80"/>
  <c r="J230" i="80" s="1"/>
  <c r="K230" i="80" s="1"/>
  <c r="Q229" i="80"/>
  <c r="P229" i="80"/>
  <c r="I229" i="80"/>
  <c r="J229" i="80" s="1"/>
  <c r="K229" i="80" s="1"/>
  <c r="Q228" i="80"/>
  <c r="P228" i="80"/>
  <c r="I228" i="80"/>
  <c r="J228" i="80" s="1"/>
  <c r="K228" i="80" s="1"/>
  <c r="Q227" i="80"/>
  <c r="P227" i="80"/>
  <c r="I227" i="80"/>
  <c r="J227" i="80" s="1"/>
  <c r="K227" i="80" s="1"/>
  <c r="Q226" i="80"/>
  <c r="P226" i="80"/>
  <c r="I226" i="80"/>
  <c r="J226" i="80" s="1"/>
  <c r="K226" i="80" s="1"/>
  <c r="Q225" i="80"/>
  <c r="P225" i="80"/>
  <c r="I225" i="80"/>
  <c r="J225" i="80" s="1"/>
  <c r="K225" i="80" s="1"/>
  <c r="Q224" i="80"/>
  <c r="P224" i="80"/>
  <c r="I224" i="80"/>
  <c r="J224" i="80" s="1"/>
  <c r="K224" i="80" s="1"/>
  <c r="Q223" i="80"/>
  <c r="P223" i="80"/>
  <c r="I223" i="80"/>
  <c r="J223" i="80" s="1"/>
  <c r="K223" i="80" s="1"/>
  <c r="Q222" i="80"/>
  <c r="P222" i="80"/>
  <c r="I222" i="80"/>
  <c r="J222" i="80" s="1"/>
  <c r="K222" i="80" s="1"/>
  <c r="Q3" i="80"/>
  <c r="P3" i="80"/>
  <c r="J3" i="80"/>
  <c r="K3" i="80" s="1"/>
  <c r="R14" i="76"/>
  <c r="R13" i="76"/>
  <c r="R12" i="76"/>
  <c r="R11" i="76"/>
  <c r="R10" i="76"/>
  <c r="R9" i="76"/>
  <c r="R8" i="76"/>
  <c r="Q15" i="76"/>
  <c r="P15" i="76"/>
  <c r="I3" i="58"/>
  <c r="J3" i="58" s="1"/>
  <c r="K3" i="58" s="1"/>
  <c r="I478" i="58"/>
  <c r="J478" i="58" s="1"/>
  <c r="K478" i="58" s="1"/>
  <c r="P478" i="58"/>
  <c r="Q478" i="58"/>
  <c r="B36" i="72"/>
  <c r="B37" i="71"/>
  <c r="B34" i="70"/>
  <c r="E83" i="68"/>
  <c r="E1099" i="53"/>
  <c r="E1098" i="53"/>
  <c r="E1097" i="53"/>
  <c r="E1096" i="53"/>
  <c r="E1094" i="53"/>
  <c r="E1093" i="53"/>
  <c r="E1092" i="53"/>
  <c r="E1091" i="53"/>
  <c r="E1090" i="53"/>
  <c r="E1089" i="53"/>
  <c r="E1088" i="53"/>
  <c r="E1087" i="53"/>
  <c r="E1086" i="53"/>
  <c r="E1085" i="53"/>
  <c r="E1084" i="53"/>
  <c r="E1083" i="53"/>
  <c r="E1082" i="53"/>
  <c r="E1081" i="53"/>
  <c r="E1080" i="53"/>
  <c r="E1079" i="53"/>
  <c r="E1078" i="53"/>
  <c r="E1077" i="53"/>
  <c r="E1076" i="53"/>
  <c r="E1075" i="53"/>
  <c r="E1074" i="53"/>
  <c r="E1073" i="53"/>
  <c r="E1072" i="53"/>
  <c r="E1071" i="53"/>
  <c r="E1070" i="53"/>
  <c r="E1068" i="53"/>
  <c r="E1067" i="53"/>
  <c r="E1066" i="53"/>
  <c r="E1065" i="53"/>
  <c r="E1064" i="53"/>
  <c r="E1062" i="53"/>
  <c r="E1060" i="53"/>
  <c r="E1059" i="53"/>
  <c r="C1058" i="53"/>
  <c r="E1058" i="53" s="1"/>
  <c r="C1057" i="53"/>
  <c r="E1057" i="53" s="1"/>
  <c r="C1056" i="53"/>
  <c r="E1056" i="53" s="1"/>
  <c r="C1055" i="53"/>
  <c r="E1055" i="53" s="1"/>
  <c r="G1054" i="53"/>
  <c r="H1054" i="53" s="1"/>
  <c r="E1054" i="53"/>
  <c r="E1053" i="53"/>
  <c r="E1052" i="53"/>
  <c r="E1051" i="53"/>
  <c r="E1050" i="53"/>
  <c r="E1049" i="53"/>
  <c r="E1048" i="53"/>
  <c r="E1047" i="53"/>
  <c r="E1046" i="53"/>
  <c r="E1045" i="53"/>
  <c r="E1044" i="53"/>
  <c r="E1043" i="53"/>
  <c r="E1042" i="53"/>
  <c r="E1041" i="53"/>
  <c r="E1040" i="53"/>
  <c r="E1039" i="53"/>
  <c r="E1038" i="53"/>
  <c r="E1037" i="53"/>
  <c r="E1036" i="53"/>
  <c r="E1035" i="53"/>
  <c r="E1034" i="53"/>
  <c r="E1033" i="53"/>
  <c r="E1032" i="53"/>
  <c r="E1031" i="53"/>
  <c r="E1030" i="53"/>
  <c r="E1029" i="53"/>
  <c r="E1028" i="53"/>
  <c r="C1027" i="53"/>
  <c r="E1027" i="53" s="1"/>
  <c r="C1026" i="53"/>
  <c r="E1026" i="53" s="1"/>
  <c r="C1025" i="53"/>
  <c r="E1025" i="53" s="1"/>
  <c r="C1024" i="53"/>
  <c r="E1024" i="53" s="1"/>
  <c r="C1023" i="53"/>
  <c r="E1023" i="53" s="1"/>
  <c r="C1022" i="53"/>
  <c r="E1022" i="53" s="1"/>
  <c r="E1021" i="53"/>
  <c r="E1020" i="53"/>
  <c r="E1019" i="53"/>
  <c r="E1018" i="53"/>
  <c r="E1017" i="53"/>
  <c r="E1016" i="53"/>
  <c r="E1015" i="53"/>
  <c r="E1014" i="53"/>
  <c r="E1013" i="53"/>
  <c r="E1012" i="53"/>
  <c r="E1011" i="53"/>
  <c r="E1010" i="53"/>
  <c r="E1009" i="53"/>
  <c r="E1008" i="53"/>
  <c r="E1007" i="53"/>
  <c r="E1006" i="53"/>
  <c r="E1005" i="53"/>
  <c r="E1004" i="53"/>
  <c r="E1003" i="53"/>
  <c r="E1002" i="53"/>
  <c r="E1001" i="53"/>
  <c r="E1000" i="53"/>
  <c r="E999" i="53"/>
  <c r="E998" i="53"/>
  <c r="E997" i="53"/>
  <c r="E996" i="53"/>
  <c r="E995" i="53"/>
  <c r="E994" i="53"/>
  <c r="E993" i="53"/>
  <c r="E992" i="53"/>
  <c r="E991" i="53"/>
  <c r="E990" i="53"/>
  <c r="E989" i="53"/>
  <c r="E988" i="53"/>
  <c r="E987" i="53"/>
  <c r="E986" i="53"/>
  <c r="E985" i="53"/>
  <c r="E984" i="53"/>
  <c r="E983" i="53"/>
  <c r="E982" i="53"/>
  <c r="E981" i="53"/>
  <c r="E980" i="53"/>
  <c r="E979" i="53"/>
  <c r="E978" i="53"/>
  <c r="E977" i="53"/>
  <c r="E976" i="53"/>
  <c r="E975" i="53"/>
  <c r="E974" i="53"/>
  <c r="E973" i="53"/>
  <c r="E972" i="53"/>
  <c r="E971" i="53"/>
  <c r="E970" i="53"/>
  <c r="E969" i="53"/>
  <c r="E968" i="53"/>
  <c r="E967" i="53"/>
  <c r="E966" i="53"/>
  <c r="E965" i="53"/>
  <c r="E964" i="53"/>
  <c r="E963" i="53"/>
  <c r="E962" i="53"/>
  <c r="E961" i="53"/>
  <c r="E960" i="53"/>
  <c r="E959" i="53"/>
  <c r="E958" i="53"/>
  <c r="E957" i="53"/>
  <c r="E956" i="53"/>
  <c r="E955" i="53"/>
  <c r="E954" i="53"/>
  <c r="E953" i="53"/>
  <c r="E952" i="53"/>
  <c r="E951" i="53"/>
  <c r="E950" i="53"/>
  <c r="E949" i="53"/>
  <c r="E948" i="53"/>
  <c r="E947" i="53"/>
  <c r="E946" i="53"/>
  <c r="E945" i="53"/>
  <c r="E944" i="53"/>
  <c r="E943" i="53"/>
  <c r="E942" i="53"/>
  <c r="E941" i="53"/>
  <c r="E940" i="53"/>
  <c r="E939" i="53"/>
  <c r="E938" i="53"/>
  <c r="E937" i="53"/>
  <c r="E936" i="53"/>
  <c r="E935" i="53"/>
  <c r="E934" i="53"/>
  <c r="E933" i="53"/>
  <c r="E932" i="53"/>
  <c r="E931" i="53"/>
  <c r="E930" i="53"/>
  <c r="E929" i="53"/>
  <c r="E928" i="53"/>
  <c r="E927" i="53"/>
  <c r="E926" i="53"/>
  <c r="E925" i="53"/>
  <c r="E924" i="53"/>
  <c r="E923" i="53"/>
  <c r="E922" i="53"/>
  <c r="E921" i="53"/>
  <c r="E920" i="53"/>
  <c r="E919" i="53"/>
  <c r="E918" i="53"/>
  <c r="E917" i="53"/>
  <c r="E916" i="53"/>
  <c r="C915" i="53"/>
  <c r="E915" i="53" s="1"/>
  <c r="C914" i="53"/>
  <c r="E914" i="53" s="1"/>
  <c r="E913" i="53"/>
  <c r="E912" i="53"/>
  <c r="E911" i="53"/>
  <c r="E910" i="53"/>
  <c r="E909" i="53"/>
  <c r="E908" i="53"/>
  <c r="E907" i="53"/>
  <c r="E906" i="53"/>
  <c r="E905" i="53"/>
  <c r="E904" i="53"/>
  <c r="E903" i="53"/>
  <c r="E902" i="53"/>
  <c r="E901" i="53"/>
  <c r="E900" i="53"/>
  <c r="E899" i="53"/>
  <c r="E898" i="53"/>
  <c r="E897" i="53"/>
  <c r="E896" i="53"/>
  <c r="E895" i="53"/>
  <c r="E894" i="53"/>
  <c r="E893" i="53"/>
  <c r="E892" i="53"/>
  <c r="E891" i="53"/>
  <c r="E890" i="53"/>
  <c r="E889" i="53"/>
  <c r="E888" i="53"/>
  <c r="E887" i="53"/>
  <c r="E886" i="53"/>
  <c r="E885" i="53"/>
  <c r="E884" i="53"/>
  <c r="E883" i="53"/>
  <c r="E882" i="53"/>
  <c r="E881" i="53"/>
  <c r="E880" i="53"/>
  <c r="E879" i="53"/>
  <c r="E878" i="53"/>
  <c r="E877" i="53"/>
  <c r="E876" i="53"/>
  <c r="E875" i="53"/>
  <c r="E874" i="53"/>
  <c r="E873" i="53"/>
  <c r="E872" i="53"/>
  <c r="E871" i="53"/>
  <c r="E870" i="53"/>
  <c r="E869" i="53"/>
  <c r="E868" i="53"/>
  <c r="E867" i="53"/>
  <c r="E866" i="53"/>
  <c r="E865" i="53"/>
  <c r="E864" i="53"/>
  <c r="E863" i="53"/>
  <c r="E862" i="53"/>
  <c r="E861" i="53"/>
  <c r="E860" i="53"/>
  <c r="E859" i="53"/>
  <c r="E858" i="53"/>
  <c r="E857" i="53"/>
  <c r="E856" i="53"/>
  <c r="E855" i="53"/>
  <c r="E854" i="53"/>
  <c r="E853" i="53"/>
  <c r="E852" i="53"/>
  <c r="E851" i="53"/>
  <c r="E850" i="53"/>
  <c r="E849" i="53"/>
  <c r="E848" i="53"/>
  <c r="E847" i="53"/>
  <c r="E846" i="53"/>
  <c r="E845" i="53"/>
  <c r="E844" i="53"/>
  <c r="E843" i="53"/>
  <c r="E842" i="53"/>
  <c r="E841" i="53"/>
  <c r="E840" i="53"/>
  <c r="E839" i="53"/>
  <c r="E838" i="53"/>
  <c r="E837" i="53"/>
  <c r="E836" i="53"/>
  <c r="E835" i="53"/>
  <c r="E834" i="53"/>
  <c r="E833" i="53"/>
  <c r="E832" i="53"/>
  <c r="E831" i="53"/>
  <c r="E830" i="53"/>
  <c r="E829" i="53"/>
  <c r="E828" i="53"/>
  <c r="E827" i="53"/>
  <c r="E826" i="53"/>
  <c r="E825" i="53"/>
  <c r="E824" i="53"/>
  <c r="E823" i="53"/>
  <c r="E822" i="53"/>
  <c r="E821" i="53"/>
  <c r="E820" i="53"/>
  <c r="E819" i="53"/>
  <c r="E818" i="53"/>
  <c r="E817" i="53"/>
  <c r="E816" i="53"/>
  <c r="E815" i="53"/>
  <c r="E814" i="53"/>
  <c r="E813" i="53"/>
  <c r="E812" i="53"/>
  <c r="E811" i="53"/>
  <c r="E810" i="53"/>
  <c r="E809" i="53"/>
  <c r="E808" i="53"/>
  <c r="E807" i="53"/>
  <c r="E806" i="53"/>
  <c r="E805" i="53"/>
  <c r="E804" i="53"/>
  <c r="E803" i="53"/>
  <c r="E802" i="53"/>
  <c r="E801" i="53"/>
  <c r="E800" i="53"/>
  <c r="E799" i="53"/>
  <c r="E798" i="53"/>
  <c r="E797" i="53"/>
  <c r="E796" i="53"/>
  <c r="E795" i="53"/>
  <c r="E794" i="53"/>
  <c r="E793" i="53"/>
  <c r="E792" i="53"/>
  <c r="E791" i="53"/>
  <c r="E790" i="53"/>
  <c r="E789" i="53"/>
  <c r="E788" i="53"/>
  <c r="E787" i="53"/>
  <c r="E786" i="53"/>
  <c r="E785" i="53"/>
  <c r="E784" i="53"/>
  <c r="E783" i="53"/>
  <c r="E782" i="53"/>
  <c r="E781" i="53"/>
  <c r="E780" i="53"/>
  <c r="E779" i="53"/>
  <c r="E778" i="53"/>
  <c r="E777" i="53"/>
  <c r="E776" i="53"/>
  <c r="E775" i="53"/>
  <c r="E774" i="53"/>
  <c r="E773" i="53"/>
  <c r="E772" i="53"/>
  <c r="E771" i="53"/>
  <c r="E770" i="53"/>
  <c r="E769" i="53"/>
  <c r="E768" i="53"/>
  <c r="E767" i="53"/>
  <c r="E766" i="53"/>
  <c r="E765" i="53"/>
  <c r="E764" i="53"/>
  <c r="E763" i="53"/>
  <c r="E762" i="53"/>
  <c r="E761" i="53"/>
  <c r="E760" i="53"/>
  <c r="E759" i="53"/>
  <c r="E758" i="53"/>
  <c r="E757" i="53"/>
  <c r="E756" i="53"/>
  <c r="E755" i="53"/>
  <c r="E754" i="53"/>
  <c r="E753" i="53"/>
  <c r="E752" i="53"/>
  <c r="E751" i="53"/>
  <c r="E750" i="53"/>
  <c r="E749" i="53"/>
  <c r="E748" i="53"/>
  <c r="E747" i="53"/>
  <c r="E746" i="53"/>
  <c r="E745" i="53"/>
  <c r="E744" i="53"/>
  <c r="E743" i="53"/>
  <c r="E742" i="53"/>
  <c r="E741" i="53"/>
  <c r="E740" i="53"/>
  <c r="E739" i="53"/>
  <c r="E738" i="53"/>
  <c r="E737" i="53"/>
  <c r="E736" i="53"/>
  <c r="E735" i="53"/>
  <c r="E734" i="53"/>
  <c r="E733" i="53"/>
  <c r="E732" i="53"/>
  <c r="E731" i="53"/>
  <c r="E730" i="53"/>
  <c r="E729" i="53"/>
  <c r="E728" i="53"/>
  <c r="E727" i="53"/>
  <c r="E726" i="53"/>
  <c r="E725" i="53"/>
  <c r="E724" i="53"/>
  <c r="E723" i="53"/>
  <c r="E722" i="53"/>
  <c r="E721" i="53"/>
  <c r="E720" i="53"/>
  <c r="E719" i="53"/>
  <c r="E718" i="53"/>
  <c r="E717" i="53"/>
  <c r="E716" i="53"/>
  <c r="E715" i="53"/>
  <c r="E714" i="53"/>
  <c r="E713" i="53"/>
  <c r="E712" i="53"/>
  <c r="E711" i="53"/>
  <c r="E710" i="53"/>
  <c r="E709" i="53"/>
  <c r="E708" i="53"/>
  <c r="E707" i="53"/>
  <c r="E706" i="53"/>
  <c r="E705" i="53"/>
  <c r="E704" i="53"/>
  <c r="E703" i="53"/>
  <c r="E702" i="53"/>
  <c r="E701" i="53"/>
  <c r="E700" i="53"/>
  <c r="E699" i="53"/>
  <c r="E698" i="53"/>
  <c r="E697" i="53"/>
  <c r="E696" i="53"/>
  <c r="E695" i="53"/>
  <c r="E694" i="53"/>
  <c r="E693" i="53"/>
  <c r="E692" i="53"/>
  <c r="E691" i="53"/>
  <c r="E690" i="53"/>
  <c r="E689" i="53"/>
  <c r="E688" i="53"/>
  <c r="E687" i="53"/>
  <c r="E686" i="53"/>
  <c r="E685" i="53"/>
  <c r="E684" i="53"/>
  <c r="E683" i="53"/>
  <c r="E682" i="53"/>
  <c r="E681" i="53"/>
  <c r="E680" i="53"/>
  <c r="E679" i="53"/>
  <c r="E678" i="53"/>
  <c r="E677" i="53"/>
  <c r="E676" i="53"/>
  <c r="E675" i="53"/>
  <c r="E674" i="53"/>
  <c r="E673" i="53"/>
  <c r="E672" i="53"/>
  <c r="E671" i="53"/>
  <c r="E670" i="53"/>
  <c r="E669" i="53"/>
  <c r="E668" i="53"/>
  <c r="E667" i="53"/>
  <c r="E666" i="53"/>
  <c r="E665" i="53"/>
  <c r="E664" i="53"/>
  <c r="E663" i="53"/>
  <c r="E662" i="53"/>
  <c r="E661" i="53"/>
  <c r="E660" i="53"/>
  <c r="E659" i="53"/>
  <c r="E658" i="53"/>
  <c r="E657" i="53"/>
  <c r="E656" i="53"/>
  <c r="E655" i="53"/>
  <c r="E654" i="53"/>
  <c r="E653" i="53"/>
  <c r="E652" i="53"/>
  <c r="E651" i="53"/>
  <c r="E650" i="53"/>
  <c r="E649" i="53"/>
  <c r="E648" i="53"/>
  <c r="E647" i="53"/>
  <c r="E646" i="53"/>
  <c r="E645" i="53"/>
  <c r="E644" i="53"/>
  <c r="E643" i="53"/>
  <c r="E642" i="53"/>
  <c r="E641" i="53"/>
  <c r="E640" i="53"/>
  <c r="E639" i="53"/>
  <c r="E638" i="53"/>
  <c r="E637" i="53"/>
  <c r="E636" i="53"/>
  <c r="E635" i="53"/>
  <c r="E634" i="53"/>
  <c r="E633" i="53"/>
  <c r="E632" i="53"/>
  <c r="E631" i="53"/>
  <c r="E630" i="53"/>
  <c r="E629" i="53"/>
  <c r="E628" i="53"/>
  <c r="E627" i="53"/>
  <c r="E626" i="53"/>
  <c r="E625" i="53"/>
  <c r="E624" i="53"/>
  <c r="E623" i="53"/>
  <c r="E622" i="53"/>
  <c r="E621" i="53"/>
  <c r="E620" i="53"/>
  <c r="E619" i="53"/>
  <c r="E618" i="53"/>
  <c r="E617" i="53"/>
  <c r="E616" i="53"/>
  <c r="E615" i="53"/>
  <c r="E614" i="53"/>
  <c r="E613" i="53"/>
  <c r="E612" i="53"/>
  <c r="E611" i="53"/>
  <c r="E610" i="53"/>
  <c r="E609" i="53"/>
  <c r="E608" i="53"/>
  <c r="E607" i="53"/>
  <c r="E606" i="53"/>
  <c r="E605" i="53"/>
  <c r="E604" i="53"/>
  <c r="E603" i="53"/>
  <c r="E602" i="53"/>
  <c r="E601" i="53"/>
  <c r="E600" i="53"/>
  <c r="E599" i="53"/>
  <c r="E598" i="53"/>
  <c r="E597" i="53"/>
  <c r="E596" i="53"/>
  <c r="E595" i="53"/>
  <c r="E594" i="53"/>
  <c r="E593" i="53"/>
  <c r="E592" i="53"/>
  <c r="E591" i="53"/>
  <c r="E590" i="53"/>
  <c r="E589" i="53"/>
  <c r="E588" i="53"/>
  <c r="E587" i="53"/>
  <c r="E586" i="53"/>
  <c r="E585" i="53"/>
  <c r="E584" i="53"/>
  <c r="E583" i="53"/>
  <c r="E582" i="53"/>
  <c r="E581" i="53"/>
  <c r="E580" i="53"/>
  <c r="E579" i="53"/>
  <c r="E578" i="53"/>
  <c r="E577" i="53"/>
  <c r="E576" i="53"/>
  <c r="E575" i="53"/>
  <c r="E574" i="53"/>
  <c r="E573" i="53"/>
  <c r="E572" i="53"/>
  <c r="E571" i="53"/>
  <c r="E570" i="53"/>
  <c r="E569" i="53"/>
  <c r="E568" i="53"/>
  <c r="E567" i="53"/>
  <c r="E566" i="53"/>
  <c r="E565" i="53"/>
  <c r="E564" i="53"/>
  <c r="E563" i="53"/>
  <c r="E562" i="53"/>
  <c r="E561" i="53"/>
  <c r="E560" i="53"/>
  <c r="E559" i="53"/>
  <c r="E558" i="53"/>
  <c r="E557" i="53"/>
  <c r="E556" i="53"/>
  <c r="E555" i="53"/>
  <c r="E554" i="53"/>
  <c r="E553" i="53"/>
  <c r="E552" i="53"/>
  <c r="E551" i="53"/>
  <c r="E550" i="53"/>
  <c r="E549" i="53"/>
  <c r="E548" i="53"/>
  <c r="E547" i="53"/>
  <c r="E546" i="53"/>
  <c r="E545" i="53"/>
  <c r="E544" i="53"/>
  <c r="E543" i="53"/>
  <c r="E542" i="53"/>
  <c r="E541" i="53"/>
  <c r="E540" i="53"/>
  <c r="E539" i="53"/>
  <c r="E538" i="53"/>
  <c r="E537" i="53"/>
  <c r="E536" i="53"/>
  <c r="E535" i="53"/>
  <c r="E534" i="53"/>
  <c r="E533" i="53"/>
  <c r="E532" i="53"/>
  <c r="E531" i="53"/>
  <c r="E530" i="53"/>
  <c r="E529" i="53"/>
  <c r="E528" i="53"/>
  <c r="E527" i="53"/>
  <c r="E526" i="53"/>
  <c r="E525" i="53"/>
  <c r="E524" i="53"/>
  <c r="E523" i="53"/>
  <c r="E522" i="53"/>
  <c r="E521" i="53"/>
  <c r="E520" i="53"/>
  <c r="E519" i="53"/>
  <c r="E518" i="53"/>
  <c r="E517" i="53"/>
  <c r="E516" i="53"/>
  <c r="E515" i="53"/>
  <c r="E514" i="53"/>
  <c r="E513" i="53"/>
  <c r="E512" i="53"/>
  <c r="E511" i="53"/>
  <c r="E510" i="53"/>
  <c r="E509" i="53"/>
  <c r="E508" i="53"/>
  <c r="E507" i="53"/>
  <c r="E506" i="53"/>
  <c r="E505" i="53"/>
  <c r="E504" i="53"/>
  <c r="E503" i="53"/>
  <c r="E502" i="53"/>
  <c r="E501" i="53"/>
  <c r="E500" i="53"/>
  <c r="E499" i="53"/>
  <c r="E498" i="53"/>
  <c r="E497" i="53"/>
  <c r="E496" i="53"/>
  <c r="E495" i="53"/>
  <c r="E494" i="53"/>
  <c r="E493" i="53"/>
  <c r="E492" i="53"/>
  <c r="E491" i="53"/>
  <c r="E490" i="53"/>
  <c r="E489" i="53"/>
  <c r="E488" i="53"/>
  <c r="E487" i="53"/>
  <c r="E486" i="53"/>
  <c r="E485" i="53"/>
  <c r="E484" i="53"/>
  <c r="E483" i="53"/>
  <c r="E482" i="53"/>
  <c r="E481" i="53"/>
  <c r="E480" i="53"/>
  <c r="E479" i="53"/>
  <c r="E478" i="53"/>
  <c r="E477" i="53"/>
  <c r="E476" i="53"/>
  <c r="E475" i="53"/>
  <c r="E474" i="53"/>
  <c r="E473" i="53"/>
  <c r="E472" i="53"/>
  <c r="E471" i="53"/>
  <c r="E470" i="53"/>
  <c r="E469" i="53"/>
  <c r="E468" i="53"/>
  <c r="E467" i="53"/>
  <c r="E466" i="53"/>
  <c r="E465" i="53"/>
  <c r="E464" i="53"/>
  <c r="E463" i="53"/>
  <c r="E462" i="53"/>
  <c r="E461" i="53"/>
  <c r="E460" i="53"/>
  <c r="E459" i="53"/>
  <c r="E458" i="53"/>
  <c r="E457" i="53"/>
  <c r="E456" i="53"/>
  <c r="E455" i="53"/>
  <c r="E454" i="53"/>
  <c r="E453" i="53"/>
  <c r="E452" i="53"/>
  <c r="E451" i="53"/>
  <c r="E450" i="53"/>
  <c r="E449" i="53"/>
  <c r="E448" i="53"/>
  <c r="E447" i="53"/>
  <c r="E446" i="53"/>
  <c r="E445" i="53"/>
  <c r="E444" i="53"/>
  <c r="E443" i="53"/>
  <c r="E442" i="53"/>
  <c r="E441" i="53"/>
  <c r="E440" i="53"/>
  <c r="E439" i="53"/>
  <c r="E438" i="53"/>
  <c r="E437" i="53"/>
  <c r="E436" i="53"/>
  <c r="E435" i="53"/>
  <c r="E434" i="53"/>
  <c r="E433" i="53"/>
  <c r="E432" i="53"/>
  <c r="E431" i="53"/>
  <c r="E430" i="53"/>
  <c r="E429" i="53"/>
  <c r="E428" i="53"/>
  <c r="E427" i="53"/>
  <c r="E426" i="53"/>
  <c r="E425" i="53"/>
  <c r="E424" i="53"/>
  <c r="E423" i="53"/>
  <c r="E422" i="53"/>
  <c r="E421" i="53"/>
  <c r="E420" i="53"/>
  <c r="E419" i="53"/>
  <c r="E418" i="53"/>
  <c r="E417" i="53"/>
  <c r="E416" i="53"/>
  <c r="E415" i="53"/>
  <c r="E414" i="53"/>
  <c r="E413" i="53"/>
  <c r="E412" i="53"/>
  <c r="E411" i="53"/>
  <c r="E410" i="53"/>
  <c r="E409" i="53"/>
  <c r="E408" i="53"/>
  <c r="E407" i="53"/>
  <c r="E406" i="53"/>
  <c r="E405" i="53"/>
  <c r="E404" i="53"/>
  <c r="E403" i="53"/>
  <c r="E402" i="53"/>
  <c r="E401" i="53"/>
  <c r="E400" i="53"/>
  <c r="E399" i="53"/>
  <c r="E398" i="53"/>
  <c r="E397" i="53"/>
  <c r="E396" i="53"/>
  <c r="E395" i="53"/>
  <c r="E394" i="53"/>
  <c r="E393" i="53"/>
  <c r="E392" i="53"/>
  <c r="E391" i="53"/>
  <c r="E390" i="53"/>
  <c r="E389" i="53"/>
  <c r="E388" i="53"/>
  <c r="E387" i="53"/>
  <c r="E386" i="53"/>
  <c r="E385" i="53"/>
  <c r="E384" i="53"/>
  <c r="E383" i="53"/>
  <c r="E382" i="53"/>
  <c r="E381" i="53"/>
  <c r="E380" i="53"/>
  <c r="E379" i="53"/>
  <c r="E378" i="53"/>
  <c r="E377" i="53"/>
  <c r="E376" i="53"/>
  <c r="E375" i="53"/>
  <c r="E374" i="53"/>
  <c r="E373" i="53"/>
  <c r="E372" i="53"/>
  <c r="E371" i="53"/>
  <c r="E370" i="53"/>
  <c r="E369" i="53"/>
  <c r="E368" i="53"/>
  <c r="E367" i="53"/>
  <c r="E366" i="53"/>
  <c r="E365" i="53"/>
  <c r="E364" i="53"/>
  <c r="E363" i="53"/>
  <c r="E362" i="53"/>
  <c r="E361" i="53"/>
  <c r="E360" i="53"/>
  <c r="E359" i="53"/>
  <c r="E358" i="53"/>
  <c r="E357" i="53"/>
  <c r="E356" i="53"/>
  <c r="E355" i="53"/>
  <c r="E354" i="53"/>
  <c r="E353" i="53"/>
  <c r="E352" i="53"/>
  <c r="E351" i="53"/>
  <c r="E350" i="53"/>
  <c r="E349" i="53"/>
  <c r="E348" i="53"/>
  <c r="E347" i="53"/>
  <c r="E346" i="53"/>
  <c r="E345" i="53"/>
  <c r="E344" i="53"/>
  <c r="E343" i="53"/>
  <c r="E342" i="53"/>
  <c r="E341" i="53"/>
  <c r="E340" i="53"/>
  <c r="E339" i="53"/>
  <c r="E338" i="53"/>
  <c r="E337" i="53"/>
  <c r="E336" i="53"/>
  <c r="E335" i="53"/>
  <c r="E334" i="53"/>
  <c r="E333" i="53"/>
  <c r="E332" i="53"/>
  <c r="E331" i="53"/>
  <c r="E330" i="53"/>
  <c r="E329" i="53"/>
  <c r="E328" i="53"/>
  <c r="E327" i="53"/>
  <c r="E326" i="53"/>
  <c r="E325" i="53"/>
  <c r="E324" i="53"/>
  <c r="E323" i="53"/>
  <c r="E322" i="53"/>
  <c r="E321" i="53"/>
  <c r="E320" i="53"/>
  <c r="E319" i="53"/>
  <c r="E318" i="53"/>
  <c r="E317" i="53"/>
  <c r="E316" i="53"/>
  <c r="E315" i="53"/>
  <c r="E314" i="53"/>
  <c r="E313" i="53"/>
  <c r="E312" i="53"/>
  <c r="E311" i="53"/>
  <c r="E310" i="53"/>
  <c r="E309" i="53"/>
  <c r="E308" i="53"/>
  <c r="E307" i="53"/>
  <c r="E306" i="53"/>
  <c r="E305" i="53"/>
  <c r="E304" i="53"/>
  <c r="E303" i="53"/>
  <c r="E302" i="53"/>
  <c r="E301" i="53"/>
  <c r="E300" i="53"/>
  <c r="E299" i="53"/>
  <c r="E298" i="53"/>
  <c r="E297" i="53"/>
  <c r="E296" i="53"/>
  <c r="E295" i="53"/>
  <c r="E294" i="53"/>
  <c r="E293" i="53"/>
  <c r="E292" i="53"/>
  <c r="E291" i="53"/>
  <c r="E290" i="53"/>
  <c r="E289" i="53"/>
  <c r="E288" i="53"/>
  <c r="E287" i="53"/>
  <c r="E286" i="53"/>
  <c r="E285" i="53"/>
  <c r="E284" i="53"/>
  <c r="E283" i="53"/>
  <c r="E282" i="53"/>
  <c r="E281" i="53"/>
  <c r="E280" i="53"/>
  <c r="E279" i="53"/>
  <c r="E278" i="53"/>
  <c r="E277" i="53"/>
  <c r="E276" i="53"/>
  <c r="E275" i="53"/>
  <c r="E274" i="53"/>
  <c r="E273" i="53"/>
  <c r="E272" i="53"/>
  <c r="E271" i="53"/>
  <c r="E270" i="53"/>
  <c r="E269" i="53"/>
  <c r="E268" i="53"/>
  <c r="E267" i="53"/>
  <c r="E266" i="53"/>
  <c r="E265" i="53"/>
  <c r="E264" i="53"/>
  <c r="E263" i="53"/>
  <c r="E262" i="53"/>
  <c r="E261" i="53"/>
  <c r="E260" i="53"/>
  <c r="E259" i="53"/>
  <c r="E258" i="53"/>
  <c r="E257" i="53"/>
  <c r="E256" i="53"/>
  <c r="E255" i="53"/>
  <c r="E254" i="53"/>
  <c r="E253" i="53"/>
  <c r="E252" i="53"/>
  <c r="E251" i="53"/>
  <c r="E250" i="53"/>
  <c r="E249" i="53"/>
  <c r="E248" i="53"/>
  <c r="E247" i="53"/>
  <c r="E246" i="53"/>
  <c r="E245" i="53"/>
  <c r="E244" i="53"/>
  <c r="E243" i="53"/>
  <c r="E242" i="53"/>
  <c r="E241" i="53"/>
  <c r="E240" i="53"/>
  <c r="E239" i="53"/>
  <c r="E238" i="53"/>
  <c r="E237" i="53"/>
  <c r="E236" i="53"/>
  <c r="E235" i="53"/>
  <c r="E234" i="53"/>
  <c r="E233" i="53"/>
  <c r="E232" i="53"/>
  <c r="E231" i="53"/>
  <c r="E230" i="53"/>
  <c r="E229" i="53"/>
  <c r="E228" i="53"/>
  <c r="E227" i="53"/>
  <c r="E226" i="53"/>
  <c r="E225" i="53"/>
  <c r="E224" i="53"/>
  <c r="E223" i="53"/>
  <c r="E222" i="53"/>
  <c r="E221" i="53"/>
  <c r="E220" i="53"/>
  <c r="E219" i="53"/>
  <c r="E218" i="53"/>
  <c r="E217" i="53"/>
  <c r="E216" i="53"/>
  <c r="E215" i="53"/>
  <c r="E214" i="53"/>
  <c r="E213" i="53"/>
  <c r="E212" i="53"/>
  <c r="E211" i="53"/>
  <c r="E210" i="53"/>
  <c r="E209" i="53"/>
  <c r="E208" i="53"/>
  <c r="E207" i="53"/>
  <c r="E206" i="53"/>
  <c r="E205" i="53"/>
  <c r="E204" i="53"/>
  <c r="E203" i="53"/>
  <c r="E202" i="53"/>
  <c r="E201" i="53"/>
  <c r="E200" i="53"/>
  <c r="E199" i="53"/>
  <c r="E198" i="53"/>
  <c r="E197" i="53"/>
  <c r="E196" i="53"/>
  <c r="E195" i="53"/>
  <c r="E194" i="53"/>
  <c r="E193" i="53"/>
  <c r="E192" i="53"/>
  <c r="E191" i="53"/>
  <c r="E190" i="53"/>
  <c r="E189" i="53"/>
  <c r="E188" i="53"/>
  <c r="E187" i="53"/>
  <c r="E186" i="53"/>
  <c r="E185" i="53"/>
  <c r="E184" i="53"/>
  <c r="E183" i="53"/>
  <c r="E182" i="53"/>
  <c r="E181" i="53"/>
  <c r="E180" i="53"/>
  <c r="E179" i="53"/>
  <c r="E178" i="53"/>
  <c r="E177" i="53"/>
  <c r="E176" i="53"/>
  <c r="E175" i="53"/>
  <c r="E174" i="53"/>
  <c r="E173" i="53"/>
  <c r="E172" i="53"/>
  <c r="E171" i="53"/>
  <c r="E170" i="53"/>
  <c r="E169" i="53"/>
  <c r="E168" i="53"/>
  <c r="E167" i="53"/>
  <c r="E166" i="53"/>
  <c r="E165" i="53"/>
  <c r="E164" i="53"/>
  <c r="E163" i="53"/>
  <c r="E162" i="53"/>
  <c r="E161" i="53"/>
  <c r="E160" i="53"/>
  <c r="E159" i="53"/>
  <c r="E158" i="53"/>
  <c r="E157" i="53"/>
  <c r="E156" i="53"/>
  <c r="E155" i="53"/>
  <c r="E154" i="53"/>
  <c r="E153" i="53"/>
  <c r="E152" i="53"/>
  <c r="E151" i="53"/>
  <c r="E150" i="53"/>
  <c r="E149" i="53"/>
  <c r="E148" i="53"/>
  <c r="E147" i="53"/>
  <c r="E146" i="53"/>
  <c r="E145" i="53"/>
  <c r="E144" i="53"/>
  <c r="E143" i="53"/>
  <c r="E142" i="53"/>
  <c r="E141" i="53"/>
  <c r="E140" i="53"/>
  <c r="E139" i="53"/>
  <c r="E138" i="53"/>
  <c r="E137" i="53"/>
  <c r="E136" i="53"/>
  <c r="E135" i="53"/>
  <c r="E134" i="53"/>
  <c r="E133" i="53"/>
  <c r="E132" i="53"/>
  <c r="E131" i="53"/>
  <c r="E130" i="53"/>
  <c r="E129" i="53"/>
  <c r="E128" i="53"/>
  <c r="E127" i="53"/>
  <c r="E126" i="53"/>
  <c r="E125" i="53"/>
  <c r="E124" i="53"/>
  <c r="E123" i="53"/>
  <c r="E122" i="53"/>
  <c r="E121" i="53"/>
  <c r="E120" i="53"/>
  <c r="E119" i="53"/>
  <c r="E118" i="53"/>
  <c r="E117" i="53"/>
  <c r="E116" i="53"/>
  <c r="E115" i="53"/>
  <c r="E114" i="53"/>
  <c r="E113" i="53"/>
  <c r="E112" i="53"/>
  <c r="E111" i="53"/>
  <c r="E110" i="53"/>
  <c r="E109" i="53"/>
  <c r="E108" i="53"/>
  <c r="E107" i="53"/>
  <c r="E106" i="53"/>
  <c r="E105" i="53"/>
  <c r="E104" i="53"/>
  <c r="E103" i="53"/>
  <c r="E102" i="53"/>
  <c r="E101" i="53"/>
  <c r="E100" i="53"/>
  <c r="E99" i="53"/>
  <c r="E98" i="53"/>
  <c r="E97" i="53"/>
  <c r="E96" i="53"/>
  <c r="E95" i="53"/>
  <c r="E94" i="53"/>
  <c r="E93" i="53"/>
  <c r="E92" i="53"/>
  <c r="E91" i="53"/>
  <c r="E90" i="53"/>
  <c r="E89" i="53"/>
  <c r="E88" i="53"/>
  <c r="E87" i="53"/>
  <c r="E86" i="53"/>
  <c r="E85" i="53"/>
  <c r="E84" i="53"/>
  <c r="E83" i="53"/>
  <c r="E82" i="53"/>
  <c r="E81" i="53"/>
  <c r="E80" i="53"/>
  <c r="E79" i="53"/>
  <c r="E78" i="53"/>
  <c r="E77" i="53"/>
  <c r="E76" i="53"/>
  <c r="E75" i="53"/>
  <c r="E74" i="53"/>
  <c r="E73" i="53"/>
  <c r="E72" i="53"/>
  <c r="E71" i="53"/>
  <c r="E70" i="53"/>
  <c r="E69" i="53"/>
  <c r="E68" i="53"/>
  <c r="E67" i="53"/>
  <c r="E66" i="53"/>
  <c r="E65" i="53"/>
  <c r="E64" i="53"/>
  <c r="E63" i="53"/>
  <c r="E62" i="53"/>
  <c r="E61" i="53"/>
  <c r="E60" i="53"/>
  <c r="E59" i="53"/>
  <c r="E58" i="53"/>
  <c r="E57" i="53"/>
  <c r="E56" i="53"/>
  <c r="E55" i="53"/>
  <c r="E54" i="53"/>
  <c r="E53" i="53"/>
  <c r="E52" i="53"/>
  <c r="E51" i="53"/>
  <c r="E50" i="53"/>
  <c r="E49" i="53"/>
  <c r="E48" i="53"/>
  <c r="E47" i="53"/>
  <c r="E46" i="53"/>
  <c r="E45" i="53"/>
  <c r="E44" i="53"/>
  <c r="E43" i="53"/>
  <c r="E42" i="53"/>
  <c r="E41" i="53"/>
  <c r="E40" i="53"/>
  <c r="E39" i="53"/>
  <c r="E38" i="53"/>
  <c r="E37" i="53"/>
  <c r="E36" i="53"/>
  <c r="E35" i="53"/>
  <c r="E34" i="53"/>
  <c r="E33" i="53"/>
  <c r="E32" i="53"/>
  <c r="E31" i="53"/>
  <c r="E30" i="53"/>
  <c r="E29" i="53"/>
  <c r="E28" i="53"/>
  <c r="E27" i="53"/>
  <c r="E26" i="53"/>
  <c r="E25" i="53"/>
  <c r="E24" i="53"/>
  <c r="E23" i="53"/>
  <c r="E22" i="53"/>
  <c r="E21" i="53"/>
  <c r="E20" i="53"/>
  <c r="E19" i="53"/>
  <c r="E18" i="53"/>
  <c r="E17" i="53"/>
  <c r="E16" i="53"/>
  <c r="E15" i="53"/>
  <c r="E14" i="53"/>
  <c r="E13" i="53"/>
  <c r="E12" i="53"/>
  <c r="E11" i="53"/>
  <c r="E10" i="53"/>
  <c r="E9" i="53"/>
  <c r="E8" i="53"/>
  <c r="E7" i="53"/>
  <c r="E6" i="53"/>
  <c r="E5" i="53"/>
  <c r="E4" i="53"/>
  <c r="E3" i="53"/>
  <c r="I2" i="53"/>
  <c r="E2" i="53"/>
  <c r="H8" i="65"/>
  <c r="O236" i="80" l="1"/>
  <c r="AG236" i="80" s="1"/>
  <c r="K473" i="80"/>
  <c r="AG473" i="80" s="1"/>
  <c r="K393" i="80"/>
  <c r="AG393" i="80" s="1"/>
  <c r="K443" i="80"/>
  <c r="AG443" i="80" s="1"/>
  <c r="O260" i="80"/>
  <c r="AG260" i="80" s="1"/>
  <c r="O389" i="80"/>
  <c r="AG389" i="80" s="1"/>
  <c r="O252" i="80"/>
  <c r="AG252" i="80" s="1"/>
  <c r="K453" i="80"/>
  <c r="AG453" i="80" s="1"/>
  <c r="K461" i="80"/>
  <c r="AG461" i="80" s="1"/>
  <c r="K427" i="80"/>
  <c r="AG427" i="80" s="1"/>
  <c r="E10" i="65"/>
  <c r="K339" i="80"/>
  <c r="AG339" i="80" s="1"/>
  <c r="O337" i="80"/>
  <c r="AG337" i="80" s="1"/>
  <c r="O264" i="80"/>
  <c r="AG264" i="80" s="1"/>
  <c r="O271" i="80"/>
  <c r="AG271" i="80" s="1"/>
  <c r="K256" i="80"/>
  <c r="AG256" i="80" s="1"/>
  <c r="K291" i="80"/>
  <c r="AG291" i="80" s="1"/>
  <c r="K239" i="80"/>
  <c r="AG239" i="80" s="1"/>
  <c r="K261" i="80"/>
  <c r="AG261" i="80" s="1"/>
  <c r="O289" i="80"/>
  <c r="AG289" i="80" s="1"/>
  <c r="O248" i="80"/>
  <c r="AG248" i="80" s="1"/>
  <c r="K418" i="80"/>
  <c r="AG418" i="80" s="1"/>
  <c r="K466" i="80"/>
  <c r="AG466" i="80" s="1"/>
  <c r="D10" i="65"/>
  <c r="C10" i="65"/>
  <c r="AQ56" i="58"/>
  <c r="AQ276" i="58"/>
  <c r="AQ64" i="58"/>
  <c r="AQ44" i="58"/>
  <c r="AQ78" i="58"/>
  <c r="B28" i="65"/>
  <c r="B25" i="65"/>
  <c r="K355" i="80"/>
  <c r="AG355" i="80" s="1"/>
  <c r="K395" i="80"/>
  <c r="AG395" i="80" s="1"/>
  <c r="K379" i="80"/>
  <c r="AG379" i="80" s="1"/>
  <c r="K233" i="80"/>
  <c r="AG233" i="80" s="1"/>
  <c r="K471" i="80"/>
  <c r="AG471" i="80" s="1"/>
  <c r="K381" i="80"/>
  <c r="AG381" i="80" s="1"/>
  <c r="K329" i="80"/>
  <c r="AG329" i="80" s="1"/>
  <c r="K265" i="80"/>
  <c r="AG265" i="80" s="1"/>
  <c r="K251" i="80"/>
  <c r="AG251" i="80" s="1"/>
  <c r="O231" i="80"/>
  <c r="AG231" i="80" s="1"/>
  <c r="K441" i="80"/>
  <c r="AG441" i="80" s="1"/>
  <c r="O367" i="80"/>
  <c r="AG367" i="80" s="1"/>
  <c r="K457" i="80"/>
  <c r="AG457" i="80" s="1"/>
  <c r="K295" i="80"/>
  <c r="AG295" i="80" s="1"/>
  <c r="K247" i="80"/>
  <c r="AG247" i="80" s="1"/>
  <c r="K341" i="80"/>
  <c r="AG341" i="80" s="1"/>
  <c r="AQ442" i="58"/>
  <c r="K235" i="80"/>
  <c r="AG235" i="80" s="1"/>
  <c r="K325" i="80"/>
  <c r="AG325" i="80" s="1"/>
  <c r="K333" i="80"/>
  <c r="AG333" i="80" s="1"/>
  <c r="K477" i="80"/>
  <c r="AG477" i="80" s="1"/>
  <c r="O421" i="80"/>
  <c r="AG421" i="80" s="1"/>
  <c r="O467" i="80"/>
  <c r="AG467" i="80" s="1"/>
  <c r="K417" i="80"/>
  <c r="AG417" i="80" s="1"/>
  <c r="O371" i="80"/>
  <c r="AG371" i="80" s="1"/>
  <c r="K273" i="80"/>
  <c r="AG273" i="80" s="1"/>
  <c r="O255" i="80"/>
  <c r="AG255" i="80" s="1"/>
  <c r="O227" i="80"/>
  <c r="AG227" i="80" s="1"/>
  <c r="K399" i="80"/>
  <c r="AG399" i="80" s="1"/>
  <c r="K323" i="80"/>
  <c r="AG323" i="80" s="1"/>
  <c r="O249" i="80"/>
  <c r="AG249" i="80" s="1"/>
  <c r="K419" i="80"/>
  <c r="AG419" i="80" s="1"/>
  <c r="O455" i="80"/>
  <c r="AG455" i="80" s="1"/>
  <c r="K241" i="80"/>
  <c r="AG241" i="80" s="1"/>
  <c r="O345" i="80"/>
  <c r="AG345" i="80" s="1"/>
  <c r="K275" i="80"/>
  <c r="AG275" i="80" s="1"/>
  <c r="O301" i="80"/>
  <c r="AG301" i="80" s="1"/>
  <c r="O405" i="80"/>
  <c r="AG405" i="80" s="1"/>
  <c r="O373" i="80"/>
  <c r="AG373" i="80" s="1"/>
  <c r="K321" i="80"/>
  <c r="AG321" i="80" s="1"/>
  <c r="O361" i="80"/>
  <c r="AG361" i="80" s="1"/>
  <c r="O413" i="80"/>
  <c r="AG413" i="80" s="1"/>
  <c r="K449" i="80"/>
  <c r="AG449" i="80" s="1"/>
  <c r="O363" i="80"/>
  <c r="AG363" i="80" s="1"/>
  <c r="K287" i="80"/>
  <c r="AG287" i="80" s="1"/>
  <c r="K293" i="80"/>
  <c r="AG293" i="80" s="1"/>
  <c r="O279" i="80"/>
  <c r="AG279" i="80" s="1"/>
  <c r="O223" i="80"/>
  <c r="AG223" i="80" s="1"/>
  <c r="O229" i="80"/>
  <c r="AG229" i="80" s="1"/>
  <c r="O479" i="80"/>
  <c r="AG479" i="80" s="1"/>
  <c r="O357" i="80"/>
  <c r="AG357" i="80" s="1"/>
  <c r="AQ175" i="58"/>
  <c r="AQ312" i="58"/>
  <c r="AQ51" i="58"/>
  <c r="AQ236" i="58"/>
  <c r="AQ255" i="58"/>
  <c r="AQ68" i="58"/>
  <c r="AQ252" i="58"/>
  <c r="AQ190" i="58"/>
  <c r="AQ369" i="58"/>
  <c r="AQ60" i="58"/>
  <c r="AQ178" i="58"/>
  <c r="AQ191" i="58"/>
  <c r="AQ264" i="58"/>
  <c r="AQ75" i="58"/>
  <c r="AQ155" i="58"/>
  <c r="AQ419" i="58"/>
  <c r="AQ203" i="58"/>
  <c r="AQ274" i="58"/>
  <c r="AQ408" i="58"/>
  <c r="AQ221" i="58"/>
  <c r="AQ282" i="58"/>
  <c r="AQ117" i="58"/>
  <c r="AQ245" i="58"/>
  <c r="AQ393" i="58"/>
  <c r="AQ235" i="58"/>
  <c r="AQ210" i="58"/>
  <c r="AQ204" i="58"/>
  <c r="AQ251" i="58"/>
  <c r="AQ101" i="58"/>
  <c r="AQ50" i="58"/>
  <c r="K263" i="80"/>
  <c r="AG263" i="80" s="1"/>
  <c r="AQ465" i="58"/>
  <c r="AQ247" i="58"/>
  <c r="AQ215" i="58"/>
  <c r="AQ167" i="58"/>
  <c r="AQ77" i="58"/>
  <c r="AQ205" i="58"/>
  <c r="O276" i="80"/>
  <c r="AG276" i="80" s="1"/>
  <c r="O224" i="80"/>
  <c r="AG224" i="80" s="1"/>
  <c r="AQ261" i="58"/>
  <c r="O362" i="80"/>
  <c r="AG362" i="80" s="1"/>
  <c r="O226" i="80"/>
  <c r="AG226" i="80" s="1"/>
  <c r="K400" i="80"/>
  <c r="AG400" i="80" s="1"/>
  <c r="O438" i="80"/>
  <c r="AG438" i="80" s="1"/>
  <c r="O228" i="80"/>
  <c r="AG228" i="80" s="1"/>
  <c r="O428" i="80"/>
  <c r="AG428" i="80" s="1"/>
  <c r="O280" i="80"/>
  <c r="AG280" i="80" s="1"/>
  <c r="K420" i="80"/>
  <c r="AG420" i="80" s="1"/>
  <c r="K402" i="80"/>
  <c r="AG402" i="80" s="1"/>
  <c r="K244" i="80"/>
  <c r="AG244" i="80" s="1"/>
  <c r="K324" i="80"/>
  <c r="AG324" i="80" s="1"/>
  <c r="K258" i="80"/>
  <c r="AG258" i="80" s="1"/>
  <c r="K460" i="80"/>
  <c r="AG460" i="80" s="1"/>
  <c r="O462" i="80"/>
  <c r="AG462" i="80" s="1"/>
  <c r="O364" i="80"/>
  <c r="AG364" i="80" s="1"/>
  <c r="K380" i="80"/>
  <c r="AG380" i="80" s="1"/>
  <c r="AQ420" i="58"/>
  <c r="AQ29" i="58"/>
  <c r="AQ459" i="58"/>
  <c r="AQ316" i="58"/>
  <c r="AQ304" i="58"/>
  <c r="AQ360" i="58"/>
  <c r="AQ370" i="58"/>
  <c r="AQ411" i="58"/>
  <c r="AQ244" i="58"/>
  <c r="AQ392" i="58"/>
  <c r="AQ431" i="58"/>
  <c r="AQ417" i="58"/>
  <c r="AQ401" i="58"/>
  <c r="AQ328" i="58"/>
  <c r="AQ33" i="58"/>
  <c r="O222" i="80"/>
  <c r="AG222" i="80" s="1"/>
  <c r="AQ358" i="58"/>
  <c r="AQ41" i="58"/>
  <c r="AQ366" i="58"/>
  <c r="AQ65" i="58"/>
  <c r="AQ73" i="58"/>
  <c r="AQ185" i="58"/>
  <c r="AQ398" i="58"/>
  <c r="AQ446" i="58"/>
  <c r="K270" i="80"/>
  <c r="AG270" i="80" s="1"/>
  <c r="K414" i="80"/>
  <c r="AG414" i="80" s="1"/>
  <c r="O450" i="80"/>
  <c r="AG450" i="80" s="1"/>
  <c r="K422" i="80"/>
  <c r="AG422" i="80" s="1"/>
  <c r="K396" i="80"/>
  <c r="AG396" i="80" s="1"/>
  <c r="K458" i="80"/>
  <c r="AG458" i="80" s="1"/>
  <c r="K436" i="80"/>
  <c r="AG436" i="80" s="1"/>
  <c r="AQ365" i="58"/>
  <c r="O452" i="80"/>
  <c r="AG452" i="80" s="1"/>
  <c r="K328" i="80"/>
  <c r="AG328" i="80" s="1"/>
  <c r="O430" i="80"/>
  <c r="AG430" i="80" s="1"/>
  <c r="K434" i="80"/>
  <c r="AG434" i="80" s="1"/>
  <c r="K392" i="80"/>
  <c r="AG392" i="80" s="1"/>
  <c r="AQ353" i="58"/>
  <c r="K370" i="80"/>
  <c r="AG370" i="80" s="1"/>
  <c r="O474" i="80"/>
  <c r="AG474" i="80" s="1"/>
  <c r="K446" i="80"/>
  <c r="AG446" i="80" s="1"/>
  <c r="O390" i="80"/>
  <c r="AG390" i="80" s="1"/>
  <c r="O444" i="80"/>
  <c r="AG444" i="80" s="1"/>
  <c r="K410" i="80"/>
  <c r="AG410" i="80" s="1"/>
  <c r="O354" i="80"/>
  <c r="AG354" i="80" s="1"/>
  <c r="AQ291" i="58"/>
  <c r="O404" i="80"/>
  <c r="AG404" i="80" s="1"/>
  <c r="K468" i="80"/>
  <c r="AG468" i="80" s="1"/>
  <c r="K406" i="80"/>
  <c r="AG406" i="80" s="1"/>
  <c r="O342" i="80"/>
  <c r="AG342" i="80" s="1"/>
  <c r="O388" i="80"/>
  <c r="AG388" i="80" s="1"/>
  <c r="AQ285" i="58"/>
  <c r="K288" i="80"/>
  <c r="AG288" i="80" s="1"/>
  <c r="O310" i="80"/>
  <c r="AG310" i="80" s="1"/>
  <c r="O308" i="80"/>
  <c r="AG308" i="80" s="1"/>
  <c r="AQ281" i="58"/>
  <c r="O3" i="80"/>
  <c r="AQ289" i="58"/>
  <c r="AQ468" i="58"/>
  <c r="AQ432" i="58"/>
  <c r="AQ299" i="58"/>
  <c r="O3" i="58"/>
  <c r="O302" i="80"/>
  <c r="AG302" i="80" s="1"/>
  <c r="O478" i="58"/>
  <c r="AQ478" i="58" s="1"/>
  <c r="AQ307" i="58"/>
  <c r="AQ295" i="58"/>
  <c r="O352" i="80"/>
  <c r="AG352" i="80" s="1"/>
  <c r="O298" i="80"/>
  <c r="AG298" i="80" s="1"/>
  <c r="O225" i="80"/>
  <c r="AG225" i="80" s="1"/>
  <c r="K464" i="80"/>
  <c r="AG464" i="80" s="1"/>
  <c r="AQ119" i="58"/>
  <c r="AQ278" i="58"/>
  <c r="O440" i="80"/>
  <c r="AG440" i="80" s="1"/>
  <c r="K472" i="80"/>
  <c r="AG472" i="80" s="1"/>
  <c r="AQ436" i="58"/>
  <c r="AQ339" i="58"/>
  <c r="O384" i="80"/>
  <c r="AG384" i="80" s="1"/>
  <c r="K336" i="80"/>
  <c r="AG336" i="80" s="1"/>
  <c r="K245" i="80"/>
  <c r="AG245" i="80" s="1"/>
  <c r="K360" i="80"/>
  <c r="AG360" i="80" s="1"/>
  <c r="K335" i="80"/>
  <c r="AG335" i="80" s="1"/>
  <c r="K359" i="80"/>
  <c r="AG359" i="80" s="1"/>
  <c r="K269" i="80"/>
  <c r="AG269" i="80" s="1"/>
  <c r="AQ40" i="58"/>
  <c r="AQ177" i="58"/>
  <c r="AQ15" i="58"/>
  <c r="AQ456" i="58"/>
  <c r="AQ448" i="58"/>
  <c r="K391" i="80"/>
  <c r="AG391" i="80" s="1"/>
  <c r="K277" i="80"/>
  <c r="AG277" i="80" s="1"/>
  <c r="K344" i="80"/>
  <c r="AG344" i="80" s="1"/>
  <c r="K327" i="80"/>
  <c r="AG327" i="80" s="1"/>
  <c r="K238" i="80"/>
  <c r="AG238" i="80" s="1"/>
  <c r="O448" i="80"/>
  <c r="AG448" i="80" s="1"/>
  <c r="K447" i="80"/>
  <c r="AG447" i="80" s="1"/>
  <c r="AQ180" i="58"/>
  <c r="AQ188" i="58"/>
  <c r="AQ308" i="58"/>
  <c r="AQ111" i="58"/>
  <c r="AQ368" i="58"/>
  <c r="AQ263" i="58"/>
  <c r="AQ381" i="58"/>
  <c r="AQ262" i="58"/>
  <c r="AQ421" i="58"/>
  <c r="AQ197" i="58"/>
  <c r="K456" i="80"/>
  <c r="AG456" i="80" s="1"/>
  <c r="K343" i="80"/>
  <c r="AG343" i="80" s="1"/>
  <c r="O254" i="80"/>
  <c r="AG254" i="80" s="1"/>
  <c r="K423" i="80"/>
  <c r="AG423" i="80" s="1"/>
  <c r="K290" i="80"/>
  <c r="AG290" i="80" s="1"/>
  <c r="K383" i="80"/>
  <c r="AG383" i="80" s="1"/>
  <c r="AQ440" i="58"/>
  <c r="AQ151" i="58"/>
  <c r="O297" i="80"/>
  <c r="K297" i="80"/>
  <c r="O347" i="80"/>
  <c r="K347" i="80"/>
  <c r="K243" i="80"/>
  <c r="O243" i="80"/>
  <c r="O330" i="80"/>
  <c r="K330" i="80"/>
  <c r="AQ386" i="58"/>
  <c r="AQ164" i="58"/>
  <c r="AQ142" i="58"/>
  <c r="AQ211" i="58"/>
  <c r="AQ433" i="58"/>
  <c r="AQ283" i="58"/>
  <c r="K315" i="80"/>
  <c r="AG315" i="80" s="1"/>
  <c r="K313" i="80"/>
  <c r="AG313" i="80" s="1"/>
  <c r="AQ128" i="58"/>
  <c r="AQ88" i="58"/>
  <c r="AQ182" i="58"/>
  <c r="AQ96" i="58"/>
  <c r="AQ336" i="58"/>
  <c r="AQ394" i="58"/>
  <c r="AQ122" i="58"/>
  <c r="AQ192" i="58"/>
  <c r="O307" i="80"/>
  <c r="AG307" i="80" s="1"/>
  <c r="K433" i="80"/>
  <c r="AG433" i="80" s="1"/>
  <c r="AQ343" i="58"/>
  <c r="O311" i="80"/>
  <c r="AG311" i="80" s="1"/>
  <c r="AQ114" i="58"/>
  <c r="AQ104" i="58"/>
  <c r="O435" i="80"/>
  <c r="AG435" i="80" s="1"/>
  <c r="AQ375" i="58"/>
  <c r="AQ28" i="58"/>
  <c r="AQ457" i="58"/>
  <c r="AQ275" i="58"/>
  <c r="AQ362" i="58"/>
  <c r="O305" i="80"/>
  <c r="AG305" i="80" s="1"/>
  <c r="O303" i="80"/>
  <c r="AG303" i="80" s="1"/>
  <c r="AQ359" i="58"/>
  <c r="K338" i="80"/>
  <c r="AG338" i="80" s="1"/>
  <c r="AQ90" i="58"/>
  <c r="AQ156" i="58"/>
  <c r="O445" i="80"/>
  <c r="AG445" i="80" s="1"/>
  <c r="AQ138" i="58"/>
  <c r="AQ400" i="58"/>
  <c r="AQ361" i="58"/>
  <c r="AQ106" i="58"/>
  <c r="AQ14" i="58"/>
  <c r="K425" i="80"/>
  <c r="AG425" i="80" s="1"/>
  <c r="AQ59" i="58"/>
  <c r="AQ390" i="58"/>
  <c r="AQ152" i="58"/>
  <c r="AQ67" i="58"/>
  <c r="K3" i="77"/>
  <c r="AG3" i="77" s="1"/>
  <c r="K408" i="80"/>
  <c r="O408" i="80"/>
  <c r="AQ69" i="58"/>
  <c r="O309" i="80"/>
  <c r="K309" i="80"/>
  <c r="O385" i="80"/>
  <c r="K385" i="80"/>
  <c r="O398" i="80"/>
  <c r="K398" i="80"/>
  <c r="O332" i="80"/>
  <c r="AG332" i="80" s="1"/>
  <c r="AQ297" i="58"/>
  <c r="AQ147" i="58"/>
  <c r="AQ208" i="58"/>
  <c r="O416" i="80"/>
  <c r="AG416" i="80" s="1"/>
  <c r="O424" i="80"/>
  <c r="AG424" i="80" s="1"/>
  <c r="AQ115" i="58"/>
  <c r="AQ376" i="58"/>
  <c r="AQ296" i="58"/>
  <c r="O403" i="80"/>
  <c r="K403" i="80"/>
  <c r="K257" i="80"/>
  <c r="O257" i="80"/>
  <c r="AQ279" i="58"/>
  <c r="AQ396" i="58"/>
  <c r="AQ66" i="58"/>
  <c r="AQ79" i="58"/>
  <c r="AQ97" i="58"/>
  <c r="K294" i="80"/>
  <c r="O294" i="80"/>
  <c r="AQ58" i="58"/>
  <c r="AQ445" i="58"/>
  <c r="AQ429" i="58"/>
  <c r="AQ150" i="58"/>
  <c r="K366" i="80"/>
  <c r="AG366" i="80" s="1"/>
  <c r="O369" i="80"/>
  <c r="AG369" i="80" s="1"/>
  <c r="AQ293" i="58"/>
  <c r="AQ85" i="58"/>
  <c r="K454" i="80"/>
  <c r="O454" i="80"/>
  <c r="K470" i="80"/>
  <c r="O470" i="80"/>
  <c r="O387" i="80"/>
  <c r="K387" i="80"/>
  <c r="AQ406" i="58"/>
  <c r="AQ110" i="58"/>
  <c r="O382" i="80"/>
  <c r="AG382" i="80" s="1"/>
  <c r="AQ6" i="58"/>
  <c r="O237" i="80"/>
  <c r="K237" i="80"/>
  <c r="O465" i="80"/>
  <c r="K465" i="80"/>
  <c r="K232" i="80"/>
  <c r="O232" i="80"/>
  <c r="O250" i="80"/>
  <c r="K250" i="80"/>
  <c r="K266" i="80"/>
  <c r="O266" i="80"/>
  <c r="O431" i="80"/>
  <c r="K431" i="80"/>
  <c r="K439" i="80"/>
  <c r="O439" i="80"/>
  <c r="O253" i="80"/>
  <c r="K253" i="80"/>
  <c r="O285" i="80"/>
  <c r="K285" i="80"/>
  <c r="O442" i="80"/>
  <c r="K442" i="80"/>
  <c r="O386" i="80"/>
  <c r="AG386" i="80" s="1"/>
  <c r="O411" i="80"/>
  <c r="AG411" i="80" s="1"/>
  <c r="K451" i="80"/>
  <c r="AG451" i="80" s="1"/>
  <c r="K401" i="80"/>
  <c r="AG401" i="80" s="1"/>
  <c r="AQ21" i="58"/>
  <c r="AQ11" i="58"/>
  <c r="K351" i="80"/>
  <c r="AG351" i="80" s="1"/>
  <c r="K283" i="80"/>
  <c r="AG283" i="80" s="1"/>
  <c r="AQ331" i="58"/>
  <c r="K331" i="80"/>
  <c r="AG331" i="80" s="1"/>
  <c r="AQ80" i="58"/>
  <c r="AQ136" i="58"/>
  <c r="O278" i="80"/>
  <c r="K278" i="80"/>
  <c r="AQ277" i="58"/>
  <c r="K267" i="80"/>
  <c r="O267" i="80"/>
  <c r="K432" i="80"/>
  <c r="O432" i="80"/>
  <c r="O407" i="80"/>
  <c r="K407" i="80"/>
  <c r="AQ338" i="58"/>
  <c r="AQ402" i="58"/>
  <c r="AQ337" i="58"/>
  <c r="AQ265" i="58"/>
  <c r="AQ49" i="58"/>
  <c r="AQ157" i="58"/>
  <c r="AQ53" i="58"/>
  <c r="AQ229" i="58"/>
  <c r="AQ32" i="58"/>
  <c r="AQ434" i="58"/>
  <c r="K394" i="80"/>
  <c r="AG394" i="80" s="1"/>
  <c r="K426" i="80"/>
  <c r="AG426" i="80" s="1"/>
  <c r="O437" i="80"/>
  <c r="K437" i="80"/>
  <c r="AQ458" i="58"/>
  <c r="AQ286" i="58"/>
  <c r="AQ153" i="58"/>
  <c r="AQ4" i="58"/>
  <c r="AQ36" i="58"/>
  <c r="AQ383" i="58"/>
  <c r="AQ212" i="58"/>
  <c r="AQ166" i="58"/>
  <c r="AQ144" i="58"/>
  <c r="O429" i="80"/>
  <c r="AG429" i="80" s="1"/>
  <c r="K415" i="80"/>
  <c r="O415" i="80"/>
  <c r="K356" i="80"/>
  <c r="O356" i="80"/>
  <c r="AQ409" i="58"/>
  <c r="D32" i="65"/>
  <c r="K319" i="80"/>
  <c r="O319" i="80"/>
  <c r="K246" i="80"/>
  <c r="O246" i="80"/>
  <c r="O476" i="80"/>
  <c r="K476" i="80"/>
  <c r="AQ149" i="58"/>
  <c r="AQ39" i="58"/>
  <c r="AQ196" i="58"/>
  <c r="AQ243" i="58"/>
  <c r="AQ287" i="58"/>
  <c r="AQ47" i="58"/>
  <c r="AQ76" i="58"/>
  <c r="B83" i="68"/>
  <c r="J8" i="65"/>
  <c r="AQ95" i="58"/>
  <c r="AQ269" i="58"/>
  <c r="AQ404" i="58"/>
  <c r="AQ131" i="58"/>
  <c r="AQ309" i="58"/>
  <c r="AQ266" i="58"/>
  <c r="AQ302" i="58"/>
  <c r="K242" i="80"/>
  <c r="AG242" i="80" s="1"/>
  <c r="AQ199" i="58"/>
  <c r="AQ256" i="58"/>
  <c r="AQ326" i="58"/>
  <c r="AQ183" i="58"/>
  <c r="AQ93" i="58"/>
  <c r="AQ186" i="58"/>
  <c r="AQ63" i="58"/>
  <c r="AQ83" i="58"/>
  <c r="AQ344" i="58"/>
  <c r="AQ454" i="58"/>
  <c r="AQ121" i="58"/>
  <c r="AQ158" i="58"/>
  <c r="AQ341" i="58"/>
  <c r="AQ206" i="58"/>
  <c r="AQ126" i="58"/>
  <c r="AQ225" i="58"/>
  <c r="AQ329" i="58"/>
  <c r="AQ425" i="58"/>
  <c r="O274" i="80"/>
  <c r="AG274" i="80" s="1"/>
  <c r="AQ334" i="58"/>
  <c r="K475" i="80"/>
  <c r="AG475" i="80" s="1"/>
  <c r="AQ327" i="58"/>
  <c r="AQ34" i="58"/>
  <c r="AQ371" i="58"/>
  <c r="K469" i="80"/>
  <c r="AG469" i="80" s="1"/>
  <c r="AQ377" i="58"/>
  <c r="O346" i="80"/>
  <c r="AG346" i="80" s="1"/>
  <c r="AQ422" i="58"/>
  <c r="L8" i="65"/>
  <c r="AQ332" i="58"/>
  <c r="AQ288" i="58"/>
  <c r="AQ412" i="58"/>
  <c r="AQ87" i="58"/>
  <c r="AQ280" i="58"/>
  <c r="O299" i="80"/>
  <c r="AG299" i="80" s="1"/>
  <c r="K259" i="80"/>
  <c r="AG259" i="80" s="1"/>
  <c r="AQ292" i="58"/>
  <c r="AQ129" i="58"/>
  <c r="O292" i="80"/>
  <c r="K292" i="80"/>
  <c r="K378" i="80"/>
  <c r="O378" i="80"/>
  <c r="AQ424" i="58"/>
  <c r="K349" i="80"/>
  <c r="AG349" i="80" s="1"/>
  <c r="K317" i="80"/>
  <c r="O317" i="80"/>
  <c r="AQ303" i="58"/>
  <c r="AQ367" i="58"/>
  <c r="O374" i="80"/>
  <c r="AG374" i="80" s="1"/>
  <c r="K409" i="80"/>
  <c r="AG409" i="80" s="1"/>
  <c r="K353" i="80"/>
  <c r="AG353" i="80" s="1"/>
  <c r="AQ198" i="58"/>
  <c r="AQ146" i="58"/>
  <c r="AQ141" i="58"/>
  <c r="O262" i="80"/>
  <c r="K262" i="80"/>
  <c r="O281" i="80"/>
  <c r="K281" i="80"/>
  <c r="O372" i="80"/>
  <c r="K372" i="80"/>
  <c r="AQ135" i="58"/>
  <c r="O368" i="80"/>
  <c r="K368" i="80"/>
  <c r="K376" i="80"/>
  <c r="O376" i="80"/>
  <c r="AQ226" i="58"/>
  <c r="AQ55" i="58"/>
  <c r="AQ145" i="58"/>
  <c r="AQ435" i="58"/>
  <c r="AQ107" i="58"/>
  <c r="AQ253" i="58"/>
  <c r="O296" i="80"/>
  <c r="K296" i="80"/>
  <c r="AQ321" i="58"/>
  <c r="O268" i="80"/>
  <c r="K268" i="80"/>
  <c r="K300" i="80"/>
  <c r="O300" i="80"/>
  <c r="AQ46" i="58"/>
  <c r="D83" i="68"/>
  <c r="K272" i="80"/>
  <c r="O272" i="80"/>
  <c r="K284" i="80"/>
  <c r="O284" i="80"/>
  <c r="K334" i="80"/>
  <c r="O334" i="80"/>
  <c r="O304" i="80"/>
  <c r="K304" i="80"/>
  <c r="K326" i="80"/>
  <c r="O326" i="80"/>
  <c r="O459" i="80"/>
  <c r="K459" i="80"/>
  <c r="K340" i="80"/>
  <c r="O340" i="80"/>
  <c r="O412" i="80"/>
  <c r="AG412" i="80" s="1"/>
  <c r="O282" i="80"/>
  <c r="AG282" i="80" s="1"/>
  <c r="O286" i="80"/>
  <c r="AG286" i="80" s="1"/>
  <c r="AF3" i="80"/>
  <c r="O306" i="80"/>
  <c r="AG306" i="80" s="1"/>
  <c r="K478" i="80"/>
  <c r="O478" i="80"/>
  <c r="M8" i="65"/>
  <c r="R15" i="76"/>
  <c r="AQ31" i="58"/>
  <c r="AQ385" i="58"/>
  <c r="AQ460" i="58"/>
  <c r="AQ43" i="58"/>
  <c r="AQ474" i="58"/>
  <c r="AQ414" i="58"/>
  <c r="AQ443" i="58"/>
  <c r="AQ470" i="58"/>
  <c r="AQ241" i="58"/>
  <c r="AQ469" i="58"/>
  <c r="AQ413" i="58"/>
  <c r="K375" i="80"/>
  <c r="O375" i="80"/>
  <c r="K463" i="80"/>
  <c r="O463" i="80"/>
  <c r="O234" i="80"/>
  <c r="K234" i="80"/>
  <c r="K240" i="80"/>
  <c r="O240" i="80"/>
  <c r="O312" i="80"/>
  <c r="K312" i="80"/>
  <c r="K316" i="80"/>
  <c r="O316" i="80"/>
  <c r="O320" i="80"/>
  <c r="K320" i="80"/>
  <c r="O322" i="80"/>
  <c r="K322" i="80"/>
  <c r="O350" i="80"/>
  <c r="K350" i="80"/>
  <c r="AQ220" i="58"/>
  <c r="AQ137" i="58"/>
  <c r="AQ42" i="58"/>
  <c r="AQ134" i="58"/>
  <c r="AQ346" i="58"/>
  <c r="AQ242" i="58"/>
  <c r="AQ234" i="58"/>
  <c r="AQ272" i="58"/>
  <c r="AQ340" i="58"/>
  <c r="AQ352" i="58"/>
  <c r="AQ320" i="58"/>
  <c r="AQ240" i="58"/>
  <c r="AQ233" i="58"/>
  <c r="AQ467" i="58"/>
  <c r="AQ389" i="58"/>
  <c r="AQ461" i="58"/>
  <c r="AQ447" i="58"/>
  <c r="AQ120" i="58"/>
  <c r="AQ223" i="58"/>
  <c r="AQ103" i="58"/>
  <c r="AQ273" i="58"/>
  <c r="AQ257" i="58"/>
  <c r="AQ391" i="58"/>
  <c r="K314" i="80"/>
  <c r="AG314" i="80" s="1"/>
  <c r="AQ148" i="58"/>
  <c r="AQ200" i="58"/>
  <c r="AQ347" i="58"/>
  <c r="AQ123" i="58"/>
  <c r="AQ333" i="58"/>
  <c r="AQ187" i="58"/>
  <c r="O230" i="80"/>
  <c r="AG230" i="80" s="1"/>
  <c r="O348" i="80"/>
  <c r="AG348" i="80" s="1"/>
  <c r="K318" i="80"/>
  <c r="AG318" i="80" s="1"/>
  <c r="O358" i="80"/>
  <c r="K358" i="80"/>
  <c r="K377" i="80"/>
  <c r="O377" i="80"/>
  <c r="O365" i="80"/>
  <c r="K365" i="80"/>
  <c r="K397" i="80"/>
  <c r="O397" i="80"/>
  <c r="AP3" i="58"/>
  <c r="AI3" i="81"/>
  <c r="B35" i="65"/>
  <c r="N6" i="65"/>
  <c r="B30" i="65"/>
  <c r="B29" i="65"/>
  <c r="F8" i="65"/>
  <c r="B34" i="65"/>
  <c r="B31" i="65"/>
  <c r="B32" i="65"/>
  <c r="B33" i="65"/>
  <c r="I8" i="65"/>
  <c r="G8" i="65"/>
  <c r="K8" i="65"/>
  <c r="C32" i="65"/>
  <c r="C31" i="65"/>
  <c r="C35" i="65"/>
  <c r="D34" i="65"/>
  <c r="C34" i="65"/>
  <c r="C8" i="65"/>
  <c r="E8" i="65"/>
  <c r="AG3" i="80" l="1"/>
  <c r="E9" i="65"/>
  <c r="D9" i="65"/>
  <c r="C9" i="65"/>
  <c r="AQ20" i="58"/>
  <c r="AQ24" i="58"/>
  <c r="B27" i="65"/>
  <c r="AQ423" i="58"/>
  <c r="AQ94" i="58"/>
  <c r="AQ319" i="58"/>
  <c r="AG243" i="80"/>
  <c r="AG347" i="80"/>
  <c r="AQ259" i="58"/>
  <c r="AQ462" i="58"/>
  <c r="AG297" i="80"/>
  <c r="AQ81" i="58"/>
  <c r="AQ418" i="58"/>
  <c r="AQ271" i="58"/>
  <c r="AQ426" i="58"/>
  <c r="AQ349" i="58"/>
  <c r="AQ228" i="58"/>
  <c r="AG232" i="80"/>
  <c r="AG237" i="80"/>
  <c r="AQ165" i="58"/>
  <c r="AQ133" i="58"/>
  <c r="AQ7" i="58"/>
  <c r="AQ35" i="58"/>
  <c r="AQ407" i="58"/>
  <c r="AQ237" i="58"/>
  <c r="AQ170" i="58"/>
  <c r="AQ373" i="58"/>
  <c r="AQ189" i="58"/>
  <c r="AQ384" i="58"/>
  <c r="AQ238" i="58"/>
  <c r="AQ378" i="58"/>
  <c r="AG403" i="80"/>
  <c r="AQ17" i="58"/>
  <c r="AQ13" i="58"/>
  <c r="AG267" i="80"/>
  <c r="AQ437" i="58"/>
  <c r="AG266" i="80"/>
  <c r="AQ345" i="58"/>
  <c r="AG309" i="80"/>
  <c r="AQ374" i="58"/>
  <c r="AG246" i="80"/>
  <c r="AQ364" i="58"/>
  <c r="AG398" i="80"/>
  <c r="AQ3" i="58"/>
  <c r="AQ70" i="58"/>
  <c r="AQ372" i="58"/>
  <c r="AG385" i="80"/>
  <c r="AQ403" i="58"/>
  <c r="AG250" i="80"/>
  <c r="AQ397" i="58"/>
  <c r="AQ26" i="58"/>
  <c r="AQ193" i="58"/>
  <c r="AQ451" i="58"/>
  <c r="AQ455" i="58"/>
  <c r="AG253" i="80"/>
  <c r="AG439" i="80"/>
  <c r="AQ428" i="58"/>
  <c r="AG377" i="80"/>
  <c r="AQ351" i="58"/>
  <c r="AQ213" i="58"/>
  <c r="AQ232" i="58"/>
  <c r="AQ102" i="58"/>
  <c r="AG454" i="80"/>
  <c r="AQ16" i="58"/>
  <c r="AQ323" i="58"/>
  <c r="AG437" i="80"/>
  <c r="AQ105" i="58"/>
  <c r="AQ18" i="58"/>
  <c r="AQ12" i="58"/>
  <c r="AG272" i="80"/>
  <c r="AG368" i="80"/>
  <c r="AQ160" i="58"/>
  <c r="AQ113" i="58"/>
  <c r="AQ310" i="58"/>
  <c r="AQ217" i="58"/>
  <c r="AQ38" i="58"/>
  <c r="AQ335" i="58"/>
  <c r="AQ71" i="58"/>
  <c r="AQ218" i="58"/>
  <c r="AQ98" i="58"/>
  <c r="AG476" i="80"/>
  <c r="B84" i="68"/>
  <c r="AQ100" i="58"/>
  <c r="AQ387" i="58"/>
  <c r="AQ290" i="58"/>
  <c r="AG294" i="80"/>
  <c r="AQ395" i="58"/>
  <c r="AG330" i="80"/>
  <c r="AG300" i="80"/>
  <c r="AQ311" i="58"/>
  <c r="AQ284" i="58"/>
  <c r="AQ399" i="58"/>
  <c r="AQ27" i="58"/>
  <c r="AQ227" i="58"/>
  <c r="AG257" i="80"/>
  <c r="AQ25" i="58"/>
  <c r="AG326" i="80"/>
  <c r="AQ430" i="58"/>
  <c r="AQ127" i="58"/>
  <c r="AQ246" i="58"/>
  <c r="AQ154" i="58"/>
  <c r="AQ45" i="58"/>
  <c r="AQ477" i="58"/>
  <c r="AQ57" i="58"/>
  <c r="AQ159" i="58"/>
  <c r="AG278" i="80"/>
  <c r="AG442" i="80"/>
  <c r="AG465" i="80"/>
  <c r="AQ306" i="58"/>
  <c r="AQ348" i="58"/>
  <c r="AQ254" i="58"/>
  <c r="AQ410" i="58"/>
  <c r="AG285" i="80"/>
  <c r="AQ301" i="58"/>
  <c r="AQ86" i="58"/>
  <c r="AQ379" i="58"/>
  <c r="AQ162" i="58"/>
  <c r="AQ294" i="58"/>
  <c r="AQ54" i="58"/>
  <c r="AQ109" i="58"/>
  <c r="AQ168" i="58"/>
  <c r="AG387" i="80"/>
  <c r="AQ108" i="58"/>
  <c r="AQ322" i="58"/>
  <c r="AG408" i="80"/>
  <c r="AG334" i="80"/>
  <c r="AQ89" i="58"/>
  <c r="AQ176" i="58"/>
  <c r="AG431" i="80"/>
  <c r="AQ475" i="58"/>
  <c r="AG470" i="80"/>
  <c r="AQ62" i="58"/>
  <c r="AQ10" i="58"/>
  <c r="AQ9" i="58"/>
  <c r="AQ8" i="58"/>
  <c r="AQ124" i="58"/>
  <c r="AQ472" i="58"/>
  <c r="AQ356" i="58"/>
  <c r="AQ450" i="58"/>
  <c r="AG378" i="80"/>
  <c r="AQ195" i="58"/>
  <c r="AG319" i="80"/>
  <c r="AQ91" i="58"/>
  <c r="AQ112" i="58"/>
  <c r="AQ350" i="58"/>
  <c r="AG415" i="80"/>
  <c r="AG407" i="80"/>
  <c r="AG375" i="80"/>
  <c r="AQ37" i="58"/>
  <c r="AQ139" i="58"/>
  <c r="AQ270" i="58"/>
  <c r="AQ72" i="58"/>
  <c r="AQ116" i="58"/>
  <c r="AQ214" i="58"/>
  <c r="AQ466" i="58"/>
  <c r="AQ216" i="58"/>
  <c r="AQ230" i="58"/>
  <c r="AQ314" i="58"/>
  <c r="AQ317" i="58"/>
  <c r="AQ161" i="58"/>
  <c r="AQ5" i="58"/>
  <c r="AG432" i="80"/>
  <c r="AQ439" i="58"/>
  <c r="AQ174" i="58"/>
  <c r="AQ173" i="58"/>
  <c r="AQ209" i="58"/>
  <c r="AQ324" i="58"/>
  <c r="AG356" i="80"/>
  <c r="AQ268" i="58"/>
  <c r="AG240" i="80"/>
  <c r="AQ249" i="58"/>
  <c r="AQ179" i="58"/>
  <c r="AQ163" i="58"/>
  <c r="AQ318" i="58"/>
  <c r="AQ92" i="58"/>
  <c r="AQ300" i="58"/>
  <c r="AQ363" i="58"/>
  <c r="AQ298" i="58"/>
  <c r="AQ48" i="58"/>
  <c r="AQ84" i="58"/>
  <c r="AQ325" i="58"/>
  <c r="AQ118" i="58"/>
  <c r="AG304" i="80"/>
  <c r="AQ207" i="58"/>
  <c r="AG372" i="80"/>
  <c r="AQ52" i="58"/>
  <c r="AQ313" i="58"/>
  <c r="AQ171" i="58"/>
  <c r="AQ194" i="58"/>
  <c r="AG340" i="80"/>
  <c r="AQ239" i="58"/>
  <c r="AG281" i="80"/>
  <c r="AQ132" i="58"/>
  <c r="AG317" i="80"/>
  <c r="AG292" i="80"/>
  <c r="AQ130" i="58"/>
  <c r="AQ464" i="58"/>
  <c r="AQ438" i="58"/>
  <c r="AQ231" i="58"/>
  <c r="AG262" i="80"/>
  <c r="AQ143" i="58"/>
  <c r="AQ330" i="58"/>
  <c r="AQ19" i="58"/>
  <c r="AQ61" i="58"/>
  <c r="AQ305" i="58"/>
  <c r="AG463" i="80"/>
  <c r="AQ201" i="58"/>
  <c r="AG284" i="80"/>
  <c r="AG376" i="80"/>
  <c r="AQ382" i="58"/>
  <c r="AG316" i="80"/>
  <c r="AG478" i="80"/>
  <c r="AG459" i="80"/>
  <c r="AQ82" i="58"/>
  <c r="AQ169" i="58"/>
  <c r="AQ427" i="58"/>
  <c r="AQ30" i="58"/>
  <c r="AQ74" i="58"/>
  <c r="AQ184" i="58"/>
  <c r="AQ125" i="58"/>
  <c r="AQ415" i="58"/>
  <c r="AQ441" i="58"/>
  <c r="AG268" i="80"/>
  <c r="AQ354" i="58"/>
  <c r="AQ181" i="58"/>
  <c r="AG296" i="80"/>
  <c r="AQ222" i="58"/>
  <c r="AQ250" i="58"/>
  <c r="AQ405" i="58"/>
  <c r="AQ219" i="58"/>
  <c r="AQ380" i="58"/>
  <c r="AQ258" i="58"/>
  <c r="AQ99" i="58"/>
  <c r="AQ315" i="58"/>
  <c r="AQ342" i="58"/>
  <c r="AQ260" i="58"/>
  <c r="AQ267" i="58"/>
  <c r="B8" i="65"/>
  <c r="N8" i="65" s="1"/>
  <c r="AG365" i="80"/>
  <c r="AG358" i="80"/>
  <c r="AG350" i="80"/>
  <c r="AG320" i="80"/>
  <c r="AG312" i="80"/>
  <c r="AG234" i="80"/>
  <c r="AQ248" i="58"/>
  <c r="AQ452" i="58"/>
  <c r="AQ473" i="58"/>
  <c r="AQ23" i="58"/>
  <c r="AQ140" i="58"/>
  <c r="AQ224" i="58"/>
  <c r="AQ357" i="58"/>
  <c r="AQ416" i="58"/>
  <c r="AQ471" i="58"/>
  <c r="AQ453" i="58"/>
  <c r="D30" i="65"/>
  <c r="AG397" i="80"/>
  <c r="AG322" i="80"/>
  <c r="AQ444" i="58"/>
  <c r="AQ388" i="58"/>
  <c r="AQ476" i="58"/>
  <c r="AQ22" i="58"/>
  <c r="AQ463" i="58"/>
  <c r="AQ172" i="58"/>
  <c r="AQ202" i="58"/>
  <c r="AQ355" i="58"/>
  <c r="AQ449" i="58"/>
  <c r="D35" i="65"/>
  <c r="D29" i="65"/>
  <c r="D28" i="65"/>
  <c r="B26" i="65"/>
  <c r="E15" i="65" l="1"/>
  <c r="E12" i="65"/>
  <c r="E16" i="65"/>
  <c r="D27" i="65" s="1"/>
  <c r="C12" i="65"/>
  <c r="C16" i="65"/>
  <c r="D25" i="65" s="1"/>
  <c r="D16" i="65"/>
  <c r="D26" i="65" s="1"/>
  <c r="D12" i="65"/>
  <c r="D15" i="65"/>
  <c r="C15" i="65"/>
  <c r="N11" i="65"/>
  <c r="B13" i="65"/>
  <c r="B14" i="65" s="1"/>
  <c r="B24" i="65" s="1"/>
  <c r="N7" i="65"/>
  <c r="N13" i="65" s="1"/>
  <c r="N14" i="65" s="1"/>
  <c r="C28" i="65"/>
  <c r="D31" i="65"/>
  <c r="C29" i="65"/>
  <c r="C30" i="65"/>
  <c r="E17" i="65" l="1"/>
  <c r="C27" i="65"/>
  <c r="C17" i="65"/>
  <c r="D17" i="65"/>
  <c r="C26" i="65"/>
  <c r="C25" i="65" l="1"/>
  <c r="F2" i="63" l="1"/>
  <c r="H2" i="63"/>
  <c r="G2" i="63" s="1"/>
  <c r="N2" i="63" l="1"/>
  <c r="M2" i="63" l="1"/>
  <c r="R2" i="63"/>
  <c r="K10" i="65"/>
  <c r="K16" i="65" s="1"/>
  <c r="D33" i="65" s="1"/>
  <c r="P2" i="63" l="1"/>
  <c r="K9" i="65"/>
  <c r="K15" i="65" s="1"/>
  <c r="K17" i="65" s="1"/>
  <c r="K12" i="65"/>
  <c r="C33" i="65" l="1"/>
  <c r="A4" i="4" l="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A56" i="4" s="1"/>
  <c r="A57" i="4" s="1"/>
  <c r="A58" i="4" s="1"/>
  <c r="A59" i="4" s="1"/>
  <c r="A60" i="4" s="1"/>
  <c r="A61" i="4" s="1"/>
  <c r="A62" i="4" s="1"/>
  <c r="A63" i="4" s="1"/>
  <c r="A64" i="4" s="1"/>
  <c r="A65" i="4" s="1"/>
  <c r="A66" i="4" s="1"/>
  <c r="A67" i="4" s="1"/>
  <c r="A68" i="4" s="1"/>
  <c r="A69" i="4" s="1"/>
  <c r="A70" i="4" s="1"/>
  <c r="A71" i="4" s="1"/>
  <c r="A72" i="4" s="1"/>
  <c r="A73" i="4" s="1"/>
  <c r="A74" i="4" s="1"/>
  <c r="A75" i="4" s="1"/>
  <c r="A76" i="4" s="1"/>
  <c r="A77" i="4" s="1"/>
  <c r="A78" i="4" s="1"/>
  <c r="A79" i="4" s="1"/>
  <c r="A80" i="4" s="1"/>
  <c r="A81" i="4" s="1"/>
  <c r="A82" i="4" s="1"/>
  <c r="A83" i="4" s="1"/>
  <c r="A84" i="4" s="1"/>
  <c r="A85" i="4" s="1"/>
  <c r="A86" i="4" s="1"/>
  <c r="A87" i="4" s="1"/>
  <c r="A88" i="4" s="1"/>
  <c r="A89" i="4" s="1"/>
  <c r="A90" i="4" s="1"/>
  <c r="A91" i="4" s="1"/>
  <c r="A92" i="4" s="1"/>
  <c r="A93" i="4" s="1"/>
  <c r="A94" i="4" s="1"/>
  <c r="A95" i="4" s="1"/>
  <c r="A96" i="4" s="1"/>
  <c r="A97" i="4" s="1"/>
  <c r="A98" i="4" s="1"/>
  <c r="A99" i="4" s="1"/>
  <c r="A100" i="4" s="1"/>
  <c r="A101" i="4" s="1"/>
  <c r="A102" i="4" s="1"/>
  <c r="A103" i="4" s="1"/>
  <c r="A104" i="4" s="1"/>
  <c r="A105" i="4" s="1"/>
  <c r="A106" i="4" s="1"/>
  <c r="A107" i="4" s="1"/>
  <c r="A108" i="4" s="1"/>
  <c r="A109" i="4" s="1"/>
  <c r="A110" i="4" s="1"/>
  <c r="A111" i="4" s="1"/>
  <c r="A112" i="4" s="1"/>
  <c r="A113" i="4" s="1"/>
  <c r="A114" i="4" s="1"/>
  <c r="A115" i="4" s="1"/>
  <c r="A116" i="4" s="1"/>
  <c r="A117" i="4" s="1"/>
  <c r="A118" i="4" s="1"/>
  <c r="A119" i="4" s="1"/>
  <c r="A120" i="4" s="1"/>
  <c r="A121" i="4" s="1"/>
  <c r="A122" i="4" s="1"/>
  <c r="A123" i="4" s="1"/>
  <c r="A124" i="4" s="1"/>
  <c r="A125" i="4" s="1"/>
  <c r="A126" i="4" s="1"/>
  <c r="A127" i="4" s="1"/>
  <c r="A128" i="4" s="1"/>
  <c r="A129" i="4" s="1"/>
  <c r="A130" i="4" s="1"/>
  <c r="A131" i="4" s="1"/>
  <c r="A132" i="4" s="1"/>
  <c r="A133" i="4" s="1"/>
  <c r="A134" i="4" s="1"/>
  <c r="A135" i="4" s="1"/>
  <c r="A136" i="4" s="1"/>
  <c r="A137" i="4" s="1"/>
  <c r="A138" i="4" s="1"/>
  <c r="A139" i="4" s="1"/>
  <c r="A140" i="4" s="1"/>
  <c r="A141" i="4" s="1"/>
  <c r="A142" i="4" s="1"/>
  <c r="A143" i="4" s="1"/>
  <c r="A144" i="4" s="1"/>
  <c r="A145" i="4" s="1"/>
  <c r="A146" i="4" s="1"/>
  <c r="A147" i="4" s="1"/>
  <c r="A148" i="4" s="1"/>
  <c r="A149" i="4" s="1"/>
  <c r="A150" i="4" s="1"/>
  <c r="A151" i="4" s="1"/>
  <c r="A152" i="4" s="1"/>
  <c r="A153" i="4" s="1"/>
  <c r="A154" i="4" s="1"/>
  <c r="A155" i="4" s="1"/>
  <c r="A156" i="4" s="1"/>
  <c r="A157" i="4" s="1"/>
  <c r="A158" i="4" s="1"/>
  <c r="A159" i="4" s="1"/>
  <c r="A160" i="4" s="1"/>
  <c r="A161" i="4" s="1"/>
  <c r="A162" i="4" s="1"/>
  <c r="A163" i="4" s="1"/>
  <c r="A164" i="4" s="1"/>
  <c r="A165" i="4" s="1"/>
  <c r="A166" i="4" s="1"/>
  <c r="A167" i="4" s="1"/>
  <c r="A168" i="4" s="1"/>
  <c r="A169" i="4" s="1"/>
  <c r="A170" i="4" s="1"/>
  <c r="A171" i="4" s="1"/>
  <c r="A172" i="4" s="1"/>
  <c r="A173" i="4" s="1"/>
  <c r="A174" i="4" s="1"/>
  <c r="A175" i="4" s="1"/>
  <c r="A176" i="4" s="1"/>
  <c r="A177" i="4" s="1"/>
  <c r="A178" i="4" s="1"/>
  <c r="A179" i="4" s="1"/>
  <c r="A180" i="4" s="1"/>
  <c r="A181" i="4" s="1"/>
  <c r="A182" i="4" s="1"/>
  <c r="A183" i="4" s="1"/>
  <c r="A184" i="4" s="1"/>
  <c r="A185" i="4" s="1"/>
  <c r="A186" i="4" s="1"/>
  <c r="A187" i="4" s="1"/>
  <c r="A188" i="4" s="1"/>
  <c r="A189" i="4" s="1"/>
  <c r="A190" i="4" s="1"/>
  <c r="A191" i="4" s="1"/>
  <c r="A192" i="4" s="1"/>
  <c r="A193" i="4" s="1"/>
  <c r="A194" i="4" s="1"/>
  <c r="A195" i="4" s="1"/>
  <c r="A196" i="4" s="1"/>
  <c r="A197" i="4" s="1"/>
  <c r="A198" i="4" s="1"/>
  <c r="A199" i="4" s="1"/>
  <c r="A200" i="4" s="1"/>
  <c r="A201" i="4" s="1"/>
  <c r="A202" i="4" s="1"/>
  <c r="A203" i="4" s="1"/>
  <c r="A204" i="4" s="1"/>
  <c r="A205" i="4" s="1"/>
  <c r="A206" i="4" s="1"/>
  <c r="A207" i="4" s="1"/>
  <c r="A208" i="4" s="1"/>
  <c r="A209" i="4" s="1"/>
  <c r="A210" i="4" s="1"/>
  <c r="A211" i="4" s="1"/>
  <c r="A212" i="4" s="1"/>
  <c r="A213" i="4" s="1"/>
  <c r="A214" i="4" s="1"/>
  <c r="A215" i="4" s="1"/>
  <c r="A216" i="4" s="1"/>
  <c r="A217" i="4" s="1"/>
  <c r="A218" i="4" s="1"/>
  <c r="A219" i="4" s="1"/>
  <c r="A220" i="4" s="1"/>
  <c r="A221" i="4" s="1"/>
  <c r="A222" i="4" s="1"/>
  <c r="A223" i="4" s="1"/>
  <c r="A224" i="4" s="1"/>
  <c r="A225" i="4" s="1"/>
  <c r="A226" i="4" s="1"/>
  <c r="A227" i="4" s="1"/>
  <c r="A228" i="4" s="1"/>
  <c r="A229" i="4" s="1"/>
  <c r="A230" i="4" s="1"/>
  <c r="A231" i="4" s="1"/>
  <c r="A232" i="4" s="1"/>
  <c r="A233" i="4" s="1"/>
  <c r="A234" i="4" s="1"/>
  <c r="A235" i="4" s="1"/>
  <c r="A236" i="4" s="1"/>
  <c r="A237" i="4" s="1"/>
  <c r="A238" i="4" s="1"/>
  <c r="A239" i="4" s="1"/>
  <c r="A240" i="4" s="1"/>
  <c r="A241" i="4" s="1"/>
  <c r="A242" i="4" s="1"/>
  <c r="A243" i="4" s="1"/>
  <c r="A244" i="4" s="1"/>
  <c r="A245" i="4" s="1"/>
  <c r="A246" i="4" s="1"/>
  <c r="A247" i="4" s="1"/>
  <c r="A248" i="4" s="1"/>
  <c r="A249" i="4" s="1"/>
  <c r="A250" i="4" s="1"/>
  <c r="A251" i="4" s="1"/>
  <c r="A252" i="4" s="1"/>
  <c r="A253" i="4" s="1"/>
  <c r="A254" i="4" s="1"/>
  <c r="A255" i="4" s="1"/>
  <c r="A256" i="4" s="1"/>
  <c r="A257" i="4" s="1"/>
  <c r="A258" i="4" s="1"/>
  <c r="A259" i="4" s="1"/>
  <c r="A260" i="4" s="1"/>
  <c r="A261" i="4" s="1"/>
  <c r="A262" i="4" s="1"/>
  <c r="A263" i="4" s="1"/>
  <c r="A264" i="4" s="1"/>
  <c r="A265" i="4" s="1"/>
  <c r="A266" i="4" s="1"/>
  <c r="A267" i="4" s="1"/>
  <c r="A268" i="4" s="1"/>
  <c r="A269" i="4" s="1"/>
  <c r="A270" i="4" s="1"/>
  <c r="A271" i="4" s="1"/>
  <c r="A272" i="4" s="1"/>
  <c r="A273" i="4" s="1"/>
  <c r="A274" i="4" s="1"/>
  <c r="A275" i="4" s="1"/>
  <c r="A276" i="4" s="1"/>
  <c r="A277" i="4" s="1"/>
  <c r="A278" i="4" s="1"/>
  <c r="A279" i="4" s="1"/>
  <c r="A280" i="4" s="1"/>
  <c r="A281" i="4" s="1"/>
  <c r="A282" i="4" s="1"/>
  <c r="A283" i="4" s="1"/>
  <c r="A284" i="4" s="1"/>
  <c r="A285" i="4" s="1"/>
  <c r="A286" i="4" s="1"/>
  <c r="A287" i="4" s="1"/>
  <c r="A288" i="4" s="1"/>
  <c r="A289" i="4" s="1"/>
  <c r="A290" i="4" s="1"/>
  <c r="A291" i="4" s="1"/>
  <c r="A292" i="4" s="1"/>
  <c r="A293" i="4" s="1"/>
  <c r="A294" i="4" s="1"/>
  <c r="A295" i="4" s="1"/>
  <c r="A296" i="4" s="1"/>
  <c r="A297" i="4" s="1"/>
  <c r="A298" i="4" s="1"/>
  <c r="A299" i="4" s="1"/>
  <c r="A300" i="4" s="1"/>
  <c r="A301" i="4" s="1"/>
  <c r="A302" i="4" s="1"/>
  <c r="A303" i="4" s="1"/>
  <c r="A304" i="4" s="1"/>
  <c r="A305" i="4" s="1"/>
  <c r="A306" i="4" s="1"/>
  <c r="A307" i="4" l="1"/>
  <c r="A308" i="4" s="1"/>
  <c r="A309" i="4" s="1"/>
  <c r="A310" i="4" s="1"/>
  <c r="A311" i="4" s="1"/>
  <c r="A312" i="4" s="1"/>
  <c r="A313" i="4" s="1"/>
  <c r="A314" i="4" s="1"/>
  <c r="A315" i="4" s="1"/>
  <c r="A316" i="4" s="1"/>
  <c r="A317" i="4" s="1"/>
  <c r="A318" i="4" s="1"/>
  <c r="A319" i="4" s="1"/>
  <c r="A320" i="4" s="1"/>
  <c r="A321" i="4" s="1"/>
  <c r="A322" i="4" s="1"/>
  <c r="A323" i="4" s="1"/>
  <c r="A324" i="4" s="1"/>
  <c r="A3" i="63"/>
  <c r="A326" i="4" l="1"/>
  <c r="A327" i="4" s="1"/>
  <c r="A328" i="4" s="1"/>
  <c r="A329" i="4" s="1"/>
  <c r="A330" i="4" s="1"/>
  <c r="A331" i="4" s="1"/>
  <c r="A332" i="4" s="1"/>
  <c r="A333" i="4" s="1"/>
  <c r="A334" i="4" s="1"/>
  <c r="A335" i="4" s="1"/>
  <c r="A336" i="4" s="1"/>
  <c r="A337" i="4" s="1"/>
  <c r="A338" i="4" s="1"/>
  <c r="A339" i="4" s="1"/>
  <c r="A340" i="4" s="1"/>
  <c r="A341" i="4" s="1"/>
  <c r="A342" i="4" s="1"/>
  <c r="A343" i="4" s="1"/>
  <c r="A344" i="4" s="1"/>
  <c r="A345" i="4" s="1"/>
  <c r="A346" i="4" s="1"/>
  <c r="A347" i="4" s="1"/>
  <c r="A348" i="4" s="1"/>
  <c r="A349" i="4" s="1"/>
  <c r="A350" i="4" s="1"/>
  <c r="A351" i="4" s="1"/>
  <c r="A352" i="4" s="1"/>
  <c r="A353" i="4" s="1"/>
  <c r="A354" i="4" s="1"/>
  <c r="A355" i="4" s="1"/>
  <c r="A356" i="4" s="1"/>
  <c r="A357" i="4" s="1"/>
  <c r="A358" i="4" s="1"/>
  <c r="A359" i="4" s="1"/>
  <c r="A360" i="4" s="1"/>
  <c r="A361" i="4" s="1"/>
  <c r="A362" i="4" s="1"/>
  <c r="A363" i="4" s="1"/>
  <c r="A364" i="4" s="1"/>
  <c r="A365" i="4" s="1"/>
  <c r="A366" i="4" s="1"/>
  <c r="A367" i="4" s="1"/>
  <c r="A368" i="4" s="1"/>
  <c r="A369" i="4" s="1"/>
  <c r="A370" i="4" s="1"/>
  <c r="A371" i="4" s="1"/>
  <c r="A372" i="4" s="1"/>
  <c r="A373" i="4" s="1"/>
  <c r="A374" i="4" s="1"/>
  <c r="A375" i="4" s="1"/>
  <c r="A376" i="4" s="1"/>
  <c r="A377" i="4" s="1"/>
  <c r="A378" i="4" s="1"/>
  <c r="A379" i="4" s="1"/>
  <c r="A380" i="4" s="1"/>
  <c r="A381" i="4" s="1"/>
  <c r="A382" i="4" s="1"/>
  <c r="A383" i="4" s="1"/>
  <c r="A384" i="4" s="1"/>
  <c r="A385" i="4" s="1"/>
  <c r="A386" i="4" s="1"/>
  <c r="A387" i="4" s="1"/>
  <c r="A388" i="4" s="1"/>
  <c r="A389" i="4" s="1"/>
  <c r="A390" i="4" s="1"/>
  <c r="A325" i="4"/>
  <c r="A4" i="63"/>
  <c r="E3" i="63"/>
  <c r="H3" i="63"/>
  <c r="F3" i="63"/>
  <c r="N3" i="63" s="1"/>
  <c r="A547" i="4" l="1"/>
  <c r="A548" i="4" s="1"/>
  <c r="A549" i="4" s="1"/>
  <c r="A550" i="4" s="1"/>
  <c r="A551" i="4" s="1"/>
  <c r="A552" i="4" s="1"/>
  <c r="A553" i="4" s="1"/>
  <c r="A554" i="4" s="1"/>
  <c r="A555" i="4" s="1"/>
  <c r="A556" i="4" s="1"/>
  <c r="A557" i="4" s="1"/>
  <c r="A558" i="4" s="1"/>
  <c r="A559" i="4" s="1"/>
  <c r="A560" i="4" s="1"/>
  <c r="A561" i="4" s="1"/>
  <c r="A562" i="4" s="1"/>
  <c r="A51" i="63" s="1"/>
  <c r="A391" i="4"/>
  <c r="A392" i="4" s="1"/>
  <c r="A393" i="4" s="1"/>
  <c r="A394" i="4" s="1"/>
  <c r="A395" i="4" s="1"/>
  <c r="A396" i="4" s="1"/>
  <c r="A397" i="4" s="1"/>
  <c r="A398" i="4" s="1"/>
  <c r="A399" i="4" s="1"/>
  <c r="A400" i="4" s="1"/>
  <c r="A401" i="4" s="1"/>
  <c r="A402" i="4" s="1"/>
  <c r="A403" i="4" s="1"/>
  <c r="A404" i="4" s="1"/>
  <c r="A405" i="4" s="1"/>
  <c r="A406" i="4" s="1"/>
  <c r="A407" i="4" s="1"/>
  <c r="A408" i="4" s="1"/>
  <c r="A409" i="4" s="1"/>
  <c r="A410" i="4" s="1"/>
  <c r="A411" i="4" s="1"/>
  <c r="A412" i="4" s="1"/>
  <c r="A413" i="4" s="1"/>
  <c r="A414" i="4" s="1"/>
  <c r="A415" i="4" s="1"/>
  <c r="A416" i="4" s="1"/>
  <c r="A417" i="4" s="1"/>
  <c r="A418" i="4" s="1"/>
  <c r="A419" i="4" s="1"/>
  <c r="A420" i="4" s="1"/>
  <c r="A421" i="4" s="1"/>
  <c r="A422" i="4" s="1"/>
  <c r="A423" i="4" s="1"/>
  <c r="A424" i="4" s="1"/>
  <c r="A425" i="4" s="1"/>
  <c r="A426" i="4" s="1"/>
  <c r="A427" i="4" s="1"/>
  <c r="A428" i="4" s="1"/>
  <c r="A429" i="4" s="1"/>
  <c r="A430" i="4" s="1"/>
  <c r="A431" i="4" s="1"/>
  <c r="A432" i="4" s="1"/>
  <c r="A433" i="4" s="1"/>
  <c r="A434" i="4" s="1"/>
  <c r="A435" i="4" s="1"/>
  <c r="A436" i="4" s="1"/>
  <c r="A437" i="4" s="1"/>
  <c r="A438" i="4" s="1"/>
  <c r="A439" i="4" s="1"/>
  <c r="A440" i="4" s="1"/>
  <c r="A441" i="4" s="1"/>
  <c r="A442" i="4" s="1"/>
  <c r="A443" i="4" s="1"/>
  <c r="A444" i="4" s="1"/>
  <c r="A445" i="4" s="1"/>
  <c r="A446" i="4" s="1"/>
  <c r="A447" i="4" s="1"/>
  <c r="A448" i="4" s="1"/>
  <c r="A449" i="4" s="1"/>
  <c r="A450" i="4" s="1"/>
  <c r="A451" i="4" s="1"/>
  <c r="A452" i="4" s="1"/>
  <c r="A453" i="4" s="1"/>
  <c r="A454" i="4" s="1"/>
  <c r="A455" i="4" s="1"/>
  <c r="A456" i="4" s="1"/>
  <c r="A457" i="4" s="1"/>
  <c r="A458" i="4" s="1"/>
  <c r="A459" i="4" s="1"/>
  <c r="A460" i="4" s="1"/>
  <c r="A461" i="4" s="1"/>
  <c r="A462" i="4" s="1"/>
  <c r="A463" i="4" s="1"/>
  <c r="A464" i="4" s="1"/>
  <c r="A465" i="4" s="1"/>
  <c r="A466" i="4" s="1"/>
  <c r="A467" i="4" s="1"/>
  <c r="A468" i="4" s="1"/>
  <c r="A469" i="4" s="1"/>
  <c r="A470" i="4" s="1"/>
  <c r="A471" i="4" s="1"/>
  <c r="A472" i="4" s="1"/>
  <c r="A473" i="4" s="1"/>
  <c r="A474" i="4" s="1"/>
  <c r="G3" i="63"/>
  <c r="R3" i="63" s="1"/>
  <c r="A5" i="63"/>
  <c r="E4" i="63"/>
  <c r="H4" i="63"/>
  <c r="F4" i="63"/>
  <c r="N4" i="63" s="1"/>
  <c r="A50" i="63" l="1"/>
  <c r="M3" i="63"/>
  <c r="P3" i="63" s="1"/>
  <c r="A6" i="63"/>
  <c r="G4" i="63"/>
  <c r="E5" i="63"/>
  <c r="H5" i="63"/>
  <c r="F5" i="63"/>
  <c r="N5" i="63" s="1"/>
  <c r="G5" i="63" l="1"/>
  <c r="A7" i="63"/>
  <c r="R4" i="63"/>
  <c r="M4" i="63"/>
  <c r="E6" i="63"/>
  <c r="H6" i="63"/>
  <c r="F6" i="63"/>
  <c r="N6" i="63" s="1"/>
  <c r="G6" i="63" l="1"/>
  <c r="P4" i="63"/>
  <c r="E7" i="63"/>
  <c r="H7" i="63"/>
  <c r="F7" i="63"/>
  <c r="N7" i="63" s="1"/>
  <c r="R5" i="63"/>
  <c r="M5" i="63"/>
  <c r="P5" i="63" s="1"/>
  <c r="A8" i="63"/>
  <c r="G7" i="63" l="1"/>
  <c r="A9" i="63"/>
  <c r="E8" i="63"/>
  <c r="H8" i="63"/>
  <c r="F8" i="63"/>
  <c r="N8" i="63" s="1"/>
  <c r="R6" i="63"/>
  <c r="M6" i="63"/>
  <c r="P6" i="63" s="1"/>
  <c r="A10" i="63"/>
  <c r="G8" i="63" l="1"/>
  <c r="M8" i="63" s="1"/>
  <c r="P8" i="63" s="1"/>
  <c r="E9" i="63"/>
  <c r="H9" i="63"/>
  <c r="F9" i="63"/>
  <c r="N9" i="63" s="1"/>
  <c r="R7" i="63"/>
  <c r="M7" i="63"/>
  <c r="P7" i="63" s="1"/>
  <c r="E10" i="63"/>
  <c r="H10" i="63"/>
  <c r="F10" i="63"/>
  <c r="N10" i="63" s="1"/>
  <c r="R8" i="63" l="1"/>
  <c r="G10" i="63"/>
  <c r="R10" i="63" s="1"/>
  <c r="A11" i="63"/>
  <c r="G9" i="63"/>
  <c r="M10" i="63" l="1"/>
  <c r="P10" i="63" s="1"/>
  <c r="E11" i="63"/>
  <c r="H11" i="63"/>
  <c r="F11" i="63"/>
  <c r="N11" i="63" s="1"/>
  <c r="A12" i="63"/>
  <c r="R9" i="63"/>
  <c r="M9" i="63"/>
  <c r="P9" i="63" s="1"/>
  <c r="E12" i="63" l="1"/>
  <c r="H12" i="63"/>
  <c r="F12" i="63"/>
  <c r="N12" i="63" s="1"/>
  <c r="A13" i="63"/>
  <c r="G11" i="63"/>
  <c r="G12" i="63" l="1"/>
  <c r="M12" i="63" s="1"/>
  <c r="P12" i="63" s="1"/>
  <c r="A14" i="63"/>
  <c r="R11" i="63"/>
  <c r="M11" i="63"/>
  <c r="P11" i="63" s="1"/>
  <c r="E13" i="63"/>
  <c r="H13" i="63"/>
  <c r="F13" i="63"/>
  <c r="N13" i="63" s="1"/>
  <c r="R12" i="63" l="1"/>
  <c r="G13" i="63"/>
  <c r="A15" i="63"/>
  <c r="E14" i="63"/>
  <c r="H14" i="63"/>
  <c r="F14" i="63"/>
  <c r="N14" i="63" s="1"/>
  <c r="G14" i="63" l="1"/>
  <c r="R14" i="63" s="1"/>
  <c r="A16" i="63"/>
  <c r="E15" i="63"/>
  <c r="H15" i="63"/>
  <c r="F15" i="63"/>
  <c r="N15" i="63" s="1"/>
  <c r="R13" i="63"/>
  <c r="M13" i="63"/>
  <c r="P13" i="63" s="1"/>
  <c r="A17" i="63"/>
  <c r="M14" i="63" l="1"/>
  <c r="P14" i="63" s="1"/>
  <c r="G15" i="63"/>
  <c r="R15" i="63" s="1"/>
  <c r="E17" i="63"/>
  <c r="H17" i="63"/>
  <c r="F17" i="63"/>
  <c r="N17" i="63" s="1"/>
  <c r="E16" i="63"/>
  <c r="H16" i="63"/>
  <c r="F16" i="63"/>
  <c r="N16" i="63" s="1"/>
  <c r="M15" i="63" l="1"/>
  <c r="P15" i="63" s="1"/>
  <c r="G17" i="63"/>
  <c r="A18" i="63"/>
  <c r="G16" i="63"/>
  <c r="A19" i="63" l="1"/>
  <c r="R17" i="63"/>
  <c r="M17" i="63"/>
  <c r="P17" i="63" s="1"/>
  <c r="R16" i="63"/>
  <c r="M16" i="63"/>
  <c r="P16" i="63" s="1"/>
  <c r="E18" i="63"/>
  <c r="H18" i="63"/>
  <c r="F18" i="63"/>
  <c r="N18" i="63" s="1"/>
  <c r="G18" i="63" l="1"/>
  <c r="A20" i="63"/>
  <c r="E19" i="63"/>
  <c r="H19" i="63"/>
  <c r="F19" i="63"/>
  <c r="N19" i="63" s="1"/>
  <c r="A21" i="63" l="1"/>
  <c r="E20" i="63"/>
  <c r="H20" i="63"/>
  <c r="F20" i="63"/>
  <c r="N20" i="63" s="1"/>
  <c r="F47" i="67"/>
  <c r="B16" i="67"/>
  <c r="B17" i="67" s="1"/>
  <c r="R18" i="63"/>
  <c r="M18" i="63"/>
  <c r="P18" i="63" s="1"/>
  <c r="G19" i="63"/>
  <c r="R19" i="63" l="1"/>
  <c r="M19" i="63"/>
  <c r="G20" i="63"/>
  <c r="A22" i="63"/>
  <c r="E21" i="63"/>
  <c r="F21" i="63"/>
  <c r="N21" i="63" s="1"/>
  <c r="H21" i="63"/>
  <c r="G21" i="63" l="1"/>
  <c r="R20" i="63"/>
  <c r="M20" i="63"/>
  <c r="P20" i="63" s="1"/>
  <c r="A23" i="63"/>
  <c r="P19" i="63"/>
  <c r="E22" i="63"/>
  <c r="F22" i="63"/>
  <c r="N22" i="63" s="1"/>
  <c r="H22" i="63"/>
  <c r="G22" i="63" l="1"/>
  <c r="R22" i="63" s="1"/>
  <c r="A24" i="63"/>
  <c r="E23" i="63"/>
  <c r="F23" i="63"/>
  <c r="N23" i="63" s="1"/>
  <c r="H23" i="63"/>
  <c r="R21" i="63"/>
  <c r="M21" i="63"/>
  <c r="G23" i="63" l="1"/>
  <c r="R23" i="63" s="1"/>
  <c r="M22" i="63"/>
  <c r="P22" i="63" s="1"/>
  <c r="A25" i="63"/>
  <c r="P21" i="63"/>
  <c r="E24" i="63"/>
  <c r="H24" i="63"/>
  <c r="F24" i="63"/>
  <c r="N24" i="63" s="1"/>
  <c r="M23" i="63" l="1"/>
  <c r="P23" i="63" s="1"/>
  <c r="A26" i="63"/>
  <c r="E25" i="63"/>
  <c r="H25" i="63"/>
  <c r="F25" i="63"/>
  <c r="N25" i="63" s="1"/>
  <c r="G24" i="63"/>
  <c r="G25" i="63" l="1"/>
  <c r="R25" i="63" s="1"/>
  <c r="R24" i="63"/>
  <c r="M24" i="63"/>
  <c r="A27" i="63"/>
  <c r="E26" i="63"/>
  <c r="H26" i="63"/>
  <c r="F26" i="63"/>
  <c r="N26" i="63" s="1"/>
  <c r="M25" i="63" l="1"/>
  <c r="P25" i="63" s="1"/>
  <c r="G26" i="63"/>
  <c r="P24" i="63"/>
  <c r="E27" i="63"/>
  <c r="F27" i="63"/>
  <c r="N27" i="63" s="1"/>
  <c r="H27" i="63"/>
  <c r="A28" i="63"/>
  <c r="R26" i="63" l="1"/>
  <c r="M26" i="63"/>
  <c r="G27" i="63"/>
  <c r="A29" i="63"/>
  <c r="E28" i="63"/>
  <c r="H28" i="63"/>
  <c r="F28" i="63"/>
  <c r="N28" i="63" s="1"/>
  <c r="G28" i="63" l="1"/>
  <c r="R28" i="63" s="1"/>
  <c r="P26" i="63"/>
  <c r="A30" i="63"/>
  <c r="E29" i="63"/>
  <c r="H29" i="63"/>
  <c r="F29" i="63"/>
  <c r="N29" i="63" s="1"/>
  <c r="R27" i="63"/>
  <c r="M27" i="63"/>
  <c r="P27" i="63" s="1"/>
  <c r="M28" i="63" l="1"/>
  <c r="P28" i="63" s="1"/>
  <c r="G29" i="63"/>
  <c r="A31" i="63"/>
  <c r="E30" i="63"/>
  <c r="H30" i="63"/>
  <c r="F30" i="63"/>
  <c r="N30" i="63" s="1"/>
  <c r="A32" i="63"/>
  <c r="E32" i="63" l="1"/>
  <c r="H32" i="63"/>
  <c r="F32" i="63"/>
  <c r="N32" i="63" s="1"/>
  <c r="G30" i="63"/>
  <c r="E31" i="63"/>
  <c r="H31" i="63"/>
  <c r="F31" i="63"/>
  <c r="N31" i="63" s="1"/>
  <c r="R29" i="63"/>
  <c r="M29" i="63"/>
  <c r="G31" i="63" l="1"/>
  <c r="G32" i="63"/>
  <c r="A33" i="63"/>
  <c r="P29" i="63"/>
  <c r="R30" i="63"/>
  <c r="M30" i="63"/>
  <c r="P30" i="63" s="1"/>
  <c r="E33" i="63" l="1"/>
  <c r="H33" i="63"/>
  <c r="F33" i="63"/>
  <c r="N33" i="63" s="1"/>
  <c r="R32" i="63"/>
  <c r="M32" i="63"/>
  <c r="P32" i="63" s="1"/>
  <c r="R31" i="63"/>
  <c r="M31" i="63"/>
  <c r="P31" i="63" s="1"/>
  <c r="G33" i="63" l="1"/>
  <c r="R33" i="63" l="1"/>
  <c r="M33" i="63"/>
  <c r="P33" i="63" s="1"/>
  <c r="GL16" i="86" l="1"/>
  <c r="GM16" i="86" l="1"/>
  <c r="GL15" i="86" l="1"/>
  <c r="GL17" i="86" s="1"/>
  <c r="GM15" i="86"/>
  <c r="GM17" i="86" s="1"/>
  <c r="AH3" i="82" l="1"/>
  <c r="AI3" i="82" s="1"/>
  <c r="AH67" i="82"/>
  <c r="AI67" i="82" s="1"/>
  <c r="AH196" i="82"/>
  <c r="AI196" i="82" s="1"/>
  <c r="AH129" i="82"/>
  <c r="AI129" i="82" s="1"/>
  <c r="AH155" i="82"/>
  <c r="AI155" i="82" s="1"/>
  <c r="AH90" i="82"/>
  <c r="AI90" i="82" s="1"/>
  <c r="AH54" i="82"/>
  <c r="AI54" i="82" s="1"/>
  <c r="AH43" i="82"/>
  <c r="AI43" i="82" s="1"/>
  <c r="AH152" i="82"/>
  <c r="AI152" i="82" s="1"/>
  <c r="AH110" i="82"/>
  <c r="AI110" i="82" s="1"/>
  <c r="AH174" i="82"/>
  <c r="AI174" i="82" s="1"/>
  <c r="AH194" i="82"/>
  <c r="AI194" i="82" s="1"/>
  <c r="AH80" i="82"/>
  <c r="AI80" i="82" s="1"/>
  <c r="AH96" i="82"/>
  <c r="AI96" i="82" s="1"/>
  <c r="AH70" i="82"/>
  <c r="AI70" i="82" s="1"/>
  <c r="AH145" i="82"/>
  <c r="AI145" i="82" s="1"/>
  <c r="AH173" i="82"/>
  <c r="AI173" i="82" s="1"/>
  <c r="AH121" i="82"/>
  <c r="AI121" i="82" s="1"/>
  <c r="AH48" i="82"/>
  <c r="AI48" i="82" s="1"/>
  <c r="AH171" i="82"/>
  <c r="AI171" i="82" s="1"/>
  <c r="AH105" i="82"/>
  <c r="AI105" i="82" s="1"/>
  <c r="AH136" i="82"/>
  <c r="AI136" i="82" s="1"/>
  <c r="AH44" i="82"/>
  <c r="AI44" i="82" s="1"/>
  <c r="AH68" i="82"/>
  <c r="AI68" i="82" s="1"/>
  <c r="AH21" i="82"/>
  <c r="AI21" i="82" s="1"/>
  <c r="AH56" i="82"/>
  <c r="AI56" i="82" s="1"/>
  <c r="AH153" i="82"/>
  <c r="AI153" i="82" s="1"/>
  <c r="AH50" i="82"/>
  <c r="AI50" i="82" s="1"/>
  <c r="AH146" i="82"/>
  <c r="AI146" i="82" s="1"/>
  <c r="AH205" i="82"/>
  <c r="AH55" i="82"/>
  <c r="AI55" i="82" s="1"/>
  <c r="AH170" i="82"/>
  <c r="AI170" i="82" s="1"/>
  <c r="AH33" i="82"/>
  <c r="AI33" i="82" s="1"/>
  <c r="AH84" i="82"/>
  <c r="AI84" i="82" s="1"/>
  <c r="AH106" i="82"/>
  <c r="AI106" i="82" s="1"/>
  <c r="AH199" i="82"/>
  <c r="AH5" i="82"/>
  <c r="AI5" i="82" s="1"/>
  <c r="AH128" i="82"/>
  <c r="AI128" i="82" s="1"/>
  <c r="AH16" i="82"/>
  <c r="AI16" i="82" s="1"/>
  <c r="AH60" i="82"/>
  <c r="AI60" i="82" s="1"/>
  <c r="AH46" i="82"/>
  <c r="AI46" i="82" s="1"/>
  <c r="AH25" i="82"/>
  <c r="AI25" i="82" s="1"/>
  <c r="AH82" i="82"/>
  <c r="AI82" i="82" s="1"/>
  <c r="AH20" i="82"/>
  <c r="AI20" i="82" s="1"/>
  <c r="AH204" i="82"/>
  <c r="AH148" i="82"/>
  <c r="AI148" i="82" s="1"/>
  <c r="AH125" i="82"/>
  <c r="AI125" i="82" s="1"/>
  <c r="AH93" i="82"/>
  <c r="AI93" i="82" s="1"/>
  <c r="AH92" i="82"/>
  <c r="AI92" i="82" s="1"/>
  <c r="AH53" i="82"/>
  <c r="AI53" i="82" s="1"/>
  <c r="AH26" i="82"/>
  <c r="AI26" i="82" s="1"/>
  <c r="AH74" i="82"/>
  <c r="AI74" i="82" s="1"/>
  <c r="AH77" i="82"/>
  <c r="AI77" i="82" s="1"/>
  <c r="AH108" i="82"/>
  <c r="AI108" i="82" s="1"/>
  <c r="AH38" i="82"/>
  <c r="AI38" i="82" s="1"/>
  <c r="AH62" i="82"/>
  <c r="AI62" i="82" s="1"/>
  <c r="AH172" i="82"/>
  <c r="AI172" i="82" s="1"/>
  <c r="AH39" i="82"/>
  <c r="AI39" i="82" s="1"/>
  <c r="AH188" i="82"/>
  <c r="AH12" i="82"/>
  <c r="AI12" i="82" s="1"/>
  <c r="AH132" i="82"/>
  <c r="AI132" i="82" s="1"/>
  <c r="AH95" i="82"/>
  <c r="AI95" i="82" s="1"/>
  <c r="AH76" i="82"/>
  <c r="AI76" i="82" s="1"/>
  <c r="AH88" i="82"/>
  <c r="AI88" i="82" s="1"/>
  <c r="AH37" i="82"/>
  <c r="AI37" i="82" s="1"/>
  <c r="AH65" i="82"/>
  <c r="AI65" i="82" s="1"/>
  <c r="AH159" i="82"/>
  <c r="AI159" i="82" s="1"/>
  <c r="AH198" i="82"/>
  <c r="AH144" i="82"/>
  <c r="AI144" i="82" s="1"/>
  <c r="AH112" i="82"/>
  <c r="AI112" i="82" s="1"/>
  <c r="AH52" i="82"/>
  <c r="AI52" i="82" s="1"/>
  <c r="AH51" i="82"/>
  <c r="AI51" i="82" s="1"/>
  <c r="AH181" i="82"/>
  <c r="AI181" i="82" s="1"/>
  <c r="AH164" i="82"/>
  <c r="AI164" i="82" s="1"/>
  <c r="AH186" i="82"/>
  <c r="AH19" i="82"/>
  <c r="AI19" i="82" s="1"/>
  <c r="AH115" i="82"/>
  <c r="AI115" i="82" s="1"/>
  <c r="AH138" i="82"/>
  <c r="AI138" i="82" s="1"/>
  <c r="AH69" i="82"/>
  <c r="AI69" i="82" s="1"/>
  <c r="AH141" i="82"/>
  <c r="AI141" i="82" s="1"/>
  <c r="AH89" i="82"/>
  <c r="AI89" i="82" s="1"/>
  <c r="AH10" i="82"/>
  <c r="AI10" i="82" s="1"/>
  <c r="AH175" i="82"/>
  <c r="AI175" i="82" s="1"/>
  <c r="AH85" i="82"/>
  <c r="AI85" i="82" s="1"/>
  <c r="AH63" i="82"/>
  <c r="AI63" i="82" s="1"/>
  <c r="AH78" i="82"/>
  <c r="AI78" i="82" s="1"/>
  <c r="AH117" i="82"/>
  <c r="AI117" i="82" s="1"/>
  <c r="AH45" i="82"/>
  <c r="AI45" i="82" s="1"/>
  <c r="AH13" i="82"/>
  <c r="AI13" i="82" s="1"/>
  <c r="AH187" i="82"/>
  <c r="AH79" i="82"/>
  <c r="AI79" i="82" s="1"/>
  <c r="AH49" i="82"/>
  <c r="AI49" i="82" s="1"/>
  <c r="AH83" i="82"/>
  <c r="AI83" i="82" s="1"/>
  <c r="AH202" i="82"/>
  <c r="AH131" i="82"/>
  <c r="AI131" i="82" s="1"/>
  <c r="AH183" i="82"/>
  <c r="AI183" i="82" s="1"/>
  <c r="AH75" i="82"/>
  <c r="AI75" i="82" s="1"/>
  <c r="AH24" i="82"/>
  <c r="AI24" i="82" s="1"/>
  <c r="AH126" i="82"/>
  <c r="AI126" i="82" s="1"/>
  <c r="AH137" i="82"/>
  <c r="AI137" i="82" s="1"/>
  <c r="AH180" i="82"/>
  <c r="AI180" i="82" s="1"/>
  <c r="AH87" i="82"/>
  <c r="AI87" i="82" s="1"/>
  <c r="AH31" i="82"/>
  <c r="AI31" i="82" s="1"/>
  <c r="AH98" i="82"/>
  <c r="AI98" i="82" s="1"/>
  <c r="AH165" i="82"/>
  <c r="AI165" i="82" s="1"/>
  <c r="AH9" i="82"/>
  <c r="AI9" i="82" s="1"/>
  <c r="AH163" i="82"/>
  <c r="AI163" i="82" s="1"/>
  <c r="AH195" i="82"/>
  <c r="AI195" i="82" s="1"/>
  <c r="AH167" i="82"/>
  <c r="AI167" i="82" s="1"/>
  <c r="AH197" i="82"/>
  <c r="AH191" i="82"/>
  <c r="AI191" i="82" s="1"/>
  <c r="AH22" i="82"/>
  <c r="AI22" i="82" s="1"/>
  <c r="AH158" i="82"/>
  <c r="AI158" i="82" s="1"/>
  <c r="AH168" i="82"/>
  <c r="AI168" i="82" s="1"/>
  <c r="AH57" i="82"/>
  <c r="AI57" i="82" s="1"/>
  <c r="AH47" i="82"/>
  <c r="AI47" i="82" s="1"/>
  <c r="AH8" i="82"/>
  <c r="AI8" i="82" s="1"/>
  <c r="AH61" i="82"/>
  <c r="AI61" i="82" s="1"/>
  <c r="AH35" i="82"/>
  <c r="AI35" i="82" s="1"/>
  <c r="AH119" i="82"/>
  <c r="AI119" i="82" s="1"/>
  <c r="AH29" i="82"/>
  <c r="AI29" i="82" s="1"/>
  <c r="AH42" i="82"/>
  <c r="AI42" i="82" s="1"/>
  <c r="AH120" i="82"/>
  <c r="AI120" i="82" s="1"/>
  <c r="AH139" i="82"/>
  <c r="AI139" i="82" s="1"/>
  <c r="AH18" i="82"/>
  <c r="AI18" i="82" s="1"/>
  <c r="AH28" i="82"/>
  <c r="AI28" i="82" s="1"/>
  <c r="AH118" i="82"/>
  <c r="AI118" i="82" s="1"/>
  <c r="AH154" i="82"/>
  <c r="AI154" i="82" s="1"/>
  <c r="AH133" i="82"/>
  <c r="AI133" i="82" s="1"/>
  <c r="AH134" i="82"/>
  <c r="AI134" i="82" s="1"/>
  <c r="AH73" i="82"/>
  <c r="AI73" i="82" s="1"/>
  <c r="AH11" i="82"/>
  <c r="AI11" i="82" s="1"/>
  <c r="AH177" i="82"/>
  <c r="AI177" i="82" s="1"/>
  <c r="AH41" i="82"/>
  <c r="AI41" i="82" s="1"/>
  <c r="AH182" i="82"/>
  <c r="AI182" i="82" s="1"/>
  <c r="AH169" i="82"/>
  <c r="AI169" i="82" s="1"/>
  <c r="AH140" i="82"/>
  <c r="AI140" i="82" s="1"/>
  <c r="AH66" i="82"/>
  <c r="AI66" i="82" s="1"/>
  <c r="AH32" i="82"/>
  <c r="AI32" i="82" s="1"/>
  <c r="AH107" i="82"/>
  <c r="AI107" i="82" s="1"/>
  <c r="AH190" i="82"/>
  <c r="AH102" i="82"/>
  <c r="AI102" i="82" s="1"/>
  <c r="AH100" i="82"/>
  <c r="AI100" i="82" s="1"/>
  <c r="AH101" i="82"/>
  <c r="AI101" i="82" s="1"/>
  <c r="AH201" i="82"/>
  <c r="AH184" i="82"/>
  <c r="AI184" i="82" s="1"/>
  <c r="AH147" i="82"/>
  <c r="AI147" i="82" s="1"/>
  <c r="AH185" i="82"/>
  <c r="AI185" i="82" s="1"/>
  <c r="AH111" i="82"/>
  <c r="AI111" i="82" s="1"/>
  <c r="AH36" i="82"/>
  <c r="AI36" i="82" s="1"/>
  <c r="AH162" i="82"/>
  <c r="AI162" i="82" s="1"/>
  <c r="AH23" i="82"/>
  <c r="AI23" i="82" s="1"/>
  <c r="AH109" i="82"/>
  <c r="AI109" i="82" s="1"/>
  <c r="AH151" i="82"/>
  <c r="AI151" i="82" s="1"/>
  <c r="AH166" i="82"/>
  <c r="AI166" i="82" s="1"/>
  <c r="AH143" i="82"/>
  <c r="AI143" i="82" s="1"/>
  <c r="AH71" i="82"/>
  <c r="AI71" i="82" s="1"/>
  <c r="AH58" i="82"/>
  <c r="AI58" i="82" s="1"/>
  <c r="AH123" i="82"/>
  <c r="AI123" i="82" s="1"/>
  <c r="AH179" i="82"/>
  <c r="AI179" i="82" s="1"/>
  <c r="AH124" i="82"/>
  <c r="AI124" i="82" s="1"/>
  <c r="AH99" i="82"/>
  <c r="AI99" i="82" s="1"/>
  <c r="AH113" i="82"/>
  <c r="AI113" i="82" s="1"/>
  <c r="AH72" i="82"/>
  <c r="AI72" i="82" s="1"/>
  <c r="AH91" i="82"/>
  <c r="AI91" i="82" s="1"/>
  <c r="AH104" i="82"/>
  <c r="AI104" i="82" s="1"/>
  <c r="AH6" i="82"/>
  <c r="AI6" i="82" s="1"/>
  <c r="AH34" i="82"/>
  <c r="AI34" i="82" s="1"/>
  <c r="AH64" i="82"/>
  <c r="AI64" i="82" s="1"/>
  <c r="AH176" i="82"/>
  <c r="AI176" i="82" s="1"/>
  <c r="AH122" i="82"/>
  <c r="AI122" i="82" s="1"/>
  <c r="AH97" i="82"/>
  <c r="AI97" i="82" s="1"/>
  <c r="AH4" i="82"/>
  <c r="AI4" i="82" s="1"/>
  <c r="AH192" i="82"/>
  <c r="AI192" i="82" s="1"/>
  <c r="AH14" i="82"/>
  <c r="AI14" i="82" s="1"/>
  <c r="AH135" i="82"/>
  <c r="AI135" i="82" s="1"/>
  <c r="AH149" i="82"/>
  <c r="AI149" i="82" s="1"/>
  <c r="AH189" i="82"/>
  <c r="AH157" i="82"/>
  <c r="AI157" i="82" s="1"/>
  <c r="AH160" i="82"/>
  <c r="AI160" i="82" s="1"/>
  <c r="AH27" i="82"/>
  <c r="AI27" i="82" s="1"/>
  <c r="AH17" i="82"/>
  <c r="AI17" i="82" s="1"/>
  <c r="AH81" i="82"/>
  <c r="AI81" i="82" s="1"/>
  <c r="AH59" i="82"/>
  <c r="AI59" i="82" s="1"/>
  <c r="AH200" i="82"/>
  <c r="AH15" i="82"/>
  <c r="AI15" i="82" s="1"/>
  <c r="AH130" i="82"/>
  <c r="AI130" i="82" s="1"/>
  <c r="AH127" i="82"/>
  <c r="AI127" i="82" s="1"/>
  <c r="AH30" i="82"/>
  <c r="AI30" i="82" s="1"/>
  <c r="AH203" i="82"/>
  <c r="AH7" i="82"/>
  <c r="AI7" i="82" s="1"/>
  <c r="AH94" i="82"/>
  <c r="AI94" i="82" s="1"/>
  <c r="AH114" i="82"/>
  <c r="AI114" i="82" s="1"/>
  <c r="AH193" i="82"/>
  <c r="AI193" i="82" s="1"/>
  <c r="AH142" i="82"/>
  <c r="AI142" i="82" s="1"/>
  <c r="AH156" i="82"/>
  <c r="AI156" i="82" s="1"/>
  <c r="AH161" i="82"/>
  <c r="AI161" i="82" s="1"/>
  <c r="AH178" i="82"/>
  <c r="AI178" i="82" s="1"/>
  <c r="AH40" i="82"/>
  <c r="AI40" i="82" s="1"/>
  <c r="AH116" i="82"/>
  <c r="AI116" i="82" s="1"/>
  <c r="AH86" i="82"/>
  <c r="AI86" i="82" s="1"/>
  <c r="AH103" i="82"/>
  <c r="AI103" i="82" s="1"/>
  <c r="A34" i="63" l="1"/>
  <c r="H34" i="63" l="1"/>
  <c r="E34" i="63"/>
  <c r="F34" i="63"/>
  <c r="N34" i="63" s="1"/>
  <c r="A35" i="63"/>
  <c r="G34" i="63" l="1"/>
  <c r="M34" i="63" s="1"/>
  <c r="P34" i="63" s="1"/>
  <c r="E35" i="63"/>
  <c r="H35" i="63"/>
  <c r="F35" i="63"/>
  <c r="N35" i="63" s="1"/>
  <c r="A36" i="63"/>
  <c r="R34" i="63" l="1"/>
  <c r="A37" i="63"/>
  <c r="H36" i="63"/>
  <c r="E36" i="63"/>
  <c r="F36" i="63"/>
  <c r="N36" i="63" s="1"/>
  <c r="G35" i="63"/>
  <c r="G36" i="63" l="1"/>
  <c r="M36" i="63" s="1"/>
  <c r="P36" i="63" s="1"/>
  <c r="R35" i="63"/>
  <c r="M35" i="63"/>
  <c r="P35" i="63" s="1"/>
  <c r="E37" i="63"/>
  <c r="F37" i="63"/>
  <c r="N37" i="63" s="1"/>
  <c r="H37" i="63"/>
  <c r="A38" i="63"/>
  <c r="R36" i="63" l="1"/>
  <c r="G37" i="63"/>
  <c r="M37" i="63" s="1"/>
  <c r="P37" i="63" s="1"/>
  <c r="E38" i="63"/>
  <c r="H38" i="63"/>
  <c r="F38" i="63"/>
  <c r="N38" i="63" s="1"/>
  <c r="A39" i="63"/>
  <c r="R37" i="63" l="1"/>
  <c r="G38" i="63"/>
  <c r="M38" i="63" s="1"/>
  <c r="P38" i="63" s="1"/>
  <c r="F39" i="63"/>
  <c r="N39" i="63" s="1"/>
  <c r="H39" i="63"/>
  <c r="E39" i="63"/>
  <c r="A40" i="63"/>
  <c r="R38" i="63" l="1"/>
  <c r="G39" i="63"/>
  <c r="R39" i="63" s="1"/>
  <c r="H40" i="63"/>
  <c r="E40" i="63"/>
  <c r="F40" i="63"/>
  <c r="N40" i="63" s="1"/>
  <c r="A41" i="63"/>
  <c r="M39" i="63" l="1"/>
  <c r="P39" i="63" s="1"/>
  <c r="G40" i="63"/>
  <c r="R40" i="63" s="1"/>
  <c r="E41" i="63"/>
  <c r="F41" i="63"/>
  <c r="N41" i="63" s="1"/>
  <c r="H41" i="63"/>
  <c r="A42" i="63"/>
  <c r="M40" i="63" l="1"/>
  <c r="P40" i="63" s="1"/>
  <c r="E42" i="63"/>
  <c r="H42" i="63"/>
  <c r="F42" i="63"/>
  <c r="N42" i="63" s="1"/>
  <c r="A43" i="63"/>
  <c r="G41" i="63"/>
  <c r="H43" i="63" l="1"/>
  <c r="E43" i="63"/>
  <c r="F43" i="63"/>
  <c r="N43" i="63" s="1"/>
  <c r="A44" i="63"/>
  <c r="M41" i="63"/>
  <c r="R41" i="63"/>
  <c r="G42" i="63"/>
  <c r="H44" i="63" l="1"/>
  <c r="F44" i="63"/>
  <c r="N44" i="63" s="1"/>
  <c r="E44" i="63"/>
  <c r="P41" i="63"/>
  <c r="A45" i="63"/>
  <c r="R42" i="63"/>
  <c r="M42" i="63"/>
  <c r="P42" i="63" s="1"/>
  <c r="G43" i="63"/>
  <c r="G44" i="63" l="1"/>
  <c r="R44" i="63" s="1"/>
  <c r="A46" i="63"/>
  <c r="M43" i="63"/>
  <c r="R43" i="63"/>
  <c r="H45" i="63"/>
  <c r="F45" i="63"/>
  <c r="N45" i="63" s="1"/>
  <c r="E45" i="63"/>
  <c r="M44" i="63" l="1"/>
  <c r="P44" i="63" s="1"/>
  <c r="G45" i="63"/>
  <c r="R45" i="63" s="1"/>
  <c r="P43" i="63"/>
  <c r="H46" i="63"/>
  <c r="E46" i="63"/>
  <c r="F46" i="63"/>
  <c r="N46" i="63" s="1"/>
  <c r="A47" i="63"/>
  <c r="M45" i="63" l="1"/>
  <c r="P45" i="63" s="1"/>
  <c r="G46" i="63"/>
  <c r="R46" i="63" s="1"/>
  <c r="E47" i="63"/>
  <c r="H47" i="63"/>
  <c r="F47" i="63"/>
  <c r="N47" i="63" s="1"/>
  <c r="A48" i="63"/>
  <c r="M46" i="63" l="1"/>
  <c r="P46" i="63" s="1"/>
  <c r="G47" i="63"/>
  <c r="E48" i="63"/>
  <c r="F48" i="63"/>
  <c r="N48" i="63" s="1"/>
  <c r="H48" i="63"/>
  <c r="G48" i="63" l="1"/>
  <c r="R48" i="63" s="1"/>
  <c r="R47" i="63"/>
  <c r="M47" i="63"/>
  <c r="P47" i="63" s="1"/>
  <c r="A49" i="63"/>
  <c r="M48" i="63" l="1"/>
  <c r="P48" i="63" s="1"/>
  <c r="H49" i="63"/>
  <c r="E49" i="63"/>
  <c r="F49" i="63"/>
  <c r="N49" i="63" s="1"/>
  <c r="G49" i="63" l="1"/>
  <c r="M49" i="63" l="1"/>
  <c r="P49" i="63" s="1"/>
  <c r="R49" i="63"/>
  <c r="F295" i="63" l="1"/>
  <c r="N295" i="63" s="1"/>
  <c r="F118" i="63"/>
  <c r="N118" i="63" s="1"/>
  <c r="F539" i="63"/>
  <c r="N539" i="63" s="1"/>
  <c r="F639" i="63"/>
  <c r="N639" i="63" s="1"/>
  <c r="E108" i="63"/>
  <c r="H511" i="63"/>
  <c r="E183" i="63"/>
  <c r="H349" i="63"/>
  <c r="H390" i="63"/>
  <c r="H664" i="63"/>
  <c r="F257" i="63"/>
  <c r="N257" i="63" s="1"/>
  <c r="H122" i="63"/>
  <c r="E515" i="63"/>
  <c r="F374" i="63"/>
  <c r="N374" i="63" s="1"/>
  <c r="H533" i="63"/>
  <c r="F109" i="63"/>
  <c r="N109" i="63" s="1"/>
  <c r="F370" i="63"/>
  <c r="N370" i="63" s="1"/>
  <c r="F321" i="63"/>
  <c r="N321" i="63" s="1"/>
  <c r="H638" i="63"/>
  <c r="F310" i="63"/>
  <c r="N310" i="63" s="1"/>
  <c r="F305" i="63"/>
  <c r="N305" i="63" s="1"/>
  <c r="E256" i="63"/>
  <c r="H268" i="63"/>
  <c r="E367" i="63"/>
  <c r="E528" i="63"/>
  <c r="H374" i="63"/>
  <c r="E282" i="63"/>
  <c r="E97" i="63"/>
  <c r="F344" i="63"/>
  <c r="N344" i="63" s="1"/>
  <c r="H531" i="63"/>
  <c r="E432" i="63"/>
  <c r="E283" i="63"/>
  <c r="F268" i="63"/>
  <c r="N268" i="63" s="1"/>
  <c r="H296" i="63"/>
  <c r="F361" i="63"/>
  <c r="N361" i="63" s="1"/>
  <c r="F186" i="63"/>
  <c r="N186" i="63" s="1"/>
  <c r="F672" i="63"/>
  <c r="N672" i="63" s="1"/>
  <c r="H225" i="63"/>
  <c r="E398" i="63"/>
  <c r="H438" i="63"/>
  <c r="H428" i="63"/>
  <c r="H568" i="63"/>
  <c r="F376" i="63"/>
  <c r="N376" i="63" s="1"/>
  <c r="E466" i="63"/>
  <c r="E76" i="63"/>
  <c r="H569" i="63"/>
  <c r="F598" i="63"/>
  <c r="N598" i="63" s="1"/>
  <c r="F125" i="63"/>
  <c r="N125" i="63" s="1"/>
  <c r="E261" i="63"/>
  <c r="E501" i="63"/>
  <c r="H628" i="63"/>
  <c r="H407" i="63"/>
  <c r="E527" i="63"/>
  <c r="E443" i="63"/>
  <c r="E377" i="63"/>
  <c r="H138" i="63"/>
  <c r="F190" i="63"/>
  <c r="N190" i="63" s="1"/>
  <c r="F286" i="63"/>
  <c r="N286" i="63" s="1"/>
  <c r="H288" i="63"/>
  <c r="F497" i="63"/>
  <c r="N497" i="63" s="1"/>
  <c r="E172" i="63"/>
  <c r="E63" i="63"/>
  <c r="F390" i="63"/>
  <c r="N390" i="63" s="1"/>
  <c r="F189" i="63"/>
  <c r="N189" i="63" s="1"/>
  <c r="F609" i="63"/>
  <c r="N609" i="63" s="1"/>
  <c r="E204" i="63"/>
  <c r="H501" i="63"/>
  <c r="E175" i="63"/>
  <c r="H551" i="63"/>
  <c r="F597" i="63"/>
  <c r="N597" i="63" s="1"/>
  <c r="E195" i="63"/>
  <c r="E104" i="63"/>
  <c r="E205" i="63"/>
  <c r="F62" i="63"/>
  <c r="N62" i="63" s="1"/>
  <c r="H559" i="63"/>
  <c r="E289" i="63"/>
  <c r="F444" i="63"/>
  <c r="N444" i="63" s="1"/>
  <c r="H427" i="63"/>
  <c r="E408" i="63"/>
  <c r="E198" i="63"/>
  <c r="F576" i="63"/>
  <c r="N576" i="63" s="1"/>
  <c r="E425" i="63"/>
  <c r="F306" i="63"/>
  <c r="N306" i="63" s="1"/>
  <c r="E553" i="63"/>
  <c r="E393" i="63"/>
  <c r="H152" i="63"/>
  <c r="H74" i="63"/>
  <c r="E87" i="63"/>
  <c r="E68" i="63"/>
  <c r="E286" i="63"/>
  <c r="F625" i="63"/>
  <c r="N625" i="63" s="1"/>
  <c r="E599" i="63"/>
  <c r="F435" i="63"/>
  <c r="N435" i="63" s="1"/>
  <c r="H440" i="63"/>
  <c r="F595" i="63"/>
  <c r="N595" i="63" s="1"/>
  <c r="F402" i="63"/>
  <c r="N402" i="63" s="1"/>
  <c r="H508" i="63"/>
  <c r="E315" i="63"/>
  <c r="H560" i="63"/>
  <c r="E587" i="63"/>
  <c r="H139" i="63"/>
  <c r="H83" i="63"/>
  <c r="E417" i="63"/>
  <c r="H162" i="63"/>
  <c r="H434" i="63"/>
  <c r="E233" i="63"/>
  <c r="F622" i="63"/>
  <c r="N622" i="63" s="1"/>
  <c r="F509" i="63"/>
  <c r="N509" i="63" s="1"/>
  <c r="H66" i="63"/>
  <c r="F552" i="63"/>
  <c r="N552" i="63" s="1"/>
  <c r="E368" i="63"/>
  <c r="E422" i="63"/>
  <c r="F188" i="63"/>
  <c r="N188" i="63" s="1"/>
  <c r="H539" i="63"/>
  <c r="H55" i="63"/>
  <c r="E537" i="63"/>
  <c r="F81" i="63"/>
  <c r="N81" i="63" s="1"/>
  <c r="E123" i="63"/>
  <c r="F139" i="63"/>
  <c r="N139" i="63" s="1"/>
  <c r="H254" i="63"/>
  <c r="F607" i="63"/>
  <c r="N607" i="63" s="1"/>
  <c r="E121" i="63"/>
  <c r="H343" i="63"/>
  <c r="E193" i="63"/>
  <c r="F670" i="63"/>
  <c r="N670" i="63" s="1"/>
  <c r="E635" i="63"/>
  <c r="F554" i="63"/>
  <c r="N554" i="63" s="1"/>
  <c r="H516" i="63"/>
  <c r="H128" i="63"/>
  <c r="F469" i="63"/>
  <c r="N469" i="63" s="1"/>
  <c r="E196" i="63"/>
  <c r="E332" i="63"/>
  <c r="F61" i="63"/>
  <c r="N61" i="63" s="1"/>
  <c r="F565" i="63"/>
  <c r="N565" i="63" s="1"/>
  <c r="F117" i="63"/>
  <c r="N117" i="63" s="1"/>
  <c r="E623" i="63"/>
  <c r="E456" i="63"/>
  <c r="F54" i="63"/>
  <c r="N54" i="63" s="1"/>
  <c r="E244" i="63"/>
  <c r="F301" i="63"/>
  <c r="N301" i="63" s="1"/>
  <c r="E442" i="63"/>
  <c r="E207" i="63"/>
  <c r="E467" i="63"/>
  <c r="H510" i="63"/>
  <c r="E524" i="63"/>
  <c r="E550" i="63"/>
  <c r="H256" i="63"/>
  <c r="F621" i="63"/>
  <c r="N621" i="63" s="1"/>
  <c r="E109" i="63"/>
  <c r="E677" i="63"/>
  <c r="F561" i="63"/>
  <c r="N561" i="63" s="1"/>
  <c r="F250" i="63"/>
  <c r="N250" i="63" s="1"/>
  <c r="H201" i="63"/>
  <c r="E322" i="63"/>
  <c r="F66" i="63"/>
  <c r="N66" i="63" s="1"/>
  <c r="F176" i="63"/>
  <c r="N176" i="63" s="1"/>
  <c r="F410" i="63"/>
  <c r="N410" i="63" s="1"/>
  <c r="F399" i="63"/>
  <c r="N399" i="63" s="1"/>
  <c r="H556" i="63"/>
  <c r="H411" i="63"/>
  <c r="E671" i="63"/>
  <c r="H223" i="63"/>
  <c r="F642" i="63"/>
  <c r="N642" i="63" s="1"/>
  <c r="F181" i="63"/>
  <c r="N181" i="63" s="1"/>
  <c r="H141" i="63"/>
  <c r="F207" i="63"/>
  <c r="N207" i="63" s="1"/>
  <c r="H673" i="63"/>
  <c r="E189" i="63"/>
  <c r="E658" i="63"/>
  <c r="F160" i="63"/>
  <c r="N160" i="63" s="1"/>
  <c r="H421" i="63"/>
  <c r="F128" i="63"/>
  <c r="N128" i="63" s="1"/>
  <c r="F525" i="63"/>
  <c r="N525" i="63" s="1"/>
  <c r="H191" i="63"/>
  <c r="H616" i="63"/>
  <c r="E86" i="63"/>
  <c r="E444" i="63"/>
  <c r="H600" i="63"/>
  <c r="F620" i="63"/>
  <c r="N620" i="63" s="1"/>
  <c r="E646" i="63"/>
  <c r="F195" i="63"/>
  <c r="N195" i="63" s="1"/>
  <c r="E644" i="63"/>
  <c r="E437" i="63"/>
  <c r="E234" i="63"/>
  <c r="F184" i="63"/>
  <c r="N184" i="63" s="1"/>
  <c r="F218" i="63"/>
  <c r="N218" i="63" s="1"/>
  <c r="E167" i="63"/>
  <c r="E240" i="63"/>
  <c r="E588" i="63"/>
  <c r="H355" i="63"/>
  <c r="F490" i="63"/>
  <c r="N490" i="63" s="1"/>
  <c r="H80" i="63"/>
  <c r="E317" i="63"/>
  <c r="E378" i="63"/>
  <c r="E229" i="63"/>
  <c r="F237" i="63"/>
  <c r="N237" i="63" s="1"/>
  <c r="H232" i="63"/>
  <c r="F616" i="63"/>
  <c r="N616" i="63" s="1"/>
  <c r="F426" i="63"/>
  <c r="N426" i="63" s="1"/>
  <c r="E242" i="63"/>
  <c r="E248" i="63"/>
  <c r="F200" i="63"/>
  <c r="N200" i="63" s="1"/>
  <c r="E201" i="63"/>
  <c r="H209" i="63"/>
  <c r="E483" i="63"/>
  <c r="E318" i="63"/>
  <c r="E389" i="63"/>
  <c r="F287" i="63"/>
  <c r="N287" i="63" s="1"/>
  <c r="E262" i="63"/>
  <c r="H224" i="63"/>
  <c r="E105" i="63"/>
  <c r="F571" i="63"/>
  <c r="N571" i="63" s="1"/>
  <c r="F570" i="63"/>
  <c r="N570" i="63" s="1"/>
  <c r="H432" i="63"/>
  <c r="E546" i="63"/>
  <c r="E65" i="63"/>
  <c r="E613" i="63"/>
  <c r="E260" i="63"/>
  <c r="E391" i="63"/>
  <c r="E652" i="63"/>
  <c r="F101" i="63"/>
  <c r="N101" i="63" s="1"/>
  <c r="F610" i="63"/>
  <c r="N610" i="63" s="1"/>
  <c r="H436" i="63"/>
  <c r="H274" i="63"/>
  <c r="E451" i="63"/>
  <c r="E449" i="63"/>
  <c r="H555" i="63"/>
  <c r="H248" i="63"/>
  <c r="F478" i="63"/>
  <c r="N478" i="63" s="1"/>
  <c r="F91" i="63"/>
  <c r="N91" i="63" s="1"/>
  <c r="H197" i="63"/>
  <c r="H540" i="63"/>
  <c r="F499" i="63"/>
  <c r="N499" i="63" s="1"/>
  <c r="F628" i="63"/>
  <c r="N628" i="63" s="1"/>
  <c r="F520" i="63"/>
  <c r="N520" i="63" s="1"/>
  <c r="H316" i="63"/>
  <c r="E132" i="63"/>
  <c r="H298" i="63"/>
  <c r="E134" i="63"/>
  <c r="H317" i="63"/>
  <c r="F201" i="63"/>
  <c r="N201" i="63" s="1"/>
  <c r="F514" i="63"/>
  <c r="N514" i="63" s="1"/>
  <c r="E77" i="63"/>
  <c r="H446" i="63"/>
  <c r="H244" i="63"/>
  <c r="E135" i="63"/>
  <c r="H313" i="63"/>
  <c r="E124" i="63"/>
  <c r="H650" i="63"/>
  <c r="H159" i="63"/>
  <c r="H509" i="63"/>
  <c r="E50" i="63"/>
  <c r="E53" i="63"/>
  <c r="H489" i="63"/>
  <c r="E200" i="63"/>
  <c r="H328" i="63"/>
  <c r="E238" i="63"/>
  <c r="E678" i="63"/>
  <c r="F272" i="63"/>
  <c r="N272" i="63" s="1"/>
  <c r="E178" i="63"/>
  <c r="F460" i="63"/>
  <c r="N460" i="63" s="1"/>
  <c r="H204" i="63"/>
  <c r="F584" i="63"/>
  <c r="N584" i="63" s="1"/>
  <c r="F121" i="63"/>
  <c r="N121" i="63" s="1"/>
  <c r="H422" i="63"/>
  <c r="F454" i="63"/>
  <c r="N454" i="63" s="1"/>
  <c r="E284" i="63"/>
  <c r="E225" i="63"/>
  <c r="E383" i="63"/>
  <c r="H479" i="63"/>
  <c r="F278" i="63"/>
  <c r="N278" i="63" s="1"/>
  <c r="F161" i="63"/>
  <c r="N161" i="63" s="1"/>
  <c r="H641" i="63"/>
  <c r="E595" i="63"/>
  <c r="H576" i="63"/>
  <c r="E101" i="63"/>
  <c r="F178" i="63"/>
  <c r="N178" i="63" s="1"/>
  <c r="F492" i="63"/>
  <c r="N492" i="63" s="1"/>
  <c r="H109" i="63"/>
  <c r="H304" i="63"/>
  <c r="E574" i="63"/>
  <c r="H57" i="63"/>
  <c r="F219" i="63"/>
  <c r="N219" i="63" s="1"/>
  <c r="E513" i="63"/>
  <c r="F127" i="63"/>
  <c r="N127" i="63" s="1"/>
  <c r="H334" i="63"/>
  <c r="E358" i="63"/>
  <c r="E557" i="63"/>
  <c r="E323" i="63"/>
  <c r="H160" i="63"/>
  <c r="F563" i="63"/>
  <c r="N563" i="63" s="1"/>
  <c r="H97" i="63"/>
  <c r="F63" i="63"/>
  <c r="N63" i="63" s="1"/>
  <c r="F122" i="63"/>
  <c r="N122" i="63" s="1"/>
  <c r="F92" i="63"/>
  <c r="N92" i="63" s="1"/>
  <c r="F296" i="63"/>
  <c r="N296" i="63" s="1"/>
  <c r="E321" i="63"/>
  <c r="F493" i="63"/>
  <c r="N493" i="63" s="1"/>
  <c r="F441" i="63"/>
  <c r="N441" i="63" s="1"/>
  <c r="F289" i="63"/>
  <c r="N289" i="63" s="1"/>
  <c r="F76" i="63"/>
  <c r="N76" i="63" s="1"/>
  <c r="H60" i="63"/>
  <c r="H220" i="63"/>
  <c r="F175" i="63"/>
  <c r="N175" i="63" s="1"/>
  <c r="H419" i="63"/>
  <c r="F508" i="63"/>
  <c r="N508" i="63" s="1"/>
  <c r="H310" i="63"/>
  <c r="F431" i="63"/>
  <c r="N431" i="63" s="1"/>
  <c r="H431" i="63"/>
  <c r="H229" i="63"/>
  <c r="H150" i="63"/>
  <c r="F581" i="63"/>
  <c r="N581" i="63" s="1"/>
  <c r="E499" i="63"/>
  <c r="H147" i="63"/>
  <c r="H512" i="63"/>
  <c r="F562" i="63"/>
  <c r="N562" i="63" s="1"/>
  <c r="E119" i="63"/>
  <c r="H587" i="63"/>
  <c r="H541" i="63"/>
  <c r="E566" i="63"/>
  <c r="H406" i="63"/>
  <c r="F428" i="63"/>
  <c r="N428" i="63" s="1"/>
  <c r="H454" i="63"/>
  <c r="H213" i="63"/>
  <c r="E348" i="63"/>
  <c r="H72" i="63"/>
  <c r="H59" i="63"/>
  <c r="E217" i="63"/>
  <c r="F227" i="63"/>
  <c r="N227" i="63" s="1"/>
  <c r="E320" i="63"/>
  <c r="E414" i="63"/>
  <c r="E325" i="63"/>
  <c r="H291" i="63"/>
  <c r="H301" i="63"/>
  <c r="H192" i="63"/>
  <c r="E458" i="63"/>
  <c r="H53" i="63"/>
  <c r="F342" i="63"/>
  <c r="N342" i="63" s="1"/>
  <c r="H528" i="63"/>
  <c r="F355" i="63"/>
  <c r="N355" i="63" s="1"/>
  <c r="E464" i="63"/>
  <c r="E89" i="63"/>
  <c r="F254" i="63"/>
  <c r="N254" i="63" s="1"/>
  <c r="E55" i="63"/>
  <c r="E314" i="63"/>
  <c r="H50" i="63"/>
  <c r="E612" i="63"/>
  <c r="H91" i="63"/>
  <c r="E66" i="63"/>
  <c r="G66" i="63" s="1"/>
  <c r="H573" i="63"/>
  <c r="E495" i="63"/>
  <c r="E111" i="63"/>
  <c r="F619" i="63"/>
  <c r="N619" i="63" s="1"/>
  <c r="H266" i="63"/>
  <c r="F596" i="63"/>
  <c r="N596" i="63" s="1"/>
  <c r="F154" i="63"/>
  <c r="N154" i="63" s="1"/>
  <c r="E434" i="63"/>
  <c r="H563" i="63"/>
  <c r="E269" i="63"/>
  <c r="H163" i="63"/>
  <c r="F559" i="63"/>
  <c r="N559" i="63" s="1"/>
  <c r="F315" i="63"/>
  <c r="N315" i="63" s="1"/>
  <c r="H627" i="63"/>
  <c r="H578" i="63"/>
  <c r="F432" i="63"/>
  <c r="N432" i="63" s="1"/>
  <c r="F503" i="63"/>
  <c r="N503" i="63" s="1"/>
  <c r="H474" i="63"/>
  <c r="H200" i="63"/>
  <c r="H658" i="63"/>
  <c r="E349" i="63"/>
  <c r="H596" i="63"/>
  <c r="E439" i="63"/>
  <c r="H114" i="63"/>
  <c r="E392" i="63"/>
  <c r="F80" i="63"/>
  <c r="N80" i="63" s="1"/>
  <c r="H358" i="63"/>
  <c r="F134" i="63"/>
  <c r="N134" i="63" s="1"/>
  <c r="E335" i="63"/>
  <c r="E361" i="63"/>
  <c r="E544" i="63"/>
  <c r="F314" i="63"/>
  <c r="N314" i="63" s="1"/>
  <c r="E575" i="63"/>
  <c r="H181" i="63"/>
  <c r="H520" i="63"/>
  <c r="H228" i="63"/>
  <c r="H561" i="63"/>
  <c r="E582" i="63"/>
  <c r="E326" i="63"/>
  <c r="F297" i="63"/>
  <c r="N297" i="63" s="1"/>
  <c r="E415" i="63"/>
  <c r="F558" i="63"/>
  <c r="N558" i="63" s="1"/>
  <c r="F358" i="63"/>
  <c r="N358" i="63" s="1"/>
  <c r="H372" i="63"/>
  <c r="F169" i="63"/>
  <c r="N169" i="63" s="1"/>
  <c r="F524" i="63"/>
  <c r="N524" i="63" s="1"/>
  <c r="F163" i="63"/>
  <c r="N163" i="63" s="1"/>
  <c r="F418" i="63"/>
  <c r="N418" i="63" s="1"/>
  <c r="H385" i="63"/>
  <c r="F517" i="63"/>
  <c r="N517" i="63" s="1"/>
  <c r="F547" i="63"/>
  <c r="N547" i="63" s="1"/>
  <c r="H678" i="63"/>
  <c r="E292" i="63"/>
  <c r="F661" i="63"/>
  <c r="N661" i="63" s="1"/>
  <c r="H653" i="63"/>
  <c r="E319" i="63"/>
  <c r="F329" i="63"/>
  <c r="N329" i="63" s="1"/>
  <c r="F291" i="63"/>
  <c r="N291" i="63" s="1"/>
  <c r="E572" i="63"/>
  <c r="H212" i="63"/>
  <c r="H242" i="63"/>
  <c r="E547" i="63"/>
  <c r="F604" i="63"/>
  <c r="N604" i="63" s="1"/>
  <c r="E143" i="63"/>
  <c r="F222" i="63"/>
  <c r="N222" i="63" s="1"/>
  <c r="E370" i="63"/>
  <c r="H553" i="63"/>
  <c r="F515" i="63"/>
  <c r="N515" i="63" s="1"/>
  <c r="F359" i="63"/>
  <c r="N359" i="63" s="1"/>
  <c r="F75" i="63"/>
  <c r="N75" i="63" s="1"/>
  <c r="E69" i="63"/>
  <c r="H267" i="63"/>
  <c r="E352" i="63"/>
  <c r="H332" i="63"/>
  <c r="H194" i="63"/>
  <c r="F316" i="63"/>
  <c r="N316" i="63" s="1"/>
  <c r="F656" i="63"/>
  <c r="N656" i="63" s="1"/>
  <c r="H453" i="63"/>
  <c r="E347" i="63"/>
  <c r="E545" i="63"/>
  <c r="E190" i="63"/>
  <c r="H643" i="63"/>
  <c r="H369" i="63"/>
  <c r="H347" i="63"/>
  <c r="E488" i="63"/>
  <c r="H464" i="63"/>
  <c r="H400" i="63"/>
  <c r="E512" i="63"/>
  <c r="F474" i="63"/>
  <c r="N474" i="63" s="1"/>
  <c r="F213" i="63"/>
  <c r="N213" i="63" s="1"/>
  <c r="E228" i="63"/>
  <c r="E549" i="63"/>
  <c r="E67" i="63"/>
  <c r="F511" i="63"/>
  <c r="N511" i="63" s="1"/>
  <c r="H451" i="63"/>
  <c r="E376" i="63"/>
  <c r="F527" i="63"/>
  <c r="N527" i="63" s="1"/>
  <c r="F603" i="63"/>
  <c r="N603" i="63" s="1"/>
  <c r="E241" i="63"/>
  <c r="H166" i="63"/>
  <c r="F411" i="63"/>
  <c r="N411" i="63" s="1"/>
  <c r="H193" i="63"/>
  <c r="H302" i="63"/>
  <c r="H157" i="63"/>
  <c r="E223" i="63"/>
  <c r="E555" i="63"/>
  <c r="H399" i="63"/>
  <c r="H176" i="63"/>
  <c r="F445" i="63"/>
  <c r="N445" i="63" s="1"/>
  <c r="H459" i="63"/>
  <c r="H94" i="63"/>
  <c r="F129" i="63"/>
  <c r="N129" i="63" s="1"/>
  <c r="E185" i="63"/>
  <c r="F395" i="63"/>
  <c r="N395" i="63" s="1"/>
  <c r="H178" i="63"/>
  <c r="E468" i="63"/>
  <c r="E206" i="63"/>
  <c r="F386" i="63"/>
  <c r="N386" i="63" s="1"/>
  <c r="F662" i="63"/>
  <c r="N662" i="63" s="1"/>
  <c r="H96" i="63"/>
  <c r="E384" i="63"/>
  <c r="F68" i="63"/>
  <c r="N68" i="63" s="1"/>
  <c r="E396" i="63"/>
  <c r="F489" i="63"/>
  <c r="N489" i="63" s="1"/>
  <c r="F453" i="63"/>
  <c r="N453" i="63" s="1"/>
  <c r="F233" i="63"/>
  <c r="N233" i="63" s="1"/>
  <c r="F518" i="63"/>
  <c r="N518" i="63" s="1"/>
  <c r="H426" i="63"/>
  <c r="E539" i="63"/>
  <c r="F442" i="63"/>
  <c r="N442" i="63" s="1"/>
  <c r="E560" i="63"/>
  <c r="H613" i="63"/>
  <c r="F566" i="63"/>
  <c r="N566" i="63" s="1"/>
  <c r="H577" i="63"/>
  <c r="E202" i="63"/>
  <c r="H275" i="63"/>
  <c r="H404" i="63"/>
  <c r="E355" i="63"/>
  <c r="H499" i="63"/>
  <c r="F419" i="63"/>
  <c r="N419" i="63" s="1"/>
  <c r="H280" i="63"/>
  <c r="H56" i="63"/>
  <c r="H88" i="63"/>
  <c r="E645" i="63"/>
  <c r="E350" i="63"/>
  <c r="F507" i="63"/>
  <c r="N507" i="63" s="1"/>
  <c r="H640" i="63"/>
  <c r="E74" i="63"/>
  <c r="E231" i="63"/>
  <c r="F641" i="63"/>
  <c r="N641" i="63" s="1"/>
  <c r="F337" i="63"/>
  <c r="N337" i="63" s="1"/>
  <c r="E148" i="63"/>
  <c r="F519" i="63"/>
  <c r="N519" i="63" s="1"/>
  <c r="E85" i="63"/>
  <c r="F436" i="63"/>
  <c r="N436" i="63" s="1"/>
  <c r="F528" i="63"/>
  <c r="N528" i="63" s="1"/>
  <c r="F405" i="63"/>
  <c r="N405" i="63" s="1"/>
  <c r="H546" i="63"/>
  <c r="F100" i="63"/>
  <c r="N100" i="63" s="1"/>
  <c r="F593" i="63"/>
  <c r="N593" i="63" s="1"/>
  <c r="F556" i="63"/>
  <c r="N556" i="63" s="1"/>
  <c r="H115" i="63"/>
  <c r="E593" i="63"/>
  <c r="F357" i="63"/>
  <c r="N357" i="63" s="1"/>
  <c r="H391" i="63"/>
  <c r="H319" i="63"/>
  <c r="E526" i="63"/>
  <c r="H145" i="63"/>
  <c r="H110" i="63"/>
  <c r="E562" i="63"/>
  <c r="H276" i="63"/>
  <c r="H538" i="63"/>
  <c r="H77" i="63"/>
  <c r="E653" i="63"/>
  <c r="H472" i="63"/>
  <c r="E252" i="63"/>
  <c r="E341" i="63"/>
  <c r="F147" i="63"/>
  <c r="N147" i="63" s="1"/>
  <c r="H467" i="63"/>
  <c r="F588" i="63"/>
  <c r="N588" i="63" s="1"/>
  <c r="E626" i="63"/>
  <c r="E271" i="63"/>
  <c r="F535" i="63"/>
  <c r="N535" i="63" s="1"/>
  <c r="H108" i="63"/>
  <c r="F132" i="63"/>
  <c r="N132" i="63" s="1"/>
  <c r="E215" i="63"/>
  <c r="F459" i="63"/>
  <c r="N459" i="63" s="1"/>
  <c r="F236" i="63"/>
  <c r="N236" i="63" s="1"/>
  <c r="F434" i="63"/>
  <c r="N434" i="63" s="1"/>
  <c r="F83" i="63"/>
  <c r="N83" i="63" s="1"/>
  <c r="H414" i="63"/>
  <c r="E597" i="63"/>
  <c r="H549" i="63"/>
  <c r="H668" i="63"/>
  <c r="F267" i="63"/>
  <c r="N267" i="63" s="1"/>
  <c r="H238" i="63"/>
  <c r="E330" i="63"/>
  <c r="F461" i="63"/>
  <c r="N461" i="63" s="1"/>
  <c r="H320" i="63"/>
  <c r="E216" i="63"/>
  <c r="E617" i="63"/>
  <c r="F67" i="63"/>
  <c r="N67" i="63" s="1"/>
  <c r="H572" i="63"/>
  <c r="F298" i="63"/>
  <c r="N298" i="63" s="1"/>
  <c r="F437" i="63"/>
  <c r="N437" i="63" s="1"/>
  <c r="E333" i="63"/>
  <c r="E655" i="63"/>
  <c r="E208" i="63"/>
  <c r="F495" i="63"/>
  <c r="N495" i="63" s="1"/>
  <c r="E636" i="63"/>
  <c r="F110" i="63"/>
  <c r="N110" i="63" s="1"/>
  <c r="F89" i="63"/>
  <c r="N89" i="63" s="1"/>
  <c r="E249" i="63"/>
  <c r="H592" i="63"/>
  <c r="H174" i="63"/>
  <c r="F199" i="63"/>
  <c r="N199" i="63" s="1"/>
  <c r="F400" i="63"/>
  <c r="N400" i="63" s="1"/>
  <c r="E360" i="63"/>
  <c r="H309" i="63"/>
  <c r="H450" i="63"/>
  <c r="H505" i="63"/>
  <c r="F623" i="63"/>
  <c r="N623" i="63" s="1"/>
  <c r="E159" i="63"/>
  <c r="H651" i="63"/>
  <c r="E149" i="63"/>
  <c r="H187" i="63"/>
  <c r="F655" i="63"/>
  <c r="N655" i="63" s="1"/>
  <c r="F255" i="63"/>
  <c r="N255" i="63" s="1"/>
  <c r="F214" i="63"/>
  <c r="N214" i="63" s="1"/>
  <c r="E576" i="63"/>
  <c r="E641" i="63"/>
  <c r="H203" i="63"/>
  <c r="F377" i="63"/>
  <c r="N377" i="63" s="1"/>
  <c r="F599" i="63"/>
  <c r="N599" i="63" s="1"/>
  <c r="E336" i="63"/>
  <c r="F57" i="63"/>
  <c r="N57" i="63" s="1"/>
  <c r="E182" i="63"/>
  <c r="E668" i="63"/>
  <c r="F551" i="63"/>
  <c r="N551" i="63" s="1"/>
  <c r="E166" i="63"/>
  <c r="F579" i="63"/>
  <c r="N579" i="63" s="1"/>
  <c r="E82" i="63"/>
  <c r="E665" i="63"/>
  <c r="H460" i="63"/>
  <c r="F246" i="63"/>
  <c r="N246" i="63" s="1"/>
  <c r="F205" i="63"/>
  <c r="N205" i="63" s="1"/>
  <c r="H496" i="63"/>
  <c r="E579" i="63"/>
  <c r="E630" i="63"/>
  <c r="H184" i="63"/>
  <c r="H335" i="63"/>
  <c r="H120" i="63"/>
  <c r="F258" i="63"/>
  <c r="N258" i="63" s="1"/>
  <c r="H189" i="63"/>
  <c r="H245" i="63"/>
  <c r="H646" i="63"/>
  <c r="H486" i="63"/>
  <c r="E473" i="63"/>
  <c r="H124" i="63"/>
  <c r="H235" i="63"/>
  <c r="F65" i="63"/>
  <c r="N65" i="63" s="1"/>
  <c r="H165" i="63"/>
  <c r="E71" i="63"/>
  <c r="E99" i="63"/>
  <c r="E633" i="63"/>
  <c r="H273" i="63"/>
  <c r="H655" i="63"/>
  <c r="H99" i="63"/>
  <c r="F541" i="63"/>
  <c r="N541" i="63" s="1"/>
  <c r="H637" i="63"/>
  <c r="H352" i="63"/>
  <c r="H470" i="63"/>
  <c r="H418" i="63"/>
  <c r="E188" i="63"/>
  <c r="E177" i="63"/>
  <c r="H535" i="63"/>
  <c r="E570" i="63"/>
  <c r="F666" i="63"/>
  <c r="N666" i="63" s="1"/>
  <c r="E309" i="63"/>
  <c r="E340" i="63"/>
  <c r="H315" i="63"/>
  <c r="F352" i="63"/>
  <c r="N352" i="63" s="1"/>
  <c r="H430" i="63"/>
  <c r="H667" i="63"/>
  <c r="E170" i="63"/>
  <c r="F383" i="63"/>
  <c r="N383" i="63" s="1"/>
  <c r="H79" i="63"/>
  <c r="H612" i="63"/>
  <c r="H259" i="63"/>
  <c r="F578" i="63"/>
  <c r="N578" i="63" s="1"/>
  <c r="H68" i="63"/>
  <c r="F266" i="63"/>
  <c r="N266" i="63" s="1"/>
  <c r="E58" i="63"/>
  <c r="E534" i="63"/>
  <c r="H429" i="63"/>
  <c r="H329" i="63"/>
  <c r="F658" i="63"/>
  <c r="N658" i="63" s="1"/>
  <c r="E186" i="63"/>
  <c r="F348" i="63"/>
  <c r="N348" i="63" s="1"/>
  <c r="E461" i="63"/>
  <c r="F208" i="63"/>
  <c r="N208" i="63" s="1"/>
  <c r="F550" i="63"/>
  <c r="N550" i="63" s="1"/>
  <c r="E210" i="63"/>
  <c r="F367" i="63"/>
  <c r="N367" i="63" s="1"/>
  <c r="F471" i="63"/>
  <c r="N471" i="63" s="1"/>
  <c r="E457" i="63"/>
  <c r="E522" i="63"/>
  <c r="F230" i="63"/>
  <c r="N230" i="63" s="1"/>
  <c r="E479" i="63"/>
  <c r="H284" i="63"/>
  <c r="H648" i="63"/>
  <c r="E639" i="63"/>
  <c r="E491" i="63"/>
  <c r="H262" i="63"/>
  <c r="H557" i="63"/>
  <c r="H465" i="63"/>
  <c r="E192" i="63"/>
  <c r="H518" i="63"/>
  <c r="F308" i="63"/>
  <c r="N308" i="63" s="1"/>
  <c r="F325" i="63"/>
  <c r="N325" i="63" s="1"/>
  <c r="F165" i="63"/>
  <c r="N165" i="63" s="1"/>
  <c r="F564" i="63"/>
  <c r="N564" i="63" s="1"/>
  <c r="F504" i="63"/>
  <c r="N504" i="63" s="1"/>
  <c r="H403" i="63"/>
  <c r="F116" i="63"/>
  <c r="N116" i="63" s="1"/>
  <c r="F678" i="63"/>
  <c r="N678" i="63" s="1"/>
  <c r="E591" i="63"/>
  <c r="F572" i="63"/>
  <c r="N572" i="63" s="1"/>
  <c r="H182" i="63"/>
  <c r="F185" i="63"/>
  <c r="N185" i="63" s="1"/>
  <c r="F379" i="63"/>
  <c r="N379" i="63" s="1"/>
  <c r="H462" i="63"/>
  <c r="H250" i="63"/>
  <c r="H558" i="63"/>
  <c r="H415" i="63"/>
  <c r="H75" i="63"/>
  <c r="E316" i="63"/>
  <c r="H148" i="63"/>
  <c r="E565" i="63"/>
  <c r="E227" i="63"/>
  <c r="F73" i="63"/>
  <c r="N73" i="63" s="1"/>
  <c r="F457" i="63"/>
  <c r="N457" i="63" s="1"/>
  <c r="F211" i="63"/>
  <c r="N211" i="63" s="1"/>
  <c r="E590" i="63"/>
  <c r="E158" i="63"/>
  <c r="E129" i="63"/>
  <c r="H665" i="63"/>
  <c r="E103" i="63"/>
  <c r="F568" i="63"/>
  <c r="N568" i="63" s="1"/>
  <c r="H527" i="63"/>
  <c r="E359" i="63"/>
  <c r="E130" i="63"/>
  <c r="E624" i="63"/>
  <c r="E342" i="63"/>
  <c r="H105" i="63"/>
  <c r="F476" i="63"/>
  <c r="N476" i="63" s="1"/>
  <c r="E160" i="63"/>
  <c r="F675" i="63"/>
  <c r="N675" i="63" s="1"/>
  <c r="E191" i="63"/>
  <c r="F281" i="63"/>
  <c r="N281" i="63" s="1"/>
  <c r="E81" i="63"/>
  <c r="F389" i="63"/>
  <c r="N389" i="63" s="1"/>
  <c r="F397" i="63"/>
  <c r="N397" i="63" s="1"/>
  <c r="E409" i="63"/>
  <c r="F130" i="63"/>
  <c r="N130" i="63" s="1"/>
  <c r="F259" i="63"/>
  <c r="N259" i="63" s="1"/>
  <c r="F146" i="63"/>
  <c r="N146" i="63" s="1"/>
  <c r="F427" i="63"/>
  <c r="N427" i="63" s="1"/>
  <c r="F98" i="63"/>
  <c r="N98" i="63" s="1"/>
  <c r="E51" i="63"/>
  <c r="F644" i="63"/>
  <c r="N644" i="63" s="1"/>
  <c r="E211" i="63"/>
  <c r="H514" i="63"/>
  <c r="E98" i="63"/>
  <c r="H269" i="63"/>
  <c r="H662" i="63"/>
  <c r="H504" i="63"/>
  <c r="H348" i="63"/>
  <c r="E660" i="63"/>
  <c r="E433" i="63"/>
  <c r="H170" i="63"/>
  <c r="F366" i="63"/>
  <c r="N366" i="63" s="1"/>
  <c r="H366" i="63"/>
  <c r="E70" i="63"/>
  <c r="H507" i="63"/>
  <c r="H318" i="63"/>
  <c r="E176" i="63"/>
  <c r="E222" i="63"/>
  <c r="F531" i="63"/>
  <c r="N531" i="63" s="1"/>
  <c r="H495" i="63"/>
  <c r="F244" i="63"/>
  <c r="N244" i="63" s="1"/>
  <c r="E643" i="63"/>
  <c r="F179" i="63"/>
  <c r="N179" i="63" s="1"/>
  <c r="E224" i="63"/>
  <c r="F108" i="63"/>
  <c r="N108" i="63" s="1"/>
  <c r="E530" i="63"/>
  <c r="E279" i="63"/>
  <c r="F569" i="63"/>
  <c r="N569" i="63" s="1"/>
  <c r="F323" i="63"/>
  <c r="N323" i="63" s="1"/>
  <c r="E510" i="63"/>
  <c r="H386" i="63"/>
  <c r="F384" i="63"/>
  <c r="N384" i="63" s="1"/>
  <c r="H519" i="63"/>
  <c r="E507" i="63"/>
  <c r="H513" i="63"/>
  <c r="E356" i="63"/>
  <c r="F174" i="63"/>
  <c r="N174" i="63" s="1"/>
  <c r="E239" i="63"/>
  <c r="F300" i="63"/>
  <c r="N300" i="63" s="1"/>
  <c r="F60" i="63"/>
  <c r="N60" i="63" s="1"/>
  <c r="F90" i="63"/>
  <c r="N90" i="63" s="1"/>
  <c r="F645" i="63"/>
  <c r="N645" i="63" s="1"/>
  <c r="F458" i="63"/>
  <c r="N458" i="63" s="1"/>
  <c r="H542" i="63"/>
  <c r="F203" i="63"/>
  <c r="N203" i="63" s="1"/>
  <c r="H380" i="63"/>
  <c r="H327" i="63"/>
  <c r="E387" i="63"/>
  <c r="E564" i="63"/>
  <c r="F71" i="63"/>
  <c r="N71" i="63" s="1"/>
  <c r="H151" i="63"/>
  <c r="H344" i="63"/>
  <c r="E308" i="63"/>
  <c r="H485" i="63"/>
  <c r="F440" i="63"/>
  <c r="N440" i="63" s="1"/>
  <c r="H354" i="63"/>
  <c r="F575" i="63"/>
  <c r="N575" i="63" s="1"/>
  <c r="E83" i="63"/>
  <c r="F124" i="63"/>
  <c r="N124" i="63" s="1"/>
  <c r="H239" i="63"/>
  <c r="E401" i="63"/>
  <c r="H471" i="63"/>
  <c r="H206" i="63"/>
  <c r="H345" i="63"/>
  <c r="E410" i="63"/>
  <c r="E52" i="63"/>
  <c r="H452" i="63"/>
  <c r="E181" i="63"/>
  <c r="H547" i="63"/>
  <c r="E174" i="63"/>
  <c r="H617" i="63"/>
  <c r="F363" i="63"/>
  <c r="N363" i="63" s="1"/>
  <c r="E243" i="63"/>
  <c r="E118" i="63"/>
  <c r="E365" i="63"/>
  <c r="H580" i="63"/>
  <c r="H661" i="63"/>
  <c r="E137" i="63"/>
  <c r="F413" i="63"/>
  <c r="N413" i="63" s="1"/>
  <c r="H62" i="63"/>
  <c r="H221" i="63"/>
  <c r="E431" i="63"/>
  <c r="F172" i="63"/>
  <c r="N172" i="63" s="1"/>
  <c r="H326" i="63"/>
  <c r="E272" i="63"/>
  <c r="E455" i="63"/>
  <c r="E88" i="63"/>
  <c r="E230" i="63"/>
  <c r="E638" i="63"/>
  <c r="H469" i="63"/>
  <c r="E168" i="63"/>
  <c r="F615" i="63"/>
  <c r="N615" i="63" s="1"/>
  <c r="H175" i="63"/>
  <c r="H642" i="63"/>
  <c r="F217" i="63"/>
  <c r="N217" i="63" s="1"/>
  <c r="H581" i="63"/>
  <c r="H522" i="63"/>
  <c r="F194" i="63"/>
  <c r="N194" i="63" s="1"/>
  <c r="F660" i="63"/>
  <c r="N660" i="63" s="1"/>
  <c r="E270" i="63"/>
  <c r="E171" i="63"/>
  <c r="E363" i="63"/>
  <c r="F516" i="63"/>
  <c r="N516" i="63" s="1"/>
  <c r="E307" i="63"/>
  <c r="E640" i="63"/>
  <c r="E280" i="63"/>
  <c r="H279" i="63"/>
  <c r="F107" i="63"/>
  <c r="N107" i="63" s="1"/>
  <c r="E556" i="63"/>
  <c r="E213" i="63"/>
  <c r="H294" i="63"/>
  <c r="F448" i="63"/>
  <c r="N448" i="63" s="1"/>
  <c r="H387" i="63"/>
  <c r="H249" i="63"/>
  <c r="F319" i="63"/>
  <c r="N319" i="63" s="1"/>
  <c r="E254" i="63"/>
  <c r="F256" i="63"/>
  <c r="N256" i="63" s="1"/>
  <c r="H378" i="63"/>
  <c r="H95" i="63"/>
  <c r="F94" i="63"/>
  <c r="N94" i="63" s="1"/>
  <c r="E568" i="63"/>
  <c r="E293" i="63"/>
  <c r="H158" i="63"/>
  <c r="F239" i="63"/>
  <c r="N239" i="63" s="1"/>
  <c r="F113" i="63"/>
  <c r="N113" i="63" s="1"/>
  <c r="F392" i="63"/>
  <c r="N392" i="63" s="1"/>
  <c r="H670" i="63"/>
  <c r="H331" i="63"/>
  <c r="E110" i="63"/>
  <c r="F592" i="63"/>
  <c r="N592" i="63" s="1"/>
  <c r="F340" i="63"/>
  <c r="N340" i="63" s="1"/>
  <c r="E511" i="63"/>
  <c r="H339" i="63"/>
  <c r="H106" i="63"/>
  <c r="H656" i="63"/>
  <c r="F53" i="63"/>
  <c r="N53" i="63" s="1"/>
  <c r="E275" i="63"/>
  <c r="E304" i="63"/>
  <c r="E498" i="63"/>
  <c r="F391" i="63"/>
  <c r="N391" i="63" s="1"/>
  <c r="H258" i="63"/>
  <c r="F238" i="63"/>
  <c r="N238" i="63" s="1"/>
  <c r="H180" i="63"/>
  <c r="H190" i="63"/>
  <c r="F120" i="63"/>
  <c r="N120" i="63" s="1"/>
  <c r="F137" i="63"/>
  <c r="N137" i="63" s="1"/>
  <c r="F317" i="63"/>
  <c r="N317" i="63" s="1"/>
  <c r="F251" i="63"/>
  <c r="N251" i="63" s="1"/>
  <c r="H606" i="63"/>
  <c r="H81" i="63"/>
  <c r="H265" i="63"/>
  <c r="F646" i="63"/>
  <c r="N646" i="63" s="1"/>
  <c r="H625" i="63"/>
  <c r="E369" i="63"/>
  <c r="E194" i="63"/>
  <c r="F665" i="63"/>
  <c r="N665" i="63" s="1"/>
  <c r="H149" i="63"/>
  <c r="H565" i="63"/>
  <c r="H283" i="63"/>
  <c r="E596" i="63"/>
  <c r="H536" i="63"/>
  <c r="F521" i="63"/>
  <c r="N521" i="63" s="1"/>
  <c r="H161" i="63"/>
  <c r="F612" i="63"/>
  <c r="N612" i="63" s="1"/>
  <c r="E476" i="63"/>
  <c r="F324" i="63"/>
  <c r="N324" i="63" s="1"/>
  <c r="F424" i="63"/>
  <c r="N424" i="63" s="1"/>
  <c r="E294" i="63"/>
  <c r="E173" i="63"/>
  <c r="F247" i="63"/>
  <c r="N247" i="63" s="1"/>
  <c r="H652" i="63"/>
  <c r="E117" i="63"/>
  <c r="H113" i="63"/>
  <c r="H445" i="63"/>
  <c r="E503" i="63"/>
  <c r="F664" i="63"/>
  <c r="N664" i="63" s="1"/>
  <c r="H584" i="63"/>
  <c r="E265" i="63"/>
  <c r="E268" i="63"/>
  <c r="F634" i="63"/>
  <c r="N634" i="63" s="1"/>
  <c r="F450" i="63"/>
  <c r="N450" i="63" s="1"/>
  <c r="E337" i="63"/>
  <c r="H455" i="63"/>
  <c r="H525" i="63"/>
  <c r="E114" i="63"/>
  <c r="F224" i="63"/>
  <c r="N224" i="63" s="1"/>
  <c r="E471" i="63"/>
  <c r="F126" i="63"/>
  <c r="N126" i="63" s="1"/>
  <c r="F168" i="63"/>
  <c r="N168" i="63" s="1"/>
  <c r="H562" i="63"/>
  <c r="H552" i="63"/>
  <c r="F371" i="63"/>
  <c r="N371" i="63" s="1"/>
  <c r="F150" i="63"/>
  <c r="N150" i="63" s="1"/>
  <c r="H226" i="63"/>
  <c r="E219" i="63"/>
  <c r="E577" i="63"/>
  <c r="H207" i="63"/>
  <c r="H211" i="63"/>
  <c r="E147" i="63"/>
  <c r="F365" i="63"/>
  <c r="N365" i="63" s="1"/>
  <c r="E416" i="63"/>
  <c r="H402" i="63"/>
  <c r="F466" i="63"/>
  <c r="N466" i="63" s="1"/>
  <c r="H401" i="63"/>
  <c r="F548" i="63"/>
  <c r="N548" i="63" s="1"/>
  <c r="F536" i="63"/>
  <c r="N536" i="63" s="1"/>
  <c r="F591" i="63"/>
  <c r="N591" i="63" s="1"/>
  <c r="F613" i="63"/>
  <c r="N613" i="63" s="1"/>
  <c r="E79" i="63"/>
  <c r="F667" i="63"/>
  <c r="N667" i="63" s="1"/>
  <c r="E521" i="63"/>
  <c r="F157" i="63"/>
  <c r="N157" i="63" s="1"/>
  <c r="E145" i="63"/>
  <c r="F133" i="63"/>
  <c r="N133" i="63" s="1"/>
  <c r="E300" i="63"/>
  <c r="H468" i="63"/>
  <c r="H230" i="63"/>
  <c r="F408" i="63"/>
  <c r="N408" i="63" s="1"/>
  <c r="H155" i="63"/>
  <c r="E673" i="63"/>
  <c r="H614" i="63"/>
  <c r="H156" i="63"/>
  <c r="H51" i="63"/>
  <c r="E517" i="63"/>
  <c r="E102" i="63"/>
  <c r="E57" i="63"/>
  <c r="H506" i="63"/>
  <c r="E445" i="63"/>
  <c r="F248" i="63"/>
  <c r="N248" i="63" s="1"/>
  <c r="F249" i="63"/>
  <c r="N249" i="63" s="1"/>
  <c r="E390" i="63"/>
  <c r="H412" i="63"/>
  <c r="H322" i="63"/>
  <c r="H631" i="63"/>
  <c r="H199" i="63"/>
  <c r="H666" i="63"/>
  <c r="E540" i="63"/>
  <c r="E329" i="63"/>
  <c r="G329" i="63" s="1"/>
  <c r="E351" i="63"/>
  <c r="H363" i="63"/>
  <c r="E603" i="63"/>
  <c r="H490" i="63"/>
  <c r="E441" i="63"/>
  <c r="F502" i="63"/>
  <c r="N502" i="63" s="1"/>
  <c r="H488" i="63"/>
  <c r="F339" i="63"/>
  <c r="N339" i="63" s="1"/>
  <c r="F532" i="63"/>
  <c r="N532" i="63" s="1"/>
  <c r="H171" i="63"/>
  <c r="E654" i="63"/>
  <c r="H234" i="63"/>
  <c r="E302" i="63"/>
  <c r="F138" i="63"/>
  <c r="N138" i="63" s="1"/>
  <c r="E161" i="63"/>
  <c r="E650" i="63"/>
  <c r="E96" i="63"/>
  <c r="H607" i="63"/>
  <c r="F349" i="63"/>
  <c r="N349" i="63" s="1"/>
  <c r="E78" i="63"/>
  <c r="E354" i="63"/>
  <c r="H287" i="63"/>
  <c r="H620" i="63"/>
  <c r="H365" i="63"/>
  <c r="F299" i="63"/>
  <c r="N299" i="63" s="1"/>
  <c r="F648" i="63"/>
  <c r="N648" i="63" s="1"/>
  <c r="F275" i="63"/>
  <c r="N275" i="63" s="1"/>
  <c r="E95" i="63"/>
  <c r="F629" i="63"/>
  <c r="N629" i="63" s="1"/>
  <c r="H360" i="63"/>
  <c r="F104" i="63"/>
  <c r="N104" i="63" s="1"/>
  <c r="E484" i="63"/>
  <c r="H593" i="63"/>
  <c r="E676" i="63"/>
  <c r="F103" i="63"/>
  <c r="N103" i="63" s="1"/>
  <c r="E379" i="63"/>
  <c r="E236" i="63"/>
  <c r="E675" i="63"/>
  <c r="E486" i="63"/>
  <c r="H373" i="63"/>
  <c r="H589" i="63"/>
  <c r="E551" i="63"/>
  <c r="H482" i="63"/>
  <c r="H523" i="63"/>
  <c r="F583" i="63"/>
  <c r="N583" i="63" s="1"/>
  <c r="F653" i="63"/>
  <c r="N653" i="63" s="1"/>
  <c r="E299" i="63"/>
  <c r="E274" i="63"/>
  <c r="E375" i="63"/>
  <c r="H86" i="63"/>
  <c r="H674" i="63"/>
  <c r="E606" i="63"/>
  <c r="H621" i="63"/>
  <c r="F167" i="63"/>
  <c r="N167" i="63" s="1"/>
  <c r="F555" i="63"/>
  <c r="N555" i="63" s="1"/>
  <c r="F226" i="63"/>
  <c r="N226" i="63" s="1"/>
  <c r="E371" i="63"/>
  <c r="F210" i="63"/>
  <c r="N210" i="63" s="1"/>
  <c r="E54" i="63"/>
  <c r="H359" i="63"/>
  <c r="E419" i="63"/>
  <c r="E154" i="63"/>
  <c r="F526" i="63"/>
  <c r="N526" i="63" s="1"/>
  <c r="F657" i="63"/>
  <c r="N657" i="63" s="1"/>
  <c r="H420" i="63"/>
  <c r="F677" i="63"/>
  <c r="N677" i="63" s="1"/>
  <c r="H550" i="63"/>
  <c r="H321" i="63"/>
  <c r="H570" i="63"/>
  <c r="F467" i="63"/>
  <c r="N467" i="63" s="1"/>
  <c r="E508" i="63"/>
  <c r="E462" i="63"/>
  <c r="H330" i="63"/>
  <c r="F166" i="63"/>
  <c r="N166" i="63" s="1"/>
  <c r="F96" i="63"/>
  <c r="N96" i="63" s="1"/>
  <c r="F216" i="63"/>
  <c r="N216" i="63" s="1"/>
  <c r="H104" i="63"/>
  <c r="F380" i="63"/>
  <c r="N380" i="63" s="1"/>
  <c r="E115" i="63"/>
  <c r="F159" i="63"/>
  <c r="N159" i="63" s="1"/>
  <c r="E485" i="63"/>
  <c r="E622" i="63"/>
  <c r="H169" i="63"/>
  <c r="F345" i="63"/>
  <c r="N345" i="63" s="1"/>
  <c r="F209" i="63"/>
  <c r="N209" i="63" s="1"/>
  <c r="F85" i="63"/>
  <c r="N85" i="63" s="1"/>
  <c r="H173" i="63"/>
  <c r="E418" i="63"/>
  <c r="E334" i="63"/>
  <c r="E310" i="63"/>
  <c r="H282" i="63"/>
  <c r="F79" i="63"/>
  <c r="N79" i="63" s="1"/>
  <c r="E59" i="63"/>
  <c r="E127" i="63"/>
  <c r="H487" i="63"/>
  <c r="F313" i="63"/>
  <c r="N313" i="63" s="1"/>
  <c r="H102" i="63"/>
  <c r="F197" i="63"/>
  <c r="N197" i="63" s="1"/>
  <c r="F232" i="63"/>
  <c r="N232" i="63" s="1"/>
  <c r="H112" i="63"/>
  <c r="E406" i="63"/>
  <c r="H603" i="63"/>
  <c r="F430" i="63"/>
  <c r="N430" i="63" s="1"/>
  <c r="E156" i="63"/>
  <c r="G156" i="63" s="1"/>
  <c r="H500" i="63"/>
  <c r="E362" i="63"/>
  <c r="E525" i="63"/>
  <c r="H605" i="63"/>
  <c r="H383" i="63"/>
  <c r="H87" i="63"/>
  <c r="E580" i="63"/>
  <c r="E504" i="63"/>
  <c r="F148" i="63"/>
  <c r="N148" i="63" s="1"/>
  <c r="H290" i="63"/>
  <c r="H364" i="63"/>
  <c r="F403" i="63"/>
  <c r="N403" i="63" s="1"/>
  <c r="F473" i="63"/>
  <c r="N473" i="63" s="1"/>
  <c r="F481" i="63"/>
  <c r="N481" i="63" s="1"/>
  <c r="E107" i="63"/>
  <c r="E489" i="63"/>
  <c r="F626" i="63"/>
  <c r="N626" i="63" s="1"/>
  <c r="H121" i="63"/>
  <c r="F617" i="63"/>
  <c r="N617" i="63" s="1"/>
  <c r="E142" i="63"/>
  <c r="H167" i="63"/>
  <c r="E411" i="63"/>
  <c r="E438" i="63"/>
  <c r="F414" i="63"/>
  <c r="N414" i="63" s="1"/>
  <c r="H597" i="63"/>
  <c r="H647" i="63"/>
  <c r="H123" i="63"/>
  <c r="E605" i="63"/>
  <c r="F356" i="63"/>
  <c r="N356" i="63" s="1"/>
  <c r="E264" i="63"/>
  <c r="H636" i="63"/>
  <c r="E516" i="63"/>
  <c r="E492" i="63"/>
  <c r="F282" i="63"/>
  <c r="N282" i="63" s="1"/>
  <c r="F294" i="63"/>
  <c r="N294" i="63" s="1"/>
  <c r="E139" i="63"/>
  <c r="F468" i="63"/>
  <c r="N468" i="63" s="1"/>
  <c r="E303" i="63"/>
  <c r="F404" i="63"/>
  <c r="N404" i="63" s="1"/>
  <c r="E61" i="63"/>
  <c r="E164" i="63"/>
  <c r="F567" i="63"/>
  <c r="N567" i="63" s="1"/>
  <c r="H677" i="63"/>
  <c r="H672" i="63"/>
  <c r="E179" i="63"/>
  <c r="H567" i="63"/>
  <c r="F115" i="63"/>
  <c r="N115" i="63" s="1"/>
  <c r="E412" i="63"/>
  <c r="F171" i="63"/>
  <c r="N171" i="63" s="1"/>
  <c r="E297" i="63"/>
  <c r="E405" i="63"/>
  <c r="H289" i="63"/>
  <c r="H610" i="63"/>
  <c r="E220" i="63"/>
  <c r="H297" i="63"/>
  <c r="H481" i="63"/>
  <c r="H293" i="63"/>
  <c r="F346" i="63"/>
  <c r="N346" i="63" s="1"/>
  <c r="F263" i="63"/>
  <c r="N263" i="63" s="1"/>
  <c r="H478" i="63"/>
  <c r="E251" i="63"/>
  <c r="E520" i="63"/>
  <c r="F594" i="63"/>
  <c r="N594" i="63" s="1"/>
  <c r="H241" i="63"/>
  <c r="E374" i="63"/>
  <c r="H534" i="63"/>
  <c r="E247" i="63"/>
  <c r="F52" i="63"/>
  <c r="N52" i="63" s="1"/>
  <c r="E197" i="63"/>
  <c r="F477" i="63"/>
  <c r="N477" i="63" s="1"/>
  <c r="H305" i="63"/>
  <c r="H218" i="63"/>
  <c r="H137" i="63"/>
  <c r="F99" i="63"/>
  <c r="N99" i="63" s="1"/>
  <c r="F464" i="63"/>
  <c r="N464" i="63" s="1"/>
  <c r="F119" i="63"/>
  <c r="N119" i="63" s="1"/>
  <c r="H377" i="63"/>
  <c r="F654" i="63"/>
  <c r="N654" i="63" s="1"/>
  <c r="H564" i="63"/>
  <c r="E482" i="63"/>
  <c r="E245" i="63"/>
  <c r="E663" i="63"/>
  <c r="F84" i="63"/>
  <c r="N84" i="63" s="1"/>
  <c r="H285" i="63"/>
  <c r="F618" i="63"/>
  <c r="N618" i="63" s="1"/>
  <c r="E497" i="63"/>
  <c r="E250" i="63"/>
  <c r="F501" i="63"/>
  <c r="N501" i="63" s="1"/>
  <c r="E460" i="63"/>
  <c r="H307" i="63"/>
  <c r="E477" i="63"/>
  <c r="E380" i="63"/>
  <c r="H118" i="63"/>
  <c r="F212" i="63"/>
  <c r="N212" i="63" s="1"/>
  <c r="H341" i="63"/>
  <c r="F387" i="63"/>
  <c r="N387" i="63" s="1"/>
  <c r="E578" i="63"/>
  <c r="E373" i="63"/>
  <c r="E116" i="63"/>
  <c r="H356" i="63"/>
  <c r="F643" i="63"/>
  <c r="N643" i="63" s="1"/>
  <c r="H130" i="63"/>
  <c r="E615" i="63"/>
  <c r="E648" i="63"/>
  <c r="H196" i="63"/>
  <c r="H443" i="63"/>
  <c r="F142" i="63"/>
  <c r="N142" i="63" s="1"/>
  <c r="F475" i="63"/>
  <c r="N475" i="63" s="1"/>
  <c r="E523" i="63"/>
  <c r="F452" i="63"/>
  <c r="N452" i="63" s="1"/>
  <c r="F262" i="63"/>
  <c r="N262" i="63" s="1"/>
  <c r="F587" i="63"/>
  <c r="N587" i="63" s="1"/>
  <c r="H497" i="63"/>
  <c r="E632" i="63"/>
  <c r="H92" i="63"/>
  <c r="F274" i="63"/>
  <c r="N274" i="63" s="1"/>
  <c r="F114" i="63"/>
  <c r="N114" i="63" s="1"/>
  <c r="E552" i="63"/>
  <c r="F123" i="63"/>
  <c r="N123" i="63" s="1"/>
  <c r="E424" i="63"/>
  <c r="F491" i="63"/>
  <c r="N491" i="63" s="1"/>
  <c r="E353" i="63"/>
  <c r="H463" i="63"/>
  <c r="E122" i="63"/>
  <c r="H657" i="63"/>
  <c r="H654" i="63"/>
  <c r="E180" i="63"/>
  <c r="E475" i="63"/>
  <c r="H134" i="63"/>
  <c r="F140" i="63"/>
  <c r="N140" i="63" s="1"/>
  <c r="E585" i="63"/>
  <c r="H177" i="63"/>
  <c r="E128" i="63"/>
  <c r="E426" i="63"/>
  <c r="E586" i="63"/>
  <c r="F632" i="63"/>
  <c r="N632" i="63" s="1"/>
  <c r="H521" i="63"/>
  <c r="H622" i="63"/>
  <c r="F585" i="63"/>
  <c r="N585" i="63" s="1"/>
  <c r="E453" i="63"/>
  <c r="E80" i="63"/>
  <c r="H384" i="63"/>
  <c r="F462" i="63"/>
  <c r="N462" i="63" s="1"/>
  <c r="E435" i="63"/>
  <c r="F438" i="63"/>
  <c r="N438" i="63" s="1"/>
  <c r="H76" i="63"/>
  <c r="E669" i="63"/>
  <c r="F605" i="63"/>
  <c r="N605" i="63" s="1"/>
  <c r="E659" i="63"/>
  <c r="H69" i="63"/>
  <c r="E478" i="63"/>
  <c r="H433" i="63"/>
  <c r="F433" i="63"/>
  <c r="N433" i="63" s="1"/>
  <c r="E126" i="63"/>
  <c r="H153" i="63"/>
  <c r="F354" i="63"/>
  <c r="N354" i="63" s="1"/>
  <c r="E611" i="63"/>
  <c r="H619" i="63"/>
  <c r="H299" i="63"/>
  <c r="E535" i="63"/>
  <c r="E446" i="63"/>
  <c r="H270" i="63"/>
  <c r="H255" i="63"/>
  <c r="H236" i="63"/>
  <c r="H629" i="63"/>
  <c r="H311" i="63"/>
  <c r="H537" i="63"/>
  <c r="F608" i="63"/>
  <c r="N608" i="63" s="1"/>
  <c r="E165" i="63"/>
  <c r="H585" i="63"/>
  <c r="F635" i="63"/>
  <c r="N635" i="63" s="1"/>
  <c r="E428" i="63"/>
  <c r="F131" i="63"/>
  <c r="N131" i="63" s="1"/>
  <c r="F273" i="63"/>
  <c r="N273" i="63" s="1"/>
  <c r="H554" i="63"/>
  <c r="H676" i="63"/>
  <c r="F162" i="63"/>
  <c r="N162" i="63" s="1"/>
  <c r="E64" i="63"/>
  <c r="E278" i="63"/>
  <c r="E295" i="63"/>
  <c r="H314" i="63"/>
  <c r="H526" i="63"/>
  <c r="H396" i="63"/>
  <c r="F546" i="63"/>
  <c r="N546" i="63" s="1"/>
  <c r="H337" i="63"/>
  <c r="H639" i="63"/>
  <c r="F204" i="63"/>
  <c r="N204" i="63" s="1"/>
  <c r="H410" i="63"/>
  <c r="E514" i="63"/>
  <c r="G514" i="63" s="1"/>
  <c r="E519" i="63"/>
  <c r="E583" i="63"/>
  <c r="H257" i="63"/>
  <c r="H154" i="63"/>
  <c r="F401" i="63"/>
  <c r="N401" i="63" s="1"/>
  <c r="E509" i="63"/>
  <c r="E667" i="63"/>
  <c r="G667" i="63" s="1"/>
  <c r="H594" i="63"/>
  <c r="E472" i="63"/>
  <c r="E267" i="63"/>
  <c r="E469" i="63"/>
  <c r="F193" i="63"/>
  <c r="N193" i="63" s="1"/>
  <c r="F393" i="63"/>
  <c r="N393" i="63" s="1"/>
  <c r="F447" i="63"/>
  <c r="N447" i="63" s="1"/>
  <c r="E493" i="63"/>
  <c r="F229" i="63"/>
  <c r="N229" i="63" s="1"/>
  <c r="H219" i="63"/>
  <c r="E72" i="63"/>
  <c r="H70" i="63"/>
  <c r="E423" i="63"/>
  <c r="H340" i="63"/>
  <c r="H73" i="63"/>
  <c r="E331" i="63"/>
  <c r="F488" i="63"/>
  <c r="N488" i="63" s="1"/>
  <c r="F253" i="63"/>
  <c r="N253" i="63" s="1"/>
  <c r="H532" i="63"/>
  <c r="F663" i="63"/>
  <c r="N663" i="63" s="1"/>
  <c r="E394" i="63"/>
  <c r="E506" i="63"/>
  <c r="F307" i="63"/>
  <c r="N307" i="63" s="1"/>
  <c r="H644" i="63"/>
  <c r="E199" i="63"/>
  <c r="E328" i="63"/>
  <c r="H502" i="63"/>
  <c r="F86" i="63"/>
  <c r="N86" i="63" s="1"/>
  <c r="E141" i="63"/>
  <c r="H264" i="63"/>
  <c r="F149" i="63"/>
  <c r="N149" i="63" s="1"/>
  <c r="F343" i="63"/>
  <c r="N343" i="63" s="1"/>
  <c r="F243" i="63"/>
  <c r="N243" i="63" s="1"/>
  <c r="E459" i="63"/>
  <c r="E100" i="63"/>
  <c r="E581" i="63"/>
  <c r="E259" i="63"/>
  <c r="H494" i="63"/>
  <c r="E559" i="63"/>
  <c r="E532" i="63"/>
  <c r="H458" i="63"/>
  <c r="F311" i="63"/>
  <c r="N311" i="63" s="1"/>
  <c r="E291" i="63"/>
  <c r="F231" i="63"/>
  <c r="N231" i="63" s="1"/>
  <c r="E155" i="63"/>
  <c r="F574" i="63"/>
  <c r="N574" i="63" s="1"/>
  <c r="H575" i="63"/>
  <c r="H635" i="63"/>
  <c r="E151" i="63"/>
  <c r="H185" i="63"/>
  <c r="E407" i="63"/>
  <c r="H251" i="63"/>
  <c r="H376" i="63"/>
  <c r="H261" i="63"/>
  <c r="F417" i="63"/>
  <c r="N417" i="63" s="1"/>
  <c r="E627" i="63"/>
  <c r="F446" i="63"/>
  <c r="N446" i="63" s="1"/>
  <c r="F220" i="63"/>
  <c r="N220" i="63" s="1"/>
  <c r="H246" i="63"/>
  <c r="F659" i="63"/>
  <c r="N659" i="63" s="1"/>
  <c r="F484" i="63"/>
  <c r="N484" i="63" s="1"/>
  <c r="E343" i="63"/>
  <c r="H253" i="63"/>
  <c r="F600" i="63"/>
  <c r="N600" i="63" s="1"/>
  <c r="H353" i="63"/>
  <c r="F375" i="63"/>
  <c r="N375" i="63" s="1"/>
  <c r="E548" i="63"/>
  <c r="H457" i="63"/>
  <c r="F261" i="63"/>
  <c r="N261" i="63" s="1"/>
  <c r="E382" i="63"/>
  <c r="E601" i="63"/>
  <c r="F472" i="63"/>
  <c r="N472" i="63" s="1"/>
  <c r="E169" i="63"/>
  <c r="F280" i="63"/>
  <c r="N280" i="63" s="1"/>
  <c r="E602" i="63"/>
  <c r="H278" i="63"/>
  <c r="E388" i="63"/>
  <c r="F351" i="63"/>
  <c r="N351" i="63" s="1"/>
  <c r="F529" i="63"/>
  <c r="N529" i="63" s="1"/>
  <c r="F486" i="63"/>
  <c r="N486" i="63" s="1"/>
  <c r="H671" i="63"/>
  <c r="E381" i="63"/>
  <c r="H222" i="63"/>
  <c r="H351" i="63"/>
  <c r="E62" i="63"/>
  <c r="E273" i="63"/>
  <c r="E93" i="63"/>
  <c r="E73" i="63"/>
  <c r="F87" i="63"/>
  <c r="N87" i="63" s="1"/>
  <c r="H669" i="63"/>
  <c r="H240" i="63"/>
  <c r="H243" i="63"/>
  <c r="F105" i="63"/>
  <c r="N105" i="63" s="1"/>
  <c r="H306" i="63"/>
  <c r="F407" i="63"/>
  <c r="N407" i="63" s="1"/>
  <c r="F498" i="63"/>
  <c r="N498" i="63" s="1"/>
  <c r="E184" i="63"/>
  <c r="H325" i="63"/>
  <c r="F429" i="63"/>
  <c r="N429" i="63" s="1"/>
  <c r="H131" i="63"/>
  <c r="E298" i="63"/>
  <c r="H103" i="63"/>
  <c r="H271" i="63"/>
  <c r="F332" i="63"/>
  <c r="N332" i="63" s="1"/>
  <c r="E672" i="63"/>
  <c r="F187" i="63"/>
  <c r="N187" i="63" s="1"/>
  <c r="H630" i="63"/>
  <c r="E481" i="63"/>
  <c r="H388" i="63"/>
  <c r="E150" i="63"/>
  <c r="G150" i="63" s="1"/>
  <c r="E609" i="63"/>
  <c r="F221" i="63"/>
  <c r="N221" i="63" s="1"/>
  <c r="F336" i="63"/>
  <c r="N336" i="63" s="1"/>
  <c r="H357" i="63"/>
  <c r="E60" i="63"/>
  <c r="F196" i="63"/>
  <c r="N196" i="63" s="1"/>
  <c r="H300" i="63"/>
  <c r="H608" i="63"/>
  <c r="F590" i="63"/>
  <c r="N590" i="63" s="1"/>
  <c r="F573" i="63"/>
  <c r="N573" i="63" s="1"/>
  <c r="H615" i="63"/>
  <c r="F180" i="63"/>
  <c r="N180" i="63" s="1"/>
  <c r="F64" i="63"/>
  <c r="N64" i="63" s="1"/>
  <c r="E480" i="63"/>
  <c r="F652" i="63"/>
  <c r="N652" i="63" s="1"/>
  <c r="E277" i="63"/>
  <c r="H164" i="63"/>
  <c r="H389" i="63"/>
  <c r="H214" i="63"/>
  <c r="F338" i="63"/>
  <c r="N338" i="63" s="1"/>
  <c r="E90" i="63"/>
  <c r="H579" i="63"/>
  <c r="F674" i="63"/>
  <c r="N674" i="63" s="1"/>
  <c r="H663" i="63"/>
  <c r="E465" i="63"/>
  <c r="E212" i="63"/>
  <c r="H125" i="63"/>
  <c r="H142" i="63"/>
  <c r="E214" i="63"/>
  <c r="H588" i="63"/>
  <c r="F522" i="63"/>
  <c r="N522" i="63" s="1"/>
  <c r="F420" i="63"/>
  <c r="N420" i="63" s="1"/>
  <c r="F651" i="63"/>
  <c r="N651" i="63" s="1"/>
  <c r="H233" i="63"/>
  <c r="F378" i="63"/>
  <c r="N378" i="63" s="1"/>
  <c r="F650" i="63"/>
  <c r="N650" i="63" s="1"/>
  <c r="E454" i="63"/>
  <c r="H247" i="63"/>
  <c r="H346" i="63"/>
  <c r="F381" i="63"/>
  <c r="N381" i="63" s="1"/>
  <c r="E430" i="63"/>
  <c r="E531" i="63"/>
  <c r="F523" i="63"/>
  <c r="N523" i="63" s="1"/>
  <c r="F276" i="63"/>
  <c r="N276" i="63" s="1"/>
  <c r="E584" i="63"/>
  <c r="H393" i="63"/>
  <c r="F545" i="63"/>
  <c r="N545" i="63" s="1"/>
  <c r="F482" i="63"/>
  <c r="N482" i="63" s="1"/>
  <c r="F223" i="63"/>
  <c r="N223" i="63" s="1"/>
  <c r="F416" i="63"/>
  <c r="N416" i="63" s="1"/>
  <c r="H632" i="63"/>
  <c r="F606" i="63"/>
  <c r="N606" i="63" s="1"/>
  <c r="F93" i="63"/>
  <c r="N93" i="63" s="1"/>
  <c r="F456" i="63"/>
  <c r="N456" i="63" s="1"/>
  <c r="H312" i="63"/>
  <c r="F470" i="63"/>
  <c r="N470" i="63" s="1"/>
  <c r="F421" i="63"/>
  <c r="N421" i="63" s="1"/>
  <c r="H216" i="63"/>
  <c r="F382" i="63"/>
  <c r="N382" i="63" s="1"/>
  <c r="E152" i="63"/>
  <c r="E637" i="63"/>
  <c r="F633" i="63"/>
  <c r="N633" i="63" s="1"/>
  <c r="H602" i="63"/>
  <c r="F360" i="63"/>
  <c r="N360" i="63" s="1"/>
  <c r="H58" i="63"/>
  <c r="H548" i="63"/>
  <c r="E404" i="63"/>
  <c r="E616" i="63"/>
  <c r="H210" i="63"/>
  <c r="F111" i="63"/>
  <c r="N111" i="63" s="1"/>
  <c r="E558" i="63"/>
  <c r="E92" i="63"/>
  <c r="H409" i="63"/>
  <c r="F241" i="63"/>
  <c r="N241" i="63" s="1"/>
  <c r="E619" i="63"/>
  <c r="H381" i="63"/>
  <c r="H382" i="63"/>
  <c r="E301" i="63"/>
  <c r="F385" i="63"/>
  <c r="N385" i="63" s="1"/>
  <c r="E324" i="63"/>
  <c r="E420" i="63"/>
  <c r="E569" i="63"/>
  <c r="E554" i="63"/>
  <c r="E518" i="63"/>
  <c r="H371" i="63"/>
  <c r="E91" i="63"/>
  <c r="H604" i="63"/>
  <c r="F425" i="63"/>
  <c r="N425" i="63" s="1"/>
  <c r="E421" i="63"/>
  <c r="F533" i="63"/>
  <c r="N533" i="63" s="1"/>
  <c r="H272" i="63"/>
  <c r="F505" i="63"/>
  <c r="N505" i="63" s="1"/>
  <c r="F510" i="63"/>
  <c r="N510" i="63" s="1"/>
  <c r="H202" i="63"/>
  <c r="F235" i="63"/>
  <c r="N235" i="63" s="1"/>
  <c r="E397" i="63"/>
  <c r="H215" i="63"/>
  <c r="H466" i="63"/>
  <c r="H64" i="63"/>
  <c r="E427" i="63"/>
  <c r="F88" i="63"/>
  <c r="N88" i="63" s="1"/>
  <c r="H85" i="63"/>
  <c r="H529" i="63"/>
  <c r="H336" i="63"/>
  <c r="F530" i="63"/>
  <c r="N530" i="63" s="1"/>
  <c r="H116" i="63"/>
  <c r="E647" i="63"/>
  <c r="F506" i="63"/>
  <c r="N506" i="63" s="1"/>
  <c r="H544" i="63"/>
  <c r="H198" i="63"/>
  <c r="E538" i="63"/>
  <c r="H530" i="63"/>
  <c r="F560" i="63"/>
  <c r="N560" i="63" s="1"/>
  <c r="E263" i="63"/>
  <c r="H370" i="63"/>
  <c r="H524" i="63"/>
  <c r="F198" i="63"/>
  <c r="N198" i="63" s="1"/>
  <c r="F50" i="63"/>
  <c r="N50" i="63" s="1"/>
  <c r="E162" i="63"/>
  <c r="E237" i="63"/>
  <c r="F582" i="63"/>
  <c r="N582" i="63" s="1"/>
  <c r="E661" i="63"/>
  <c r="E463" i="63"/>
  <c r="H483" i="63"/>
  <c r="F341" i="63"/>
  <c r="N341" i="63" s="1"/>
  <c r="E594" i="63"/>
  <c r="F51" i="63"/>
  <c r="N51" i="63" s="1"/>
  <c r="F271" i="63"/>
  <c r="N271" i="63" s="1"/>
  <c r="H98" i="63"/>
  <c r="F637" i="63"/>
  <c r="N637" i="63" s="1"/>
  <c r="F269" i="63"/>
  <c r="N269" i="63" s="1"/>
  <c r="E563" i="63"/>
  <c r="H67" i="63"/>
  <c r="H397" i="63"/>
  <c r="F394" i="63"/>
  <c r="N394" i="63" s="1"/>
  <c r="F649" i="63"/>
  <c r="N649" i="63" s="1"/>
  <c r="H590" i="63"/>
  <c r="F225" i="63"/>
  <c r="N225" i="63" s="1"/>
  <c r="F369" i="63"/>
  <c r="N369" i="63" s="1"/>
  <c r="H361" i="63"/>
  <c r="E500" i="63"/>
  <c r="E440" i="63"/>
  <c r="E125" i="63"/>
  <c r="E642" i="63"/>
  <c r="H132" i="63"/>
  <c r="F549" i="63"/>
  <c r="N549" i="63" s="1"/>
  <c r="F451" i="63"/>
  <c r="N451" i="63" s="1"/>
  <c r="E138" i="63"/>
  <c r="E346" i="63"/>
  <c r="E470" i="63"/>
  <c r="H437" i="63"/>
  <c r="F77" i="63"/>
  <c r="N77" i="63" s="1"/>
  <c r="E608" i="63"/>
  <c r="F513" i="63"/>
  <c r="N513" i="63" s="1"/>
  <c r="H101" i="63"/>
  <c r="H367" i="63"/>
  <c r="E120" i="63"/>
  <c r="E628" i="63"/>
  <c r="H286" i="63"/>
  <c r="H425" i="63"/>
  <c r="F143" i="63"/>
  <c r="N143" i="63" s="1"/>
  <c r="H133" i="63"/>
  <c r="H515" i="63"/>
  <c r="E257" i="63"/>
  <c r="E533" i="63"/>
  <c r="F671" i="63"/>
  <c r="N671" i="63" s="1"/>
  <c r="F553" i="63"/>
  <c r="N553" i="63" s="1"/>
  <c r="F95" i="63"/>
  <c r="N95" i="63" s="1"/>
  <c r="F69" i="63"/>
  <c r="N69" i="63" s="1"/>
  <c r="F206" i="63"/>
  <c r="N206" i="63" s="1"/>
  <c r="E113" i="63"/>
  <c r="E84" i="63"/>
  <c r="E146" i="63"/>
  <c r="E614" i="63"/>
  <c r="F152" i="63"/>
  <c r="N152" i="63" s="1"/>
  <c r="E487" i="63"/>
  <c r="E305" i="63"/>
  <c r="F668" i="63"/>
  <c r="N668" i="63" s="1"/>
  <c r="H65" i="63"/>
  <c r="E629" i="63"/>
  <c r="E235" i="63"/>
  <c r="H566" i="63"/>
  <c r="F173" i="63"/>
  <c r="N173" i="63" s="1"/>
  <c r="H172" i="63"/>
  <c r="H208" i="63"/>
  <c r="H237" i="63"/>
  <c r="E634" i="63"/>
  <c r="H408" i="63"/>
  <c r="E372" i="63"/>
  <c r="H252" i="63"/>
  <c r="F487" i="63"/>
  <c r="N487" i="63" s="1"/>
  <c r="E357" i="63"/>
  <c r="H618" i="63"/>
  <c r="F106" i="63"/>
  <c r="N106" i="63" s="1"/>
  <c r="H324" i="63"/>
  <c r="H362" i="63"/>
  <c r="H52" i="63"/>
  <c r="H260" i="63"/>
  <c r="E649" i="63"/>
  <c r="E136" i="63"/>
  <c r="H107" i="63"/>
  <c r="H675" i="63"/>
  <c r="E345" i="63"/>
  <c r="F72" i="63"/>
  <c r="N72" i="63" s="1"/>
  <c r="F372" i="63"/>
  <c r="N372" i="63" s="1"/>
  <c r="H179" i="63"/>
  <c r="F202" i="63"/>
  <c r="N202" i="63" s="1"/>
  <c r="H416" i="63"/>
  <c r="E364" i="63"/>
  <c r="G364" i="63" s="1"/>
  <c r="H392" i="63"/>
  <c r="H448" i="63"/>
  <c r="H231" i="63"/>
  <c r="H82" i="63"/>
  <c r="F512" i="63"/>
  <c r="N512" i="63" s="1"/>
  <c r="F59" i="63"/>
  <c r="N59" i="63" s="1"/>
  <c r="E505" i="63"/>
  <c r="H456" i="63"/>
  <c r="E288" i="63"/>
  <c r="E494" i="63"/>
  <c r="H188" i="63"/>
  <c r="F155" i="63"/>
  <c r="N155" i="63" s="1"/>
  <c r="H423" i="63"/>
  <c r="F191" i="63"/>
  <c r="N191" i="63" s="1"/>
  <c r="F284" i="63"/>
  <c r="N284" i="63" s="1"/>
  <c r="E674" i="63"/>
  <c r="E400" i="63"/>
  <c r="E218" i="63"/>
  <c r="F320" i="63"/>
  <c r="N320" i="63" s="1"/>
  <c r="F326" i="63"/>
  <c r="N326" i="63" s="1"/>
  <c r="F334" i="63"/>
  <c r="N334" i="63" s="1"/>
  <c r="F422" i="63"/>
  <c r="N422" i="63" s="1"/>
  <c r="H333" i="63"/>
  <c r="E75" i="63"/>
  <c r="H649" i="63"/>
  <c r="E313" i="63"/>
  <c r="F577" i="63"/>
  <c r="N577" i="63" s="1"/>
  <c r="E496" i="63"/>
  <c r="G496" i="63" s="1"/>
  <c r="F78" i="63"/>
  <c r="N78" i="63" s="1"/>
  <c r="H626" i="63"/>
  <c r="H135" i="63"/>
  <c r="F496" i="63"/>
  <c r="N496" i="63" s="1"/>
  <c r="H634" i="63"/>
  <c r="H586" i="63"/>
  <c r="E620" i="63"/>
  <c r="H205" i="63"/>
  <c r="E290" i="63"/>
  <c r="H480" i="63"/>
  <c r="H498" i="63"/>
  <c r="F290" i="63"/>
  <c r="N290" i="63" s="1"/>
  <c r="E429" i="63"/>
  <c r="H476" i="63"/>
  <c r="F630" i="63"/>
  <c r="N630" i="63" s="1"/>
  <c r="E625" i="63"/>
  <c r="H444" i="63"/>
  <c r="E285" i="63"/>
  <c r="E187" i="63"/>
  <c r="H461" i="63"/>
  <c r="F542" i="63"/>
  <c r="N542" i="63" s="1"/>
  <c r="E670" i="63"/>
  <c r="F638" i="63"/>
  <c r="N638" i="63" s="1"/>
  <c r="E306" i="63"/>
  <c r="H227" i="63"/>
  <c r="H61" i="63"/>
  <c r="F153" i="63"/>
  <c r="N153" i="63" s="1"/>
  <c r="F388" i="63"/>
  <c r="N388" i="63" s="1"/>
  <c r="F423" i="63"/>
  <c r="N423" i="63" s="1"/>
  <c r="E385" i="63"/>
  <c r="H633" i="63"/>
  <c r="F270" i="63"/>
  <c r="N270" i="63" s="1"/>
  <c r="F601" i="63"/>
  <c r="N601" i="63" s="1"/>
  <c r="H111" i="63"/>
  <c r="E529" i="63"/>
  <c r="H405" i="63"/>
  <c r="H582" i="63"/>
  <c r="F192" i="63"/>
  <c r="N192" i="63" s="1"/>
  <c r="E163" i="63"/>
  <c r="F443" i="63"/>
  <c r="N443" i="63" s="1"/>
  <c r="F156" i="63"/>
  <c r="N156" i="63" s="1"/>
  <c r="E140" i="63"/>
  <c r="H338" i="63"/>
  <c r="F676" i="63"/>
  <c r="N676" i="63" s="1"/>
  <c r="F309" i="63"/>
  <c r="N309" i="63" s="1"/>
  <c r="F485" i="63"/>
  <c r="N485" i="63" s="1"/>
  <c r="E542" i="63"/>
  <c r="G542" i="63" s="1"/>
  <c r="F164" i="63"/>
  <c r="N164" i="63" s="1"/>
  <c r="E600" i="63"/>
  <c r="F409" i="63"/>
  <c r="N409" i="63" s="1"/>
  <c r="F177" i="63"/>
  <c r="N177" i="63" s="1"/>
  <c r="E157" i="63"/>
  <c r="H484" i="63"/>
  <c r="F534" i="63"/>
  <c r="N534" i="63" s="1"/>
  <c r="H477" i="63"/>
  <c r="H660" i="63"/>
  <c r="E666" i="63"/>
  <c r="E312" i="63"/>
  <c r="H323" i="63"/>
  <c r="H263" i="63"/>
  <c r="E403" i="63"/>
  <c r="F624" i="63"/>
  <c r="N624" i="63" s="1"/>
  <c r="E536" i="63"/>
  <c r="E246" i="63"/>
  <c r="H574" i="63"/>
  <c r="E567" i="63"/>
  <c r="E474" i="63"/>
  <c r="H93" i="63"/>
  <c r="F640" i="63"/>
  <c r="N640" i="63" s="1"/>
  <c r="E144" i="63"/>
  <c r="F260" i="63"/>
  <c r="N260" i="63" s="1"/>
  <c r="H84" i="63"/>
  <c r="H413" i="63"/>
  <c r="F182" i="63"/>
  <c r="N182" i="63" s="1"/>
  <c r="H292" i="63"/>
  <c r="E631" i="63"/>
  <c r="H624" i="63"/>
  <c r="E232" i="63"/>
  <c r="E490" i="63"/>
  <c r="E253" i="63"/>
  <c r="F415" i="63"/>
  <c r="N415" i="63" s="1"/>
  <c r="F302" i="63"/>
  <c r="N302" i="63" s="1"/>
  <c r="H71" i="63"/>
  <c r="F136" i="63"/>
  <c r="N136" i="63" s="1"/>
  <c r="F135" i="63"/>
  <c r="N135" i="63" s="1"/>
  <c r="F97" i="63"/>
  <c r="N97" i="63" s="1"/>
  <c r="H611" i="63"/>
  <c r="H375" i="63"/>
  <c r="E339" i="63"/>
  <c r="E618" i="63"/>
  <c r="E452" i="63"/>
  <c r="H277" i="63"/>
  <c r="H492" i="63"/>
  <c r="F82" i="63"/>
  <c r="N82" i="63" s="1"/>
  <c r="F631" i="63"/>
  <c r="N631" i="63" s="1"/>
  <c r="F141" i="63"/>
  <c r="N141" i="63" s="1"/>
  <c r="E662" i="63"/>
  <c r="E450" i="63"/>
  <c r="E571" i="63"/>
  <c r="H303" i="63"/>
  <c r="H129" i="63"/>
  <c r="F500" i="63"/>
  <c r="N500" i="63" s="1"/>
  <c r="E447" i="63"/>
  <c r="F480" i="63"/>
  <c r="N480" i="63" s="1"/>
  <c r="E604" i="63"/>
  <c r="E621" i="63"/>
  <c r="F245" i="63"/>
  <c r="N245" i="63" s="1"/>
  <c r="F304" i="63"/>
  <c r="N304" i="63" s="1"/>
  <c r="E266" i="63"/>
  <c r="F543" i="63"/>
  <c r="N543" i="63" s="1"/>
  <c r="F439" i="63"/>
  <c r="N439" i="63" s="1"/>
  <c r="F328" i="63"/>
  <c r="N328" i="63" s="1"/>
  <c r="F353" i="63"/>
  <c r="N353" i="63" s="1"/>
  <c r="H442" i="63"/>
  <c r="H435" i="63"/>
  <c r="H140" i="63"/>
  <c r="H595" i="63"/>
  <c r="E598" i="63"/>
  <c r="E226" i="63"/>
  <c r="E541" i="63"/>
  <c r="H217" i="63"/>
  <c r="E610" i="63"/>
  <c r="H100" i="63"/>
  <c r="F368" i="63"/>
  <c r="N368" i="63" s="1"/>
  <c r="F58" i="63"/>
  <c r="N58" i="63" s="1"/>
  <c r="F285" i="63"/>
  <c r="N285" i="63" s="1"/>
  <c r="H599" i="63"/>
  <c r="F151" i="63"/>
  <c r="N151" i="63" s="1"/>
  <c r="H368" i="63"/>
  <c r="H117" i="63"/>
  <c r="F322" i="63"/>
  <c r="N322" i="63" s="1"/>
  <c r="H543" i="63"/>
  <c r="F364" i="63"/>
  <c r="N364" i="63" s="1"/>
  <c r="F264" i="63"/>
  <c r="N264" i="63" s="1"/>
  <c r="F669" i="63"/>
  <c r="N669" i="63" s="1"/>
  <c r="E276" i="63"/>
  <c r="F483" i="63"/>
  <c r="N483" i="63" s="1"/>
  <c r="H398" i="63"/>
  <c r="E413" i="63"/>
  <c r="E106" i="63"/>
  <c r="H473" i="63"/>
  <c r="E153" i="63"/>
  <c r="F333" i="63"/>
  <c r="N333" i="63" s="1"/>
  <c r="H395" i="63"/>
  <c r="H517" i="63"/>
  <c r="F362" i="63"/>
  <c r="N362" i="63" s="1"/>
  <c r="E338" i="63"/>
  <c r="H503" i="63"/>
  <c r="E561" i="63"/>
  <c r="F56" i="63"/>
  <c r="N56" i="63" s="1"/>
  <c r="E543" i="63"/>
  <c r="F228" i="63"/>
  <c r="N228" i="63" s="1"/>
  <c r="H183" i="63"/>
  <c r="H89" i="63"/>
  <c r="E607" i="63"/>
  <c r="E664" i="63"/>
  <c r="H90" i="63"/>
  <c r="H659" i="63"/>
  <c r="F318" i="63"/>
  <c r="N318" i="63" s="1"/>
  <c r="F406" i="63"/>
  <c r="N406" i="63" s="1"/>
  <c r="F479" i="63"/>
  <c r="N479" i="63" s="1"/>
  <c r="H475" i="63"/>
  <c r="H119" i="63"/>
  <c r="F557" i="63"/>
  <c r="N557" i="63" s="1"/>
  <c r="F614" i="63"/>
  <c r="N614" i="63" s="1"/>
  <c r="F279" i="63"/>
  <c r="N279" i="63" s="1"/>
  <c r="F74" i="63"/>
  <c r="N74" i="63" s="1"/>
  <c r="F102" i="63"/>
  <c r="N102" i="63" s="1"/>
  <c r="E203" i="63"/>
  <c r="H63" i="63"/>
  <c r="F293" i="63"/>
  <c r="N293" i="63" s="1"/>
  <c r="E344" i="63"/>
  <c r="F449" i="63"/>
  <c r="N449" i="63" s="1"/>
  <c r="E386" i="63"/>
  <c r="H394" i="63"/>
  <c r="F544" i="63"/>
  <c r="N544" i="63" s="1"/>
  <c r="F170" i="63"/>
  <c r="N170" i="63" s="1"/>
  <c r="H645" i="63"/>
  <c r="F589" i="63"/>
  <c r="N589" i="63" s="1"/>
  <c r="F265" i="63"/>
  <c r="N265" i="63" s="1"/>
  <c r="H447" i="63"/>
  <c r="H195" i="63"/>
  <c r="F70" i="63"/>
  <c r="N70" i="63" s="1"/>
  <c r="F347" i="63"/>
  <c r="N347" i="63" s="1"/>
  <c r="F158" i="63"/>
  <c r="N158" i="63" s="1"/>
  <c r="G212" i="63" l="1"/>
  <c r="R212" i="63" s="1"/>
  <c r="G139" i="63"/>
  <c r="R139" i="63" s="1"/>
  <c r="G577" i="63"/>
  <c r="M577" i="63" s="1"/>
  <c r="P577" i="63" s="1"/>
  <c r="G446" i="63"/>
  <c r="M446" i="63" s="1"/>
  <c r="P446" i="63" s="1"/>
  <c r="G316" i="63"/>
  <c r="R316" i="63" s="1"/>
  <c r="G555" i="63"/>
  <c r="M555" i="63" s="1"/>
  <c r="P555" i="63" s="1"/>
  <c r="G610" i="63"/>
  <c r="R610" i="63" s="1"/>
  <c r="G616" i="63"/>
  <c r="M616" i="63" s="1"/>
  <c r="P616" i="63" s="1"/>
  <c r="G413" i="63"/>
  <c r="M413" i="63" s="1"/>
  <c r="P413" i="63" s="1"/>
  <c r="G385" i="63"/>
  <c r="M385" i="63" s="1"/>
  <c r="P385" i="63" s="1"/>
  <c r="G431" i="63"/>
  <c r="R431" i="63" s="1"/>
  <c r="G462" i="63"/>
  <c r="M462" i="63" s="1"/>
  <c r="P462" i="63" s="1"/>
  <c r="G584" i="63"/>
  <c r="M584" i="63" s="1"/>
  <c r="P584" i="63" s="1"/>
  <c r="G226" i="63"/>
  <c r="R226" i="63" s="1"/>
  <c r="G463" i="63"/>
  <c r="M463" i="63" s="1"/>
  <c r="G404" i="63"/>
  <c r="M404" i="63" s="1"/>
  <c r="P404" i="63" s="1"/>
  <c r="G194" i="63"/>
  <c r="R194" i="63" s="1"/>
  <c r="G434" i="63"/>
  <c r="R434" i="63" s="1"/>
  <c r="G331" i="63"/>
  <c r="R331" i="63" s="1"/>
  <c r="G453" i="63"/>
  <c r="R453" i="63" s="1"/>
  <c r="G420" i="63"/>
  <c r="M420" i="63" s="1"/>
  <c r="P420" i="63" s="1"/>
  <c r="G72" i="63"/>
  <c r="M72" i="63" s="1"/>
  <c r="P72" i="63" s="1"/>
  <c r="G486" i="63"/>
  <c r="R486" i="63" s="1"/>
  <c r="G161" i="63"/>
  <c r="R161" i="63" s="1"/>
  <c r="G110" i="63"/>
  <c r="M110" i="63" s="1"/>
  <c r="P110" i="63" s="1"/>
  <c r="G191" i="63"/>
  <c r="M191" i="63" s="1"/>
  <c r="P191" i="63" s="1"/>
  <c r="G312" i="63"/>
  <c r="M312" i="63" s="1"/>
  <c r="G551" i="63"/>
  <c r="R551" i="63" s="1"/>
  <c r="H424" i="63"/>
  <c r="G424" i="63" s="1"/>
  <c r="M424" i="63" s="1"/>
  <c r="P424" i="63" s="1"/>
  <c r="H601" i="63"/>
  <c r="G601" i="63" s="1"/>
  <c r="R601" i="63" s="1"/>
  <c r="F396" i="63"/>
  <c r="N396" i="63" s="1"/>
  <c r="F55" i="63"/>
  <c r="N55" i="63" s="1"/>
  <c r="F292" i="63"/>
  <c r="N292" i="63" s="1"/>
  <c r="E94" i="63"/>
  <c r="G94" i="63" s="1"/>
  <c r="E255" i="63"/>
  <c r="G255" i="63" s="1"/>
  <c r="F335" i="63"/>
  <c r="N335" i="63" s="1"/>
  <c r="E133" i="63"/>
  <c r="G133" i="63" s="1"/>
  <c r="F242" i="63"/>
  <c r="N242" i="63" s="1"/>
  <c r="F283" i="63"/>
  <c r="N283" i="63" s="1"/>
  <c r="F330" i="63"/>
  <c r="N330" i="63" s="1"/>
  <c r="H126" i="63"/>
  <c r="G126" i="63" s="1"/>
  <c r="E209" i="63"/>
  <c r="G209" i="63" s="1"/>
  <c r="H493" i="63"/>
  <c r="G493" i="63" s="1"/>
  <c r="M493" i="63" s="1"/>
  <c r="P493" i="63" s="1"/>
  <c r="H449" i="63"/>
  <c r="G449" i="63" s="1"/>
  <c r="H281" i="63"/>
  <c r="F412" i="63"/>
  <c r="N412" i="63" s="1"/>
  <c r="H168" i="63"/>
  <c r="G168" i="63" s="1"/>
  <c r="M168" i="63" s="1"/>
  <c r="P168" i="63" s="1"/>
  <c r="F627" i="63"/>
  <c r="N627" i="63" s="1"/>
  <c r="E651" i="63"/>
  <c r="G651" i="63" s="1"/>
  <c r="R651" i="63" s="1"/>
  <c r="F183" i="63"/>
  <c r="N183" i="63" s="1"/>
  <c r="E656" i="63"/>
  <c r="G656" i="63" s="1"/>
  <c r="E657" i="63"/>
  <c r="G657" i="63" s="1"/>
  <c r="E395" i="63"/>
  <c r="G395" i="63" s="1"/>
  <c r="E589" i="63"/>
  <c r="G589" i="63" s="1"/>
  <c r="H78" i="63"/>
  <c r="G78" i="63" s="1"/>
  <c r="R78" i="63" s="1"/>
  <c r="H54" i="63"/>
  <c r="G54" i="63" s="1"/>
  <c r="R54" i="63" s="1"/>
  <c r="H609" i="63"/>
  <c r="G609" i="63" s="1"/>
  <c r="R609" i="63" s="1"/>
  <c r="E221" i="63"/>
  <c r="G221" i="63" s="1"/>
  <c r="E311" i="63"/>
  <c r="G311" i="63" s="1"/>
  <c r="F463" i="63"/>
  <c r="N463" i="63" s="1"/>
  <c r="F252" i="63"/>
  <c r="N252" i="63" s="1"/>
  <c r="F350" i="63"/>
  <c r="N350" i="63" s="1"/>
  <c r="E258" i="63"/>
  <c r="G258" i="63" s="1"/>
  <c r="F586" i="63"/>
  <c r="N586" i="63" s="1"/>
  <c r="F277" i="63"/>
  <c r="N277" i="63" s="1"/>
  <c r="H623" i="63"/>
  <c r="G623" i="63" s="1"/>
  <c r="R623" i="63" s="1"/>
  <c r="F215" i="63"/>
  <c r="N215" i="63" s="1"/>
  <c r="F611" i="63"/>
  <c r="N611" i="63" s="1"/>
  <c r="H146" i="63"/>
  <c r="G146" i="63" s="1"/>
  <c r="R146" i="63" s="1"/>
  <c r="E112" i="63"/>
  <c r="G112" i="63" s="1"/>
  <c r="H350" i="63"/>
  <c r="G350" i="63" s="1"/>
  <c r="R350" i="63" s="1"/>
  <c r="E436" i="63"/>
  <c r="G436" i="63" s="1"/>
  <c r="H295" i="63"/>
  <c r="G295" i="63" s="1"/>
  <c r="M295" i="63" s="1"/>
  <c r="P295" i="63" s="1"/>
  <c r="H144" i="63"/>
  <c r="G144" i="63" s="1"/>
  <c r="M144" i="63" s="1"/>
  <c r="F288" i="63"/>
  <c r="N288" i="63" s="1"/>
  <c r="G568" i="63"/>
  <c r="R568" i="63" s="1"/>
  <c r="G445" i="63"/>
  <c r="M445" i="63" s="1"/>
  <c r="P445" i="63" s="1"/>
  <c r="E573" i="63"/>
  <c r="G573" i="63" s="1"/>
  <c r="F240" i="63"/>
  <c r="N240" i="63" s="1"/>
  <c r="E502" i="63"/>
  <c r="G502" i="63" s="1"/>
  <c r="E327" i="63"/>
  <c r="G327" i="63" s="1"/>
  <c r="E281" i="63"/>
  <c r="H186" i="63"/>
  <c r="G186" i="63" s="1"/>
  <c r="M186" i="63" s="1"/>
  <c r="P186" i="63" s="1"/>
  <c r="F303" i="63"/>
  <c r="N303" i="63" s="1"/>
  <c r="G605" i="63"/>
  <c r="M605" i="63" s="1"/>
  <c r="P605" i="63" s="1"/>
  <c r="G373" i="63"/>
  <c r="R373" i="63" s="1"/>
  <c r="G670" i="63"/>
  <c r="M670" i="63" s="1"/>
  <c r="P670" i="63" s="1"/>
  <c r="G309" i="63"/>
  <c r="R309" i="63" s="1"/>
  <c r="G438" i="63"/>
  <c r="R438" i="63" s="1"/>
  <c r="F537" i="63"/>
  <c r="N537" i="63" s="1"/>
  <c r="F331" i="63"/>
  <c r="N331" i="63" s="1"/>
  <c r="H441" i="63"/>
  <c r="G441" i="63" s="1"/>
  <c r="M441" i="63" s="1"/>
  <c r="P441" i="63" s="1"/>
  <c r="F465" i="63"/>
  <c r="N465" i="63" s="1"/>
  <c r="H545" i="63"/>
  <c r="G545" i="63" s="1"/>
  <c r="F494" i="63"/>
  <c r="N494" i="63" s="1"/>
  <c r="F144" i="63"/>
  <c r="N144" i="63" s="1"/>
  <c r="E296" i="63"/>
  <c r="G296" i="63" s="1"/>
  <c r="H491" i="63"/>
  <c r="G491" i="63" s="1"/>
  <c r="M491" i="63" s="1"/>
  <c r="P491" i="63" s="1"/>
  <c r="F580" i="63"/>
  <c r="N580" i="63" s="1"/>
  <c r="F647" i="63"/>
  <c r="N647" i="63" s="1"/>
  <c r="F636" i="63"/>
  <c r="N636" i="63" s="1"/>
  <c r="H571" i="63"/>
  <c r="G571" i="63" s="1"/>
  <c r="M571" i="63" s="1"/>
  <c r="P571" i="63" s="1"/>
  <c r="F327" i="63"/>
  <c r="N327" i="63" s="1"/>
  <c r="F455" i="63"/>
  <c r="N455" i="63" s="1"/>
  <c r="E399" i="63"/>
  <c r="G399" i="63" s="1"/>
  <c r="F373" i="63"/>
  <c r="N373" i="63" s="1"/>
  <c r="L10" i="67" s="1"/>
  <c r="L16" i="67" s="1"/>
  <c r="H308" i="63"/>
  <c r="G308" i="63" s="1"/>
  <c r="F673" i="63"/>
  <c r="N673" i="63" s="1"/>
  <c r="F112" i="63"/>
  <c r="N112" i="63" s="1"/>
  <c r="H439" i="63"/>
  <c r="G439" i="63" s="1"/>
  <c r="M439" i="63" s="1"/>
  <c r="P439" i="63" s="1"/>
  <c r="H583" i="63"/>
  <c r="G583" i="63" s="1"/>
  <c r="M583" i="63" s="1"/>
  <c r="P583" i="63" s="1"/>
  <c r="E56" i="63"/>
  <c r="G56" i="63" s="1"/>
  <c r="F602" i="63"/>
  <c r="N602" i="63" s="1"/>
  <c r="E131" i="63"/>
  <c r="G131" i="63" s="1"/>
  <c r="E402" i="63"/>
  <c r="G402" i="63" s="1"/>
  <c r="M402" i="63" s="1"/>
  <c r="P402" i="63" s="1"/>
  <c r="G288" i="63"/>
  <c r="R288" i="63" s="1"/>
  <c r="G421" i="63"/>
  <c r="R421" i="63" s="1"/>
  <c r="G291" i="63"/>
  <c r="R291" i="63" s="1"/>
  <c r="G344" i="63"/>
  <c r="M344" i="63" s="1"/>
  <c r="P344" i="63" s="1"/>
  <c r="G157" i="63"/>
  <c r="M157" i="63" s="1"/>
  <c r="P157" i="63" s="1"/>
  <c r="G235" i="63"/>
  <c r="M235" i="63" s="1"/>
  <c r="P235" i="63" s="1"/>
  <c r="G559" i="63"/>
  <c r="M559" i="63" s="1"/>
  <c r="P559" i="63" s="1"/>
  <c r="G128" i="63"/>
  <c r="M128" i="63" s="1"/>
  <c r="P128" i="63" s="1"/>
  <c r="G59" i="63"/>
  <c r="M59" i="63" s="1"/>
  <c r="P59" i="63" s="1"/>
  <c r="G556" i="63"/>
  <c r="M556" i="63" s="1"/>
  <c r="P556" i="63" s="1"/>
  <c r="G560" i="63"/>
  <c r="M560" i="63" s="1"/>
  <c r="P560" i="63" s="1"/>
  <c r="G604" i="63"/>
  <c r="R604" i="63" s="1"/>
  <c r="G629" i="63"/>
  <c r="M629" i="63" s="1"/>
  <c r="P629" i="63" s="1"/>
  <c r="G152" i="63"/>
  <c r="M152" i="63" s="1"/>
  <c r="P152" i="63" s="1"/>
  <c r="G472" i="63"/>
  <c r="R472" i="63" s="1"/>
  <c r="G162" i="63"/>
  <c r="R162" i="63" s="1"/>
  <c r="G374" i="63"/>
  <c r="R374" i="63" s="1"/>
  <c r="G60" i="63"/>
  <c r="R60" i="63" s="1"/>
  <c r="G313" i="63"/>
  <c r="R313" i="63" s="1"/>
  <c r="G120" i="63"/>
  <c r="M120" i="63" s="1"/>
  <c r="P120" i="63" s="1"/>
  <c r="G637" i="63"/>
  <c r="M637" i="63" s="1"/>
  <c r="P637" i="63" s="1"/>
  <c r="G672" i="63"/>
  <c r="R672" i="63" s="1"/>
  <c r="G267" i="63"/>
  <c r="M267" i="63" s="1"/>
  <c r="P267" i="63" s="1"/>
  <c r="G580" i="63"/>
  <c r="M580" i="63" s="1"/>
  <c r="G354" i="63"/>
  <c r="R354" i="63" s="1"/>
  <c r="G471" i="63"/>
  <c r="M471" i="63" s="1"/>
  <c r="P471" i="63" s="1"/>
  <c r="G666" i="63"/>
  <c r="M666" i="63" s="1"/>
  <c r="P666" i="63" s="1"/>
  <c r="G518" i="63"/>
  <c r="R518" i="63" s="1"/>
  <c r="G511" i="63"/>
  <c r="R511" i="63" s="1"/>
  <c r="G345" i="63"/>
  <c r="R345" i="63" s="1"/>
  <c r="G430" i="63"/>
  <c r="M430" i="63" s="1"/>
  <c r="P430" i="63" s="1"/>
  <c r="G151" i="63"/>
  <c r="M151" i="63" s="1"/>
  <c r="P151" i="63" s="1"/>
  <c r="G259" i="63"/>
  <c r="R259" i="63" s="1"/>
  <c r="G302" i="63"/>
  <c r="R302" i="63" s="1"/>
  <c r="G638" i="63"/>
  <c r="M638" i="63" s="1"/>
  <c r="P638" i="63" s="1"/>
  <c r="G160" i="63"/>
  <c r="R160" i="63" s="1"/>
  <c r="G158" i="63"/>
  <c r="M158" i="63" s="1"/>
  <c r="P158" i="63" s="1"/>
  <c r="G225" i="63"/>
  <c r="M225" i="63" s="1"/>
  <c r="P225" i="63" s="1"/>
  <c r="G664" i="63"/>
  <c r="R664" i="63" s="1"/>
  <c r="G298" i="63"/>
  <c r="M298" i="63" s="1"/>
  <c r="P298" i="63" s="1"/>
  <c r="G607" i="63"/>
  <c r="M607" i="63" s="1"/>
  <c r="P607" i="63" s="1"/>
  <c r="G628" i="63"/>
  <c r="R628" i="63" s="1"/>
  <c r="G459" i="63"/>
  <c r="M459" i="63" s="1"/>
  <c r="P459" i="63" s="1"/>
  <c r="G426" i="63"/>
  <c r="R426" i="63" s="1"/>
  <c r="G380" i="63"/>
  <c r="R380" i="63" s="1"/>
  <c r="G650" i="63"/>
  <c r="R650" i="63" s="1"/>
  <c r="G338" i="63"/>
  <c r="R338" i="63" s="1"/>
  <c r="G290" i="63"/>
  <c r="R290" i="63" s="1"/>
  <c r="G357" i="63"/>
  <c r="R357" i="63" s="1"/>
  <c r="G470" i="63"/>
  <c r="M470" i="63" s="1"/>
  <c r="P470" i="63" s="1"/>
  <c r="G642" i="63"/>
  <c r="R642" i="63" s="1"/>
  <c r="G563" i="63"/>
  <c r="M563" i="63" s="1"/>
  <c r="P563" i="63" s="1"/>
  <c r="G301" i="63"/>
  <c r="M301" i="63" s="1"/>
  <c r="P301" i="63" s="1"/>
  <c r="G273" i="63"/>
  <c r="R273" i="63" s="1"/>
  <c r="G343" i="63"/>
  <c r="R343" i="63" s="1"/>
  <c r="G627" i="63"/>
  <c r="R627" i="63" s="1"/>
  <c r="G328" i="63"/>
  <c r="R328" i="63" s="1"/>
  <c r="G435" i="63"/>
  <c r="M435" i="63" s="1"/>
  <c r="P435" i="63" s="1"/>
  <c r="G220" i="63"/>
  <c r="M220" i="63" s="1"/>
  <c r="P220" i="63" s="1"/>
  <c r="G412" i="63"/>
  <c r="R412" i="63" s="1"/>
  <c r="G264" i="63"/>
  <c r="M264" i="63" s="1"/>
  <c r="P264" i="63" s="1"/>
  <c r="G675" i="63"/>
  <c r="R675" i="63" s="1"/>
  <c r="G356" i="63"/>
  <c r="M356" i="63" s="1"/>
  <c r="G227" i="63"/>
  <c r="M227" i="63" s="1"/>
  <c r="G188" i="63"/>
  <c r="M188" i="63" s="1"/>
  <c r="P188" i="63" s="1"/>
  <c r="G668" i="63"/>
  <c r="R668" i="63" s="1"/>
  <c r="G74" i="63"/>
  <c r="R74" i="63" s="1"/>
  <c r="G512" i="63"/>
  <c r="M512" i="63" s="1"/>
  <c r="P512" i="63" s="1"/>
  <c r="G464" i="63"/>
  <c r="R464" i="63" s="1"/>
  <c r="G546" i="63"/>
  <c r="M546" i="63" s="1"/>
  <c r="P546" i="63" s="1"/>
  <c r="G262" i="63"/>
  <c r="M262" i="63" s="1"/>
  <c r="P262" i="63" s="1"/>
  <c r="G201" i="63"/>
  <c r="R201" i="63" s="1"/>
  <c r="G109" i="63"/>
  <c r="R109" i="63" s="1"/>
  <c r="G527" i="63"/>
  <c r="M527" i="63" s="1"/>
  <c r="P527" i="63" s="1"/>
  <c r="G163" i="63"/>
  <c r="M163" i="63" s="1"/>
  <c r="P163" i="63" s="1"/>
  <c r="G531" i="63"/>
  <c r="M531" i="63" s="1"/>
  <c r="P531" i="63" s="1"/>
  <c r="G427" i="63"/>
  <c r="R427" i="63" s="1"/>
  <c r="G386" i="63"/>
  <c r="M386" i="63" s="1"/>
  <c r="P386" i="63" s="1"/>
  <c r="G541" i="63"/>
  <c r="R541" i="63" s="1"/>
  <c r="G232" i="63"/>
  <c r="M232" i="63" s="1"/>
  <c r="P232" i="63" s="1"/>
  <c r="G567" i="63"/>
  <c r="R567" i="63" s="1"/>
  <c r="G285" i="63"/>
  <c r="M285" i="63" s="1"/>
  <c r="P285" i="63" s="1"/>
  <c r="G372" i="63"/>
  <c r="R372" i="63" s="1"/>
  <c r="G533" i="63"/>
  <c r="R533" i="63" s="1"/>
  <c r="G538" i="63"/>
  <c r="M538" i="63" s="1"/>
  <c r="G90" i="63"/>
  <c r="M90" i="63" s="1"/>
  <c r="P90" i="63" s="1"/>
  <c r="G141" i="63"/>
  <c r="M141" i="63" s="1"/>
  <c r="P141" i="63" s="1"/>
  <c r="G509" i="63"/>
  <c r="R509" i="63" s="1"/>
  <c r="G669" i="63"/>
  <c r="R669" i="63" s="1"/>
  <c r="G80" i="63"/>
  <c r="R80" i="63" s="1"/>
  <c r="G116" i="63"/>
  <c r="R116" i="63" s="1"/>
  <c r="G197" i="63"/>
  <c r="R197" i="63" s="1"/>
  <c r="G525" i="63"/>
  <c r="M525" i="63" s="1"/>
  <c r="P525" i="63" s="1"/>
  <c r="G406" i="63"/>
  <c r="R406" i="63" s="1"/>
  <c r="G334" i="63"/>
  <c r="R334" i="63" s="1"/>
  <c r="G508" i="63"/>
  <c r="R508" i="63" s="1"/>
  <c r="G540" i="63"/>
  <c r="M540" i="63" s="1"/>
  <c r="G390" i="63"/>
  <c r="R390" i="63" s="1"/>
  <c r="G416" i="63"/>
  <c r="R416" i="63" s="1"/>
  <c r="G365" i="63"/>
  <c r="M365" i="63" s="1"/>
  <c r="P365" i="63" s="1"/>
  <c r="G633" i="63"/>
  <c r="M633" i="63" s="1"/>
  <c r="P633" i="63" s="1"/>
  <c r="G384" i="63"/>
  <c r="R384" i="63" s="1"/>
  <c r="G55" i="63"/>
  <c r="R55" i="63" s="1"/>
  <c r="G318" i="63"/>
  <c r="M318" i="63" s="1"/>
  <c r="P318" i="63" s="1"/>
  <c r="G378" i="63"/>
  <c r="M378" i="63" s="1"/>
  <c r="P378" i="63" s="1"/>
  <c r="G644" i="63"/>
  <c r="M644" i="63" s="1"/>
  <c r="P644" i="63" s="1"/>
  <c r="G599" i="63"/>
  <c r="M599" i="63" s="1"/>
  <c r="P599" i="63" s="1"/>
  <c r="G501" i="63"/>
  <c r="M501" i="63" s="1"/>
  <c r="P501" i="63" s="1"/>
  <c r="G505" i="63"/>
  <c r="M505" i="63" s="1"/>
  <c r="P505" i="63" s="1"/>
  <c r="G224" i="63"/>
  <c r="R224" i="63" s="1"/>
  <c r="G339" i="63"/>
  <c r="R339" i="63" s="1"/>
  <c r="G529" i="63"/>
  <c r="R529" i="63" s="1"/>
  <c r="G91" i="63"/>
  <c r="M91" i="63" s="1"/>
  <c r="P91" i="63" s="1"/>
  <c r="G73" i="63"/>
  <c r="M73" i="63" s="1"/>
  <c r="P73" i="63" s="1"/>
  <c r="G648" i="63"/>
  <c r="M648" i="63" s="1"/>
  <c r="P648" i="63" s="1"/>
  <c r="G520" i="63"/>
  <c r="M520" i="63" s="1"/>
  <c r="P520" i="63" s="1"/>
  <c r="G504" i="63"/>
  <c r="R504" i="63" s="1"/>
  <c r="G254" i="63"/>
  <c r="R254" i="63" s="1"/>
  <c r="G213" i="63"/>
  <c r="R213" i="63" s="1"/>
  <c r="G510" i="63"/>
  <c r="M510" i="63" s="1"/>
  <c r="P510" i="63" s="1"/>
  <c r="G351" i="63"/>
  <c r="R351" i="63" s="1"/>
  <c r="G359" i="63"/>
  <c r="R359" i="63" s="1"/>
  <c r="G641" i="63"/>
  <c r="R641" i="63" s="1"/>
  <c r="G202" i="63"/>
  <c r="M202" i="63" s="1"/>
  <c r="P202" i="63" s="1"/>
  <c r="G539" i="63"/>
  <c r="M539" i="63" s="1"/>
  <c r="P539" i="63" s="1"/>
  <c r="G241" i="63"/>
  <c r="M241" i="63" s="1"/>
  <c r="P241" i="63" s="1"/>
  <c r="G349" i="63"/>
  <c r="R349" i="63" s="1"/>
  <c r="G217" i="63"/>
  <c r="R217" i="63" s="1"/>
  <c r="G234" i="63"/>
  <c r="R234" i="63" s="1"/>
  <c r="G233" i="63"/>
  <c r="R233" i="63" s="1"/>
  <c r="G425" i="63"/>
  <c r="M425" i="63" s="1"/>
  <c r="P425" i="63" s="1"/>
  <c r="G289" i="63"/>
  <c r="R289" i="63" s="1"/>
  <c r="G256" i="63"/>
  <c r="R256" i="63" s="1"/>
  <c r="G113" i="63"/>
  <c r="M113" i="63" s="1"/>
  <c r="P113" i="63" s="1"/>
  <c r="G388" i="63"/>
  <c r="M388" i="63" s="1"/>
  <c r="P388" i="63" s="1"/>
  <c r="G250" i="63"/>
  <c r="R250" i="63" s="1"/>
  <c r="G245" i="63"/>
  <c r="R245" i="63" s="1"/>
  <c r="G640" i="63"/>
  <c r="M640" i="63" s="1"/>
  <c r="P640" i="63" s="1"/>
  <c r="G159" i="63"/>
  <c r="R159" i="63" s="1"/>
  <c r="G561" i="63"/>
  <c r="R561" i="63" s="1"/>
  <c r="G487" i="63"/>
  <c r="M487" i="63" s="1"/>
  <c r="P487" i="63" s="1"/>
  <c r="G257" i="63"/>
  <c r="M257" i="63" s="1"/>
  <c r="P257" i="63" s="1"/>
  <c r="G661" i="63"/>
  <c r="M661" i="63" s="1"/>
  <c r="P661" i="63" s="1"/>
  <c r="G324" i="63"/>
  <c r="R324" i="63" s="1"/>
  <c r="G480" i="63"/>
  <c r="R480" i="63" s="1"/>
  <c r="G381" i="63"/>
  <c r="M381" i="63" s="1"/>
  <c r="P381" i="63" s="1"/>
  <c r="G382" i="63"/>
  <c r="R382" i="63" s="1"/>
  <c r="G532" i="63"/>
  <c r="R532" i="63" s="1"/>
  <c r="G506" i="63"/>
  <c r="M506" i="63" s="1"/>
  <c r="P506" i="63" s="1"/>
  <c r="G469" i="63"/>
  <c r="R469" i="63" s="1"/>
  <c r="G475" i="63"/>
  <c r="R475" i="63" s="1"/>
  <c r="G353" i="63"/>
  <c r="M353" i="63" s="1"/>
  <c r="P353" i="63" s="1"/>
  <c r="G497" i="63"/>
  <c r="R497" i="63" s="1"/>
  <c r="G482" i="63"/>
  <c r="R482" i="63" s="1"/>
  <c r="G297" i="63"/>
  <c r="M297" i="63" s="1"/>
  <c r="P297" i="63" s="1"/>
  <c r="G516" i="63"/>
  <c r="M516" i="63" s="1"/>
  <c r="P516" i="63" s="1"/>
  <c r="G142" i="63"/>
  <c r="R142" i="63" s="1"/>
  <c r="G362" i="63"/>
  <c r="M362" i="63" s="1"/>
  <c r="P362" i="63" s="1"/>
  <c r="G418" i="63"/>
  <c r="R418" i="63" s="1"/>
  <c r="G622" i="63"/>
  <c r="R622" i="63" s="1"/>
  <c r="G606" i="63"/>
  <c r="M606" i="63" s="1"/>
  <c r="P606" i="63" s="1"/>
  <c r="G95" i="63"/>
  <c r="R95" i="63" s="1"/>
  <c r="G517" i="63"/>
  <c r="R517" i="63" s="1"/>
  <c r="G337" i="63"/>
  <c r="R337" i="63" s="1"/>
  <c r="G293" i="63"/>
  <c r="R293" i="63" s="1"/>
  <c r="G455" i="63"/>
  <c r="M455" i="63" s="1"/>
  <c r="G118" i="63"/>
  <c r="M118" i="63" s="1"/>
  <c r="P118" i="63" s="1"/>
  <c r="G181" i="63"/>
  <c r="M181" i="63" s="1"/>
  <c r="P181" i="63" s="1"/>
  <c r="G239" i="63"/>
  <c r="M239" i="63" s="1"/>
  <c r="P239" i="63" s="1"/>
  <c r="G530" i="63"/>
  <c r="M530" i="63" s="1"/>
  <c r="P530" i="63" s="1"/>
  <c r="G70" i="63"/>
  <c r="M70" i="63" s="1"/>
  <c r="P70" i="63" s="1"/>
  <c r="G103" i="63"/>
  <c r="M103" i="63" s="1"/>
  <c r="P103" i="63" s="1"/>
  <c r="G461" i="63"/>
  <c r="M461" i="63" s="1"/>
  <c r="P461" i="63" s="1"/>
  <c r="G166" i="63"/>
  <c r="R166" i="63" s="1"/>
  <c r="G653" i="63"/>
  <c r="R653" i="63" s="1"/>
  <c r="G355" i="63"/>
  <c r="R355" i="63" s="1"/>
  <c r="G499" i="63"/>
  <c r="M499" i="63" s="1"/>
  <c r="P499" i="63" s="1"/>
  <c r="G105" i="63"/>
  <c r="M105" i="63" s="1"/>
  <c r="P105" i="63" s="1"/>
  <c r="G483" i="63"/>
  <c r="M483" i="63" s="1"/>
  <c r="P483" i="63" s="1"/>
  <c r="G140" i="63"/>
  <c r="M140" i="63" s="1"/>
  <c r="P140" i="63" s="1"/>
  <c r="G305" i="63"/>
  <c r="R305" i="63" s="1"/>
  <c r="G153" i="63"/>
  <c r="M153" i="63" s="1"/>
  <c r="P153" i="63" s="1"/>
  <c r="G276" i="63"/>
  <c r="M276" i="63" s="1"/>
  <c r="P276" i="63" s="1"/>
  <c r="G621" i="63"/>
  <c r="M621" i="63" s="1"/>
  <c r="P621" i="63" s="1"/>
  <c r="G631" i="63"/>
  <c r="M631" i="63" s="1"/>
  <c r="P631" i="63" s="1"/>
  <c r="G246" i="63"/>
  <c r="R246" i="63" s="1"/>
  <c r="G625" i="63"/>
  <c r="M625" i="63" s="1"/>
  <c r="P625" i="63" s="1"/>
  <c r="G649" i="63"/>
  <c r="R649" i="63" s="1"/>
  <c r="G454" i="63"/>
  <c r="M454" i="63" s="1"/>
  <c r="P454" i="63" s="1"/>
  <c r="G465" i="63"/>
  <c r="R465" i="63" s="1"/>
  <c r="G93" i="63"/>
  <c r="R93" i="63" s="1"/>
  <c r="G602" i="63"/>
  <c r="R602" i="63" s="1"/>
  <c r="G407" i="63"/>
  <c r="R407" i="63" s="1"/>
  <c r="G155" i="63"/>
  <c r="R155" i="63" s="1"/>
  <c r="G394" i="63"/>
  <c r="M394" i="63" s="1"/>
  <c r="P394" i="63" s="1"/>
  <c r="G165" i="63"/>
  <c r="M165" i="63" s="1"/>
  <c r="P165" i="63" s="1"/>
  <c r="G611" i="63"/>
  <c r="M611" i="63" s="1"/>
  <c r="G478" i="63"/>
  <c r="M478" i="63" s="1"/>
  <c r="P478" i="63" s="1"/>
  <c r="G180" i="63"/>
  <c r="R180" i="63" s="1"/>
  <c r="G523" i="63"/>
  <c r="R523" i="63" s="1"/>
  <c r="G615" i="63"/>
  <c r="M615" i="63" s="1"/>
  <c r="P615" i="63" s="1"/>
  <c r="G578" i="63"/>
  <c r="M578" i="63" s="1"/>
  <c r="P578" i="63" s="1"/>
  <c r="G477" i="63"/>
  <c r="R477" i="63" s="1"/>
  <c r="G485" i="63"/>
  <c r="M485" i="63" s="1"/>
  <c r="P485" i="63" s="1"/>
  <c r="G603" i="63"/>
  <c r="M603" i="63" s="1"/>
  <c r="P603" i="63" s="1"/>
  <c r="G521" i="63"/>
  <c r="R521" i="63" s="1"/>
  <c r="G147" i="63"/>
  <c r="M147" i="63" s="1"/>
  <c r="P147" i="63" s="1"/>
  <c r="G401" i="63"/>
  <c r="R401" i="63" s="1"/>
  <c r="G192" i="63"/>
  <c r="R192" i="63" s="1"/>
  <c r="G58" i="63"/>
  <c r="R58" i="63" s="1"/>
  <c r="G330" i="63"/>
  <c r="M330" i="63" s="1"/>
  <c r="G320" i="63"/>
  <c r="M320" i="63" s="1"/>
  <c r="P320" i="63" s="1"/>
  <c r="G557" i="63"/>
  <c r="R557" i="63" s="1"/>
  <c r="G101" i="63"/>
  <c r="R101" i="63" s="1"/>
  <c r="G50" i="63"/>
  <c r="R50" i="63" s="1"/>
  <c r="G65" i="63"/>
  <c r="M65" i="63" s="1"/>
  <c r="P65" i="63" s="1"/>
  <c r="G189" i="63"/>
  <c r="R189" i="63" s="1"/>
  <c r="G332" i="63"/>
  <c r="M332" i="63" s="1"/>
  <c r="P332" i="63" s="1"/>
  <c r="G635" i="63"/>
  <c r="R635" i="63" s="1"/>
  <c r="G443" i="63"/>
  <c r="R443" i="63" s="1"/>
  <c r="G536" i="63"/>
  <c r="M536" i="63" s="1"/>
  <c r="P536" i="63" s="1"/>
  <c r="G614" i="63"/>
  <c r="R614" i="63" s="1"/>
  <c r="G594" i="63"/>
  <c r="M594" i="63" s="1"/>
  <c r="P594" i="63" s="1"/>
  <c r="G263" i="63"/>
  <c r="R263" i="63" s="1"/>
  <c r="G632" i="63"/>
  <c r="R632" i="63" s="1"/>
  <c r="G294" i="63"/>
  <c r="R294" i="63" s="1"/>
  <c r="G304" i="63"/>
  <c r="M304" i="63" s="1"/>
  <c r="P304" i="63" s="1"/>
  <c r="G52" i="63"/>
  <c r="M52" i="63" s="1"/>
  <c r="P52" i="63" s="1"/>
  <c r="G387" i="63"/>
  <c r="M387" i="63" s="1"/>
  <c r="P387" i="63" s="1"/>
  <c r="G208" i="63"/>
  <c r="R208" i="63" s="1"/>
  <c r="G269" i="63"/>
  <c r="M269" i="63" s="1"/>
  <c r="P269" i="63" s="1"/>
  <c r="G119" i="63"/>
  <c r="M119" i="63" s="1"/>
  <c r="P119" i="63" s="1"/>
  <c r="G358" i="63"/>
  <c r="M358" i="63" s="1"/>
  <c r="P358" i="63" s="1"/>
  <c r="G383" i="63"/>
  <c r="R383" i="63" s="1"/>
  <c r="G68" i="63"/>
  <c r="R68" i="63" s="1"/>
  <c r="G195" i="63"/>
  <c r="M195" i="63" s="1"/>
  <c r="P195" i="63" s="1"/>
  <c r="G618" i="63"/>
  <c r="G306" i="63"/>
  <c r="M496" i="63"/>
  <c r="P496" i="63" s="1"/>
  <c r="R496" i="63"/>
  <c r="G674" i="63"/>
  <c r="G494" i="63"/>
  <c r="G608" i="63"/>
  <c r="G500" i="63"/>
  <c r="G619" i="63"/>
  <c r="G100" i="63"/>
  <c r="M514" i="63"/>
  <c r="P514" i="63" s="1"/>
  <c r="R514" i="63"/>
  <c r="G586" i="63"/>
  <c r="G405" i="63"/>
  <c r="G179" i="63"/>
  <c r="G492" i="63"/>
  <c r="G107" i="63"/>
  <c r="G299" i="63"/>
  <c r="G96" i="63"/>
  <c r="G654" i="63"/>
  <c r="G102" i="63"/>
  <c r="G145" i="63"/>
  <c r="G219" i="63"/>
  <c r="G476" i="63"/>
  <c r="G88" i="63"/>
  <c r="G279" i="63"/>
  <c r="G660" i="63"/>
  <c r="G81" i="63"/>
  <c r="G522" i="63"/>
  <c r="G570" i="63"/>
  <c r="G336" i="63"/>
  <c r="G626" i="63"/>
  <c r="G593" i="63"/>
  <c r="G228" i="63"/>
  <c r="G488" i="63"/>
  <c r="G347" i="63"/>
  <c r="G352" i="63"/>
  <c r="G544" i="63"/>
  <c r="G392" i="63"/>
  <c r="G325" i="63"/>
  <c r="G566" i="63"/>
  <c r="G513" i="63"/>
  <c r="G178" i="63"/>
  <c r="G124" i="63"/>
  <c r="G260" i="63"/>
  <c r="G242" i="63"/>
  <c r="G240" i="63"/>
  <c r="G86" i="63"/>
  <c r="G550" i="63"/>
  <c r="G121" i="63"/>
  <c r="G537" i="63"/>
  <c r="G315" i="63"/>
  <c r="G198" i="63"/>
  <c r="G175" i="63"/>
  <c r="G63" i="63"/>
  <c r="G466" i="63"/>
  <c r="G283" i="63"/>
  <c r="G303" i="63"/>
  <c r="G676" i="63"/>
  <c r="G307" i="63"/>
  <c r="G211" i="63"/>
  <c r="G639" i="63"/>
  <c r="G457" i="63"/>
  <c r="G534" i="63"/>
  <c r="G99" i="63"/>
  <c r="G473" i="63"/>
  <c r="G636" i="63"/>
  <c r="G597" i="63"/>
  <c r="G215" i="63"/>
  <c r="G645" i="63"/>
  <c r="G376" i="63"/>
  <c r="G370" i="63"/>
  <c r="G361" i="63"/>
  <c r="M66" i="63"/>
  <c r="P66" i="63" s="1"/>
  <c r="R66" i="63"/>
  <c r="G414" i="63"/>
  <c r="G348" i="63"/>
  <c r="G323" i="63"/>
  <c r="G53" i="63"/>
  <c r="G613" i="63"/>
  <c r="G317" i="63"/>
  <c r="G167" i="63"/>
  <c r="G658" i="63"/>
  <c r="G524" i="63"/>
  <c r="G244" i="63"/>
  <c r="G393" i="63"/>
  <c r="G408" i="63"/>
  <c r="G205" i="63"/>
  <c r="G172" i="63"/>
  <c r="G377" i="63"/>
  <c r="G261" i="63"/>
  <c r="G432" i="63"/>
  <c r="G528" i="63"/>
  <c r="G515" i="63"/>
  <c r="G183" i="63"/>
  <c r="G108" i="63"/>
  <c r="E592" i="63"/>
  <c r="G592" i="63" s="1"/>
  <c r="F398" i="63"/>
  <c r="N398" i="63" s="1"/>
  <c r="H143" i="63"/>
  <c r="G143" i="63" s="1"/>
  <c r="E287" i="63"/>
  <c r="G287" i="63" s="1"/>
  <c r="H342" i="63"/>
  <c r="G342" i="63" s="1"/>
  <c r="G634" i="63"/>
  <c r="G247" i="63"/>
  <c r="G251" i="63"/>
  <c r="G371" i="63"/>
  <c r="G503" i="63"/>
  <c r="G173" i="63"/>
  <c r="G498" i="63"/>
  <c r="G272" i="63"/>
  <c r="G243" i="63"/>
  <c r="G564" i="63"/>
  <c r="G624" i="63"/>
  <c r="G177" i="63"/>
  <c r="G71" i="63"/>
  <c r="G526" i="63"/>
  <c r="G231" i="63"/>
  <c r="G185" i="63"/>
  <c r="G69" i="63"/>
  <c r="G572" i="63"/>
  <c r="G292" i="63"/>
  <c r="G415" i="63"/>
  <c r="G335" i="63"/>
  <c r="G89" i="63"/>
  <c r="G458" i="63"/>
  <c r="G678" i="63"/>
  <c r="G135" i="63"/>
  <c r="G646" i="63"/>
  <c r="G677" i="63"/>
  <c r="G286" i="63"/>
  <c r="G553" i="63"/>
  <c r="G104" i="63"/>
  <c r="G204" i="63"/>
  <c r="G367" i="63"/>
  <c r="F540" i="63"/>
  <c r="N540" i="63" s="1"/>
  <c r="F234" i="63"/>
  <c r="N234" i="63" s="1"/>
  <c r="F145" i="63"/>
  <c r="N145" i="63" s="1"/>
  <c r="H417" i="63"/>
  <c r="G417" i="63" s="1"/>
  <c r="E448" i="63"/>
  <c r="G448" i="63" s="1"/>
  <c r="H127" i="63"/>
  <c r="G127" i="63" s="1"/>
  <c r="F312" i="63"/>
  <c r="N312" i="63" s="1"/>
  <c r="F538" i="63"/>
  <c r="N538" i="63" s="1"/>
  <c r="R542" i="63"/>
  <c r="M542" i="63"/>
  <c r="P542" i="63" s="1"/>
  <c r="G237" i="63"/>
  <c r="G397" i="63"/>
  <c r="G92" i="63"/>
  <c r="R150" i="63"/>
  <c r="M150" i="63"/>
  <c r="P150" i="63" s="1"/>
  <c r="G154" i="63"/>
  <c r="G363" i="63"/>
  <c r="G137" i="63"/>
  <c r="G409" i="63"/>
  <c r="G130" i="63"/>
  <c r="G340" i="63"/>
  <c r="G85" i="63"/>
  <c r="G612" i="63"/>
  <c r="G574" i="63"/>
  <c r="G134" i="63"/>
  <c r="G671" i="63"/>
  <c r="G467" i="63"/>
  <c r="G456" i="63"/>
  <c r="G106" i="63"/>
  <c r="G450" i="63"/>
  <c r="G253" i="63"/>
  <c r="G75" i="63"/>
  <c r="G218" i="63"/>
  <c r="R364" i="63"/>
  <c r="M364" i="63"/>
  <c r="P364" i="63" s="1"/>
  <c r="G346" i="63"/>
  <c r="G125" i="63"/>
  <c r="G647" i="63"/>
  <c r="G554" i="63"/>
  <c r="G558" i="63"/>
  <c r="G214" i="63"/>
  <c r="G184" i="63"/>
  <c r="G62" i="63"/>
  <c r="G169" i="63"/>
  <c r="G548" i="63"/>
  <c r="G199" i="63"/>
  <c r="G423" i="63"/>
  <c r="G278" i="63"/>
  <c r="G659" i="63"/>
  <c r="G585" i="63"/>
  <c r="G460" i="63"/>
  <c r="G164" i="63"/>
  <c r="G115" i="63"/>
  <c r="G419" i="63"/>
  <c r="G375" i="63"/>
  <c r="G236" i="63"/>
  <c r="G300" i="63"/>
  <c r="G79" i="63"/>
  <c r="G114" i="63"/>
  <c r="G268" i="63"/>
  <c r="G275" i="63"/>
  <c r="G171" i="63"/>
  <c r="G410" i="63"/>
  <c r="G176" i="63"/>
  <c r="G565" i="63"/>
  <c r="G479" i="63"/>
  <c r="G210" i="63"/>
  <c r="G170" i="63"/>
  <c r="G630" i="63"/>
  <c r="G665" i="63"/>
  <c r="G182" i="63"/>
  <c r="G149" i="63"/>
  <c r="G249" i="63"/>
  <c r="G655" i="63"/>
  <c r="G617" i="63"/>
  <c r="G341" i="63"/>
  <c r="G396" i="63"/>
  <c r="G206" i="63"/>
  <c r="G223" i="63"/>
  <c r="G67" i="63"/>
  <c r="G190" i="63"/>
  <c r="G326" i="63"/>
  <c r="G575" i="63"/>
  <c r="G111" i="63"/>
  <c r="G595" i="63"/>
  <c r="G652" i="63"/>
  <c r="G322" i="63"/>
  <c r="G207" i="63"/>
  <c r="G193" i="63"/>
  <c r="G123" i="63"/>
  <c r="G422" i="63"/>
  <c r="G587" i="63"/>
  <c r="G87" i="63"/>
  <c r="G97" i="63"/>
  <c r="E366" i="63"/>
  <c r="G366" i="63" s="1"/>
  <c r="H598" i="63"/>
  <c r="G598" i="63" s="1"/>
  <c r="H136" i="63"/>
  <c r="G136" i="63" s="1"/>
  <c r="H591" i="63"/>
  <c r="G591" i="63" s="1"/>
  <c r="H379" i="63"/>
  <c r="G379" i="63" s="1"/>
  <c r="R156" i="63"/>
  <c r="M156" i="63"/>
  <c r="G484" i="63"/>
  <c r="G222" i="63"/>
  <c r="G51" i="63"/>
  <c r="G129" i="63"/>
  <c r="G238" i="63"/>
  <c r="G196" i="63"/>
  <c r="G203" i="63"/>
  <c r="G543" i="63"/>
  <c r="G266" i="63"/>
  <c r="G447" i="63"/>
  <c r="G662" i="63"/>
  <c r="G452" i="63"/>
  <c r="G490" i="63"/>
  <c r="G474" i="63"/>
  <c r="G403" i="63"/>
  <c r="G600" i="63"/>
  <c r="G187" i="63"/>
  <c r="G429" i="63"/>
  <c r="G620" i="63"/>
  <c r="G400" i="63"/>
  <c r="G84" i="63"/>
  <c r="G138" i="63"/>
  <c r="G440" i="63"/>
  <c r="G569" i="63"/>
  <c r="G277" i="63"/>
  <c r="G481" i="63"/>
  <c r="G581" i="63"/>
  <c r="M667" i="63"/>
  <c r="P667" i="63" s="1"/>
  <c r="R667" i="63"/>
  <c r="G519" i="63"/>
  <c r="G64" i="63"/>
  <c r="G428" i="63"/>
  <c r="G535" i="63"/>
  <c r="G122" i="63"/>
  <c r="G552" i="63"/>
  <c r="G663" i="63"/>
  <c r="G61" i="63"/>
  <c r="G411" i="63"/>
  <c r="G489" i="63"/>
  <c r="G310" i="63"/>
  <c r="G274" i="63"/>
  <c r="R329" i="63"/>
  <c r="M329" i="63"/>
  <c r="P329" i="63" s="1"/>
  <c r="G57" i="63"/>
  <c r="G673" i="63"/>
  <c r="G265" i="63"/>
  <c r="G117" i="63"/>
  <c r="G596" i="63"/>
  <c r="G369" i="63"/>
  <c r="G280" i="63"/>
  <c r="G270" i="63"/>
  <c r="G230" i="63"/>
  <c r="G174" i="63"/>
  <c r="G83" i="63"/>
  <c r="G507" i="63"/>
  <c r="G643" i="63"/>
  <c r="G433" i="63"/>
  <c r="G98" i="63"/>
  <c r="G590" i="63"/>
  <c r="G579" i="63"/>
  <c r="G82" i="63"/>
  <c r="G576" i="63"/>
  <c r="G360" i="63"/>
  <c r="G333" i="63"/>
  <c r="G216" i="63"/>
  <c r="G271" i="63"/>
  <c r="G252" i="63"/>
  <c r="G562" i="63"/>
  <c r="G148" i="63"/>
  <c r="G468" i="63"/>
  <c r="G549" i="63"/>
  <c r="G547" i="63"/>
  <c r="G319" i="63"/>
  <c r="G582" i="63"/>
  <c r="G495" i="63"/>
  <c r="G314" i="63"/>
  <c r="G321" i="63"/>
  <c r="G284" i="63"/>
  <c r="G200" i="63"/>
  <c r="G77" i="63"/>
  <c r="G132" i="63"/>
  <c r="G451" i="63"/>
  <c r="G391" i="63"/>
  <c r="G389" i="63"/>
  <c r="G248" i="63"/>
  <c r="G229" i="63"/>
  <c r="G588" i="63"/>
  <c r="G437" i="63"/>
  <c r="G444" i="63"/>
  <c r="G442" i="63"/>
  <c r="G368" i="63"/>
  <c r="G76" i="63"/>
  <c r="G398" i="63"/>
  <c r="G282" i="63"/>
  <c r="M212" i="63" l="1"/>
  <c r="P212" i="63" s="1"/>
  <c r="R463" i="63"/>
  <c r="M139" i="63"/>
  <c r="P139" i="63" s="1"/>
  <c r="R413" i="63"/>
  <c r="R577" i="63"/>
  <c r="M194" i="63"/>
  <c r="P194" i="63" s="1"/>
  <c r="M316" i="63"/>
  <c r="P316" i="63" s="1"/>
  <c r="R446" i="63"/>
  <c r="R404" i="63"/>
  <c r="R385" i="63"/>
  <c r="R555" i="63"/>
  <c r="R462" i="63"/>
  <c r="M161" i="63"/>
  <c r="P161" i="63" s="1"/>
  <c r="R616" i="63"/>
  <c r="M226" i="63"/>
  <c r="P226" i="63" s="1"/>
  <c r="M610" i="63"/>
  <c r="P610" i="63" s="1"/>
  <c r="R110" i="63"/>
  <c r="M453" i="63"/>
  <c r="P453" i="63" s="1"/>
  <c r="M331" i="63"/>
  <c r="P331" i="63" s="1"/>
  <c r="M434" i="63"/>
  <c r="P434" i="63" s="1"/>
  <c r="M431" i="63"/>
  <c r="P431" i="63" s="1"/>
  <c r="R584" i="63"/>
  <c r="R312" i="63"/>
  <c r="M486" i="63"/>
  <c r="P486" i="63" s="1"/>
  <c r="R420" i="63"/>
  <c r="M568" i="63"/>
  <c r="P568" i="63" s="1"/>
  <c r="M551" i="63"/>
  <c r="P551" i="63" s="1"/>
  <c r="R445" i="63"/>
  <c r="R191" i="63"/>
  <c r="R72" i="63"/>
  <c r="P330" i="63"/>
  <c r="P463" i="63"/>
  <c r="M10" i="67"/>
  <c r="M16" i="67" s="1"/>
  <c r="P611" i="63"/>
  <c r="J10" i="67"/>
  <c r="J16" i="67" s="1"/>
  <c r="G281" i="63"/>
  <c r="M281" i="63" s="1"/>
  <c r="P281" i="63" s="1"/>
  <c r="M350" i="63"/>
  <c r="P350" i="63" s="1"/>
  <c r="R605" i="63"/>
  <c r="I10" i="67"/>
  <c r="I16" i="67" s="1"/>
  <c r="R267" i="63"/>
  <c r="M373" i="63"/>
  <c r="P373" i="63" s="1"/>
  <c r="R493" i="63"/>
  <c r="M309" i="63"/>
  <c r="P309" i="63" s="1"/>
  <c r="M438" i="63"/>
  <c r="P438" i="63" s="1"/>
  <c r="R670" i="63"/>
  <c r="R295" i="63"/>
  <c r="M78" i="63"/>
  <c r="P78" i="63" s="1"/>
  <c r="R625" i="63"/>
  <c r="R545" i="63"/>
  <c r="M545" i="63"/>
  <c r="P545" i="63" s="1"/>
  <c r="P580" i="63"/>
  <c r="P144" i="63"/>
  <c r="P455" i="63"/>
  <c r="R571" i="63"/>
  <c r="R470" i="63"/>
  <c r="M288" i="63"/>
  <c r="P288" i="63" s="1"/>
  <c r="M511" i="63"/>
  <c r="P511" i="63" s="1"/>
  <c r="M74" i="63"/>
  <c r="P74" i="63" s="1"/>
  <c r="R583" i="63"/>
  <c r="R144" i="63"/>
  <c r="M672" i="63"/>
  <c r="P672" i="63" s="1"/>
  <c r="R459" i="63"/>
  <c r="R304" i="63"/>
  <c r="M58" i="63"/>
  <c r="P58" i="63" s="1"/>
  <c r="R394" i="63"/>
  <c r="M116" i="63"/>
  <c r="P116" i="63" s="1"/>
  <c r="R73" i="63"/>
  <c r="M382" i="63"/>
  <c r="P382" i="63" s="1"/>
  <c r="M649" i="63"/>
  <c r="P649" i="63" s="1"/>
  <c r="R330" i="63"/>
  <c r="M384" i="63"/>
  <c r="P384" i="63" s="1"/>
  <c r="R512" i="63"/>
  <c r="R527" i="63"/>
  <c r="M675" i="63"/>
  <c r="P675" i="63" s="1"/>
  <c r="M146" i="63"/>
  <c r="P146" i="63" s="1"/>
  <c r="R52" i="63"/>
  <c r="M233" i="63"/>
  <c r="P233" i="63" s="1"/>
  <c r="R633" i="63"/>
  <c r="M54" i="63"/>
  <c r="P54" i="63" s="1"/>
  <c r="R381" i="63"/>
  <c r="M614" i="63"/>
  <c r="P614" i="63" s="1"/>
  <c r="M337" i="63"/>
  <c r="P337" i="63" s="1"/>
  <c r="M464" i="63"/>
  <c r="P464" i="63" s="1"/>
  <c r="M421" i="63"/>
  <c r="P421" i="63" s="1"/>
  <c r="M380" i="63"/>
  <c r="P380" i="63" s="1"/>
  <c r="R638" i="63"/>
  <c r="R501" i="63"/>
  <c r="R629" i="63"/>
  <c r="M383" i="63"/>
  <c r="P383" i="63" s="1"/>
  <c r="R387" i="63"/>
  <c r="R580" i="63"/>
  <c r="R70" i="63"/>
  <c r="M355" i="63"/>
  <c r="P355" i="63" s="1"/>
  <c r="M155" i="63"/>
  <c r="P155" i="63" s="1"/>
  <c r="R530" i="63"/>
  <c r="R510" i="63"/>
  <c r="M328" i="63"/>
  <c r="P328" i="63" s="1"/>
  <c r="R559" i="63"/>
  <c r="R276" i="63"/>
  <c r="R594" i="63"/>
  <c r="M609" i="63"/>
  <c r="P609" i="63" s="1"/>
  <c r="R153" i="63"/>
  <c r="R91" i="63"/>
  <c r="R425" i="63"/>
  <c r="R202" i="63"/>
  <c r="R356" i="63"/>
  <c r="M642" i="63"/>
  <c r="P642" i="63" s="1"/>
  <c r="M604" i="63"/>
  <c r="P604" i="63" s="1"/>
  <c r="R454" i="63"/>
  <c r="R487" i="63"/>
  <c r="R65" i="63"/>
  <c r="R147" i="63"/>
  <c r="M523" i="63"/>
  <c r="P523" i="63" s="1"/>
  <c r="M561" i="63"/>
  <c r="P561" i="63" s="1"/>
  <c r="M293" i="63"/>
  <c r="P293" i="63" s="1"/>
  <c r="M497" i="63"/>
  <c r="P497" i="63" s="1"/>
  <c r="M426" i="63"/>
  <c r="P426" i="63" s="1"/>
  <c r="R599" i="63"/>
  <c r="M664" i="63"/>
  <c r="P664" i="63" s="1"/>
  <c r="R539" i="63"/>
  <c r="M60" i="63"/>
  <c r="P60" i="63" s="1"/>
  <c r="R163" i="63"/>
  <c r="M189" i="63"/>
  <c r="P189" i="63" s="1"/>
  <c r="R298" i="63"/>
  <c r="M567" i="63"/>
  <c r="P567" i="63" s="1"/>
  <c r="R358" i="63"/>
  <c r="M302" i="63"/>
  <c r="P302" i="63" s="1"/>
  <c r="M345" i="63"/>
  <c r="P345" i="63" s="1"/>
  <c r="M627" i="63"/>
  <c r="P627" i="63" s="1"/>
  <c r="R615" i="63"/>
  <c r="R499" i="63"/>
  <c r="M213" i="63"/>
  <c r="P213" i="63" s="1"/>
  <c r="M418" i="63"/>
  <c r="P418" i="63" s="1"/>
  <c r="R439" i="63"/>
  <c r="R353" i="63"/>
  <c r="R540" i="63"/>
  <c r="M291" i="63"/>
  <c r="P291" i="63" s="1"/>
  <c r="M313" i="63"/>
  <c r="P313" i="63" s="1"/>
  <c r="R241" i="63"/>
  <c r="R232" i="63"/>
  <c r="R128" i="63"/>
  <c r="R546" i="63"/>
  <c r="R362" i="63"/>
  <c r="M351" i="63"/>
  <c r="P351" i="63" s="1"/>
  <c r="R195" i="63"/>
  <c r="M401" i="63"/>
  <c r="P401" i="63" s="1"/>
  <c r="M532" i="63"/>
  <c r="P532" i="63" s="1"/>
  <c r="M372" i="63"/>
  <c r="P372" i="63" s="1"/>
  <c r="R188" i="63"/>
  <c r="M224" i="63"/>
  <c r="P224" i="63" s="1"/>
  <c r="R344" i="63"/>
  <c r="R59" i="63"/>
  <c r="R661" i="63"/>
  <c r="R118" i="63"/>
  <c r="R520" i="63"/>
  <c r="M338" i="63"/>
  <c r="P338" i="63" s="1"/>
  <c r="R262" i="63"/>
  <c r="R607" i="63"/>
  <c r="M427" i="63"/>
  <c r="P427" i="63" s="1"/>
  <c r="M208" i="63"/>
  <c r="P208" i="63" s="1"/>
  <c r="M632" i="63"/>
  <c r="P632" i="63" s="1"/>
  <c r="R301" i="63"/>
  <c r="M256" i="63"/>
  <c r="P256" i="63" s="1"/>
  <c r="M349" i="63"/>
  <c r="P349" i="63" s="1"/>
  <c r="R151" i="63"/>
  <c r="R220" i="63"/>
  <c r="M557" i="63"/>
  <c r="P557" i="63" s="1"/>
  <c r="R471" i="63"/>
  <c r="M472" i="63"/>
  <c r="P472" i="63" s="1"/>
  <c r="M635" i="63"/>
  <c r="P635" i="63" s="1"/>
  <c r="M93" i="63"/>
  <c r="P93" i="63" s="1"/>
  <c r="R158" i="63"/>
  <c r="R631" i="63"/>
  <c r="R120" i="63"/>
  <c r="M509" i="63"/>
  <c r="P509" i="63" s="1"/>
  <c r="R611" i="63"/>
  <c r="M416" i="63"/>
  <c r="P416" i="63" s="1"/>
  <c r="M245" i="63"/>
  <c r="P245" i="63" s="1"/>
  <c r="R113" i="63"/>
  <c r="R332" i="63"/>
  <c r="M521" i="63"/>
  <c r="P521" i="63" s="1"/>
  <c r="M197" i="63"/>
  <c r="P197" i="63" s="1"/>
  <c r="R90" i="63"/>
  <c r="R157" i="63"/>
  <c r="M162" i="63"/>
  <c r="P162" i="63" s="1"/>
  <c r="M201" i="63"/>
  <c r="P201" i="63" s="1"/>
  <c r="R556" i="63"/>
  <c r="R637" i="63"/>
  <c r="R606" i="63"/>
  <c r="M477" i="63"/>
  <c r="P477" i="63" s="1"/>
  <c r="R297" i="63"/>
  <c r="R186" i="63"/>
  <c r="R483" i="63"/>
  <c r="R461" i="63"/>
  <c r="R506" i="63"/>
  <c r="R318" i="63"/>
  <c r="M406" i="63"/>
  <c r="P406" i="63" s="1"/>
  <c r="M95" i="63"/>
  <c r="P95" i="63" s="1"/>
  <c r="R578" i="63"/>
  <c r="M518" i="63"/>
  <c r="P518" i="63" s="1"/>
  <c r="M50" i="63"/>
  <c r="P50" i="63" s="1"/>
  <c r="M641" i="63"/>
  <c r="P641" i="63" s="1"/>
  <c r="M180" i="63"/>
  <c r="P180" i="63" s="1"/>
  <c r="M623" i="63"/>
  <c r="P623" i="63" s="1"/>
  <c r="R119" i="63"/>
  <c r="R264" i="63"/>
  <c r="M357" i="63"/>
  <c r="P357" i="63" s="1"/>
  <c r="M374" i="63"/>
  <c r="P374" i="63" s="1"/>
  <c r="R560" i="63"/>
  <c r="M254" i="63"/>
  <c r="P254" i="63" s="1"/>
  <c r="M142" i="63"/>
  <c r="P142" i="63" s="1"/>
  <c r="M109" i="63"/>
  <c r="P109" i="63" s="1"/>
  <c r="R491" i="63"/>
  <c r="M343" i="63"/>
  <c r="P343" i="63" s="1"/>
  <c r="R235" i="63"/>
  <c r="M475" i="63"/>
  <c r="P475" i="63" s="1"/>
  <c r="M480" i="63"/>
  <c r="P480" i="63" s="1"/>
  <c r="R644" i="63"/>
  <c r="M159" i="63"/>
  <c r="P159" i="63" s="1"/>
  <c r="M234" i="63"/>
  <c r="P234" i="63" s="1"/>
  <c r="M653" i="63"/>
  <c r="P653" i="63" s="1"/>
  <c r="M508" i="63"/>
  <c r="P508" i="63" s="1"/>
  <c r="M305" i="63"/>
  <c r="P305" i="63" s="1"/>
  <c r="R603" i="63"/>
  <c r="R485" i="63"/>
  <c r="M529" i="63"/>
  <c r="P529" i="63" s="1"/>
  <c r="M669" i="63"/>
  <c r="P669" i="63" s="1"/>
  <c r="M101" i="63"/>
  <c r="P101" i="63" s="1"/>
  <c r="R239" i="63"/>
  <c r="M517" i="63"/>
  <c r="P517" i="63" s="1"/>
  <c r="M390" i="63"/>
  <c r="P390" i="63" s="1"/>
  <c r="R181" i="63"/>
  <c r="R516" i="63"/>
  <c r="M533" i="63"/>
  <c r="P533" i="63" s="1"/>
  <c r="M541" i="63"/>
  <c r="P541" i="63" s="1"/>
  <c r="R105" i="63"/>
  <c r="M80" i="63"/>
  <c r="P80" i="63" s="1"/>
  <c r="R538" i="63"/>
  <c r="R227" i="63"/>
  <c r="R141" i="63"/>
  <c r="M263" i="63"/>
  <c r="P263" i="63" s="1"/>
  <c r="M465" i="63"/>
  <c r="P465" i="63" s="1"/>
  <c r="M289" i="63"/>
  <c r="P289" i="63" s="1"/>
  <c r="M160" i="63"/>
  <c r="P160" i="63" s="1"/>
  <c r="M68" i="63"/>
  <c r="P68" i="63" s="1"/>
  <c r="R424" i="63"/>
  <c r="R531" i="63"/>
  <c r="R165" i="63"/>
  <c r="M650" i="63"/>
  <c r="P650" i="63" s="1"/>
  <c r="R648" i="63"/>
  <c r="R640" i="63"/>
  <c r="R563" i="63"/>
  <c r="R320" i="63"/>
  <c r="R168" i="63"/>
  <c r="R621" i="63"/>
  <c r="R505" i="63"/>
  <c r="R430" i="63"/>
  <c r="R435" i="63"/>
  <c r="M354" i="63"/>
  <c r="P354" i="63" s="1"/>
  <c r="R103" i="63"/>
  <c r="R152" i="63"/>
  <c r="R525" i="63"/>
  <c r="N682" i="63"/>
  <c r="M273" i="63"/>
  <c r="P273" i="63" s="1"/>
  <c r="M628" i="63"/>
  <c r="P628" i="63" s="1"/>
  <c r="M217" i="63"/>
  <c r="P217" i="63" s="1"/>
  <c r="M359" i="63"/>
  <c r="P359" i="63" s="1"/>
  <c r="M294" i="63"/>
  <c r="P294" i="63" s="1"/>
  <c r="R666" i="63"/>
  <c r="R402" i="63"/>
  <c r="M443" i="63"/>
  <c r="P443" i="63" s="1"/>
  <c r="R478" i="63"/>
  <c r="M469" i="63"/>
  <c r="P469" i="63" s="1"/>
  <c r="M651" i="63"/>
  <c r="P651" i="63" s="1"/>
  <c r="R225" i="63"/>
  <c r="M668" i="63"/>
  <c r="P668" i="63" s="1"/>
  <c r="M412" i="63"/>
  <c r="P412" i="63" s="1"/>
  <c r="M602" i="63"/>
  <c r="P602" i="63" s="1"/>
  <c r="M339" i="63"/>
  <c r="P339" i="63" s="1"/>
  <c r="M166" i="63"/>
  <c r="P166" i="63" s="1"/>
  <c r="M334" i="63"/>
  <c r="P334" i="63" s="1"/>
  <c r="R269" i="63"/>
  <c r="M192" i="63"/>
  <c r="P192" i="63" s="1"/>
  <c r="M504" i="63"/>
  <c r="P504" i="63" s="1"/>
  <c r="M259" i="63"/>
  <c r="P259" i="63" s="1"/>
  <c r="M324" i="63"/>
  <c r="P324" i="63" s="1"/>
  <c r="R378" i="63"/>
  <c r="R386" i="63"/>
  <c r="R365" i="63"/>
  <c r="M290" i="63"/>
  <c r="P290" i="63" s="1"/>
  <c r="R536" i="63"/>
  <c r="R455" i="63"/>
  <c r="M482" i="63"/>
  <c r="P482" i="63" s="1"/>
  <c r="R257" i="63"/>
  <c r="M55" i="63"/>
  <c r="P55" i="63" s="1"/>
  <c r="M250" i="63"/>
  <c r="P250" i="63" s="1"/>
  <c r="M601" i="63"/>
  <c r="P601" i="63" s="1"/>
  <c r="R285" i="63"/>
  <c r="M622" i="63"/>
  <c r="P622" i="63" s="1"/>
  <c r="R441" i="63"/>
  <c r="R388" i="63"/>
  <c r="M407" i="63"/>
  <c r="P407" i="63" s="1"/>
  <c r="M246" i="63"/>
  <c r="P246" i="63" s="1"/>
  <c r="R140" i="63"/>
  <c r="P312" i="63"/>
  <c r="M379" i="63"/>
  <c r="P379" i="63" s="1"/>
  <c r="R379" i="63"/>
  <c r="R342" i="63"/>
  <c r="M342" i="63"/>
  <c r="P342" i="63" s="1"/>
  <c r="R127" i="63"/>
  <c r="M127" i="63"/>
  <c r="P127" i="63" s="1"/>
  <c r="M136" i="63"/>
  <c r="P136" i="63" s="1"/>
  <c r="R136" i="63"/>
  <c r="R417" i="63"/>
  <c r="M417" i="63"/>
  <c r="P417" i="63" s="1"/>
  <c r="R591" i="63"/>
  <c r="M591" i="63"/>
  <c r="P591" i="63" s="1"/>
  <c r="R258" i="63"/>
  <c r="M258" i="63"/>
  <c r="P258" i="63" s="1"/>
  <c r="R590" i="63"/>
  <c r="M590" i="63"/>
  <c r="P590" i="63" s="1"/>
  <c r="M300" i="63"/>
  <c r="P300" i="63" s="1"/>
  <c r="R300" i="63"/>
  <c r="M134" i="63"/>
  <c r="P134" i="63" s="1"/>
  <c r="R134" i="63"/>
  <c r="M363" i="63"/>
  <c r="P363" i="63" s="1"/>
  <c r="R363" i="63"/>
  <c r="R393" i="63"/>
  <c r="M393" i="63"/>
  <c r="P393" i="63" s="1"/>
  <c r="M389" i="63"/>
  <c r="P389" i="63" s="1"/>
  <c r="R389" i="63"/>
  <c r="M582" i="63"/>
  <c r="P582" i="63" s="1"/>
  <c r="R582" i="63"/>
  <c r="M98" i="63"/>
  <c r="P98" i="63" s="1"/>
  <c r="R98" i="63"/>
  <c r="M596" i="63"/>
  <c r="P596" i="63" s="1"/>
  <c r="R596" i="63"/>
  <c r="M274" i="63"/>
  <c r="P274" i="63" s="1"/>
  <c r="R274" i="63"/>
  <c r="M126" i="63"/>
  <c r="P126" i="63" s="1"/>
  <c r="R126" i="63"/>
  <c r="R620" i="63"/>
  <c r="M620" i="63"/>
  <c r="P620" i="63" s="1"/>
  <c r="M657" i="63"/>
  <c r="P657" i="63" s="1"/>
  <c r="R657" i="63"/>
  <c r="M391" i="63"/>
  <c r="P391" i="63" s="1"/>
  <c r="R391" i="63"/>
  <c r="M148" i="63"/>
  <c r="P148" i="63" s="1"/>
  <c r="R148" i="63"/>
  <c r="R433" i="63"/>
  <c r="M433" i="63"/>
  <c r="P433" i="63" s="1"/>
  <c r="M56" i="63"/>
  <c r="P56" i="63" s="1"/>
  <c r="R56" i="63"/>
  <c r="M76" i="63"/>
  <c r="P76" i="63" s="1"/>
  <c r="R76" i="63"/>
  <c r="M229" i="63"/>
  <c r="P229" i="63" s="1"/>
  <c r="R229" i="63"/>
  <c r="M77" i="63"/>
  <c r="P77" i="63" s="1"/>
  <c r="R77" i="63"/>
  <c r="M271" i="63"/>
  <c r="P271" i="63" s="1"/>
  <c r="R271" i="63"/>
  <c r="M579" i="63"/>
  <c r="P579" i="63" s="1"/>
  <c r="R579" i="63"/>
  <c r="R83" i="63"/>
  <c r="M83" i="63"/>
  <c r="P83" i="63" s="1"/>
  <c r="R280" i="63"/>
  <c r="M280" i="63"/>
  <c r="P280" i="63" s="1"/>
  <c r="M489" i="63"/>
  <c r="P489" i="63" s="1"/>
  <c r="R489" i="63"/>
  <c r="M552" i="63"/>
  <c r="P552" i="63" s="1"/>
  <c r="R552" i="63"/>
  <c r="M519" i="63"/>
  <c r="P519" i="63" s="1"/>
  <c r="R519" i="63"/>
  <c r="R569" i="63"/>
  <c r="M569" i="63"/>
  <c r="P569" i="63" s="1"/>
  <c r="R84" i="63"/>
  <c r="M84" i="63"/>
  <c r="P84" i="63" s="1"/>
  <c r="M403" i="63"/>
  <c r="P403" i="63" s="1"/>
  <c r="R403" i="63"/>
  <c r="M266" i="63"/>
  <c r="R266" i="63"/>
  <c r="R196" i="63"/>
  <c r="M196" i="63"/>
  <c r="P196" i="63" s="1"/>
  <c r="R222" i="63"/>
  <c r="M222" i="63"/>
  <c r="P222" i="63" s="1"/>
  <c r="R366" i="63"/>
  <c r="M366" i="63"/>
  <c r="P366" i="63" s="1"/>
  <c r="M422" i="63"/>
  <c r="P422" i="63" s="1"/>
  <c r="R422" i="63"/>
  <c r="R322" i="63"/>
  <c r="M322" i="63"/>
  <c r="P322" i="63" s="1"/>
  <c r="R149" i="63"/>
  <c r="M149" i="63"/>
  <c r="P149" i="63" s="1"/>
  <c r="M565" i="63"/>
  <c r="P565" i="63" s="1"/>
  <c r="R565" i="63"/>
  <c r="R171" i="63"/>
  <c r="M171" i="63"/>
  <c r="P171" i="63" s="1"/>
  <c r="R79" i="63"/>
  <c r="M79" i="63"/>
  <c r="P79" i="63" s="1"/>
  <c r="R236" i="63"/>
  <c r="M236" i="63"/>
  <c r="P236" i="63" s="1"/>
  <c r="R659" i="63"/>
  <c r="M659" i="63"/>
  <c r="P659" i="63" s="1"/>
  <c r="M423" i="63"/>
  <c r="P423" i="63" s="1"/>
  <c r="R423" i="63"/>
  <c r="R554" i="63"/>
  <c r="M554" i="63"/>
  <c r="P554" i="63" s="1"/>
  <c r="M125" i="63"/>
  <c r="P125" i="63" s="1"/>
  <c r="R125" i="63"/>
  <c r="R612" i="63"/>
  <c r="M612" i="63"/>
  <c r="P612" i="63" s="1"/>
  <c r="R85" i="63"/>
  <c r="M85" i="63"/>
  <c r="P85" i="63" s="1"/>
  <c r="P356" i="63"/>
  <c r="M137" i="63"/>
  <c r="P137" i="63" s="1"/>
  <c r="R137" i="63"/>
  <c r="R399" i="63"/>
  <c r="M399" i="63"/>
  <c r="P399" i="63" s="1"/>
  <c r="M104" i="63"/>
  <c r="P104" i="63" s="1"/>
  <c r="R104" i="63"/>
  <c r="R89" i="63"/>
  <c r="M89" i="63"/>
  <c r="P89" i="63" s="1"/>
  <c r="R572" i="63"/>
  <c r="M572" i="63"/>
  <c r="P572" i="63" s="1"/>
  <c r="R526" i="63"/>
  <c r="M526" i="63"/>
  <c r="P526" i="63" s="1"/>
  <c r="M564" i="63"/>
  <c r="P564" i="63" s="1"/>
  <c r="R564" i="63"/>
  <c r="M173" i="63"/>
  <c r="P173" i="63" s="1"/>
  <c r="R173" i="63"/>
  <c r="R247" i="63"/>
  <c r="M247" i="63"/>
  <c r="P247" i="63" s="1"/>
  <c r="M502" i="63"/>
  <c r="P502" i="63" s="1"/>
  <c r="R502" i="63"/>
  <c r="R528" i="63"/>
  <c r="M528" i="63"/>
  <c r="P528" i="63" s="1"/>
  <c r="M408" i="63"/>
  <c r="P408" i="63" s="1"/>
  <c r="R408" i="63"/>
  <c r="R167" i="63"/>
  <c r="M167" i="63"/>
  <c r="P167" i="63" s="1"/>
  <c r="M613" i="63"/>
  <c r="P613" i="63" s="1"/>
  <c r="R613" i="63"/>
  <c r="R414" i="63"/>
  <c r="M414" i="63"/>
  <c r="P414" i="63" s="1"/>
  <c r="M597" i="63"/>
  <c r="P597" i="63" s="1"/>
  <c r="R597" i="63"/>
  <c r="M534" i="63"/>
  <c r="P534" i="63" s="1"/>
  <c r="R534" i="63"/>
  <c r="M676" i="63"/>
  <c r="P676" i="63" s="1"/>
  <c r="R676" i="63"/>
  <c r="M466" i="63"/>
  <c r="P466" i="63" s="1"/>
  <c r="R466" i="63"/>
  <c r="R86" i="63"/>
  <c r="M86" i="63"/>
  <c r="P86" i="63" s="1"/>
  <c r="M242" i="63"/>
  <c r="P242" i="63" s="1"/>
  <c r="R242" i="63"/>
  <c r="R513" i="63"/>
  <c r="M513" i="63"/>
  <c r="P513" i="63" s="1"/>
  <c r="M544" i="63"/>
  <c r="P544" i="63" s="1"/>
  <c r="R544" i="63"/>
  <c r="R279" i="63"/>
  <c r="M279" i="63"/>
  <c r="P279" i="63" s="1"/>
  <c r="M145" i="63"/>
  <c r="P145" i="63" s="1"/>
  <c r="R145" i="63"/>
  <c r="R405" i="63"/>
  <c r="M405" i="63"/>
  <c r="P405" i="63" s="1"/>
  <c r="R100" i="63"/>
  <c r="M100" i="63"/>
  <c r="P100" i="63" s="1"/>
  <c r="R500" i="63"/>
  <c r="M500" i="63"/>
  <c r="P500" i="63" s="1"/>
  <c r="M53" i="63"/>
  <c r="P53" i="63" s="1"/>
  <c r="R53" i="63"/>
  <c r="M636" i="63"/>
  <c r="P636" i="63" s="1"/>
  <c r="R636" i="63"/>
  <c r="M327" i="63"/>
  <c r="P327" i="63" s="1"/>
  <c r="R327" i="63"/>
  <c r="R566" i="63"/>
  <c r="M566" i="63"/>
  <c r="P566" i="63" s="1"/>
  <c r="R352" i="63"/>
  <c r="M352" i="63"/>
  <c r="P352" i="63" s="1"/>
  <c r="R336" i="63"/>
  <c r="M336" i="63"/>
  <c r="P336" i="63" s="1"/>
  <c r="R102" i="63"/>
  <c r="M102" i="63"/>
  <c r="P102" i="63" s="1"/>
  <c r="M608" i="63"/>
  <c r="P608" i="63" s="1"/>
  <c r="R608" i="63"/>
  <c r="R618" i="63"/>
  <c r="M618" i="63"/>
  <c r="P618" i="63" s="1"/>
  <c r="M673" i="63"/>
  <c r="P673" i="63" s="1"/>
  <c r="R673" i="63"/>
  <c r="M284" i="63"/>
  <c r="P284" i="63" s="1"/>
  <c r="R284" i="63"/>
  <c r="M57" i="63"/>
  <c r="P57" i="63" s="1"/>
  <c r="R57" i="63"/>
  <c r="M87" i="63"/>
  <c r="P87" i="63" s="1"/>
  <c r="R87" i="63"/>
  <c r="R193" i="63"/>
  <c r="M193" i="63"/>
  <c r="P193" i="63" s="1"/>
  <c r="M326" i="63"/>
  <c r="P326" i="63" s="1"/>
  <c r="R326" i="63"/>
  <c r="R206" i="63"/>
  <c r="M206" i="63"/>
  <c r="P206" i="63" s="1"/>
  <c r="R341" i="63"/>
  <c r="M341" i="63"/>
  <c r="P341" i="63" s="1"/>
  <c r="R170" i="63"/>
  <c r="M170" i="63"/>
  <c r="P170" i="63" s="1"/>
  <c r="R308" i="63"/>
  <c r="M308" i="63"/>
  <c r="P308" i="63" s="1"/>
  <c r="M419" i="63"/>
  <c r="P419" i="63" s="1"/>
  <c r="R419" i="63"/>
  <c r="M548" i="63"/>
  <c r="P548" i="63" s="1"/>
  <c r="R548" i="63"/>
  <c r="M214" i="63"/>
  <c r="P214" i="63" s="1"/>
  <c r="R214" i="63"/>
  <c r="R218" i="63"/>
  <c r="M218" i="63"/>
  <c r="P218" i="63" s="1"/>
  <c r="M106" i="63"/>
  <c r="P106" i="63" s="1"/>
  <c r="R106" i="63"/>
  <c r="M671" i="63"/>
  <c r="P671" i="63" s="1"/>
  <c r="R671" i="63"/>
  <c r="M574" i="63"/>
  <c r="P574" i="63" s="1"/>
  <c r="R574" i="63"/>
  <c r="M130" i="63"/>
  <c r="P130" i="63" s="1"/>
  <c r="R130" i="63"/>
  <c r="R154" i="63"/>
  <c r="M154" i="63"/>
  <c r="P154" i="63" s="1"/>
  <c r="R367" i="63"/>
  <c r="M367" i="63"/>
  <c r="P367" i="63" s="1"/>
  <c r="R286" i="63"/>
  <c r="M286" i="63"/>
  <c r="P286" i="63" s="1"/>
  <c r="M185" i="63"/>
  <c r="P185" i="63" s="1"/>
  <c r="R185" i="63"/>
  <c r="R287" i="63"/>
  <c r="M287" i="63"/>
  <c r="P287" i="63" s="1"/>
  <c r="R589" i="63"/>
  <c r="M589" i="63"/>
  <c r="P589" i="63" s="1"/>
  <c r="M261" i="63"/>
  <c r="P261" i="63" s="1"/>
  <c r="R261" i="63"/>
  <c r="R323" i="63"/>
  <c r="M323" i="63"/>
  <c r="P323" i="63" s="1"/>
  <c r="M645" i="63"/>
  <c r="P645" i="63" s="1"/>
  <c r="R645" i="63"/>
  <c r="M211" i="63"/>
  <c r="P211" i="63" s="1"/>
  <c r="R211" i="63"/>
  <c r="R296" i="63"/>
  <c r="M296" i="63"/>
  <c r="P296" i="63" s="1"/>
  <c r="R315" i="63"/>
  <c r="M315" i="63"/>
  <c r="P315" i="63" s="1"/>
  <c r="M325" i="63"/>
  <c r="P325" i="63" s="1"/>
  <c r="R325" i="63"/>
  <c r="M347" i="63"/>
  <c r="P347" i="63" s="1"/>
  <c r="R347" i="63"/>
  <c r="R476" i="63"/>
  <c r="M476" i="63"/>
  <c r="P476" i="63" s="1"/>
  <c r="R654" i="63"/>
  <c r="M654" i="63"/>
  <c r="P654" i="63" s="1"/>
  <c r="R248" i="63"/>
  <c r="M248" i="63"/>
  <c r="P248" i="63" s="1"/>
  <c r="M549" i="63"/>
  <c r="P549" i="63" s="1"/>
  <c r="R549" i="63"/>
  <c r="M174" i="63"/>
  <c r="P174" i="63" s="1"/>
  <c r="R174" i="63"/>
  <c r="R411" i="63"/>
  <c r="M411" i="63"/>
  <c r="P411" i="63" s="1"/>
  <c r="M474" i="63"/>
  <c r="P474" i="63" s="1"/>
  <c r="R474" i="63"/>
  <c r="R395" i="63"/>
  <c r="M395" i="63"/>
  <c r="P395" i="63" s="1"/>
  <c r="M123" i="63"/>
  <c r="P123" i="63" s="1"/>
  <c r="R123" i="63"/>
  <c r="M575" i="63"/>
  <c r="P575" i="63" s="1"/>
  <c r="R575" i="63"/>
  <c r="M375" i="63"/>
  <c r="P375" i="63" s="1"/>
  <c r="R375" i="63"/>
  <c r="R346" i="63"/>
  <c r="M346" i="63"/>
  <c r="P346" i="63" s="1"/>
  <c r="P227" i="63"/>
  <c r="M553" i="63"/>
  <c r="P553" i="63" s="1"/>
  <c r="R553" i="63"/>
  <c r="R69" i="63"/>
  <c r="M69" i="63"/>
  <c r="P69" i="63" s="1"/>
  <c r="M432" i="63"/>
  <c r="P432" i="63" s="1"/>
  <c r="R432" i="63"/>
  <c r="M468" i="63"/>
  <c r="P468" i="63" s="1"/>
  <c r="R468" i="63"/>
  <c r="M444" i="63"/>
  <c r="P444" i="63" s="1"/>
  <c r="R444" i="63"/>
  <c r="M360" i="63"/>
  <c r="P360" i="63" s="1"/>
  <c r="R360" i="63"/>
  <c r="M117" i="63"/>
  <c r="P117" i="63" s="1"/>
  <c r="R117" i="63"/>
  <c r="M535" i="63"/>
  <c r="P535" i="63" s="1"/>
  <c r="R535" i="63"/>
  <c r="R429" i="63"/>
  <c r="M429" i="63"/>
  <c r="P429" i="63" s="1"/>
  <c r="R484" i="63"/>
  <c r="M484" i="63"/>
  <c r="P484" i="63" s="1"/>
  <c r="M587" i="63"/>
  <c r="P587" i="63" s="1"/>
  <c r="R587" i="63"/>
  <c r="R652" i="63"/>
  <c r="M652" i="63"/>
  <c r="P652" i="63" s="1"/>
  <c r="M617" i="63"/>
  <c r="P617" i="63" s="1"/>
  <c r="R617" i="63"/>
  <c r="M115" i="63"/>
  <c r="P115" i="63" s="1"/>
  <c r="R115" i="63"/>
  <c r="M75" i="63"/>
  <c r="P75" i="63" s="1"/>
  <c r="R75" i="63"/>
  <c r="R143" i="63"/>
  <c r="M143" i="63"/>
  <c r="P143" i="63" s="1"/>
  <c r="R340" i="63"/>
  <c r="M340" i="63"/>
  <c r="P340" i="63" s="1"/>
  <c r="R409" i="63"/>
  <c r="M409" i="63"/>
  <c r="P409" i="63" s="1"/>
  <c r="R598" i="63"/>
  <c r="M598" i="63"/>
  <c r="P598" i="63" s="1"/>
  <c r="R573" i="63"/>
  <c r="M573" i="63"/>
  <c r="P573" i="63" s="1"/>
  <c r="R335" i="63"/>
  <c r="M335" i="63"/>
  <c r="P335" i="63" s="1"/>
  <c r="M71" i="63"/>
  <c r="P71" i="63" s="1"/>
  <c r="R71" i="63"/>
  <c r="M624" i="63"/>
  <c r="P624" i="63" s="1"/>
  <c r="R624" i="63"/>
  <c r="R243" i="63"/>
  <c r="M243" i="63"/>
  <c r="P243" i="63" s="1"/>
  <c r="R108" i="63"/>
  <c r="M108" i="63"/>
  <c r="P108" i="63" s="1"/>
  <c r="M377" i="63"/>
  <c r="P377" i="63" s="1"/>
  <c r="R377" i="63"/>
  <c r="R244" i="63"/>
  <c r="M244" i="63"/>
  <c r="P244" i="63" s="1"/>
  <c r="M361" i="63"/>
  <c r="P361" i="63" s="1"/>
  <c r="R361" i="63"/>
  <c r="M457" i="63"/>
  <c r="P457" i="63" s="1"/>
  <c r="R457" i="63"/>
  <c r="R307" i="63"/>
  <c r="M307" i="63"/>
  <c r="P307" i="63" s="1"/>
  <c r="R436" i="63"/>
  <c r="M436" i="63"/>
  <c r="P436" i="63" s="1"/>
  <c r="R63" i="63"/>
  <c r="M63" i="63"/>
  <c r="P63" i="63" s="1"/>
  <c r="R537" i="63"/>
  <c r="M537" i="63"/>
  <c r="P537" i="63" s="1"/>
  <c r="M240" i="63"/>
  <c r="P240" i="63" s="1"/>
  <c r="R240" i="63"/>
  <c r="M260" i="63"/>
  <c r="P260" i="63" s="1"/>
  <c r="R260" i="63"/>
  <c r="M488" i="63"/>
  <c r="P488" i="63" s="1"/>
  <c r="R488" i="63"/>
  <c r="R593" i="63"/>
  <c r="M593" i="63"/>
  <c r="P593" i="63" s="1"/>
  <c r="R88" i="63"/>
  <c r="M88" i="63"/>
  <c r="P88" i="63" s="1"/>
  <c r="M219" i="63"/>
  <c r="P219" i="63" s="1"/>
  <c r="R219" i="63"/>
  <c r="R96" i="63"/>
  <c r="M96" i="63"/>
  <c r="P96" i="63" s="1"/>
  <c r="M107" i="63"/>
  <c r="P107" i="63" s="1"/>
  <c r="R107" i="63"/>
  <c r="P538" i="63"/>
  <c r="M200" i="63"/>
  <c r="P200" i="63" s="1"/>
  <c r="R200" i="63"/>
  <c r="R400" i="63"/>
  <c r="M400" i="63"/>
  <c r="P400" i="63" s="1"/>
  <c r="M223" i="63"/>
  <c r="P223" i="63" s="1"/>
  <c r="R223" i="63"/>
  <c r="R176" i="63"/>
  <c r="M176" i="63"/>
  <c r="P176" i="63" s="1"/>
  <c r="M164" i="63"/>
  <c r="P164" i="63" s="1"/>
  <c r="R164" i="63"/>
  <c r="R92" i="63"/>
  <c r="M92" i="63"/>
  <c r="P92" i="63" s="1"/>
  <c r="M448" i="63"/>
  <c r="P448" i="63" s="1"/>
  <c r="R448" i="63"/>
  <c r="R677" i="63"/>
  <c r="M677" i="63"/>
  <c r="P677" i="63" s="1"/>
  <c r="R133" i="63"/>
  <c r="M133" i="63"/>
  <c r="P133" i="63" s="1"/>
  <c r="M311" i="63"/>
  <c r="P311" i="63" s="1"/>
  <c r="R311" i="63"/>
  <c r="R490" i="63"/>
  <c r="M490" i="63"/>
  <c r="P490" i="63" s="1"/>
  <c r="R321" i="63"/>
  <c r="M321" i="63"/>
  <c r="P321" i="63" s="1"/>
  <c r="B10" i="65"/>
  <c r="M396" i="63"/>
  <c r="R396" i="63"/>
  <c r="R210" i="63"/>
  <c r="M210" i="63"/>
  <c r="P210" i="63" s="1"/>
  <c r="R278" i="63"/>
  <c r="M278" i="63"/>
  <c r="P278" i="63" s="1"/>
  <c r="M169" i="63"/>
  <c r="P169" i="63" s="1"/>
  <c r="R169" i="63"/>
  <c r="R647" i="63"/>
  <c r="M647" i="63"/>
  <c r="P647" i="63" s="1"/>
  <c r="M209" i="63"/>
  <c r="P209" i="63" s="1"/>
  <c r="R209" i="63"/>
  <c r="M282" i="63"/>
  <c r="P282" i="63" s="1"/>
  <c r="R282" i="63"/>
  <c r="R437" i="63"/>
  <c r="M437" i="63"/>
  <c r="P437" i="63" s="1"/>
  <c r="R451" i="63"/>
  <c r="M451" i="63"/>
  <c r="P451" i="63" s="1"/>
  <c r="M314" i="63"/>
  <c r="P314" i="63" s="1"/>
  <c r="R314" i="63"/>
  <c r="R547" i="63"/>
  <c r="M547" i="63"/>
  <c r="P547" i="63" s="1"/>
  <c r="R562" i="63"/>
  <c r="M562" i="63"/>
  <c r="P562" i="63" s="1"/>
  <c r="R576" i="63"/>
  <c r="M576" i="63"/>
  <c r="P576" i="63" s="1"/>
  <c r="M643" i="63"/>
  <c r="P643" i="63" s="1"/>
  <c r="R643" i="63"/>
  <c r="M230" i="63"/>
  <c r="P230" i="63" s="1"/>
  <c r="R230" i="63"/>
  <c r="R265" i="63"/>
  <c r="M265" i="63"/>
  <c r="P265" i="63" s="1"/>
  <c r="M61" i="63"/>
  <c r="P61" i="63" s="1"/>
  <c r="R61" i="63"/>
  <c r="M428" i="63"/>
  <c r="P428" i="63" s="1"/>
  <c r="R428" i="63"/>
  <c r="M481" i="63"/>
  <c r="P481" i="63" s="1"/>
  <c r="R481" i="63"/>
  <c r="R440" i="63"/>
  <c r="M440" i="63"/>
  <c r="P440" i="63" s="1"/>
  <c r="M187" i="63"/>
  <c r="P187" i="63" s="1"/>
  <c r="R187" i="63"/>
  <c r="M662" i="63"/>
  <c r="P662" i="63" s="1"/>
  <c r="R662" i="63"/>
  <c r="M203" i="63"/>
  <c r="P203" i="63" s="1"/>
  <c r="R203" i="63"/>
  <c r="R129" i="63"/>
  <c r="M129" i="63"/>
  <c r="P129" i="63" s="1"/>
  <c r="P156" i="63"/>
  <c r="M449" i="63"/>
  <c r="P449" i="63" s="1"/>
  <c r="R449" i="63"/>
  <c r="R111" i="63"/>
  <c r="M111" i="63"/>
  <c r="P111" i="63" s="1"/>
  <c r="M67" i="63"/>
  <c r="P67" i="63" s="1"/>
  <c r="R67" i="63"/>
  <c r="R655" i="63"/>
  <c r="M655" i="63"/>
  <c r="P655" i="63" s="1"/>
  <c r="R665" i="63"/>
  <c r="M665" i="63"/>
  <c r="P665" i="63" s="1"/>
  <c r="M479" i="63"/>
  <c r="P479" i="63" s="1"/>
  <c r="R479" i="63"/>
  <c r="M268" i="63"/>
  <c r="P268" i="63" s="1"/>
  <c r="R268" i="63"/>
  <c r="R460" i="63"/>
  <c r="M460" i="63"/>
  <c r="P460" i="63" s="1"/>
  <c r="M62" i="63"/>
  <c r="P62" i="63" s="1"/>
  <c r="R62" i="63"/>
  <c r="M253" i="63"/>
  <c r="P253" i="63" s="1"/>
  <c r="R253" i="63"/>
  <c r="M456" i="63"/>
  <c r="P456" i="63" s="1"/>
  <c r="R456" i="63"/>
  <c r="R397" i="63"/>
  <c r="M397" i="63"/>
  <c r="P397" i="63" s="1"/>
  <c r="R255" i="63"/>
  <c r="M255" i="63"/>
  <c r="P255" i="63" s="1"/>
  <c r="M646" i="63"/>
  <c r="P646" i="63" s="1"/>
  <c r="R646" i="63"/>
  <c r="M678" i="63"/>
  <c r="P678" i="63" s="1"/>
  <c r="R678" i="63"/>
  <c r="M415" i="63"/>
  <c r="P415" i="63" s="1"/>
  <c r="R415" i="63"/>
  <c r="M177" i="63"/>
  <c r="P177" i="63" s="1"/>
  <c r="R177" i="63"/>
  <c r="R272" i="63"/>
  <c r="M272" i="63"/>
  <c r="P272" i="63" s="1"/>
  <c r="R371" i="63"/>
  <c r="M371" i="63"/>
  <c r="P371" i="63" s="1"/>
  <c r="R183" i="63"/>
  <c r="M183" i="63"/>
  <c r="P183" i="63" s="1"/>
  <c r="M172" i="63"/>
  <c r="P172" i="63" s="1"/>
  <c r="R172" i="63"/>
  <c r="R524" i="63"/>
  <c r="M524" i="63"/>
  <c r="P524" i="63" s="1"/>
  <c r="R370" i="63"/>
  <c r="M370" i="63"/>
  <c r="P370" i="63" s="1"/>
  <c r="M473" i="63"/>
  <c r="P473" i="63" s="1"/>
  <c r="R473" i="63"/>
  <c r="R639" i="63"/>
  <c r="M639" i="63"/>
  <c r="P639" i="63" s="1"/>
  <c r="R303" i="63"/>
  <c r="M303" i="63"/>
  <c r="P303" i="63" s="1"/>
  <c r="M112" i="63"/>
  <c r="P112" i="63" s="1"/>
  <c r="R112" i="63"/>
  <c r="R175" i="63"/>
  <c r="M175" i="63"/>
  <c r="P175" i="63" s="1"/>
  <c r="M121" i="63"/>
  <c r="P121" i="63" s="1"/>
  <c r="R121" i="63"/>
  <c r="M124" i="63"/>
  <c r="P124" i="63" s="1"/>
  <c r="R124" i="63"/>
  <c r="R228" i="63"/>
  <c r="M228" i="63"/>
  <c r="P228" i="63" s="1"/>
  <c r="M626" i="63"/>
  <c r="P626" i="63" s="1"/>
  <c r="R626" i="63"/>
  <c r="R570" i="63"/>
  <c r="M570" i="63"/>
  <c r="P570" i="63" s="1"/>
  <c r="M81" i="63"/>
  <c r="P81" i="63" s="1"/>
  <c r="R81" i="63"/>
  <c r="P540" i="63"/>
  <c r="R299" i="63"/>
  <c r="M299" i="63"/>
  <c r="P299" i="63" s="1"/>
  <c r="R492" i="63"/>
  <c r="M492" i="63"/>
  <c r="P492" i="63" s="1"/>
  <c r="R494" i="63"/>
  <c r="M494" i="63"/>
  <c r="P494" i="63" s="1"/>
  <c r="M306" i="63"/>
  <c r="P306" i="63" s="1"/>
  <c r="R306" i="63"/>
  <c r="M368" i="63"/>
  <c r="P368" i="63" s="1"/>
  <c r="R368" i="63"/>
  <c r="M216" i="63"/>
  <c r="P216" i="63" s="1"/>
  <c r="R216" i="63"/>
  <c r="M369" i="63"/>
  <c r="P369" i="63" s="1"/>
  <c r="R369" i="63"/>
  <c r="R122" i="63"/>
  <c r="M122" i="63"/>
  <c r="P122" i="63" s="1"/>
  <c r="M595" i="63"/>
  <c r="P595" i="63" s="1"/>
  <c r="R595" i="63"/>
  <c r="M275" i="63"/>
  <c r="P275" i="63" s="1"/>
  <c r="R275" i="63"/>
  <c r="R199" i="63"/>
  <c r="M199" i="63"/>
  <c r="P199" i="63" s="1"/>
  <c r="M135" i="63"/>
  <c r="P135" i="63" s="1"/>
  <c r="R135" i="63"/>
  <c r="M503" i="63"/>
  <c r="P503" i="63" s="1"/>
  <c r="R503" i="63"/>
  <c r="R317" i="63"/>
  <c r="M317" i="63"/>
  <c r="P317" i="63" s="1"/>
  <c r="R442" i="63"/>
  <c r="M442" i="63"/>
  <c r="P442" i="63" s="1"/>
  <c r="M333" i="63"/>
  <c r="P333" i="63" s="1"/>
  <c r="R333" i="63"/>
  <c r="M221" i="63"/>
  <c r="P221" i="63" s="1"/>
  <c r="R221" i="63"/>
  <c r="R319" i="63"/>
  <c r="M319" i="63"/>
  <c r="P319" i="63" s="1"/>
  <c r="R581" i="63"/>
  <c r="M581" i="63"/>
  <c r="P581" i="63" s="1"/>
  <c r="M452" i="63"/>
  <c r="P452" i="63" s="1"/>
  <c r="R452" i="63"/>
  <c r="M543" i="63"/>
  <c r="P543" i="63" s="1"/>
  <c r="R543" i="63"/>
  <c r="M656" i="63"/>
  <c r="P656" i="63" s="1"/>
  <c r="R656" i="63"/>
  <c r="R97" i="63"/>
  <c r="M97" i="63"/>
  <c r="P97" i="63" s="1"/>
  <c r="M190" i="63"/>
  <c r="P190" i="63" s="1"/>
  <c r="R190" i="63"/>
  <c r="M182" i="63"/>
  <c r="P182" i="63" s="1"/>
  <c r="R182" i="63"/>
  <c r="M410" i="63"/>
  <c r="P410" i="63" s="1"/>
  <c r="R410" i="63"/>
  <c r="M131" i="63"/>
  <c r="P131" i="63" s="1"/>
  <c r="R131" i="63"/>
  <c r="R398" i="63"/>
  <c r="M398" i="63"/>
  <c r="P398" i="63" s="1"/>
  <c r="M588" i="63"/>
  <c r="P588" i="63" s="1"/>
  <c r="R588" i="63"/>
  <c r="R132" i="63"/>
  <c r="M132" i="63"/>
  <c r="P132" i="63" s="1"/>
  <c r="R495" i="63"/>
  <c r="M495" i="63"/>
  <c r="P495" i="63" s="1"/>
  <c r="R252" i="63"/>
  <c r="M252" i="63"/>
  <c r="P252" i="63" s="1"/>
  <c r="M82" i="63"/>
  <c r="P82" i="63" s="1"/>
  <c r="R82" i="63"/>
  <c r="M507" i="63"/>
  <c r="P507" i="63" s="1"/>
  <c r="R507" i="63"/>
  <c r="M270" i="63"/>
  <c r="P270" i="63" s="1"/>
  <c r="R270" i="63"/>
  <c r="M310" i="63"/>
  <c r="P310" i="63" s="1"/>
  <c r="R310" i="63"/>
  <c r="M663" i="63"/>
  <c r="P663" i="63" s="1"/>
  <c r="R663" i="63"/>
  <c r="R64" i="63"/>
  <c r="M64" i="63"/>
  <c r="P64" i="63" s="1"/>
  <c r="M277" i="63"/>
  <c r="P277" i="63" s="1"/>
  <c r="R277" i="63"/>
  <c r="M138" i="63"/>
  <c r="P138" i="63" s="1"/>
  <c r="R138" i="63"/>
  <c r="M600" i="63"/>
  <c r="P600" i="63" s="1"/>
  <c r="R600" i="63"/>
  <c r="R447" i="63"/>
  <c r="M447" i="63"/>
  <c r="P447" i="63" s="1"/>
  <c r="M238" i="63"/>
  <c r="P238" i="63" s="1"/>
  <c r="R238" i="63"/>
  <c r="R51" i="63"/>
  <c r="M51" i="63"/>
  <c r="P51" i="63" s="1"/>
  <c r="R207" i="63"/>
  <c r="M207" i="63"/>
  <c r="P207" i="63" s="1"/>
  <c r="M249" i="63"/>
  <c r="P249" i="63" s="1"/>
  <c r="R249" i="63"/>
  <c r="R630" i="63"/>
  <c r="M630" i="63"/>
  <c r="P630" i="63" s="1"/>
  <c r="M114" i="63"/>
  <c r="R114" i="63"/>
  <c r="R585" i="63"/>
  <c r="M585" i="63"/>
  <c r="P585" i="63" s="1"/>
  <c r="R184" i="63"/>
  <c r="M184" i="63"/>
  <c r="P184" i="63" s="1"/>
  <c r="R558" i="63"/>
  <c r="M558" i="63"/>
  <c r="P558" i="63" s="1"/>
  <c r="R450" i="63"/>
  <c r="M450" i="63"/>
  <c r="P450" i="63" s="1"/>
  <c r="R467" i="63"/>
  <c r="M467" i="63"/>
  <c r="P467" i="63" s="1"/>
  <c r="R237" i="63"/>
  <c r="M237" i="63"/>
  <c r="P237" i="63" s="1"/>
  <c r="R94" i="63"/>
  <c r="M94" i="63"/>
  <c r="P94" i="63" s="1"/>
  <c r="M204" i="63"/>
  <c r="P204" i="63" s="1"/>
  <c r="R204" i="63"/>
  <c r="M458" i="63"/>
  <c r="P458" i="63" s="1"/>
  <c r="R458" i="63"/>
  <c r="M292" i="63"/>
  <c r="P292" i="63" s="1"/>
  <c r="R292" i="63"/>
  <c r="M231" i="63"/>
  <c r="P231" i="63" s="1"/>
  <c r="R231" i="63"/>
  <c r="M498" i="63"/>
  <c r="P498" i="63" s="1"/>
  <c r="R498" i="63"/>
  <c r="M251" i="63"/>
  <c r="P251" i="63" s="1"/>
  <c r="R251" i="63"/>
  <c r="M634" i="63"/>
  <c r="P634" i="63" s="1"/>
  <c r="R634" i="63"/>
  <c r="M592" i="63"/>
  <c r="P592" i="63" s="1"/>
  <c r="R592" i="63"/>
  <c r="R515" i="63"/>
  <c r="M515" i="63"/>
  <c r="P515" i="63" s="1"/>
  <c r="M205" i="63"/>
  <c r="P205" i="63" s="1"/>
  <c r="R205" i="63"/>
  <c r="R658" i="63"/>
  <c r="M658" i="63"/>
  <c r="P658" i="63" s="1"/>
  <c r="M348" i="63"/>
  <c r="P348" i="63" s="1"/>
  <c r="R348" i="63"/>
  <c r="M376" i="63"/>
  <c r="P376" i="63" s="1"/>
  <c r="R376" i="63"/>
  <c r="M215" i="63"/>
  <c r="P215" i="63" s="1"/>
  <c r="R215" i="63"/>
  <c r="R99" i="63"/>
  <c r="M99" i="63"/>
  <c r="P99" i="63" s="1"/>
  <c r="M283" i="63"/>
  <c r="P283" i="63" s="1"/>
  <c r="R283" i="63"/>
  <c r="R198" i="63"/>
  <c r="M198" i="63"/>
  <c r="P198" i="63" s="1"/>
  <c r="R550" i="63"/>
  <c r="M550" i="63"/>
  <c r="P550" i="63" s="1"/>
  <c r="M178" i="63"/>
  <c r="P178" i="63" s="1"/>
  <c r="R178" i="63"/>
  <c r="R392" i="63"/>
  <c r="M392" i="63"/>
  <c r="P392" i="63" s="1"/>
  <c r="R522" i="63"/>
  <c r="M522" i="63"/>
  <c r="P522" i="63" s="1"/>
  <c r="M660" i="63"/>
  <c r="P660" i="63" s="1"/>
  <c r="R660" i="63"/>
  <c r="R179" i="63"/>
  <c r="M179" i="63"/>
  <c r="P179" i="63" s="1"/>
  <c r="R586" i="63"/>
  <c r="M586" i="63"/>
  <c r="P586" i="63" s="1"/>
  <c r="R619" i="63"/>
  <c r="M619" i="63"/>
  <c r="P619" i="63" s="1"/>
  <c r="R674" i="63"/>
  <c r="M674" i="63"/>
  <c r="P674" i="63" s="1"/>
  <c r="R281" i="63" l="1"/>
  <c r="N10" i="67"/>
  <c r="N16" i="67" s="1"/>
  <c r="M682" i="63"/>
  <c r="P114" i="63"/>
  <c r="J9" i="67"/>
  <c r="P266" i="63"/>
  <c r="B16" i="65"/>
  <c r="D24" i="65" s="1"/>
  <c r="N10" i="65"/>
  <c r="B12" i="65"/>
  <c r="L9" i="67"/>
  <c r="M9" i="67"/>
  <c r="P396" i="63"/>
  <c r="I9" i="67"/>
  <c r="N12" i="67" l="1"/>
  <c r="I15" i="67"/>
  <c r="I17" i="67" s="1"/>
  <c r="I12" i="67"/>
  <c r="N12" i="65"/>
  <c r="N16" i="65"/>
  <c r="M15" i="67"/>
  <c r="M17" i="67" s="1"/>
  <c r="M12" i="67"/>
  <c r="J15" i="67"/>
  <c r="J17" i="67" s="1"/>
  <c r="J12" i="67"/>
  <c r="N9" i="67"/>
  <c r="N15" i="67" s="1"/>
  <c r="N17" i="67" s="1"/>
  <c r="B9" i="65"/>
  <c r="L15" i="67"/>
  <c r="L17" i="67" s="1"/>
  <c r="L12" i="67"/>
  <c r="N9" i="65" l="1"/>
  <c r="N15" i="65" s="1"/>
  <c r="N17" i="65" s="1"/>
  <c r="B15" i="65"/>
  <c r="B17" i="65" l="1"/>
  <c r="C24" i="65"/>
  <c r="AO127" i="8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Maritza Romero</author>
  </authors>
  <commentList>
    <comment ref="Y16" authorId="0" shapeId="0" xr:uid="{00000000-0006-0000-0000-000001000000}">
      <text>
        <r>
          <rPr>
            <b/>
            <sz val="9"/>
            <color indexed="81"/>
            <rFont val="Tahoma"/>
            <family val="2"/>
          </rPr>
          <t>Maritza Romero:</t>
        </r>
        <r>
          <rPr>
            <sz val="9"/>
            <color indexed="81"/>
            <rFont val="Tahoma"/>
            <family val="2"/>
          </rPr>
          <t xml:space="preserve">
punto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Fabiola Katawra</author>
  </authors>
  <commentList>
    <comment ref="B44" authorId="0" shapeId="0" xr:uid="{00000000-0006-0000-0600-000001000000}">
      <text>
        <r>
          <rPr>
            <b/>
            <sz val="9"/>
            <color indexed="81"/>
            <rFont val="Tahoma"/>
            <family val="2"/>
          </rPr>
          <t>Fabiola Katawra:</t>
        </r>
        <r>
          <rPr>
            <sz val="9"/>
            <color indexed="81"/>
            <rFont val="Tahoma"/>
            <family val="2"/>
          </rPr>
          <t xml:space="preserve">
COIL SOBRANTE
</t>
        </r>
      </text>
    </comment>
    <comment ref="B52" authorId="0" shapeId="0" xr:uid="{00000000-0006-0000-0600-000002000000}">
      <text>
        <r>
          <rPr>
            <b/>
            <sz val="9"/>
            <color indexed="81"/>
            <rFont val="Tahoma"/>
            <family val="2"/>
          </rPr>
          <t>Fabiola Katawra:</t>
        </r>
        <r>
          <rPr>
            <sz val="9"/>
            <color indexed="81"/>
            <rFont val="Tahoma"/>
            <family val="2"/>
          </rPr>
          <t xml:space="preserve">
SOBRANTE DE CORTE</t>
        </r>
      </text>
    </comment>
    <comment ref="D59" authorId="0" shapeId="0" xr:uid="{00000000-0006-0000-0600-000003000000}">
      <text>
        <r>
          <rPr>
            <b/>
            <sz val="9"/>
            <color indexed="81"/>
            <rFont val="Tahoma"/>
            <family val="2"/>
          </rPr>
          <t>Fabiola Katawra:</t>
        </r>
        <r>
          <rPr>
            <sz val="9"/>
            <color indexed="81"/>
            <rFont val="Tahoma"/>
            <family val="2"/>
          </rPr>
          <t xml:space="preserve">
COIL PEGADO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Fabiola Katawra</author>
  </authors>
  <commentList>
    <comment ref="M14" authorId="0" shapeId="0" xr:uid="{106DA4B4-EAB5-4F92-A79D-584FD6AEDFED}">
      <text>
        <r>
          <rPr>
            <b/>
            <sz val="9"/>
            <color indexed="81"/>
            <rFont val="Tahoma"/>
            <family val="2"/>
          </rPr>
          <t>Fabiola Katawra:</t>
        </r>
        <r>
          <rPr>
            <sz val="9"/>
            <color indexed="81"/>
            <rFont val="Tahoma"/>
            <family val="2"/>
          </rPr>
          <t xml:space="preserve">
RW EOL 18 PIEZAS
</t>
        </r>
      </text>
    </comment>
    <comment ref="F16" authorId="0" shapeId="0" xr:uid="{9E1D7163-D7DE-4296-9BF2-478C0B160CD4}">
      <text>
        <r>
          <rPr>
            <b/>
            <sz val="9"/>
            <color indexed="81"/>
            <rFont val="Tahoma"/>
            <family val="2"/>
          </rPr>
          <t>Fabiola Katawra:</t>
        </r>
        <r>
          <rPr>
            <sz val="9"/>
            <color indexed="81"/>
            <rFont val="Tahoma"/>
            <family val="2"/>
          </rPr>
          <t xml:space="preserve">
AJUSTES</t>
        </r>
      </text>
    </comment>
    <comment ref="M20" authorId="0" shapeId="0" xr:uid="{F56B19ED-0CED-42F3-8628-013CC4410EC6}">
      <text>
        <r>
          <rPr>
            <b/>
            <sz val="9"/>
            <color indexed="81"/>
            <rFont val="Tahoma"/>
            <family val="2"/>
          </rPr>
          <t>Fabiola Katawra:</t>
        </r>
        <r>
          <rPr>
            <sz val="9"/>
            <color indexed="81"/>
            <rFont val="Tahoma"/>
            <family val="2"/>
          </rPr>
          <t xml:space="preserve">
141 RW EOL Y CAW</t>
        </r>
      </text>
    </comment>
    <comment ref="M33" authorId="0" shapeId="0" xr:uid="{3B65F7A3-5A7A-4011-B2D6-592A1C5C5009}">
      <text>
        <r>
          <rPr>
            <b/>
            <sz val="9"/>
            <color indexed="81"/>
            <rFont val="Tahoma"/>
            <family val="2"/>
          </rPr>
          <t>Fabiola Katawra:</t>
        </r>
        <r>
          <rPr>
            <sz val="9"/>
            <color indexed="81"/>
            <rFont val="Tahoma"/>
            <family val="2"/>
          </rPr>
          <t xml:space="preserve">
se encuentra defecto de soldarura y se detiene material</t>
        </r>
      </text>
    </comment>
    <comment ref="F55" authorId="0" shapeId="0" xr:uid="{4078F1B8-7249-4788-9CE5-4DD9DE12C033}">
      <text>
        <r>
          <rPr>
            <b/>
            <sz val="9"/>
            <color indexed="81"/>
            <rFont val="Tahoma"/>
            <family val="2"/>
          </rPr>
          <t>Fabiola Katawra:</t>
        </r>
        <r>
          <rPr>
            <sz val="9"/>
            <color indexed="81"/>
            <rFont val="Tahoma"/>
            <family val="2"/>
          </rPr>
          <t xml:space="preserve">
PARO POR CABLE ROTO,</t>
        </r>
      </text>
    </comment>
    <comment ref="E58" authorId="0" shapeId="0" xr:uid="{172914A3-925C-4176-8E88-27E9C9C9F9A7}">
      <text>
        <r>
          <rPr>
            <b/>
            <sz val="9"/>
            <color indexed="81"/>
            <rFont val="Tahoma"/>
            <family val="2"/>
          </rPr>
          <t>Fabiola Katawra:</t>
        </r>
        <r>
          <rPr>
            <sz val="9"/>
            <color indexed="81"/>
            <rFont val="Tahoma"/>
            <family val="2"/>
          </rPr>
          <t xml:space="preserve">
set up y liberacion 022
</t>
        </r>
      </text>
    </comment>
    <comment ref="M64" authorId="0" shapeId="0" xr:uid="{E1159A52-6FE8-4F6A-AAED-4DD09A80A1C9}">
      <text>
        <r>
          <rPr>
            <b/>
            <sz val="9"/>
            <color indexed="81"/>
            <rFont val="Tahoma"/>
            <family val="2"/>
          </rPr>
          <t>Fabiola Katawra:</t>
        </r>
        <r>
          <rPr>
            <sz val="9"/>
            <color indexed="81"/>
            <rFont val="Tahoma"/>
            <family val="2"/>
          </rPr>
          <t xml:space="preserve">
231 de retrabajo</t>
        </r>
      </text>
    </comment>
    <comment ref="F71" authorId="0" shapeId="0" xr:uid="{C2E2828F-8363-41AA-9156-98A23CD87FCD}">
      <text>
        <r>
          <rPr>
            <b/>
            <sz val="9"/>
            <color indexed="81"/>
            <rFont val="Tahoma"/>
            <family val="2"/>
          </rPr>
          <t>Fabiola Katawra:</t>
        </r>
        <r>
          <rPr>
            <sz val="9"/>
            <color indexed="81"/>
            <rFont val="Tahoma"/>
            <family val="2"/>
          </rPr>
          <t xml:space="preserve">
AJUSTES</t>
        </r>
      </text>
    </comment>
    <comment ref="E95" authorId="0" shapeId="0" xr:uid="{30146A73-2113-4BCC-9777-C54D2FB2CBA3}">
      <text>
        <r>
          <rPr>
            <b/>
            <sz val="9"/>
            <color indexed="81"/>
            <rFont val="Tahoma"/>
            <family val="2"/>
          </rPr>
          <t>Fabiola Katawra:</t>
        </r>
        <r>
          <rPr>
            <sz val="9"/>
            <color indexed="81"/>
            <rFont val="Tahoma"/>
            <family val="2"/>
          </rPr>
          <t xml:space="preserve">
AJUSTES SOLDADURA
</t>
        </r>
      </text>
    </comment>
    <comment ref="E137" authorId="0" shapeId="0" xr:uid="{82D9D6D1-AB04-401F-8F81-88CE28EB252E}">
      <text>
        <r>
          <rPr>
            <b/>
            <sz val="9"/>
            <color indexed="81"/>
            <rFont val="Tahoma"/>
            <family val="2"/>
          </rPr>
          <t>Fabiola Katawra:</t>
        </r>
        <r>
          <rPr>
            <sz val="9"/>
            <color indexed="81"/>
            <rFont val="Tahoma"/>
            <family val="2"/>
          </rPr>
          <t xml:space="preserve">
SET UP 12:45 AM</t>
        </r>
      </text>
    </comment>
    <comment ref="F173" authorId="0" shapeId="0" xr:uid="{79062CC1-F0AD-4F9C-BFEC-FB2F4EFBB1A2}">
      <text>
        <r>
          <rPr>
            <b/>
            <sz val="9"/>
            <color indexed="81"/>
            <rFont val="Tahoma"/>
            <family val="2"/>
          </rPr>
          <t>Fabiola Katawra:</t>
        </r>
        <r>
          <rPr>
            <sz val="9"/>
            <color indexed="81"/>
            <rFont val="Tahoma"/>
            <family val="2"/>
          </rPr>
          <t xml:space="preserve">
fallas intermitentes
</t>
        </r>
      </text>
    </comment>
    <comment ref="F178" authorId="0" shapeId="0" xr:uid="{CBA8A74F-F771-4A65-9961-C52EE860F6C5}">
      <text>
        <r>
          <rPr>
            <b/>
            <sz val="9"/>
            <color indexed="81"/>
            <rFont val="Tahoma"/>
            <family val="2"/>
          </rPr>
          <t>Fabiola Katawra:</t>
        </r>
        <r>
          <rPr>
            <sz val="9"/>
            <color indexed="81"/>
            <rFont val="Tahoma"/>
            <family val="2"/>
          </rPr>
          <t xml:space="preserve">
problema en la soldadura</t>
        </r>
      </text>
    </comment>
    <comment ref="Z186" authorId="0" shapeId="0" xr:uid="{79E5680B-8904-4A5B-9865-89862633D7F4}">
      <text>
        <r>
          <rPr>
            <b/>
            <sz val="9"/>
            <color indexed="81"/>
            <rFont val="Tahoma"/>
            <family val="2"/>
          </rPr>
          <t>Fabiola Katawra:</t>
        </r>
        <r>
          <rPr>
            <sz val="9"/>
            <color indexed="81"/>
            <rFont val="Tahoma"/>
            <family val="2"/>
          </rPr>
          <t xml:space="preserve">
</t>
        </r>
        <r>
          <rPr>
            <sz val="11"/>
            <color indexed="81"/>
            <rFont val="Tahoma"/>
            <family val="2"/>
          </rPr>
          <t>no contar este material, es lo que se rescato de cada estacion, es lo bueno</t>
        </r>
      </text>
    </comment>
    <comment ref="M199" authorId="0" shapeId="0" xr:uid="{284D2640-BFB5-4079-92BB-6D6F1CC83704}">
      <text>
        <r>
          <rPr>
            <b/>
            <sz val="9"/>
            <color indexed="81"/>
            <rFont val="Tahoma"/>
            <family val="2"/>
          </rPr>
          <t>Fabiola Katawra:</t>
        </r>
        <r>
          <rPr>
            <sz val="9"/>
            <color indexed="81"/>
            <rFont val="Tahoma"/>
            <family val="2"/>
          </rPr>
          <t xml:space="preserve">
67 SRAP DEL RW</t>
        </r>
      </text>
    </comment>
    <comment ref="I270" authorId="0" shapeId="0" xr:uid="{00C50B02-E5CF-4B42-82A1-7A3866E6C4D5}">
      <text>
        <r>
          <rPr>
            <b/>
            <sz val="9"/>
            <color indexed="81"/>
            <rFont val="Tahoma"/>
            <family val="2"/>
          </rPr>
          <t>Fabiola Katawra:</t>
        </r>
        <r>
          <rPr>
            <sz val="9"/>
            <color indexed="81"/>
            <rFont val="Tahoma"/>
            <family val="2"/>
          </rPr>
          <t xml:space="preserve">
NO TRABAJARON POR EL 10 DE MAYO</t>
        </r>
      </text>
    </comment>
    <comment ref="E305" authorId="0" shapeId="0" xr:uid="{9CE47959-6CF2-40A3-9415-54C154B8F1AE}">
      <text>
        <r>
          <rPr>
            <b/>
            <sz val="9"/>
            <color indexed="81"/>
            <rFont val="Tahoma"/>
            <family val="2"/>
          </rPr>
          <t>Fabiola Katawra:</t>
        </r>
        <r>
          <rPr>
            <sz val="9"/>
            <color indexed="81"/>
            <rFont val="Tahoma"/>
            <family val="2"/>
          </rPr>
          <t xml:space="preserve">
LIBERCION</t>
        </r>
      </text>
    </comment>
    <comment ref="D343" authorId="0" shapeId="0" xr:uid="{8DDA1DC9-85C3-4B1B-BE84-DFD5FC32563C}">
      <text>
        <r>
          <rPr>
            <b/>
            <sz val="9"/>
            <color indexed="81"/>
            <rFont val="Tahoma"/>
            <family val="2"/>
          </rPr>
          <t>Fabiola Katawra:</t>
        </r>
        <r>
          <rPr>
            <sz val="9"/>
            <color indexed="81"/>
            <rFont val="Tahoma"/>
            <family val="2"/>
          </rPr>
          <t xml:space="preserve">
RW DE BUCHI, SE ACABO LA GRASA</t>
        </r>
      </text>
    </comment>
    <comment ref="F384" authorId="0" shapeId="0" xr:uid="{79845361-41DE-43E3-A86B-CB0D85BED132}">
      <text>
        <r>
          <rPr>
            <b/>
            <sz val="9"/>
            <color indexed="81"/>
            <rFont val="Tahoma"/>
            <family val="2"/>
          </rPr>
          <t>Fabiola Katawra:</t>
        </r>
        <r>
          <rPr>
            <sz val="9"/>
            <color indexed="81"/>
            <rFont val="Tahoma"/>
            <family val="2"/>
          </rPr>
          <t xml:space="preserve">
problemas con caw</t>
        </r>
      </text>
    </comment>
    <comment ref="E386" authorId="0" shapeId="0" xr:uid="{BAD6ADA8-EF68-4583-9399-846C524ECDBD}">
      <text>
        <r>
          <rPr>
            <b/>
            <sz val="9"/>
            <color indexed="81"/>
            <rFont val="Tahoma"/>
            <family val="2"/>
          </rPr>
          <t>Fabiola Katawra:</t>
        </r>
        <r>
          <rPr>
            <sz val="9"/>
            <color indexed="81"/>
            <rFont val="Tahoma"/>
            <family val="2"/>
          </rPr>
          <t xml:space="preserve">
SET UP 02 GM</t>
        </r>
      </text>
    </comment>
    <comment ref="B394" authorId="0" shapeId="0" xr:uid="{185BCFC8-DE42-4BB4-ACB0-BE34FD001C9F}">
      <text>
        <r>
          <rPr>
            <b/>
            <sz val="9"/>
            <color indexed="81"/>
            <rFont val="Tahoma"/>
            <family val="2"/>
          </rPr>
          <t>Fabiola Katawra:</t>
        </r>
        <r>
          <rPr>
            <sz val="9"/>
            <color indexed="81"/>
            <rFont val="Tahoma"/>
            <family val="2"/>
          </rPr>
          <t xml:space="preserve">
QUEDARON SOLO 85 PIEZAS DEL 022 PARA RW</t>
        </r>
      </text>
    </comment>
    <comment ref="G395" authorId="0" shapeId="0" xr:uid="{E8D104DE-3B7E-491C-AD4A-BE15B89886CB}">
      <text>
        <r>
          <rPr>
            <b/>
            <sz val="9"/>
            <color indexed="81"/>
            <rFont val="Tahoma"/>
            <family val="2"/>
          </rPr>
          <t>Fabiola Katawra:</t>
        </r>
        <r>
          <rPr>
            <sz val="9"/>
            <color indexed="81"/>
            <rFont val="Tahoma"/>
            <family val="2"/>
          </rPr>
          <t xml:space="preserve">
no quedo soldadura</t>
        </r>
      </text>
    </comment>
    <comment ref="F418" authorId="0" shapeId="0" xr:uid="{A98619FE-35D6-4D5D-AF9E-45EECC5928A4}">
      <text>
        <r>
          <rPr>
            <b/>
            <sz val="9"/>
            <color indexed="81"/>
            <rFont val="Tahoma"/>
            <family val="2"/>
          </rPr>
          <t>Fabiola Katawra:</t>
        </r>
        <r>
          <rPr>
            <sz val="9"/>
            <color indexed="81"/>
            <rFont val="Tahoma"/>
            <family val="2"/>
          </rPr>
          <t xml:space="preserve">
FALLA REA CAW</t>
        </r>
      </text>
    </comment>
    <comment ref="M418" authorId="0" shapeId="0" xr:uid="{9084ECD2-98FD-4200-A41D-4E1D2B168DD5}">
      <text>
        <r>
          <rPr>
            <b/>
            <sz val="9"/>
            <color indexed="81"/>
            <rFont val="Tahoma"/>
            <family val="2"/>
          </rPr>
          <t>Fabiola Katawra:</t>
        </r>
        <r>
          <rPr>
            <sz val="9"/>
            <color indexed="81"/>
            <rFont val="Tahoma"/>
            <family val="2"/>
          </rPr>
          <t xml:space="preserve">
EOL</t>
        </r>
      </text>
    </comment>
    <comment ref="M419" authorId="0" shapeId="0" xr:uid="{587BD7F7-4743-413A-A818-71F2773F2D90}">
      <text>
        <r>
          <rPr>
            <b/>
            <sz val="9"/>
            <color indexed="81"/>
            <rFont val="Tahoma"/>
            <family val="2"/>
          </rPr>
          <t>Fabiola Katawra:</t>
        </r>
        <r>
          <rPr>
            <sz val="9"/>
            <color indexed="81"/>
            <rFont val="Tahoma"/>
            <family val="2"/>
          </rPr>
          <t xml:space="preserve">
RETRABAJO CAW Y LEAKTES</t>
        </r>
      </text>
    </comment>
    <comment ref="F424" authorId="0" shapeId="0" xr:uid="{5445C8FC-0736-452C-9368-E3DAC29875E5}">
      <text>
        <r>
          <rPr>
            <b/>
            <sz val="9"/>
            <color indexed="81"/>
            <rFont val="Tahoma"/>
            <family val="2"/>
          </rPr>
          <t>Fabiola Katawra:</t>
        </r>
        <r>
          <rPr>
            <sz val="9"/>
            <color indexed="81"/>
            <rFont val="Tahoma"/>
            <family val="2"/>
          </rPr>
          <t xml:space="preserve">
AJUSTES DE MANTENIMIENTO AL ARRANQUE PO SCRAP</t>
        </r>
      </text>
    </comment>
    <comment ref="F425" authorId="0" shapeId="0" xr:uid="{6B8A757C-C6BF-42A2-9207-6B4CB905BC2B}">
      <text>
        <r>
          <rPr>
            <b/>
            <sz val="9"/>
            <color indexed="81"/>
            <rFont val="Tahoma"/>
            <family val="2"/>
          </rPr>
          <t>Fabiola Katawra:</t>
        </r>
        <r>
          <rPr>
            <sz val="9"/>
            <color indexed="81"/>
            <rFont val="Tahoma"/>
            <family val="2"/>
          </rPr>
          <t xml:space="preserve">
PAROS REPETITIVOS POR MAIN CONVEYOR EN LINEA 1  PRO SINGULATOR Y LOCKING, PAROS EN CHW Y CAW POR SCRAP</t>
        </r>
      </text>
    </comment>
    <comment ref="E428" authorId="0" shapeId="0" xr:uid="{BCCD8FF6-46B7-4D0A-8589-1AD831A33389}">
      <text>
        <r>
          <rPr>
            <b/>
            <sz val="9"/>
            <color indexed="81"/>
            <rFont val="Tahoma"/>
            <family val="2"/>
          </rPr>
          <t>Fabiola Katawra:</t>
        </r>
        <r>
          <rPr>
            <sz val="9"/>
            <color indexed="81"/>
            <rFont val="Tahoma"/>
            <family val="2"/>
          </rPr>
          <t xml:space="preserve">
set up</t>
        </r>
      </text>
    </comment>
    <comment ref="F428" authorId="0" shapeId="0" xr:uid="{390FC193-8533-49C8-AA4D-048AD7F51386}">
      <text>
        <r>
          <rPr>
            <b/>
            <sz val="9"/>
            <color indexed="81"/>
            <rFont val="Tahoma"/>
            <family val="2"/>
          </rPr>
          <t>Fabiola Katawra:</t>
        </r>
        <r>
          <rPr>
            <sz val="9"/>
            <color indexed="81"/>
            <rFont val="Tahoma"/>
            <family val="2"/>
          </rPr>
          <t xml:space="preserve">
problemas con angulo 028</t>
        </r>
      </text>
    </comment>
    <comment ref="E429" authorId="0" shapeId="0" xr:uid="{56D40F02-4DA5-40E8-A582-29C26DFE1EE8}">
      <text>
        <r>
          <rPr>
            <b/>
            <sz val="9"/>
            <color indexed="81"/>
            <rFont val="Tahoma"/>
            <family val="2"/>
          </rPr>
          <t>Fabiola Katawra:</t>
        </r>
        <r>
          <rPr>
            <sz val="9"/>
            <color indexed="81"/>
            <rFont val="Tahoma"/>
            <family val="2"/>
          </rPr>
          <t xml:space="preserve">
liberacion</t>
        </r>
      </text>
    </comment>
    <comment ref="M448" authorId="0" shapeId="0" xr:uid="{CA06F5E9-182D-48DF-BA46-D9C42AA45F75}">
      <text>
        <r>
          <rPr>
            <b/>
            <sz val="9"/>
            <color indexed="81"/>
            <rFont val="Tahoma"/>
            <family val="2"/>
          </rPr>
          <t>Fabiola Katawra:</t>
        </r>
        <r>
          <rPr>
            <sz val="9"/>
            <color indexed="81"/>
            <rFont val="Tahoma"/>
            <family val="2"/>
          </rPr>
          <t xml:space="preserve">
9 LEAK TEST MAS 22 DE OEL</t>
        </r>
      </text>
    </comment>
    <comment ref="M451" authorId="0" shapeId="0" xr:uid="{CEE2853E-CA78-497D-A2C1-BF6F85858666}">
      <text>
        <r>
          <rPr>
            <b/>
            <sz val="9"/>
            <color indexed="81"/>
            <rFont val="Tahoma"/>
            <family val="2"/>
          </rPr>
          <t>Fabiola Katawra:</t>
        </r>
        <r>
          <rPr>
            <sz val="9"/>
            <color indexed="81"/>
            <rFont val="Tahoma"/>
            <family val="2"/>
          </rPr>
          <t xml:space="preserve">
ENTRARON 17 DE LEAKTEST Y 0 SE RESCATARON, 20 BUENAS DE CAW Y 19 BUENAS DE EOL</t>
        </r>
      </text>
    </comment>
    <comment ref="B452" authorId="0" shapeId="0" xr:uid="{53D8EB81-EDB1-429D-A039-92D7AC7C6D56}">
      <text>
        <r>
          <rPr>
            <b/>
            <sz val="9"/>
            <color indexed="81"/>
            <rFont val="Tahoma"/>
            <family val="2"/>
          </rPr>
          <t>Fabiola Katawra:</t>
        </r>
        <r>
          <rPr>
            <sz val="9"/>
            <color indexed="81"/>
            <rFont val="Tahoma"/>
            <family val="2"/>
          </rPr>
          <t xml:space="preserve">
PRUEBA SONOTRODO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Fabiola Katawra</author>
  </authors>
  <commentList>
    <comment ref="G39" authorId="0" shapeId="0" xr:uid="{43C38880-3B65-42BA-A491-6BEFD980AD00}">
      <text>
        <r>
          <rPr>
            <b/>
            <sz val="9"/>
            <color indexed="81"/>
            <rFont val="Tahoma"/>
            <family val="2"/>
          </rPr>
          <t>Fabiola Katawra:</t>
        </r>
        <r>
          <rPr>
            <sz val="9"/>
            <color indexed="81"/>
            <rFont val="Tahoma"/>
            <family val="2"/>
          </rPr>
          <t xml:space="preserve">
cubre moldeo recesos</t>
        </r>
      </text>
    </comment>
    <comment ref="G138" authorId="0" shapeId="0" xr:uid="{BD1D3AF6-FFD4-4E71-B750-8215BD3AD7F6}">
      <text>
        <r>
          <rPr>
            <b/>
            <sz val="9"/>
            <color indexed="81"/>
            <rFont val="Tahoma"/>
            <family val="2"/>
          </rPr>
          <t>Fabiola Katawra:</t>
        </r>
        <r>
          <rPr>
            <sz val="9"/>
            <color indexed="81"/>
            <rFont val="Tahoma"/>
            <family val="2"/>
          </rPr>
          <t xml:space="preserve">
CUBRE MOLDEO</t>
        </r>
      </text>
    </comment>
    <comment ref="S185" authorId="0" shapeId="0" xr:uid="{067F43D8-3A30-492C-B057-D5F05F513846}">
      <text>
        <r>
          <rPr>
            <b/>
            <sz val="9"/>
            <color indexed="81"/>
            <rFont val="Tahoma"/>
            <family val="2"/>
          </rPr>
          <t>Fabiola Katawra:</t>
        </r>
        <r>
          <rPr>
            <sz val="9"/>
            <color indexed="81"/>
            <rFont val="Tahoma"/>
            <family val="2"/>
          </rPr>
          <t xml:space="preserve">
marcadas</t>
        </r>
      </text>
    </comment>
  </commentList>
</comments>
</file>

<file path=xl/sharedStrings.xml><?xml version="1.0" encoding="utf-8"?>
<sst xmlns="http://schemas.openxmlformats.org/spreadsheetml/2006/main" count="5005" uniqueCount="2611">
  <si>
    <t>DISPONIBILIDAD</t>
  </si>
  <si>
    <t>RENDIMIENTO</t>
  </si>
  <si>
    <t>CALIDAD</t>
  </si>
  <si>
    <t>TIEMPO OPERATIVO</t>
  </si>
  <si>
    <t>TIEMPO PLANIFICADO</t>
  </si>
  <si>
    <t xml:space="preserve">TIEMPOS CAIDOS </t>
  </si>
  <si>
    <t>PIEZAS PRODUCIDAS</t>
  </si>
  <si>
    <t>ESTANDAR</t>
  </si>
  <si>
    <t>MIN X HORAS</t>
  </si>
  <si>
    <t xml:space="preserve">PIEZAS BUENAS </t>
  </si>
  <si>
    <t>OEE</t>
  </si>
  <si>
    <t>RESULTADO</t>
  </si>
  <si>
    <t>FECHA</t>
  </si>
  <si>
    <t>LIBERACION SET UP</t>
  </si>
  <si>
    <t>MATERIALES  OTROS</t>
  </si>
  <si>
    <t>TURNO</t>
  </si>
  <si>
    <t xml:space="preserve">ESTUDIO DE TIEMPOS </t>
  </si>
  <si>
    <t xml:space="preserve">PROCESO DE PRODUCCION </t>
  </si>
  <si>
    <t xml:space="preserve">HORA INICIO </t>
  </si>
  <si>
    <t xml:space="preserve">HORA PARO </t>
  </si>
  <si>
    <t xml:space="preserve">TIEMPO CAIDO </t>
  </si>
  <si>
    <t>HORA ENTREGA A CALIDAD</t>
  </si>
  <si>
    <t>RESULTADO DE CALIDAD</t>
  </si>
  <si>
    <t>HORA DE ENTREGA DE CALIDAD A PRODUCCION</t>
  </si>
  <si>
    <t>TECNICO DE CALIDAD</t>
  </si>
  <si>
    <t xml:space="preserve">AJUSTES POR PROCESOS </t>
  </si>
  <si>
    <t>fecha</t>
  </si>
  <si>
    <t>P/N</t>
  </si>
  <si>
    <t>PZ/h</t>
  </si>
  <si>
    <t>OP1</t>
  </si>
  <si>
    <t>OP2</t>
  </si>
  <si>
    <t>OP3</t>
  </si>
  <si>
    <t>Numero OP</t>
  </si>
  <si>
    <t xml:space="preserve">Speed Factor </t>
  </si>
  <si>
    <t xml:space="preserve">Availability </t>
  </si>
  <si>
    <t xml:space="preserve">Jan </t>
  </si>
  <si>
    <t>Feb</t>
  </si>
  <si>
    <t xml:space="preserve">March </t>
  </si>
  <si>
    <t xml:space="preserve">April </t>
  </si>
  <si>
    <t xml:space="preserve">May </t>
  </si>
  <si>
    <t xml:space="preserve">June </t>
  </si>
  <si>
    <t xml:space="preserve">July </t>
  </si>
  <si>
    <t xml:space="preserve">August </t>
  </si>
  <si>
    <t>Sept</t>
  </si>
  <si>
    <t xml:space="preserve">Oct </t>
  </si>
  <si>
    <t xml:space="preserve">Nov </t>
  </si>
  <si>
    <t xml:space="preserve">Dec </t>
  </si>
  <si>
    <t>Total parts produced</t>
  </si>
  <si>
    <t>Parts n.c</t>
  </si>
  <si>
    <t xml:space="preserve">Parts ok </t>
  </si>
  <si>
    <t>( Hours ) Lost</t>
  </si>
  <si>
    <t>PPM</t>
  </si>
  <si>
    <t>Quality rate</t>
  </si>
  <si>
    <t xml:space="preserve"> .</t>
  </si>
  <si>
    <t>MIN</t>
  </si>
  <si>
    <t>PRODUCCION</t>
  </si>
  <si>
    <t>NOTAS</t>
  </si>
  <si>
    <t>DESCRIPTION</t>
  </si>
  <si>
    <t>140-0025-00</t>
  </si>
  <si>
    <t>140-0022-00</t>
  </si>
  <si>
    <t>140-0023-00</t>
  </si>
  <si>
    <t>MTTO</t>
  </si>
  <si>
    <t>PROCESO</t>
  </si>
  <si>
    <t>TIEMPO CALCULADO</t>
  </si>
  <si>
    <t xml:space="preserve">TIEMPO EXTRA </t>
  </si>
  <si>
    <t>SET UP</t>
  </si>
  <si>
    <t>Pruebas de calidad</t>
  </si>
  <si>
    <t>SCRAP</t>
  </si>
  <si>
    <t>01-002-CM</t>
  </si>
  <si>
    <t>01-001-BT</t>
  </si>
  <si>
    <t>01-002-BT</t>
  </si>
  <si>
    <t>01-001-CM</t>
  </si>
  <si>
    <t>18004702-CM</t>
  </si>
  <si>
    <t>18004702-BT</t>
  </si>
  <si>
    <t>REF VLOOK UP</t>
  </si>
  <si>
    <t>140-0022-00-BT</t>
  </si>
  <si>
    <t>140-0077-00-BT</t>
  </si>
  <si>
    <t>140-0078-00-BT</t>
  </si>
  <si>
    <t>140-0025-00-BT</t>
  </si>
  <si>
    <t>140-0081-00</t>
  </si>
  <si>
    <t>18013201-CM</t>
  </si>
  <si>
    <t>140-0059-00</t>
  </si>
  <si>
    <t>01-003</t>
  </si>
  <si>
    <t>18013201-BT</t>
  </si>
  <si>
    <t>140-0049-00-BT</t>
  </si>
  <si>
    <t>140-0076-00</t>
  </si>
  <si>
    <t>140-0062-00</t>
  </si>
  <si>
    <t>140-0047-00</t>
  </si>
  <si>
    <t>140-0050-00-BT</t>
  </si>
  <si>
    <t>140-0051-00-BT</t>
  </si>
  <si>
    <t>140-0053-00-BT</t>
  </si>
  <si>
    <t>140-0052-00-BT</t>
  </si>
  <si>
    <t>140-0076-01-BT</t>
  </si>
  <si>
    <t>140-0061-01-BT</t>
  </si>
  <si>
    <t>140-0064-01-BT</t>
  </si>
  <si>
    <t>140-0057-00-BT</t>
  </si>
  <si>
    <t>140-0056-00-BT</t>
  </si>
  <si>
    <t>140-0055-00-BT</t>
  </si>
  <si>
    <t>140-0062-01-BT</t>
  </si>
  <si>
    <t>140-0054-00-BT</t>
  </si>
  <si>
    <t>140-0082-00-BT</t>
  </si>
  <si>
    <t>140-0063-01-BT</t>
  </si>
  <si>
    <t>140-0076-00-BT</t>
  </si>
  <si>
    <t>140-0061-00</t>
  </si>
  <si>
    <t>140-0077-00-CM</t>
  </si>
  <si>
    <t>140-0055-00-CM</t>
  </si>
  <si>
    <t>140-0054-00-CM</t>
  </si>
  <si>
    <t>140-0078-00-CM</t>
  </si>
  <si>
    <t>140-0062-01-CM</t>
  </si>
  <si>
    <t>140-0061-01-CM</t>
  </si>
  <si>
    <t>140-0076-01-CM</t>
  </si>
  <si>
    <t>140-0056-00-CM</t>
  </si>
  <si>
    <t>140-0052-00-CM</t>
  </si>
  <si>
    <t>140-0061-00-CM</t>
  </si>
  <si>
    <t>PART NUMBER</t>
  </si>
  <si>
    <t>01-001-SS</t>
  </si>
  <si>
    <t>01-001-BT2</t>
  </si>
  <si>
    <t>01-001-SS1</t>
  </si>
  <si>
    <t>01-001-SS2</t>
  </si>
  <si>
    <t>01-002-BT2</t>
  </si>
  <si>
    <t>01-003-CM</t>
  </si>
  <si>
    <t>01-004-BT</t>
  </si>
  <si>
    <t>01-004-CM</t>
  </si>
  <si>
    <t>01-005-BT</t>
  </si>
  <si>
    <t>01-005-CM</t>
  </si>
  <si>
    <t>01-006-SS</t>
  </si>
  <si>
    <t>025-0000-00-WL</t>
  </si>
  <si>
    <t>025-0000-01</t>
  </si>
  <si>
    <t>025-0000-02</t>
  </si>
  <si>
    <t>025-0001-00-WL</t>
  </si>
  <si>
    <t>025-0007-00-WL</t>
  </si>
  <si>
    <t>025-0008-00-WL</t>
  </si>
  <si>
    <t>1295-0045-BT</t>
  </si>
  <si>
    <t>1295-0045-CM</t>
  </si>
  <si>
    <t>1295-0054-BT</t>
  </si>
  <si>
    <t>1295-0054-CM</t>
  </si>
  <si>
    <t>1295-0082-BT</t>
  </si>
  <si>
    <t>1295-0082-CM</t>
  </si>
  <si>
    <t>1295-0398-BT</t>
  </si>
  <si>
    <t>1295-0398-CM</t>
  </si>
  <si>
    <t>1295-0491-BT</t>
  </si>
  <si>
    <t>1295-0491-CM</t>
  </si>
  <si>
    <t>140-0004-00-BT</t>
  </si>
  <si>
    <t>140-0004-00-CM</t>
  </si>
  <si>
    <t>140-0005-00-BT</t>
  </si>
  <si>
    <t>140-0005-00-CM</t>
  </si>
  <si>
    <t>140-0006-00-BT</t>
  </si>
  <si>
    <t>140-0006-00-CM</t>
  </si>
  <si>
    <t>140-0008-00-BT</t>
  </si>
  <si>
    <t>140-0008-00-CM</t>
  </si>
  <si>
    <t>140-0009-00-BT</t>
  </si>
  <si>
    <t>140-0009-00-CM</t>
  </si>
  <si>
    <t>140-0012-00-BT</t>
  </si>
  <si>
    <t>140-0012-00-CM</t>
  </si>
  <si>
    <t>140-0013-00-BT</t>
  </si>
  <si>
    <t>140-0013-00-CM</t>
  </si>
  <si>
    <t>140-0014-00-BT</t>
  </si>
  <si>
    <t>140-0014-00-CM</t>
  </si>
  <si>
    <t>140-0015-00-BT</t>
  </si>
  <si>
    <t>140-0015-00-CM</t>
  </si>
  <si>
    <t>140-0018-00-CM</t>
  </si>
  <si>
    <t>140-0019-00-CM</t>
  </si>
  <si>
    <t>140-0020-00-BT</t>
  </si>
  <si>
    <t>140-0020-00-CM</t>
  </si>
  <si>
    <t>140-0021-00-CM</t>
  </si>
  <si>
    <t>140-0022-00-CM</t>
  </si>
  <si>
    <t>140-0022-00-ST</t>
  </si>
  <si>
    <t>140-0023-00-BT</t>
  </si>
  <si>
    <t>140-0023-00-CM</t>
  </si>
  <si>
    <t>140-0023-00-SS</t>
  </si>
  <si>
    <t>140-0023-00-ST</t>
  </si>
  <si>
    <t>140-0025-00-CM</t>
  </si>
  <si>
    <t>140-0025-00-ST</t>
  </si>
  <si>
    <t>140-0027-00-CM</t>
  </si>
  <si>
    <t>140-0033-00</t>
  </si>
  <si>
    <t>140-0033-00-CM</t>
  </si>
  <si>
    <t>140-0034-00</t>
  </si>
  <si>
    <t>140-0034-00-CM</t>
  </si>
  <si>
    <t>140-0039-00-CM</t>
  </si>
  <si>
    <t>140-0040-00</t>
  </si>
  <si>
    <t>140-0040-00-CM</t>
  </si>
  <si>
    <t>140-0041-00</t>
  </si>
  <si>
    <t>140-0042-00</t>
  </si>
  <si>
    <t>140-0042-00-CM</t>
  </si>
  <si>
    <t>140-0043-00</t>
  </si>
  <si>
    <t>140-0043-00-CM</t>
  </si>
  <si>
    <t>140-0044-00</t>
  </si>
  <si>
    <t>140-0044-00-CM</t>
  </si>
  <si>
    <t>140-0049-00-CM</t>
  </si>
  <si>
    <t>140-0050-00-CM</t>
  </si>
  <si>
    <t>140-0051-00-CM</t>
  </si>
  <si>
    <t>140-0053-00-CM</t>
  </si>
  <si>
    <t>140-0057-00-CM</t>
  </si>
  <si>
    <t>140-0059-00-BT</t>
  </si>
  <si>
    <t>140-0059-00-CM</t>
  </si>
  <si>
    <t>140-0060-00-CM</t>
  </si>
  <si>
    <t>140-0061-00-BT</t>
  </si>
  <si>
    <t>140-0062-00-CM</t>
  </si>
  <si>
    <t>140-0063-01-CM</t>
  </si>
  <si>
    <t>140-0064-01-CM</t>
  </si>
  <si>
    <t>140-0075-00</t>
  </si>
  <si>
    <t>140-0076-00-CM</t>
  </si>
  <si>
    <t>140-0079-01-CM</t>
  </si>
  <si>
    <t>140-0080-00-CM</t>
  </si>
  <si>
    <t>140-0082-00-CM</t>
  </si>
  <si>
    <t>140-0084-01-BT</t>
  </si>
  <si>
    <t>140-0084-01-CM</t>
  </si>
  <si>
    <t>140-0084-01-WL</t>
  </si>
  <si>
    <t>140-0085-01-BT</t>
  </si>
  <si>
    <t>140-0085-01-CM</t>
  </si>
  <si>
    <t>140-0085-01-WL</t>
  </si>
  <si>
    <t>140-0088-00-CM</t>
  </si>
  <si>
    <t>140-0091-00-CM</t>
  </si>
  <si>
    <t>140-0094-00-CM</t>
  </si>
  <si>
    <t>143-0074-10</t>
  </si>
  <si>
    <t>143-0190-20</t>
  </si>
  <si>
    <t>145-0761-00</t>
  </si>
  <si>
    <t>145-0762-00</t>
  </si>
  <si>
    <t>148-4702-00</t>
  </si>
  <si>
    <t>148-4703-00</t>
  </si>
  <si>
    <t>148-4704-00</t>
  </si>
  <si>
    <t>148-4704-00-ST</t>
  </si>
  <si>
    <t>148-4705-00</t>
  </si>
  <si>
    <t>148-4706-10</t>
  </si>
  <si>
    <t>148-4707-10</t>
  </si>
  <si>
    <t>148-4708-10</t>
  </si>
  <si>
    <t>148-4708-10-PC</t>
  </si>
  <si>
    <t>148-4709-00</t>
  </si>
  <si>
    <t>148-4710-00</t>
  </si>
  <si>
    <t>148-4711-00</t>
  </si>
  <si>
    <t>17444-BT</t>
  </si>
  <si>
    <t>17444-CM</t>
  </si>
  <si>
    <t>1800350-BT</t>
  </si>
  <si>
    <t>1800350-CM</t>
  </si>
  <si>
    <t>18501652001GR</t>
  </si>
  <si>
    <t>18501652001VF</t>
  </si>
  <si>
    <t>18511652002GR</t>
  </si>
  <si>
    <t>18511652002VF</t>
  </si>
  <si>
    <t>18918-CM</t>
  </si>
  <si>
    <t>18920-BT</t>
  </si>
  <si>
    <t>18920-CM</t>
  </si>
  <si>
    <t>18921-BT</t>
  </si>
  <si>
    <t>18921-CM</t>
  </si>
  <si>
    <t>18922-BT</t>
  </si>
  <si>
    <t>18922-CM</t>
  </si>
  <si>
    <t>18924-BT</t>
  </si>
  <si>
    <t>18924-CM</t>
  </si>
  <si>
    <t>18926-BT</t>
  </si>
  <si>
    <t>18926-CM</t>
  </si>
  <si>
    <t>18927-BT</t>
  </si>
  <si>
    <t>18927-CM</t>
  </si>
  <si>
    <t>18928-BT</t>
  </si>
  <si>
    <t>18928-CM</t>
  </si>
  <si>
    <t>19039-CM</t>
  </si>
  <si>
    <t>19162-BT</t>
  </si>
  <si>
    <t>19162-CM</t>
  </si>
  <si>
    <t>19525-CM</t>
  </si>
  <si>
    <t>19526-BT</t>
  </si>
  <si>
    <t>19526-CM</t>
  </si>
  <si>
    <t>19528-BT</t>
  </si>
  <si>
    <t>19528-CM</t>
  </si>
  <si>
    <t>19528-WL</t>
  </si>
  <si>
    <t>201243022-ST</t>
  </si>
  <si>
    <t>201277022-ST</t>
  </si>
  <si>
    <t>201277022-ST2</t>
  </si>
  <si>
    <t>201277022-VF</t>
  </si>
  <si>
    <t>201278018-ST</t>
  </si>
  <si>
    <t>201287000-ST</t>
  </si>
  <si>
    <t>201336022-ST</t>
  </si>
  <si>
    <t>201336022-VF</t>
  </si>
  <si>
    <t>201343022-ST</t>
  </si>
  <si>
    <t>201368022-ST</t>
  </si>
  <si>
    <t>201407022-ST</t>
  </si>
  <si>
    <t>201407022-VF</t>
  </si>
  <si>
    <t>201453072-ST</t>
  </si>
  <si>
    <t>201453072-VF</t>
  </si>
  <si>
    <t>201454081-ST</t>
  </si>
  <si>
    <t>201454081-VF</t>
  </si>
  <si>
    <t>201455022-ST</t>
  </si>
  <si>
    <t>201455022-VF</t>
  </si>
  <si>
    <t>201707022-ST</t>
  </si>
  <si>
    <t>201708022-ST</t>
  </si>
  <si>
    <t>201708022-VF</t>
  </si>
  <si>
    <t>201713022-ST</t>
  </si>
  <si>
    <t>201713022-VF</t>
  </si>
  <si>
    <t>201714022-ST</t>
  </si>
  <si>
    <t>201714022-VF</t>
  </si>
  <si>
    <t>201715022-ST</t>
  </si>
  <si>
    <t>201715022-VF</t>
  </si>
  <si>
    <t>201716022-ST</t>
  </si>
  <si>
    <t>201721022-ST</t>
  </si>
  <si>
    <t>201721022-VF</t>
  </si>
  <si>
    <t>201738022-ST</t>
  </si>
  <si>
    <t>201752022-ST</t>
  </si>
  <si>
    <t>201752022-VF</t>
  </si>
  <si>
    <t>201753022-ST</t>
  </si>
  <si>
    <t>201753022-VF</t>
  </si>
  <si>
    <t>201759022-ST</t>
  </si>
  <si>
    <t>201759022-VF</t>
  </si>
  <si>
    <t>201766022-ST</t>
  </si>
  <si>
    <t>201766022-VF</t>
  </si>
  <si>
    <t>202091022-ST</t>
  </si>
  <si>
    <t>202700084-BT</t>
  </si>
  <si>
    <t>202700084-CM</t>
  </si>
  <si>
    <t>202700085-BT</t>
  </si>
  <si>
    <t>202700085-CM</t>
  </si>
  <si>
    <t>202700098-CM</t>
  </si>
  <si>
    <t>202700099-CM</t>
  </si>
  <si>
    <t>202700100-CM</t>
  </si>
  <si>
    <t>202700101-CM</t>
  </si>
  <si>
    <t>202700102-CM</t>
  </si>
  <si>
    <t>202700103-CM</t>
  </si>
  <si>
    <t>202700104-CM</t>
  </si>
  <si>
    <t>202700106-WL</t>
  </si>
  <si>
    <t>20306226D-ST</t>
  </si>
  <si>
    <t>20306226D-VF</t>
  </si>
  <si>
    <t>20411926D-ST</t>
  </si>
  <si>
    <t>204120022-ST</t>
  </si>
  <si>
    <t>204120022-VF</t>
  </si>
  <si>
    <t>20422726D-ST</t>
  </si>
  <si>
    <t>204248022-ST</t>
  </si>
  <si>
    <t>204300001-BT</t>
  </si>
  <si>
    <t>204300001-CM</t>
  </si>
  <si>
    <t>204300003-CM</t>
  </si>
  <si>
    <t>204300004-BT</t>
  </si>
  <si>
    <t>204300004-CM</t>
  </si>
  <si>
    <t>24006018-ST</t>
  </si>
  <si>
    <t>24006018-VF</t>
  </si>
  <si>
    <t>24007018-ST</t>
  </si>
  <si>
    <t>24007018-VF</t>
  </si>
  <si>
    <t>24009-ST</t>
  </si>
  <si>
    <t>24009-VF</t>
  </si>
  <si>
    <t>24011-ST</t>
  </si>
  <si>
    <t>24011-VF</t>
  </si>
  <si>
    <t>24012-ST</t>
  </si>
  <si>
    <t>24013018-ST</t>
  </si>
  <si>
    <t>24016018-ST</t>
  </si>
  <si>
    <t>24018000-ST</t>
  </si>
  <si>
    <t>240334-000-BT</t>
  </si>
  <si>
    <t>240334-000-CM</t>
  </si>
  <si>
    <t>24351-ST</t>
  </si>
  <si>
    <t>24352-ST</t>
  </si>
  <si>
    <t>24353-ST</t>
  </si>
  <si>
    <t>24355065-CM</t>
  </si>
  <si>
    <t>24366022-ST</t>
  </si>
  <si>
    <t>24366022-VF</t>
  </si>
  <si>
    <t>24445018-ST</t>
  </si>
  <si>
    <t>24463022-ST</t>
  </si>
  <si>
    <t>24463022-VF</t>
  </si>
  <si>
    <t>24497075-ST</t>
  </si>
  <si>
    <t>269349-CM</t>
  </si>
  <si>
    <t>3.625-A-SSDS-BT</t>
  </si>
  <si>
    <t>3.625-A-SSDS-CM</t>
  </si>
  <si>
    <t>3.625-SSDS-BT</t>
  </si>
  <si>
    <t>3.625-SSDS-CM</t>
  </si>
  <si>
    <t>30465405-WL</t>
  </si>
  <si>
    <t>304800007-BT</t>
  </si>
  <si>
    <t>304800007-CM</t>
  </si>
  <si>
    <t>304800008-BT</t>
  </si>
  <si>
    <t>304800008-CM</t>
  </si>
  <si>
    <t>304900001-CM</t>
  </si>
  <si>
    <t>304900002-CM</t>
  </si>
  <si>
    <t>304900003-CM</t>
  </si>
  <si>
    <t>304900004-CM</t>
  </si>
  <si>
    <t>304900005-CM</t>
  </si>
  <si>
    <t>304900006-CM</t>
  </si>
  <si>
    <t>304900007-CM</t>
  </si>
  <si>
    <t>304900008-CM</t>
  </si>
  <si>
    <t>304900009-CM</t>
  </si>
  <si>
    <t>31678-USS-5482018-BT</t>
  </si>
  <si>
    <t>31678-USS-5482018-CM</t>
  </si>
  <si>
    <t>31678-USS-5482018-WL</t>
  </si>
  <si>
    <t>31678-USS-BT</t>
  </si>
  <si>
    <t>31678-USS-CM</t>
  </si>
  <si>
    <t>31746-USS-548218-BT</t>
  </si>
  <si>
    <t>31746-USS-548218-CM</t>
  </si>
  <si>
    <t>31746-USS-548218-WL</t>
  </si>
  <si>
    <t>31750-USS-548222-BT</t>
  </si>
  <si>
    <t>31750-USS-548222-CM</t>
  </si>
  <si>
    <t>31750-USS-548222-WL</t>
  </si>
  <si>
    <t>31759-USS-548217-BT</t>
  </si>
  <si>
    <t>31759-USS-548217-CM</t>
  </si>
  <si>
    <t>31759-USS-548217-WL</t>
  </si>
  <si>
    <t>317919-USS-548220-BT</t>
  </si>
  <si>
    <t>317919-USS-548220-CM</t>
  </si>
  <si>
    <t>317919-USS-548220-WL</t>
  </si>
  <si>
    <t>31806-USS-548220-BT</t>
  </si>
  <si>
    <t>31806-USS-548220-CM</t>
  </si>
  <si>
    <t>318191-USS-BT</t>
  </si>
  <si>
    <t>318191-USS-CM</t>
  </si>
  <si>
    <t>31819-USS-548218-BT</t>
  </si>
  <si>
    <t>31819-USS-548218-CM</t>
  </si>
  <si>
    <t>31819-USS-548218-WL</t>
  </si>
  <si>
    <t>32084-USS-548219-CM</t>
  </si>
  <si>
    <t>3-83020-003-BT</t>
  </si>
  <si>
    <t>3-83020-003-CM</t>
  </si>
  <si>
    <t>3-83030-001-CM</t>
  </si>
  <si>
    <t>390992-BT</t>
  </si>
  <si>
    <t>390992-CM</t>
  </si>
  <si>
    <t>390993-BT</t>
  </si>
  <si>
    <t>390993-CM</t>
  </si>
  <si>
    <t>391478-BT</t>
  </si>
  <si>
    <t>391478-CM</t>
  </si>
  <si>
    <t>391479-BT</t>
  </si>
  <si>
    <t>391479-CM</t>
  </si>
  <si>
    <t>391481-BT</t>
  </si>
  <si>
    <t>391481-CM</t>
  </si>
  <si>
    <t>391483-BT</t>
  </si>
  <si>
    <t>391483-CM</t>
  </si>
  <si>
    <t>391630-BT</t>
  </si>
  <si>
    <t>391630-CM</t>
  </si>
  <si>
    <t>391705-BT</t>
  </si>
  <si>
    <t>391705-CM</t>
  </si>
  <si>
    <t>391740-BT</t>
  </si>
  <si>
    <t>391740-CM</t>
  </si>
  <si>
    <t>391783-BT</t>
  </si>
  <si>
    <t>391783-CM</t>
  </si>
  <si>
    <t>391783-WL</t>
  </si>
  <si>
    <t>391935-BT</t>
  </si>
  <si>
    <t>391935-CM</t>
  </si>
  <si>
    <t>391976-BT</t>
  </si>
  <si>
    <t>391976-CM</t>
  </si>
  <si>
    <t>391979-BT</t>
  </si>
  <si>
    <t>391979-CM</t>
  </si>
  <si>
    <t>392073-BT</t>
  </si>
  <si>
    <t>392073-CM</t>
  </si>
  <si>
    <t>393145-CM</t>
  </si>
  <si>
    <t>393239-BT</t>
  </si>
  <si>
    <t>393239-CM</t>
  </si>
  <si>
    <t>393759-BT</t>
  </si>
  <si>
    <t>393759-CM</t>
  </si>
  <si>
    <t>393974-BT</t>
  </si>
  <si>
    <t>393974-CM</t>
  </si>
  <si>
    <t>393978-BT</t>
  </si>
  <si>
    <t>393978-CM</t>
  </si>
  <si>
    <t>393985-BT</t>
  </si>
  <si>
    <t>393985-CM</t>
  </si>
  <si>
    <t>393987-BT</t>
  </si>
  <si>
    <t>393987-CM</t>
  </si>
  <si>
    <t>397402-BT</t>
  </si>
  <si>
    <t>397402-CM</t>
  </si>
  <si>
    <t>397404-BT</t>
  </si>
  <si>
    <t>397404-CM</t>
  </si>
  <si>
    <t>397408-BT</t>
  </si>
  <si>
    <t>397408-CM</t>
  </si>
  <si>
    <t>397501-BT</t>
  </si>
  <si>
    <t>397501-CM</t>
  </si>
  <si>
    <t>397519-CM</t>
  </si>
  <si>
    <t>397543-BT</t>
  </si>
  <si>
    <t>397543-CM</t>
  </si>
  <si>
    <t>397561-CM</t>
  </si>
  <si>
    <t>397562-BT</t>
  </si>
  <si>
    <t>397562-CM</t>
  </si>
  <si>
    <t>397563-CM</t>
  </si>
  <si>
    <t>397564-BT</t>
  </si>
  <si>
    <t>397564-CM</t>
  </si>
  <si>
    <t>397564-WL</t>
  </si>
  <si>
    <t>397565-BT</t>
  </si>
  <si>
    <t>397565-CM</t>
  </si>
  <si>
    <t>397565-WL</t>
  </si>
  <si>
    <t>397582-BT</t>
  </si>
  <si>
    <t>397582-CM</t>
  </si>
  <si>
    <t>397583-BT</t>
  </si>
  <si>
    <t>397583-CM</t>
  </si>
  <si>
    <t>397672-BT</t>
  </si>
  <si>
    <t>397672-CM</t>
  </si>
  <si>
    <t>397686-01-BT</t>
  </si>
  <si>
    <t>397686-01-CM</t>
  </si>
  <si>
    <t>397686-02-CM</t>
  </si>
  <si>
    <t>397686-WL</t>
  </si>
  <si>
    <t>397739-BT</t>
  </si>
  <si>
    <t>397739-CM</t>
  </si>
  <si>
    <t>397755-BT</t>
  </si>
  <si>
    <t>397755-CM</t>
  </si>
  <si>
    <t>398044-BT</t>
  </si>
  <si>
    <t>398044-CM</t>
  </si>
  <si>
    <t>398094-BT</t>
  </si>
  <si>
    <t>398094-CM</t>
  </si>
  <si>
    <t>398122-BT</t>
  </si>
  <si>
    <t>398122-CM</t>
  </si>
  <si>
    <t>398173-CM</t>
  </si>
  <si>
    <t>398243-BT</t>
  </si>
  <si>
    <t>398243-CM</t>
  </si>
  <si>
    <t>41006801-BT</t>
  </si>
  <si>
    <t>41006801-CM</t>
  </si>
  <si>
    <t>41007301-BT</t>
  </si>
  <si>
    <t>41007301-CM</t>
  </si>
  <si>
    <t>41043700-CM</t>
  </si>
  <si>
    <t>41053700-WL</t>
  </si>
  <si>
    <t>41054000-WL</t>
  </si>
  <si>
    <t>41054100-WL</t>
  </si>
  <si>
    <t>41054400-WL</t>
  </si>
  <si>
    <t>41054500-WL</t>
  </si>
  <si>
    <t>41054800-WL</t>
  </si>
  <si>
    <t>41067301NPNT-BT</t>
  </si>
  <si>
    <t>41067301NPNT-CM</t>
  </si>
  <si>
    <t>41067302NPNT-BT</t>
  </si>
  <si>
    <t>41067302NPNT-CM</t>
  </si>
  <si>
    <t>41067303NPNT-BT</t>
  </si>
  <si>
    <t>41067303NPNT-CM</t>
  </si>
  <si>
    <t>41067304NPNT-BT</t>
  </si>
  <si>
    <t>41067304NPNT-CM</t>
  </si>
  <si>
    <t>41067304NPNT-WL</t>
  </si>
  <si>
    <t>41102001-BT</t>
  </si>
  <si>
    <t>41102001-CM</t>
  </si>
  <si>
    <t>41102002-BT</t>
  </si>
  <si>
    <t>41102002-CM</t>
  </si>
  <si>
    <t>41114300-BT</t>
  </si>
  <si>
    <t>41114300-CM</t>
  </si>
  <si>
    <t>460074072-317651-BT</t>
  </si>
  <si>
    <t>460074072-317651-CM</t>
  </si>
  <si>
    <t>4-83040-343907-WL</t>
  </si>
  <si>
    <t>49052400-BT</t>
  </si>
  <si>
    <t>49052400-CM</t>
  </si>
  <si>
    <t>49060600-CM</t>
  </si>
  <si>
    <t>4920260013-BT</t>
  </si>
  <si>
    <t>4920260013-CM</t>
  </si>
  <si>
    <t>51000302-BT</t>
  </si>
  <si>
    <t>51000302-CM</t>
  </si>
  <si>
    <t>51000303-BT</t>
  </si>
  <si>
    <t>51000303-CM</t>
  </si>
  <si>
    <t>53009703-CM</t>
  </si>
  <si>
    <t>53031652058GR</t>
  </si>
  <si>
    <t>53031652058VF</t>
  </si>
  <si>
    <t>54120018-ST</t>
  </si>
  <si>
    <t>54120018-VF</t>
  </si>
  <si>
    <t>60-30-380</t>
  </si>
  <si>
    <t>60-30-380-ST</t>
  </si>
  <si>
    <t>60-30-381</t>
  </si>
  <si>
    <t>60-30-381-ST</t>
  </si>
  <si>
    <t>60-30-392</t>
  </si>
  <si>
    <t>60-30-392-DB</t>
  </si>
  <si>
    <t>60-30-392-LC</t>
  </si>
  <si>
    <t>60-30-395</t>
  </si>
  <si>
    <t>60-30-395-DB</t>
  </si>
  <si>
    <t>60-30-395-LC</t>
  </si>
  <si>
    <t>60-30-397</t>
  </si>
  <si>
    <t>60-30-397-DB</t>
  </si>
  <si>
    <t>60-30-397-LC</t>
  </si>
  <si>
    <t>60-30-398</t>
  </si>
  <si>
    <t>60-30-398-DB</t>
  </si>
  <si>
    <t>60-30-398-LC</t>
  </si>
  <si>
    <t>60-30-403-WDM</t>
  </si>
  <si>
    <t>60-30-413-WDM</t>
  </si>
  <si>
    <t>60-30-417-WDM</t>
  </si>
  <si>
    <t>60-30-420-BT</t>
  </si>
  <si>
    <t>60-30-420-DB</t>
  </si>
  <si>
    <t>60-30-420-LC</t>
  </si>
  <si>
    <t>60-30-420-WDM</t>
  </si>
  <si>
    <t>60-30-424-BT</t>
  </si>
  <si>
    <t>60-30-424-DB</t>
  </si>
  <si>
    <t>60-30-424-LC</t>
  </si>
  <si>
    <t>60-30-424-WDM</t>
  </si>
  <si>
    <t>60-30-428</t>
  </si>
  <si>
    <t>60-30-428-DB</t>
  </si>
  <si>
    <t>60-30-428-LC</t>
  </si>
  <si>
    <t>60-30-429</t>
  </si>
  <si>
    <t>60-30-429-DB</t>
  </si>
  <si>
    <t>60-30-429-LC</t>
  </si>
  <si>
    <t>60-30-430</t>
  </si>
  <si>
    <t>60-30-430-DB</t>
  </si>
  <si>
    <t>60-30-430-LC</t>
  </si>
  <si>
    <t>60-30-431</t>
  </si>
  <si>
    <t>60-30-431-DB</t>
  </si>
  <si>
    <t>60-30-431-LC</t>
  </si>
  <si>
    <t>60-30-432</t>
  </si>
  <si>
    <t>60-30-432-DB</t>
  </si>
  <si>
    <t>60-30-432-LC</t>
  </si>
  <si>
    <t>60-30-433</t>
  </si>
  <si>
    <t>60-30-433-DB</t>
  </si>
  <si>
    <t>60-30-433-LC</t>
  </si>
  <si>
    <t>60-30-434</t>
  </si>
  <si>
    <t>60-30-434-LC</t>
  </si>
  <si>
    <t>60-30-439</t>
  </si>
  <si>
    <t>60-30-439-DB</t>
  </si>
  <si>
    <t>60-30-439-LC</t>
  </si>
  <si>
    <t>60-30-440</t>
  </si>
  <si>
    <t>60-30-440-DB</t>
  </si>
  <si>
    <t>60-30-440-LC</t>
  </si>
  <si>
    <t>60-30-441</t>
  </si>
  <si>
    <t>60-30-441-DB</t>
  </si>
  <si>
    <t>60-30-441-LC</t>
  </si>
  <si>
    <t>60-30-442</t>
  </si>
  <si>
    <t>60-30-442-DB</t>
  </si>
  <si>
    <t>60-30-442-LC</t>
  </si>
  <si>
    <t>60-30-443</t>
  </si>
  <si>
    <t>60-30-443-DB</t>
  </si>
  <si>
    <t>60-30-443-LC</t>
  </si>
  <si>
    <t>60-30-444</t>
  </si>
  <si>
    <t>60-30-444-DB</t>
  </si>
  <si>
    <t>60-30-444-LC</t>
  </si>
  <si>
    <t>60-30-445</t>
  </si>
  <si>
    <t>60-30-445-DB</t>
  </si>
  <si>
    <t>60-30-445-LC</t>
  </si>
  <si>
    <t>60-30-450</t>
  </si>
  <si>
    <t>60-30-450-LC</t>
  </si>
  <si>
    <t>60-30-451</t>
  </si>
  <si>
    <t>60-30-451-DB</t>
  </si>
  <si>
    <t>60-30-451-LC</t>
  </si>
  <si>
    <t>60-30-452</t>
  </si>
  <si>
    <t>60-30-452-DB</t>
  </si>
  <si>
    <t>60-30-452-LC</t>
  </si>
  <si>
    <t>60-30-454</t>
  </si>
  <si>
    <t>60-30-454-LC</t>
  </si>
  <si>
    <t>60-30-455</t>
  </si>
  <si>
    <t>60-30-455-DB</t>
  </si>
  <si>
    <t>60-30-455-LC</t>
  </si>
  <si>
    <t>60-30-457</t>
  </si>
  <si>
    <t>60-30-457-DB</t>
  </si>
  <si>
    <t>60-30-457-LC</t>
  </si>
  <si>
    <t>60-30-460</t>
  </si>
  <si>
    <t>60-30-460-LC</t>
  </si>
  <si>
    <t>60-30-461</t>
  </si>
  <si>
    <t>60-30-461-LC</t>
  </si>
  <si>
    <t>60-30-462</t>
  </si>
  <si>
    <t>60-30-462-LC</t>
  </si>
  <si>
    <t>60-30-463</t>
  </si>
  <si>
    <t>60-30-463-LC</t>
  </si>
  <si>
    <t>60-30-480-WDM</t>
  </si>
  <si>
    <t>60-30-481-WDM</t>
  </si>
  <si>
    <t>60-30-484-WDM</t>
  </si>
  <si>
    <t>60-30-511</t>
  </si>
  <si>
    <t>60-30-511-DB</t>
  </si>
  <si>
    <t>60-30-511-LC</t>
  </si>
  <si>
    <t>60-30-524-WDM</t>
  </si>
  <si>
    <t>60-30-601</t>
  </si>
  <si>
    <t>60-30-601-DB</t>
  </si>
  <si>
    <t>60-30-601-LC</t>
  </si>
  <si>
    <t>6X2.5-MGS-SSDS-BT</t>
  </si>
  <si>
    <t>6X2.5-MGS-SSDS-CM</t>
  </si>
  <si>
    <t>70115700-CM</t>
  </si>
  <si>
    <t>70505200-CM</t>
  </si>
  <si>
    <t>70525701-CM</t>
  </si>
  <si>
    <t>70525702-CM</t>
  </si>
  <si>
    <t>70530200-CM</t>
  </si>
  <si>
    <t>70530300-CM</t>
  </si>
  <si>
    <t>70544601-BT</t>
  </si>
  <si>
    <t>70544601-CM</t>
  </si>
  <si>
    <t>70544701-BT</t>
  </si>
  <si>
    <t>70544701-CM</t>
  </si>
  <si>
    <t>70544801-BT</t>
  </si>
  <si>
    <t>70544801-CM</t>
  </si>
  <si>
    <t>70545411-BT</t>
  </si>
  <si>
    <t>70545411-CM</t>
  </si>
  <si>
    <t>70545412-BT</t>
  </si>
  <si>
    <t>70545412-CM</t>
  </si>
  <si>
    <t>70549101-BT</t>
  </si>
  <si>
    <t>70549101-CM</t>
  </si>
  <si>
    <t>7083830002-CM</t>
  </si>
  <si>
    <t>7083860001-CM</t>
  </si>
  <si>
    <t>7102960001-BT</t>
  </si>
  <si>
    <t>7102960001-CM</t>
  </si>
  <si>
    <t>7102970001-BT</t>
  </si>
  <si>
    <t>7102970001-CM</t>
  </si>
  <si>
    <t>7532280004-BT</t>
  </si>
  <si>
    <t>7532280004-CM</t>
  </si>
  <si>
    <t>7541520005-BT</t>
  </si>
  <si>
    <t>7541520005-CM</t>
  </si>
  <si>
    <t>7651640001-BT</t>
  </si>
  <si>
    <t>765164-0001-CM</t>
  </si>
  <si>
    <t>7661710003-BT</t>
  </si>
  <si>
    <t>7661710003-CM</t>
  </si>
  <si>
    <t>8X2.0-WS-BT</t>
  </si>
  <si>
    <t>8X2.0-WS-CM</t>
  </si>
  <si>
    <t>CP20067S</t>
  </si>
  <si>
    <t>JE10030R-CM</t>
  </si>
  <si>
    <t>MFP9139302</t>
  </si>
  <si>
    <t>MFP9139302-ST</t>
  </si>
  <si>
    <t>MFP9139305</t>
  </si>
  <si>
    <t>MFP9139307</t>
  </si>
  <si>
    <t>MFP9139307-ST</t>
  </si>
  <si>
    <t>MFP9139308-ST</t>
  </si>
  <si>
    <t>MFP9139308-VF</t>
  </si>
  <si>
    <t>MFP9139374</t>
  </si>
  <si>
    <t>MFP9139374-ST</t>
  </si>
  <si>
    <t>MFP9139375</t>
  </si>
  <si>
    <t>P-3117-1-26D-ST</t>
  </si>
  <si>
    <t>SH-001-BT</t>
  </si>
  <si>
    <t>SH-001-CM</t>
  </si>
  <si>
    <t>SH-001-WL</t>
  </si>
  <si>
    <t>W30001</t>
  </si>
  <si>
    <t>W30002</t>
  </si>
  <si>
    <t>W30003</t>
  </si>
  <si>
    <t>XAB.V2G25-BT</t>
  </si>
  <si>
    <t>XAB.V2G25-LC</t>
  </si>
  <si>
    <t>XAB.V2G26-BT</t>
  </si>
  <si>
    <t>XAB.V2G26-LC</t>
  </si>
  <si>
    <t>XAB.V2G27-LC</t>
  </si>
  <si>
    <t>XAB.V2G28-BT</t>
  </si>
  <si>
    <t>XAB.V2G28-LC</t>
  </si>
  <si>
    <t>XAB.V2G29-BT</t>
  </si>
  <si>
    <t>XAB.V2G29-LC</t>
  </si>
  <si>
    <t>XAB.V2G30-BT</t>
  </si>
  <si>
    <t>XAB.V2G30-LC</t>
  </si>
  <si>
    <t>XAB.V2G31-BT</t>
  </si>
  <si>
    <t>XAB.V2G31-LC</t>
  </si>
  <si>
    <t>XAB.V2G32-BT</t>
  </si>
  <si>
    <t>XAB.V2G32-LC</t>
  </si>
  <si>
    <t>XAB.V2G33-BT</t>
  </si>
  <si>
    <t>XAB.V2G33-LC</t>
  </si>
  <si>
    <t>XAB.V2G40-BT</t>
  </si>
  <si>
    <t>XAB.V2G40-GR</t>
  </si>
  <si>
    <t>XAB.V2G40-LC</t>
  </si>
  <si>
    <t>XAB.V2G41-BT</t>
  </si>
  <si>
    <t>XAB.V2G41-GR</t>
  </si>
  <si>
    <t>XAB.V2G41-LC</t>
  </si>
  <si>
    <t>XAB.V2G42-BT</t>
  </si>
  <si>
    <t>XAB.V2G42-LC</t>
  </si>
  <si>
    <t>XAB.V2G43-BT</t>
  </si>
  <si>
    <t>XAB.V2G43-LC</t>
  </si>
  <si>
    <t>XAB.V2G47.P10-BT</t>
  </si>
  <si>
    <t>XAB.V2G47.P10-PC</t>
  </si>
  <si>
    <t>XAB.V2G47.P1-BT</t>
  </si>
  <si>
    <t>XAB.V2G47.P1-LC</t>
  </si>
  <si>
    <t>XAB.V2G47.P2-BT</t>
  </si>
  <si>
    <t>XAB.V2G47.P2-LC</t>
  </si>
  <si>
    <t>XAB.V2G47.P3-BT</t>
  </si>
  <si>
    <t>XAB.V2G47.P3-LC</t>
  </si>
  <si>
    <t>XAB.V2G47.P4-BT</t>
  </si>
  <si>
    <t>XAB.V2G47.P4-LC</t>
  </si>
  <si>
    <t>XAB.V2G47.P5-BT</t>
  </si>
  <si>
    <t>XAB.V2G47.P5-LC</t>
  </si>
  <si>
    <t>XAB.V2G47.P6-BT</t>
  </si>
  <si>
    <t>XAB.V2G47.P6-LC</t>
  </si>
  <si>
    <t>XAB.V2G47.P7-BT</t>
  </si>
  <si>
    <t>XAB.V2G47.P7-LC</t>
  </si>
  <si>
    <t>XAB.V2G47.P9-LC</t>
  </si>
  <si>
    <t>XAB.V2G47-GR</t>
  </si>
  <si>
    <t>XAB.V2G47-WL</t>
  </si>
  <si>
    <t>XAB.V2G48.P10-BT</t>
  </si>
  <si>
    <t>XAB.V2G48.P10-PC</t>
  </si>
  <si>
    <t>XAB.V2G48.P1-BT</t>
  </si>
  <si>
    <t>XAB.V2G48.P1-LC</t>
  </si>
  <si>
    <t>XAB.V2G48.P2-BT</t>
  </si>
  <si>
    <t>XAB.V2G48.P2-LC</t>
  </si>
  <si>
    <t>XAB.V2G48.P3-BT</t>
  </si>
  <si>
    <t>XAB.V2G48.P3-LC</t>
  </si>
  <si>
    <t>XAB.V2G48.P4-BT</t>
  </si>
  <si>
    <t>XAB.V2G48.P4-LC</t>
  </si>
  <si>
    <t>XAB.V2G48.P5-BT</t>
  </si>
  <si>
    <t>XAB.V2G48.P5-LC</t>
  </si>
  <si>
    <t>XAB.V2G48.P6-BT</t>
  </si>
  <si>
    <t>XAB.V2G48.P6-LC</t>
  </si>
  <si>
    <t>XAB.V2G48.P7-BT</t>
  </si>
  <si>
    <t>XAB.V2G48.P7-LC</t>
  </si>
  <si>
    <t>XAB.V2G48.P9-LC</t>
  </si>
  <si>
    <t>XAB.V2G48-GR</t>
  </si>
  <si>
    <t>XAB.V2G48-WL</t>
  </si>
  <si>
    <t>XAB.V2G49.P10-BT</t>
  </si>
  <si>
    <t>XAB.V2G49.P10-PC</t>
  </si>
  <si>
    <t>XAB.V2G49.P1-BT</t>
  </si>
  <si>
    <t>XAB.V2G49.P1-LC</t>
  </si>
  <si>
    <t>XAB.V2G49.P2-BT</t>
  </si>
  <si>
    <t>XAB.V2G49.P2-LC</t>
  </si>
  <si>
    <t>XAB.V2G49.P3-BT</t>
  </si>
  <si>
    <t>XAB.V2G49.P3-LC</t>
  </si>
  <si>
    <t>XAB.V2G49.P4-BT</t>
  </si>
  <si>
    <t>XAB.V2G49.P4-LC</t>
  </si>
  <si>
    <t>XAB.V2G49.P5-BT</t>
  </si>
  <si>
    <t>XAB.V2G49.P5-LC</t>
  </si>
  <si>
    <t>XAB.V2G49.P6-BT</t>
  </si>
  <si>
    <t>XAB.V2G49.P6-LC</t>
  </si>
  <si>
    <t>XAB.V2G49.P7-BT</t>
  </si>
  <si>
    <t>XAB.V2G49.P7-LC</t>
  </si>
  <si>
    <t>XAB.V2G49.P9-LC</t>
  </si>
  <si>
    <t>XAB.V2G49-GR</t>
  </si>
  <si>
    <t>XAB.V2G49-WL</t>
  </si>
  <si>
    <t>XAB.V2G50.P10-BT</t>
  </si>
  <si>
    <t>XAB.V2G50.P10-PC</t>
  </si>
  <si>
    <t>XAB.V2G50.P1-BT</t>
  </si>
  <si>
    <t>XAB.V2G50.P1-LC</t>
  </si>
  <si>
    <t>XAB.V2G50.P2-BT</t>
  </si>
  <si>
    <t>XAB.V2G50.P2-LC</t>
  </si>
  <si>
    <t>XAB.V2G50.P3-BT</t>
  </si>
  <si>
    <t>XAB.V2G50.P3-LC</t>
  </si>
  <si>
    <t>XAB.V2G50.P4-BT</t>
  </si>
  <si>
    <t>XAB.V2G50.P4-LC</t>
  </si>
  <si>
    <t>XAB.V2G50.P5-BT</t>
  </si>
  <si>
    <t>XAB.V2G50.P5-LC</t>
  </si>
  <si>
    <t>XAB.V2G50.P6-BT</t>
  </si>
  <si>
    <t>XAB.V2G50.P6-LC</t>
  </si>
  <si>
    <t>XAB.V2G50.P7-BT</t>
  </si>
  <si>
    <t>XAB.V2G50.P7-LC</t>
  </si>
  <si>
    <t>XAB.V2G50.P9-LC</t>
  </si>
  <si>
    <t>XAB.V2G50-GR</t>
  </si>
  <si>
    <t>XAB.V2G50-WL</t>
  </si>
  <si>
    <t>XAB.V2G51-BT</t>
  </si>
  <si>
    <t>XAB.V2G51-LC</t>
  </si>
  <si>
    <t>XAB.V2G52-BT</t>
  </si>
  <si>
    <t>XAB.V2G52-LC</t>
  </si>
  <si>
    <t>XAB.V2G53.P10-BT</t>
  </si>
  <si>
    <t>XAB.V2G53.P10-PC</t>
  </si>
  <si>
    <t>XAB.V2G53.P11-BT</t>
  </si>
  <si>
    <t>XAB.V2G53.P11-LC</t>
  </si>
  <si>
    <t>XAB.V2G53.P1-BT</t>
  </si>
  <si>
    <t>XAB.V2G53.P1-LC</t>
  </si>
  <si>
    <t>XAB.V2G53.P3-BT</t>
  </si>
  <si>
    <t>XAB.V2G53.P3-LC</t>
  </si>
  <si>
    <t>XAB.V2G53.P4-BT</t>
  </si>
  <si>
    <t>XAB.V2G53.P4-LC</t>
  </si>
  <si>
    <t>XAB.V2G53.P6-BT</t>
  </si>
  <si>
    <t>XAB.V2G53.P6-LC</t>
  </si>
  <si>
    <t>XAB.V2G53.P7-BT</t>
  </si>
  <si>
    <t>XAB.V2G53.P7-LC</t>
  </si>
  <si>
    <t>XAB.V2G53.P8-BT</t>
  </si>
  <si>
    <t>XAB.V2G53.P8-LC</t>
  </si>
  <si>
    <t>XAB.V2G53.P9-LC</t>
  </si>
  <si>
    <t>XAB.V2G53-GR</t>
  </si>
  <si>
    <t>XAB.V2G53-WL</t>
  </si>
  <si>
    <t>XAB.V2G58-BT</t>
  </si>
  <si>
    <t>XAB.V2G58-LC</t>
  </si>
  <si>
    <t>XAB.V2G59-LC</t>
  </si>
  <si>
    <t>XAB.V2G69-BT</t>
  </si>
  <si>
    <t>XAB.V2G69-LC</t>
  </si>
  <si>
    <t>XAB.V2G70-BT</t>
  </si>
  <si>
    <t>XAB.V2G70-LC</t>
  </si>
  <si>
    <t>XEB.V2G18-WL</t>
  </si>
  <si>
    <t>XEB.V2G19-BT</t>
  </si>
  <si>
    <t>XEB.V2G19-LC</t>
  </si>
  <si>
    <t>XEB.V2G20-BT</t>
  </si>
  <si>
    <t>XEB.V2G20-LC</t>
  </si>
  <si>
    <t>XEB.V2G21-BT</t>
  </si>
  <si>
    <t>XEB.V2G21-LC</t>
  </si>
  <si>
    <t>XEB.V2G22-BT</t>
  </si>
  <si>
    <t>XEB.V2G22-LC</t>
  </si>
  <si>
    <t>XEB.V2G23-BT</t>
  </si>
  <si>
    <t>XEB.V2G23-LC</t>
  </si>
  <si>
    <t>XEB.V2G23-WL</t>
  </si>
  <si>
    <t>XEB.V2G25-BT</t>
  </si>
  <si>
    <t>XEB.V2G25-LC</t>
  </si>
  <si>
    <t>XEB.V2G26-BT</t>
  </si>
  <si>
    <t>XEB.V2G26-LC</t>
  </si>
  <si>
    <t>XEB.V2G27-BT</t>
  </si>
  <si>
    <t>XEB.V2G27-LC</t>
  </si>
  <si>
    <t>XEB.V2G28-BT</t>
  </si>
  <si>
    <t>XEB.V2G28-LC</t>
  </si>
  <si>
    <t>XEB.V2G29-BT</t>
  </si>
  <si>
    <t>XEB.V2G29-LC</t>
  </si>
  <si>
    <t>XEB.V2G30-BT</t>
  </si>
  <si>
    <t>XEB.V2G30-LC</t>
  </si>
  <si>
    <t>XEB.V2G31-BT</t>
  </si>
  <si>
    <t>XEB.V2G31-LC</t>
  </si>
  <si>
    <t>XEB.V2G32-BT</t>
  </si>
  <si>
    <t>XEB.V2G32-LC</t>
  </si>
  <si>
    <t>XEB.V2G32-WL</t>
  </si>
  <si>
    <t>XEB.V2G33-BT</t>
  </si>
  <si>
    <t>XEB.V2G33-LC</t>
  </si>
  <si>
    <t>XEB.V2G33-WL</t>
  </si>
  <si>
    <t>XEB.V2G34-BT</t>
  </si>
  <si>
    <t>XEB.V2G34-LC</t>
  </si>
  <si>
    <t>XEB.V2G34-WL</t>
  </si>
  <si>
    <t>XEB.V2G35-BT</t>
  </si>
  <si>
    <t>XEB.V2G35-LC</t>
  </si>
  <si>
    <t>XEB.V2G35-WL</t>
  </si>
  <si>
    <t>XEB.V2G36-BT</t>
  </si>
  <si>
    <t>XEB.V2G36-LC</t>
  </si>
  <si>
    <t>XEB.V2G38-BT</t>
  </si>
  <si>
    <t>XEB.V2G38-LC</t>
  </si>
  <si>
    <t>XEB.V2G39-BT</t>
  </si>
  <si>
    <t>XEB.V2G39-LC</t>
  </si>
  <si>
    <t>XEB.V2G41-GR</t>
  </si>
  <si>
    <t>XEB.V2G41-WL</t>
  </si>
  <si>
    <t>XEB.V2G43-BT</t>
  </si>
  <si>
    <t>XEB.V2G43-LC</t>
  </si>
  <si>
    <t>XEB.V2G44.B1-BT</t>
  </si>
  <si>
    <t>XEB.V2G44.B1-LC</t>
  </si>
  <si>
    <t>XEB.V2G44.B2-BT</t>
  </si>
  <si>
    <t>XEB.V2G44.B2-LC</t>
  </si>
  <si>
    <t>XEB.V2G44.B3-BT</t>
  </si>
  <si>
    <t>XEB.V2G44.B3-LC</t>
  </si>
  <si>
    <t>XEB.V2G44.B4-LC</t>
  </si>
  <si>
    <t>XEB.V2G44-GR</t>
  </si>
  <si>
    <t>XEB.V2G44-WL</t>
  </si>
  <si>
    <t>XEB.V2G45.LX-WL</t>
  </si>
  <si>
    <t>XEB.V2G45.RX-WL</t>
  </si>
  <si>
    <t>XEB.V2G45-WL</t>
  </si>
  <si>
    <t>XEE.V2G03-BT</t>
  </si>
  <si>
    <t>XEE.V2G03-LC</t>
  </si>
  <si>
    <t>XEE.V2G31-BT</t>
  </si>
  <si>
    <t>XEE.V2G31-LC</t>
  </si>
  <si>
    <t>XEE.V2G32-BT</t>
  </si>
  <si>
    <t>XEE.V2G32-LC</t>
  </si>
  <si>
    <t>XEE.V2G33-BT</t>
  </si>
  <si>
    <t>XEE.V2G33-LC</t>
  </si>
  <si>
    <t>XEE.V2G34-WL</t>
  </si>
  <si>
    <t>XEE.V2G35-BT</t>
  </si>
  <si>
    <t>XEE.V2G35-LC</t>
  </si>
  <si>
    <t>XEE.V2G36-BT</t>
  </si>
  <si>
    <t>XEE.V2G36-LC</t>
  </si>
  <si>
    <t>XEE.V2G37-WL</t>
  </si>
  <si>
    <t>XEE.V2G38-BT</t>
  </si>
  <si>
    <t>XEE.V2G38-LC</t>
  </si>
  <si>
    <t>XEE.V2G39-BT</t>
  </si>
  <si>
    <t>XEE.V2G39-LC</t>
  </si>
  <si>
    <t>XEE.V2G40-WL</t>
  </si>
  <si>
    <t>XEE.V2G41-BT</t>
  </si>
  <si>
    <t>XEE.V2G41-LC</t>
  </si>
  <si>
    <t>XEE.V2G41-PW</t>
  </si>
  <si>
    <t>XEE.V2G42-BT</t>
  </si>
  <si>
    <t>XEE.V2G42-LC</t>
  </si>
  <si>
    <t>XEE.V2G43-BT</t>
  </si>
  <si>
    <t>XEE.V2G43-LC</t>
  </si>
  <si>
    <t>XEE.V2G44-BT</t>
  </si>
  <si>
    <t>XEE.V2G44-LC</t>
  </si>
  <si>
    <t>XEE.V2G45-BT</t>
  </si>
  <si>
    <t>XEE.V2G45-LC</t>
  </si>
  <si>
    <t>XEE.V2G46-BT</t>
  </si>
  <si>
    <t>XEE.V2G46-LC</t>
  </si>
  <si>
    <t>XEE.V2G47-BT</t>
  </si>
  <si>
    <t>XEE.V2G47-LC</t>
  </si>
  <si>
    <t>XEE.V2G48-BT</t>
  </si>
  <si>
    <t>XEE.V2G48-LC</t>
  </si>
  <si>
    <t>XEE.V2G49-BT</t>
  </si>
  <si>
    <t>XEE.V2G49-LC</t>
  </si>
  <si>
    <t>XEE.V2G50-BT</t>
  </si>
  <si>
    <t>XEE.V2G50-LC</t>
  </si>
  <si>
    <t>XEE.V2G51-GR</t>
  </si>
  <si>
    <t>XEE.V2G51-WL</t>
  </si>
  <si>
    <t>XEE.V2G52-SS</t>
  </si>
  <si>
    <t>XEE.V2G56-BT</t>
  </si>
  <si>
    <t>XEE.V2G56-LC</t>
  </si>
  <si>
    <t>01-001-PP</t>
  </si>
  <si>
    <t>01-002-PP</t>
  </si>
  <si>
    <t>01-003-PP</t>
  </si>
  <si>
    <t>01-004-PP</t>
  </si>
  <si>
    <t>01-005-PP</t>
  </si>
  <si>
    <t>040-0012-00</t>
  </si>
  <si>
    <t>140-0013-00</t>
  </si>
  <si>
    <t>140-0019-00</t>
  </si>
  <si>
    <t>140-0020-00</t>
  </si>
  <si>
    <t>140-0021-00</t>
  </si>
  <si>
    <t>140-0019-00-TP</t>
  </si>
  <si>
    <t>140-0009-00</t>
  </si>
  <si>
    <t>XAB.V2G25-TR</t>
  </si>
  <si>
    <t>XAB.V2G26-TR</t>
  </si>
  <si>
    <t>020-0005-00</t>
  </si>
  <si>
    <t>XEE.V2G03-IN</t>
  </si>
  <si>
    <t>XEE.V2G52-AS</t>
  </si>
  <si>
    <t>XAB.V2G40-CN</t>
  </si>
  <si>
    <t>XAB.V2G47-GS</t>
  </si>
  <si>
    <t>XAB.V2G48-GS</t>
  </si>
  <si>
    <t>XAB.V2G49-GS</t>
  </si>
  <si>
    <t>XAB.V2G50-GS</t>
  </si>
  <si>
    <t>XAB.V2G53-GS</t>
  </si>
  <si>
    <t>140-0027-00</t>
  </si>
  <si>
    <t>140-0027-00-TP</t>
  </si>
  <si>
    <t>XEE.V2G37-SL</t>
  </si>
  <si>
    <t>XEE.V2G40-SL</t>
  </si>
  <si>
    <t>XEE.V2G34-SL</t>
  </si>
  <si>
    <t>XEE.V2G52-SL</t>
  </si>
  <si>
    <t>020-0003-00</t>
  </si>
  <si>
    <t>020-0010-00-AS</t>
  </si>
  <si>
    <t>020-0000-00-AS</t>
  </si>
  <si>
    <t>185-0009-00-AS</t>
  </si>
  <si>
    <t>020-0003-00-AS</t>
  </si>
  <si>
    <t>020-0007-00-AS</t>
  </si>
  <si>
    <t>020-0006-00-AS</t>
  </si>
  <si>
    <t>185-0002-00-MO</t>
  </si>
  <si>
    <t>205-0005-00-MO</t>
  </si>
  <si>
    <t>135700220-MO</t>
  </si>
  <si>
    <t>185-0011-00-MO</t>
  </si>
  <si>
    <t>XEB.V2G47.1</t>
  </si>
  <si>
    <t>XAB.V2G31-TR</t>
  </si>
  <si>
    <t>01-002-IN</t>
  </si>
  <si>
    <t>020-0005-01</t>
  </si>
  <si>
    <t>324300001-AS</t>
  </si>
  <si>
    <t>185-0016-00-MO</t>
  </si>
  <si>
    <t>185-0024-00-MO</t>
  </si>
  <si>
    <t>185-0015-01-MO</t>
  </si>
  <si>
    <t>185-0015-00-CT</t>
  </si>
  <si>
    <t>185-0018-00-MO</t>
  </si>
  <si>
    <t>185-0023-00-MO</t>
  </si>
  <si>
    <t>020-0015-00</t>
  </si>
  <si>
    <t>020-0015-00-AS</t>
  </si>
  <si>
    <t>020-0012-00-AS</t>
  </si>
  <si>
    <t>020-0014-00-AS</t>
  </si>
  <si>
    <t>190-0002-00-MO</t>
  </si>
  <si>
    <t>190-0003-00-MO</t>
  </si>
  <si>
    <t>070-0021-00-AS</t>
  </si>
  <si>
    <t>020-0011-00-AS</t>
  </si>
  <si>
    <t>705305</t>
  </si>
  <si>
    <t>10008801</t>
  </si>
  <si>
    <t>10008804</t>
  </si>
  <si>
    <t>10008805</t>
  </si>
  <si>
    <t>10008802</t>
  </si>
  <si>
    <t>10008803</t>
  </si>
  <si>
    <t>41102001</t>
  </si>
  <si>
    <t>41102002</t>
  </si>
  <si>
    <t>41114300</t>
  </si>
  <si>
    <t>41115400</t>
  </si>
  <si>
    <t>01-003-TP</t>
  </si>
  <si>
    <t>41067304NPNT</t>
  </si>
  <si>
    <t>41067303NPNT</t>
  </si>
  <si>
    <t>41067301NPNT</t>
  </si>
  <si>
    <t>41067302NPNT</t>
  </si>
  <si>
    <t>185-0018-00-PF</t>
  </si>
  <si>
    <t>185-0023-00-PF</t>
  </si>
  <si>
    <t>185-0023-00-HT</t>
  </si>
  <si>
    <t>41053700</t>
  </si>
  <si>
    <t>41054500</t>
  </si>
  <si>
    <t>41054100</t>
  </si>
  <si>
    <t>01-001-TP</t>
  </si>
  <si>
    <t>705450</t>
  </si>
  <si>
    <t>140-0061-01-IN</t>
  </si>
  <si>
    <t>140-0076-01-IN</t>
  </si>
  <si>
    <t>41054400-AS</t>
  </si>
  <si>
    <t>41054800-AS</t>
  </si>
  <si>
    <t>41054000-AS</t>
  </si>
  <si>
    <t>025-0003-00</t>
  </si>
  <si>
    <t>202700098</t>
  </si>
  <si>
    <t>202700099</t>
  </si>
  <si>
    <t>304300004</t>
  </si>
  <si>
    <t>304300005</t>
  </si>
  <si>
    <t>202700100</t>
  </si>
  <si>
    <t>140-0088-00-IN</t>
  </si>
  <si>
    <t>202700106-PN</t>
  </si>
  <si>
    <t>204300001</t>
  </si>
  <si>
    <t>204300004</t>
  </si>
  <si>
    <t>60-30-344</t>
  </si>
  <si>
    <t>60-30-348</t>
  </si>
  <si>
    <t>60-30-481</t>
  </si>
  <si>
    <t>60-30-480</t>
  </si>
  <si>
    <t>60-30-484</t>
  </si>
  <si>
    <t>140-0091-00-DR</t>
  </si>
  <si>
    <t>31678-USS-TP</t>
  </si>
  <si>
    <t>31746-USS-548218-TP</t>
  </si>
  <si>
    <t>140-0094-00</t>
  </si>
  <si>
    <t>01-001-FG</t>
  </si>
  <si>
    <t>01-002-FG</t>
  </si>
  <si>
    <t>01-003-FG</t>
  </si>
  <si>
    <t>01-004-FG</t>
  </si>
  <si>
    <t>01-005-FG</t>
  </si>
  <si>
    <t>01-006-FG</t>
  </si>
  <si>
    <t>55486913LT</t>
  </si>
  <si>
    <t>55486914LT</t>
  </si>
  <si>
    <t>140-0049-00-FG</t>
  </si>
  <si>
    <t>140-0053-00-FG</t>
  </si>
  <si>
    <t>140-0051-00-FG</t>
  </si>
  <si>
    <t>140-0052-00-FG</t>
  </si>
  <si>
    <t>140-0050-00-FG</t>
  </si>
  <si>
    <t>140-0064-01-FG</t>
  </si>
  <si>
    <t>140-0049/51/53-CM</t>
  </si>
  <si>
    <t>140-0050/52-CM</t>
  </si>
  <si>
    <t>140-0064/57/56-CM</t>
  </si>
  <si>
    <t>LIBERACIÓN</t>
  </si>
  <si>
    <t>LABOR POR PC IN DEC OF MINUTES</t>
  </si>
  <si>
    <t>SET UP TIME</t>
  </si>
  <si>
    <t>PCS X HR</t>
  </si>
  <si>
    <t xml:space="preserve">LINK PLATE, COUNTER BALANCE   </t>
  </si>
  <si>
    <t>STRAP, COUNTER BALANCE MODEL V</t>
  </si>
  <si>
    <t xml:space="preserve">SUPPORT, BALL DETENT, MODEL V </t>
  </si>
  <si>
    <t xml:space="preserve">SEPARATOR, CODE GEAR          </t>
  </si>
  <si>
    <t xml:space="preserve">BRACKET BRUSH                 </t>
  </si>
  <si>
    <t xml:space="preserve">CONDUIT 1/2" SUPPORT BRACKET  </t>
  </si>
  <si>
    <t xml:space="preserve">CONDUIT MOUNTING BRACKET      </t>
  </si>
  <si>
    <t xml:space="preserve">LATCH                         </t>
  </si>
  <si>
    <t xml:space="preserve">ISS WASHER OVAL .406X1.00     </t>
  </si>
  <si>
    <t xml:space="preserve">Washer Plate                  </t>
  </si>
  <si>
    <t xml:space="preserve">MDR 710 FRAME GROUNDING FLAT  </t>
  </si>
  <si>
    <t xml:space="preserve">MDR 710 BRKT STR B&amp;R MODULE   </t>
  </si>
  <si>
    <t>530 PARCEL BULK SLIDER PAN 36"</t>
  </si>
  <si>
    <t xml:space="preserve">Armature C0000391             </t>
  </si>
  <si>
    <t xml:space="preserve">Armature C0000306             </t>
  </si>
  <si>
    <t xml:space="preserve">PE MTG BRKT                   </t>
  </si>
  <si>
    <t xml:space="preserve">INTERM BRAKE TOP CHANNEL FULL </t>
  </si>
  <si>
    <t xml:space="preserve">ZC IQ BRAKE MNT BRKT OPPOSITE </t>
  </si>
  <si>
    <t xml:space="preserve">ZC IQ BRAKE MNT BRKT SHOWN LH </t>
  </si>
  <si>
    <t>IQ INTERM BRAKE BOTTOM CHANNEL</t>
  </si>
  <si>
    <t xml:space="preserve">IQ INTERM BRAKE PUCK CHANNEL  </t>
  </si>
  <si>
    <t xml:space="preserve">STRIKE BOX                    </t>
  </si>
  <si>
    <t xml:space="preserve">SQUARE SPACER 1.13X1.13X.188  </t>
  </si>
  <si>
    <t>4MM X .425"ID X .938"OD COLLAR</t>
  </si>
  <si>
    <t xml:space="preserve">TELEPOT SIDE 1                </t>
  </si>
  <si>
    <t xml:space="preserve">TELEPOT SIDE 2                </t>
  </si>
  <si>
    <t xml:space="preserve">TELEPOT SIDE 3                </t>
  </si>
  <si>
    <t xml:space="preserve">TELEPOT SIDE 4                </t>
  </si>
  <si>
    <t xml:space="preserve">TELEPOT GUS                   </t>
  </si>
  <si>
    <t xml:space="preserve">TELEPOT                       </t>
  </si>
  <si>
    <t>.6MM THICK WASHER, 1 INCH O.D.</t>
  </si>
  <si>
    <t xml:space="preserve">C CHANNELS L BRACKET          </t>
  </si>
  <si>
    <t xml:space="preserve">CHASSIS NT11                  </t>
  </si>
  <si>
    <t xml:space="preserve">BACK LOCK                     </t>
  </si>
  <si>
    <t xml:space="preserve">BRACKET LONG LOCK             </t>
  </si>
  <si>
    <t xml:space="preserve">BRACKET SHORT LOCK            </t>
  </si>
  <si>
    <t xml:space="preserve">EXHAUST SIDE LOCK             </t>
  </si>
  <si>
    <t xml:space="preserve">FAN PLATE LOCK                </t>
  </si>
  <si>
    <t xml:space="preserve">FRONT DIVIDER LOCK            </t>
  </si>
  <si>
    <t xml:space="preserve">FRONT LOCK                    </t>
  </si>
  <si>
    <t xml:space="preserve">INTAKE SIDE LOCK              </t>
  </si>
  <si>
    <t xml:space="preserve">STANDOFF LOCK                 </t>
  </si>
  <si>
    <t xml:space="preserve">I_BEAM PROTOTYPE              </t>
  </si>
  <si>
    <t xml:space="preserve">END PLATE                     </t>
  </si>
  <si>
    <t xml:space="preserve">FLANGE                        </t>
  </si>
  <si>
    <t xml:space="preserve">HEADER PLATE-SIDE             </t>
  </si>
  <si>
    <t xml:space="preserve">HEADER PLATE-BOTTOM           </t>
  </si>
  <si>
    <t xml:space="preserve">DIVIDER                       </t>
  </si>
  <si>
    <t xml:space="preserve">MANIFOLD                      </t>
  </si>
  <si>
    <t xml:space="preserve">TANK                          </t>
  </si>
  <si>
    <t xml:space="preserve">TANK, INLET                   </t>
  </si>
  <si>
    <t xml:space="preserve">TANK, OUTLET                  </t>
  </si>
  <si>
    <t xml:space="preserve">heat shield                   </t>
  </si>
  <si>
    <t xml:space="preserve">Heat shield                   </t>
  </si>
  <si>
    <t xml:space="preserve">FROUNT HOUSING                </t>
  </si>
  <si>
    <t xml:space="preserve">REAR HOUSING                  </t>
  </si>
  <si>
    <t xml:space="preserve">BASE PLATE FOR HUB            </t>
  </si>
  <si>
    <t xml:space="preserve">FINGER GUARD                  </t>
  </si>
  <si>
    <t xml:space="preserve">PRESSURE BREAK                </t>
  </si>
  <si>
    <t xml:space="preserve">Front Dispenser Cover         </t>
  </si>
  <si>
    <t xml:space="preserve">FRAME WELDMENT                </t>
  </si>
  <si>
    <t xml:space="preserve">FRAME WELDMENT LEFT           </t>
  </si>
  <si>
    <t xml:space="preserve">FRAME WELDMENT RIGHT          </t>
  </si>
  <si>
    <t xml:space="preserve">CROSSMEMBER WLDMNT, SQ TUBE   </t>
  </si>
  <si>
    <t xml:space="preserve">CROSSMEMBER WLDMT, 1" SQ TUBE </t>
  </si>
  <si>
    <t>CROSSMEMBER WLDMT SQ TUBE 1 IN</t>
  </si>
  <si>
    <t xml:space="preserve">FILTER BRACKET FIXED          </t>
  </si>
  <si>
    <t xml:space="preserve">DOOR WITH HINGE               </t>
  </si>
  <si>
    <t xml:space="preserve">INTERFACE PCB BRACKET         </t>
  </si>
  <si>
    <t xml:space="preserve">XDUCER PCB MOUNTING BRACKET   </t>
  </si>
  <si>
    <t xml:space="preserve">CPU EM I COVER                </t>
  </si>
  <si>
    <t xml:space="preserve">LOWER ASSEMBLY HOUSING        </t>
  </si>
  <si>
    <t xml:space="preserve">LOWER ASSEMBLY SUPPORT, 600MM </t>
  </si>
  <si>
    <t xml:space="preserve">LOWER HOUSING, BACK           </t>
  </si>
  <si>
    <t xml:space="preserve">FILTER GRATE                  </t>
  </si>
  <si>
    <t xml:space="preserve">CLEVIS BRACKET - 2 PIECE BENT </t>
  </si>
  <si>
    <t xml:space="preserve">LOWER ASSEMBLY HOUSING, SIDE  </t>
  </si>
  <si>
    <t xml:space="preserve">LOWER HOUSING, SHORT, CORNER  </t>
  </si>
  <si>
    <t xml:space="preserve">LOWER HOUSING, LONG, CORNER   </t>
  </si>
  <si>
    <t xml:space="preserve">SOLAR THERMAL COLLECTOR       </t>
  </si>
  <si>
    <t xml:space="preserve">NUT PLATE                     </t>
  </si>
  <si>
    <t xml:space="preserve">BASE                          </t>
  </si>
  <si>
    <t xml:space="preserve">LATERAL STIFFENING PLATE      </t>
  </si>
  <si>
    <t xml:space="preserve">SOLAR THERMAL, PAN LONG WALL  </t>
  </si>
  <si>
    <t xml:space="preserve">SOLAR THERMAL, PAN SHORT WALL </t>
  </si>
  <si>
    <t xml:space="preserve">PAN SUPPORT BAR               </t>
  </si>
  <si>
    <t xml:space="preserve">WELDMENT STIFFENER BAR        </t>
  </si>
  <si>
    <t xml:space="preserve">PUMP COVER                    </t>
  </si>
  <si>
    <t xml:space="preserve">BASE, END CAP                 </t>
  </si>
  <si>
    <t xml:space="preserve">BACKSHEET 2 PV PANELS         </t>
  </si>
  <si>
    <t xml:space="preserve">LOWER HOUSING, FAN EXHAUST    </t>
  </si>
  <si>
    <t>PROCESS FAN ACCESS COVER PLATE</t>
  </si>
  <si>
    <t xml:space="preserve">120MM FAN SERVICE PLATE       </t>
  </si>
  <si>
    <t xml:space="preserve">FAN PLATE SUPPORT RAMP        </t>
  </si>
  <si>
    <t xml:space="preserve">FAN MOUNTING PLATE            </t>
  </si>
  <si>
    <t xml:space="preserve">CARRIER PLATE                 </t>
  </si>
  <si>
    <t xml:space="preserve">INTAKE, LOWER HOUSING, GEN F  </t>
  </si>
  <si>
    <t xml:space="preserve">EXHAUST, LOWER HOUSING, GEN F </t>
  </si>
  <si>
    <t xml:space="preserve">BACK, LOWER HOUSING, GEN F    </t>
  </si>
  <si>
    <t xml:space="preserve">FRONT, LOWER HOUSING, GEN F   </t>
  </si>
  <si>
    <t xml:space="preserve">FAN PLATE LOWER HOUSING GEN F </t>
  </si>
  <si>
    <t xml:space="preserve">FRONT DIVIDER LOWER HOUSING   </t>
  </si>
  <si>
    <t xml:space="preserve">SIDE DIVIDER LOWER HOUSING    </t>
  </si>
  <si>
    <t xml:space="preserve">LONG BRACKET LOWER HOUSING    </t>
  </si>
  <si>
    <t xml:space="preserve">SHORT BRACKET LOWER HOUSING   </t>
  </si>
  <si>
    <t xml:space="preserve">STA SUPPORT LOWE HOUSING      </t>
  </si>
  <si>
    <t xml:space="preserve">BOTTOM PLATE LOWER HOUSING    </t>
  </si>
  <si>
    <t xml:space="preserve">STA CHANNEL FRAME, LONG       </t>
  </si>
  <si>
    <t>STA CHANNEL FRAME, LONG, BLACK</t>
  </si>
  <si>
    <t xml:space="preserve">STA CHANNEL FRAME, SHORT      </t>
  </si>
  <si>
    <t>STA CHANNEL FRAME, SHORT BLACK</t>
  </si>
  <si>
    <t xml:space="preserve">STA CHANNEL CLIP              </t>
  </si>
  <si>
    <t>STA CHANNEL FRAME ANTENNA BRKT</t>
  </si>
  <si>
    <t xml:space="preserve">TELESCOPING LEG, INNER        </t>
  </si>
  <si>
    <t xml:space="preserve">STA CHANNEL FRAME LONG, NORTH </t>
  </si>
  <si>
    <t xml:space="preserve">FILTER CHANNEL, TOP           </t>
  </si>
  <si>
    <t xml:space="preserve">FILTER CHANNEL, BOTTOM        </t>
  </si>
  <si>
    <t xml:space="preserve">STA BACKSHEET PARTIAL         </t>
  </si>
  <si>
    <t xml:space="preserve">ACCESS DOOR, LOWER HOUSING    </t>
  </si>
  <si>
    <t xml:space="preserve">2 PIECE GALVANIZED BACKSHEET  </t>
  </si>
  <si>
    <t>STA SUPPORT TALL LOWER HOUSING</t>
  </si>
  <si>
    <t xml:space="preserve">PANEL MOUNTING BRACKET, 2IN   </t>
  </si>
  <si>
    <t xml:space="preserve">PANEL MOUNTING BRACKET, 6 IN  </t>
  </si>
  <si>
    <t xml:space="preserve">END CAP, 1 INCH SQUARE        </t>
  </si>
  <si>
    <t xml:space="preserve">PARTIAL BACKSHEET, .3MM G60   </t>
  </si>
  <si>
    <t xml:space="preserve">FLASHING, 8" X 12" X .6 MM    </t>
  </si>
  <si>
    <t xml:space="preserve">Common element                </t>
  </si>
  <si>
    <t xml:space="preserve">30 GALL 14"                   </t>
  </si>
  <si>
    <t xml:space="preserve">40 GALL 16"-18"               </t>
  </si>
  <si>
    <t xml:space="preserve">50 GALL 18"                   </t>
  </si>
  <si>
    <t xml:space="preserve">40 GALL 16"                   </t>
  </si>
  <si>
    <t xml:space="preserve">40 GALL 18"                   </t>
  </si>
  <si>
    <t xml:space="preserve">LAMP BRACKET                  </t>
  </si>
  <si>
    <t xml:space="preserve">SPLICE PLATE VB               </t>
  </si>
  <si>
    <t xml:space="preserve">heat shield GR                </t>
  </si>
  <si>
    <t xml:space="preserve">heat shield vibrofinished     </t>
  </si>
  <si>
    <t xml:space="preserve">BRACKET, MOTOR MOUNT          </t>
  </si>
  <si>
    <t xml:space="preserve">PLATE, LOWER APERTURE WALL, V </t>
  </si>
  <si>
    <t xml:space="preserve">BRACKET, THUMB WHEEL          </t>
  </si>
  <si>
    <t xml:space="preserve">POWER SUPPLY COVER, MODEL V   </t>
  </si>
  <si>
    <t xml:space="preserve">PCB MOUNT, MODEL V            </t>
  </si>
  <si>
    <t xml:space="preserve">LCD MOUNT, MODEL V            </t>
  </si>
  <si>
    <t xml:space="preserve">BRACKET, INTERRUPT SENSOR     </t>
  </si>
  <si>
    <t xml:space="preserve">BRACKET, REFLECTIVE SENSOR    </t>
  </si>
  <si>
    <t xml:space="preserve">PLATE, FIREWIRE BLANK         </t>
  </si>
  <si>
    <t xml:space="preserve">COVER, POWER INLET, MODEL V   </t>
  </si>
  <si>
    <t xml:space="preserve">COVER PLATE, BASE             </t>
  </si>
  <si>
    <t xml:space="preserve">BASE STIFFENER                </t>
  </si>
  <si>
    <t xml:space="preserve">CHASSIS, MODEL V              </t>
  </si>
  <si>
    <t xml:space="preserve">TORQUE PLATE KEY OVERRIDE     </t>
  </si>
  <si>
    <t xml:space="preserve">COVER, SHOE HOSING            </t>
  </si>
  <si>
    <t xml:space="preserve">WRENCH, SPANNER               </t>
  </si>
  <si>
    <t xml:space="preserve">COMBINATION CHANGE SLEEVE     </t>
  </si>
  <si>
    <t xml:space="preserve">OUTSIDE KNOB RETAINER         </t>
  </si>
  <si>
    <t xml:space="preserve">BRIDGE, HN-130 SPRING         </t>
  </si>
  <si>
    <t xml:space="preserve">COVER PLATE                   </t>
  </si>
  <si>
    <t xml:space="preserve">LINK 1000 SERIES LOCK         </t>
  </si>
  <si>
    <t xml:space="preserve">LINK (MED.) 1000 SERIES LOCK  </t>
  </si>
  <si>
    <t xml:space="preserve">STOP PLATE (L 1000 SERIES)    </t>
  </si>
  <si>
    <t xml:space="preserve">CLUTCH BACKING PLATE          </t>
  </si>
  <si>
    <t>DRIVE LINK (LEVER HANDLE LOCK)</t>
  </si>
  <si>
    <t xml:space="preserve">LINK, CHAMBER SHAFT, L1000    </t>
  </si>
  <si>
    <t xml:space="preserve">DUMMY LINK LEVER HANDLE       </t>
  </si>
  <si>
    <t>TRNSFER LINK LEVER HANDLE LOCK</t>
  </si>
  <si>
    <t xml:space="preserve">GUIDE BRACKET (L-1000)        </t>
  </si>
  <si>
    <t xml:space="preserve">PLATE, REINFORCING            </t>
  </si>
  <si>
    <t xml:space="preserve">LINK CANCELLING (LEFT HAND)   </t>
  </si>
  <si>
    <t xml:space="preserve">LINK CANCELLING (RIGHT HAND)  </t>
  </si>
  <si>
    <t xml:space="preserve">REINFORCING COVER PLATE L1000 </t>
  </si>
  <si>
    <t xml:space="preserve">SPRING HOOK L1000 SERIES      </t>
  </si>
  <si>
    <t xml:space="preserve">BACK PLATE, 7000 SERIES LOCK  </t>
  </si>
  <si>
    <t xml:space="preserve">I_BEAM SIDE                   </t>
  </si>
  <si>
    <t xml:space="preserve">I_BEAM TOP                    </t>
  </si>
  <si>
    <t>SQUARE INSERT CAP 1" X 1"X 3MM</t>
  </si>
  <si>
    <t>CIRCLE INSERT CAP 1" O.D.X 3MM</t>
  </si>
  <si>
    <t xml:space="preserve">SQ INSERT CAP 1.25"x1.25"x3mm </t>
  </si>
  <si>
    <t>UNIFIED TRIM PLATE W/O PASSAGE</t>
  </si>
  <si>
    <t xml:space="preserve">STRIKE PLATE, ASA             </t>
  </si>
  <si>
    <t xml:space="preserve">RETAINER CLIP, INSIDE LEVER   </t>
  </si>
  <si>
    <t xml:space="preserve">STRIKE PLATE, TS              </t>
  </si>
  <si>
    <t xml:space="preserve">BOTTOM, KNOB, 1000            </t>
  </si>
  <si>
    <t xml:space="preserve">140-0061 NO END FLANGE        </t>
  </si>
  <si>
    <t xml:space="preserve">140-0076 WITH NO END FLANGE   </t>
  </si>
  <si>
    <t xml:space="preserve">DETENT, TIMING GEAR           </t>
  </si>
  <si>
    <t xml:space="preserve">CAM KNOB RETURN               </t>
  </si>
  <si>
    <t xml:space="preserve">RETAINER-SPRING E/P           </t>
  </si>
  <si>
    <t xml:space="preserve">STOP, TIMING GEAR             </t>
  </si>
  <si>
    <t xml:space="preserve">CAM-LOCKOUT                   </t>
  </si>
  <si>
    <t xml:space="preserve">CAM-UNLOCKING SLIDE LIFT E/P  </t>
  </si>
  <si>
    <t xml:space="preserve">CAM-RESET &amp; UNLOCKING         </t>
  </si>
  <si>
    <t xml:space="preserve">4 UP CHARGE BRACKET           </t>
  </si>
  <si>
    <t>M71 CHAMBER, 7000 CAM LOCK OUT</t>
  </si>
  <si>
    <t>CAM, RESET/UNLOCK, 7000 SERIES</t>
  </si>
  <si>
    <t>CAM, UNLOCKING SLIDE LIFT-7000</t>
  </si>
  <si>
    <t xml:space="preserve">MOUNTING PLATE                </t>
  </si>
  <si>
    <t xml:space="preserve">CHAMBER COVER                 </t>
  </si>
  <si>
    <t xml:space="preserve">FRONT PLATE, CHAMBER          </t>
  </si>
  <si>
    <t xml:space="preserve">CATCH , LEVER                 </t>
  </si>
  <si>
    <t xml:space="preserve">KEY, ROTARY AND STEM          </t>
  </si>
  <si>
    <t xml:space="preserve">CABLE TIE MOUNT               </t>
  </si>
  <si>
    <t xml:space="preserve">16 GA STEEL BRACKET           </t>
  </si>
  <si>
    <t xml:space="preserve">16 GAUGE STEEL BRACKET        </t>
  </si>
  <si>
    <t xml:space="preserve">ISS SUP FOOT WLDMNT           </t>
  </si>
  <si>
    <t xml:space="preserve">COVER NT11 SERIES             </t>
  </si>
  <si>
    <t xml:space="preserve">BATCH DIVERT PAN, G-17-60014  </t>
  </si>
  <si>
    <t xml:space="preserve">CLEVIS MOUNT                  </t>
  </si>
  <si>
    <t>CROSS DIVERT BRACE, G-17-60014</t>
  </si>
  <si>
    <t xml:space="preserve">LEVER DIVERT DOOR MOUNT       </t>
  </si>
  <si>
    <t xml:space="preserve">CYLINDER CONSOLE, G-17-60014  </t>
  </si>
  <si>
    <t>BATCH ACCESS PAN, G1760014.VEN</t>
  </si>
  <si>
    <t xml:space="preserve">CHUTE FUNNEL, G-17-60014      </t>
  </si>
  <si>
    <t xml:space="preserve">BATCH DIVERT MOTION BRACKET   </t>
  </si>
  <si>
    <t xml:space="preserve">WIRE COVER PLATE LOWER        </t>
  </si>
  <si>
    <t xml:space="preserve">CHANNEL USA SUPPORT BOOT      </t>
  </si>
  <si>
    <t xml:space="preserve">M910 SUPT, BASE CUT           </t>
  </si>
  <si>
    <t xml:space="preserve">BRACKET, RIGHT                </t>
  </si>
  <si>
    <t xml:space="preserve">BRACKET, LEFT                 </t>
  </si>
  <si>
    <t xml:space="preserve">SUPPORT                       </t>
  </si>
  <si>
    <t xml:space="preserve">GUIDE                         </t>
  </si>
  <si>
    <t xml:space="preserve">CABLE CHAIN SUPPORT           </t>
  </si>
  <si>
    <t xml:space="preserve">CHAIN SUPPORT                 </t>
  </si>
  <si>
    <t xml:space="preserve">READER BRACKET                </t>
  </si>
  <si>
    <t xml:space="preserve">THROUGH                       </t>
  </si>
  <si>
    <t xml:space="preserve">CABLE HOLDER                  </t>
  </si>
  <si>
    <t xml:space="preserve">BRACKET, CAMERA               </t>
  </si>
  <si>
    <t xml:space="preserve">L BRACKET                     </t>
  </si>
  <si>
    <t xml:space="preserve">SPRING-PROFIL 1               </t>
  </si>
  <si>
    <t xml:space="preserve">SPRING BRACKET-2              </t>
  </si>
  <si>
    <t xml:space="preserve">SPRING BRACKET-6              </t>
  </si>
  <si>
    <t xml:space="preserve">SPRING BRACKET-5              </t>
  </si>
  <si>
    <t xml:space="preserve">UPPER CABLE HOLDER            </t>
  </si>
  <si>
    <t xml:space="preserve">LOWER CABLE COVER             </t>
  </si>
  <si>
    <t xml:space="preserve">FORK                          </t>
  </si>
  <si>
    <t xml:space="preserve">BRACKET LASER SENSOR          </t>
  </si>
  <si>
    <t xml:space="preserve">SQUARE                        </t>
  </si>
  <si>
    <t xml:space="preserve">SHIM DOOR                     </t>
  </si>
  <si>
    <t xml:space="preserve">SPRING BRACKET-1              </t>
  </si>
  <si>
    <t xml:space="preserve">DOOR SHIM                     </t>
  </si>
  <si>
    <t xml:space="preserve">FINGER DOOR                   </t>
  </si>
  <si>
    <t xml:space="preserve">BRACKET SENSOR                </t>
  </si>
  <si>
    <t xml:space="preserve">BRACKET                       </t>
  </si>
  <si>
    <t xml:space="preserve">SENSOR BRACKET                </t>
  </si>
  <si>
    <t xml:space="preserve">ARM PUSHER                    </t>
  </si>
  <si>
    <t xml:space="preserve">BRACKET RIGHT                 </t>
  </si>
  <si>
    <t xml:space="preserve">EXTENSION                     </t>
  </si>
  <si>
    <t xml:space="preserve">200 ANG, SNUB ADJUSTER        </t>
  </si>
  <si>
    <t xml:space="preserve">200 ANG, SNUB RLR ADJUSTER    </t>
  </si>
  <si>
    <t xml:space="preserve">200 SPR MOUNTED FLAT ONE HOLE </t>
  </si>
  <si>
    <t xml:space="preserve">200 TAKE UP WLDMNT 11IN ASSY  </t>
  </si>
  <si>
    <t>200 TAKE UP 11IN ADJUSTING ROD</t>
  </si>
  <si>
    <t xml:space="preserve">200 TAKE UP WLDMNT 8IN ASSY   </t>
  </si>
  <si>
    <t xml:space="preserve">200 TAKE UP 8IN ADJUSTING ROD </t>
  </si>
  <si>
    <t xml:space="preserve">200 TAKE UP WLDMNT 5IN ASSY   </t>
  </si>
  <si>
    <t xml:space="preserve">200 TAKE UP 5IN ADJUSTING ROD </t>
  </si>
  <si>
    <t xml:space="preserve">M200 INTERM STD SIDE RAIL 1M  </t>
  </si>
  <si>
    <t xml:space="preserve">M200 INTERM STD SIDE RAIL 2M  </t>
  </si>
  <si>
    <t xml:space="preserve">M200 INTERM STD SIDE RAIL 3M  </t>
  </si>
  <si>
    <t xml:space="preserve">M200 INTERM STD SIDE RAIL 4M  </t>
  </si>
  <si>
    <t xml:space="preserve">M200 CENTER DR FILL ANGLE RH  </t>
  </si>
  <si>
    <t xml:space="preserve">M200 CENTER DR FILL ANGLE LH  </t>
  </si>
  <si>
    <t xml:space="preserve">M200 ANG TAPPED AXLE SNUB RLR </t>
  </si>
  <si>
    <t>M200 ANG TAP AXLE SNUB RLR ADJ</t>
  </si>
  <si>
    <t xml:space="preserve">460 SIDE GUIDE 24" H STRAIGHT </t>
  </si>
  <si>
    <t xml:space="preserve">weldment usa support boot     </t>
  </si>
  <si>
    <t xml:space="preserve">710 MDR LOW SPLICE            </t>
  </si>
  <si>
    <t xml:space="preserve">510 CHANNEL INT CROSS BF22    </t>
  </si>
  <si>
    <t xml:space="preserve">510 CHANNEL INT CROSS BF28    </t>
  </si>
  <si>
    <t xml:space="preserve">CENTER PLATE MOUNTING WASHER  </t>
  </si>
  <si>
    <t xml:space="preserve">Unterbau NA                   </t>
  </si>
  <si>
    <t xml:space="preserve">INTERMEDIATE BRAKE TOP SHORT  </t>
  </si>
  <si>
    <t>INTERMEDIATE BRAKE BOTTM SHORT</t>
  </si>
  <si>
    <t xml:space="preserve">INTM BRAKE PUCK CHANNEL SHORT </t>
  </si>
  <si>
    <t xml:space="preserve">IQ BRAKE MNTG BRKT SHORT      </t>
  </si>
  <si>
    <t xml:space="preserve">MNTG BRACKET SHORT BRAKE      </t>
  </si>
  <si>
    <t xml:space="preserve">14 GAUGE STEEL BRACKET        </t>
  </si>
  <si>
    <t xml:space="preserve">FULL STRAIN RELIEF            </t>
  </si>
  <si>
    <t xml:space="preserve">BRACKET SHEET METAL           </t>
  </si>
  <si>
    <t xml:space="preserve">FRAME                         </t>
  </si>
  <si>
    <t xml:space="preserve">SWIVEL SHAFT LOOP             </t>
  </si>
  <si>
    <t xml:space="preserve">DRUM FLANGE SPRING SIDE       </t>
  </si>
  <si>
    <t xml:space="preserve">DRUM FLANGE CATCH SIZE        </t>
  </si>
  <si>
    <t xml:space="preserve">BREAK AWAY TOP                </t>
  </si>
  <si>
    <t xml:space="preserve">STRIKE, UNIVERSAL             </t>
  </si>
  <si>
    <t xml:space="preserve">SUBSHIELD, DETECTOR HOUSING   </t>
  </si>
  <si>
    <t xml:space="preserve">UNDERPLT, BLANK INSYNC        </t>
  </si>
  <si>
    <t xml:space="preserve">LX SHELF SUPP.MODULES V2G     </t>
  </si>
  <si>
    <t xml:space="preserve">RX SHELF SUPP.MODULES V2G     </t>
  </si>
  <si>
    <t xml:space="preserve">BRACKET FIXING PANEL V2G      </t>
  </si>
  <si>
    <t xml:space="preserve">BRACKET RX SUPPORT PANEL V2G  </t>
  </si>
  <si>
    <t xml:space="preserve">BRACKET LX SUPPORT PANEL V2G  </t>
  </si>
  <si>
    <t xml:space="preserve">BRACKET SUPPORT MODULE V2G    </t>
  </si>
  <si>
    <t xml:space="preserve">BRACKET FIX PANN LAT V2G      </t>
  </si>
  <si>
    <t xml:space="preserve">BRACKET FIX PANN CEN V2G      </t>
  </si>
  <si>
    <t xml:space="preserve">SUPPORT HINGE V2G             </t>
  </si>
  <si>
    <t xml:space="preserve">BRACKET REAR BASE             </t>
  </si>
  <si>
    <t xml:space="preserve">BRACKET FRONT BASE            </t>
  </si>
  <si>
    <t xml:space="preserve">BRACKET THICKNESS CAM         </t>
  </si>
  <si>
    <t xml:space="preserve">PERFORATED FRONT COVER        </t>
  </si>
  <si>
    <t xml:space="preserve">EXTERNAL FRONT COVER          </t>
  </si>
  <si>
    <t xml:space="preserve">RAINCATCHER FRONT MAIN BODY   </t>
  </si>
  <si>
    <t xml:space="preserve">RAINCATCHER FRONT RIGHT COVER </t>
  </si>
  <si>
    <t xml:space="preserve">RAINCATCHER FRONT LEFT COVER  </t>
  </si>
  <si>
    <t xml:space="preserve">RAINCATCHER FILTER LEFT FRAME </t>
  </si>
  <si>
    <t>RAINCATCHER FILTER RIGHT FRAME</t>
  </si>
  <si>
    <t xml:space="preserve">HORIZONTAL AIR DEFLECTOR      </t>
  </si>
  <si>
    <t xml:space="preserve">RAINCATCHER VERTICAL WEB      </t>
  </si>
  <si>
    <t xml:space="preserve">RAINCATCHER FRONT             </t>
  </si>
  <si>
    <t>PERFORATED EXTERNAL COVER BACK</t>
  </si>
  <si>
    <t xml:space="preserve">EXTERNAL COVER BACK           </t>
  </si>
  <si>
    <t xml:space="preserve">RAINCATCHER BACK MAIN BODY    </t>
  </si>
  <si>
    <t xml:space="preserve">RAINCATCHER BACK RIGHT COVER  </t>
  </si>
  <si>
    <t xml:space="preserve">RAINCATCHER BACK LEFT COVER   </t>
  </si>
  <si>
    <t xml:space="preserve">FILTER BACK LEFT FRAME        </t>
  </si>
  <si>
    <t xml:space="preserve">FILTER BACK RIGHT FRAME       </t>
  </si>
  <si>
    <t xml:space="preserve">BACK HORIZONTAL AIR DEFLECTOR </t>
  </si>
  <si>
    <t xml:space="preserve">RAINCATCHER BACK              </t>
  </si>
  <si>
    <t>PERFORATED EXTERNAL COVER LEFT</t>
  </si>
  <si>
    <t xml:space="preserve">RAINCATCHER LEFT MAIN BODY    </t>
  </si>
  <si>
    <t xml:space="preserve">LEFT SIDE RIGHT COVER         </t>
  </si>
  <si>
    <t xml:space="preserve">LEFT SIDE LEFT COVER          </t>
  </si>
  <si>
    <t xml:space="preserve">FILTER LEFT SIDE LEFT FRAME   </t>
  </si>
  <si>
    <t xml:space="preserve">FILTER LEFT SIDE RIGHT FRAME  </t>
  </si>
  <si>
    <t xml:space="preserve">LEFT HORIZONTAL AIR DEFLECTOR </t>
  </si>
  <si>
    <t xml:space="preserve">RAINCATCHER LEFT              </t>
  </si>
  <si>
    <t xml:space="preserve">PERFORATED EXTERNAL COVER     </t>
  </si>
  <si>
    <t xml:space="preserve">EXTERNAL COVER RIGHT          </t>
  </si>
  <si>
    <t xml:space="preserve">RAINCATCHER RIGHT MAIN BODY   </t>
  </si>
  <si>
    <t xml:space="preserve">RIGHT SIDE RIGHT COVER        </t>
  </si>
  <si>
    <t xml:space="preserve">RIGHT SIDE LEFT COVER         </t>
  </si>
  <si>
    <t xml:space="preserve">RIGHT HORIZONTAL LEFT FRAME   </t>
  </si>
  <si>
    <t xml:space="preserve">FILTER RIGHT SIDE RIGHT FRAME </t>
  </si>
  <si>
    <t>RIGHT HORIZONTAL AIR DEFLECTOR</t>
  </si>
  <si>
    <t xml:space="preserve">RAINCATCHER RIGHT             </t>
  </si>
  <si>
    <t xml:space="preserve">RAINCATCHER FRONT DOWN        </t>
  </si>
  <si>
    <t xml:space="preserve">BRACKET 02 WIND DEFLECTOR     </t>
  </si>
  <si>
    <t xml:space="preserve">BRACKET STOPPER VENT.V2G      </t>
  </si>
  <si>
    <t xml:space="preserve">BRACKET BOARD DOOR V2G        </t>
  </si>
  <si>
    <t>BRACKET UPPER DOOR LOCKING ROD</t>
  </si>
  <si>
    <t>BRACKET LOWER DOOR LOCKING ROD</t>
  </si>
  <si>
    <t xml:space="preserve">COMPLETE BASE FRAME V2G       </t>
  </si>
  <si>
    <t xml:space="preserve">FRONT BASE FRAME V2G          </t>
  </si>
  <si>
    <t xml:space="preserve">REAR BASE FRAME V2G           </t>
  </si>
  <si>
    <t xml:space="preserve">LEFT BASE FRAME V2G           </t>
  </si>
  <si>
    <t xml:space="preserve">RIGHT BASE FRAME V2G          </t>
  </si>
  <si>
    <t xml:space="preserve">PART 01 BASE FRAME V2G        </t>
  </si>
  <si>
    <t xml:space="preserve">PART 03 BASE FRAME V2G        </t>
  </si>
  <si>
    <t xml:space="preserve">PART 04 BASE FRAME V2G        </t>
  </si>
  <si>
    <t xml:space="preserve">PART 05 BASE FRAME V2G        </t>
  </si>
  <si>
    <t xml:space="preserve">RX FOOT BASE FRAME V2G        </t>
  </si>
  <si>
    <t xml:space="preserve">LX FOOT BASE FRAME V2G        </t>
  </si>
  <si>
    <t xml:space="preserve">RX FRONT PROFILE V2G          </t>
  </si>
  <si>
    <t xml:space="preserve">LX FRONT PROFILE V2G          </t>
  </si>
  <si>
    <t xml:space="preserve">RX REAR PROFILE V2G           </t>
  </si>
  <si>
    <t xml:space="preserve">LX REAR PROFILE V2G           </t>
  </si>
  <si>
    <t xml:space="preserve">BEAM REAR CENTER V2G          </t>
  </si>
  <si>
    <t xml:space="preserve">BEAM REAR UP V2G              </t>
  </si>
  <si>
    <t xml:space="preserve">EXTERNAL ROOF PLATE V2G       </t>
  </si>
  <si>
    <t xml:space="preserve">INTERNAL ROOF PLATE V2G       </t>
  </si>
  <si>
    <t xml:space="preserve">ROOF FRAME COMPLETE V2G       </t>
  </si>
  <si>
    <t xml:space="preserve">FIXING PLAN FANS V2G          </t>
  </si>
  <si>
    <t xml:space="preserve">GUIDE FAN BACK                </t>
  </si>
  <si>
    <t xml:space="preserve">GUIDE FAN LATERAL LX          </t>
  </si>
  <si>
    <t xml:space="preserve">GUIDE FAN LATERAL RX          </t>
  </si>
  <si>
    <t xml:space="preserve">REINFORCING PLAN FANS         </t>
  </si>
  <si>
    <t xml:space="preserve">LEFT WALL FRAME V2G           </t>
  </si>
  <si>
    <t xml:space="preserve">RIGHT WALL FRAME V2G          </t>
  </si>
  <si>
    <t xml:space="preserve">FRAME V2G                     </t>
  </si>
  <si>
    <t xml:space="preserve">BRACKET TUBTARA               </t>
  </si>
  <si>
    <t xml:space="preserve">EXTERNAL SIDE PANEL 1565x636  </t>
  </si>
  <si>
    <t xml:space="preserve">INSIDE 1 SIDE PANEL 578x753.5 </t>
  </si>
  <si>
    <t xml:space="preserve">INSIDE 2 SIDE PANEL 578x753.5 </t>
  </si>
  <si>
    <t xml:space="preserve">SIDE PANEL COMPLETE 1565x636  </t>
  </si>
  <si>
    <t xml:space="preserve">EXT.LOWER BACK PANEL 780x1036 </t>
  </si>
  <si>
    <t xml:space="preserve">INS.LOWER BACK PANEL 722x978  </t>
  </si>
  <si>
    <t xml:space="preserve">LOWER BACK PANEL COMPLETE     </t>
  </si>
  <si>
    <t xml:space="preserve">EXT.UPPER BACK PANEL 780x1036 </t>
  </si>
  <si>
    <t xml:space="preserve">INS.UPPER BACK PANEL 722x978  </t>
  </si>
  <si>
    <t xml:space="preserve">UPPER BACK PANEL COMPLETE     </t>
  </si>
  <si>
    <t xml:space="preserve">PART 01 DOOR FRAME            </t>
  </si>
  <si>
    <t xml:space="preserve">PART 02 DOOR FRAME            </t>
  </si>
  <si>
    <t xml:space="preserve">PART 03 DOOR FRAME            </t>
  </si>
  <si>
    <t xml:space="preserve">PART 04 DOOR FRAME            </t>
  </si>
  <si>
    <t xml:space="preserve">PART 05 DOOR FRAME            </t>
  </si>
  <si>
    <t xml:space="preserve">PART 06 DOOR FRAME            </t>
  </si>
  <si>
    <t xml:space="preserve">PART 07 DOOR FRAME            </t>
  </si>
  <si>
    <t xml:space="preserve">PART 08 DOOR FRAME            </t>
  </si>
  <si>
    <t xml:space="preserve">PART 09 DOOR FRAME            </t>
  </si>
  <si>
    <t xml:space="preserve">DOOR FRAME                    </t>
  </si>
  <si>
    <t xml:space="preserve">DOOR FRAME COMPLETE           </t>
  </si>
  <si>
    <t xml:space="preserve">PART 11 DOOR FRAME            </t>
  </si>
  <si>
    <t>LOWER HOUSING ASSEMBLY</t>
  </si>
  <si>
    <t>LOWER ASSEMBLY HOUSING, SIDE</t>
  </si>
  <si>
    <t>NUT PLATE</t>
  </si>
  <si>
    <t>BASE</t>
  </si>
  <si>
    <t>LATERAL STIFFENING PLATE</t>
  </si>
  <si>
    <t>CLEVIS BRACKET - 2 PIECE BENT</t>
  </si>
  <si>
    <t>LX SHELF SUPP.MODULES V2G</t>
  </si>
  <si>
    <t>RX SHELF SUPP.MODULES V2G</t>
  </si>
  <si>
    <t>SOLAR THERMAL, WELDMENT</t>
  </si>
  <si>
    <t>BRACKET TUBTARA</t>
  </si>
  <si>
    <t>DOOR FRAME COMPLETE</t>
  </si>
  <si>
    <t>BRACKET REAR BASE</t>
  </si>
  <si>
    <t>RAINCATCHER FRONT</t>
  </si>
  <si>
    <t>RAINCATCHER BACK</t>
  </si>
  <si>
    <t>RAINCATCHER LEFT</t>
  </si>
  <si>
    <t>RAINCATCHER RIGHT</t>
  </si>
  <si>
    <t>RAINCATCHER FRONT DOWN</t>
  </si>
  <si>
    <t>WELDMENT STIFFENER BAR</t>
  </si>
  <si>
    <t>LOWER BACK PANEL COMPLETE</t>
  </si>
  <si>
    <t>UPPER BACK PANEL COMPLETE</t>
  </si>
  <si>
    <t>SIDE PANEL COMPLETE 1565x636</t>
  </si>
  <si>
    <t>SOLAR THERMAL ASSEMBLY</t>
  </si>
  <si>
    <t>POLYISO ASSEMBLY WITH GLASS</t>
  </si>
  <si>
    <t>POLYISO FRAME ASSEMBLY</t>
  </si>
  <si>
    <t>PLENUM DIVIDER</t>
  </si>
  <si>
    <t>GLASS ASSEMBLY</t>
  </si>
  <si>
    <t>SOLAR THERMAL, BACK SHEET</t>
  </si>
  <si>
    <t>BACKING</t>
  </si>
  <si>
    <t>4 CONDUCTORS 20AWG SHIELDED</t>
  </si>
  <si>
    <t>HEAT SHRINK TUBING 50MM LONG</t>
  </si>
  <si>
    <t>PLENUM DIVIDER - ONE PIECE</t>
  </si>
  <si>
    <t>CABINET COMPLETE 17-01</t>
  </si>
  <si>
    <t>BRACKET FIX PANN LAT V2G</t>
  </si>
  <si>
    <t>REAR HOUSING</t>
  </si>
  <si>
    <t>SOLAR THERMAL WLDMNT, COATED</t>
  </si>
  <si>
    <t>I_BEAM PROTOTYPE</t>
  </si>
  <si>
    <t>BACKSHEET 3/4" THK</t>
  </si>
  <si>
    <t>PLENUM DIVIDER, ONE PIECE</t>
  </si>
  <si>
    <t>PLENUM SUPPORT BLOCK WITH HOLE</t>
  </si>
  <si>
    <t>PLENUM SUPPORT BLOCK</t>
  </si>
  <si>
    <t>MID SHEET</t>
  </si>
  <si>
    <t>PLENUM DIVIDER, 1/2" THK</t>
  </si>
  <si>
    <t>GEN E PRIME STA PACKAGED</t>
  </si>
  <si>
    <t>SOLAR THERMAL POLYASSY REV FLO</t>
  </si>
  <si>
    <t>C CHANNEL PAN BACKSHEET ASSY</t>
  </si>
  <si>
    <t>STA, TOP GLAZING, STIPPLED</t>
  </si>
  <si>
    <t>STA, INTERSTITIAL GLAZING</t>
  </si>
  <si>
    <t>2 PV PANEL DESIGN WIRING HARN</t>
  </si>
  <si>
    <t>GLASS AND PV ASSY, 144 WATTS</t>
  </si>
  <si>
    <t>IQ INTERMEDIATE BRAKE ASSEMLY</t>
  </si>
  <si>
    <t>M915 STANDARD SUPT LEG CHNL</t>
  </si>
  <si>
    <t>M200 CENTER DR FILL ANGLE H</t>
  </si>
  <si>
    <t>M200 ANG TAPPED AXLE SNUB RLR</t>
  </si>
  <si>
    <t>M200 SPR MOUNTED FLAT 1 HOLE</t>
  </si>
  <si>
    <t>BASE PLATE FOR HUB</t>
  </si>
  <si>
    <t>M200 SIDE RAIL STD L=3,998M</t>
  </si>
  <si>
    <t>M200 SIDE RAIL STD L=2,998M</t>
  </si>
  <si>
    <t>M200 SIDE RAIL STD L=0,998M</t>
  </si>
  <si>
    <t>M200 SIDE RAIL STD L=1,998M</t>
  </si>
  <si>
    <t>200 TAKE UP WLDMNT 11IN ASSY</t>
  </si>
  <si>
    <t>200 TAKE UP WLDMNT 5IN ASSY</t>
  </si>
  <si>
    <t>200 TAKE UP WLDMNT 8IN ASSY</t>
  </si>
  <si>
    <t>FROUNT HOUSING</t>
  </si>
  <si>
    <t>INTERMEDIATE BRAKE ASSY SHORT</t>
  </si>
  <si>
    <t>STA SUPPORT LOWE HOUSING</t>
  </si>
  <si>
    <t>STA CHANNEL FRAME LONG, NORTH</t>
  </si>
  <si>
    <t>200 TAKE UP 8IN ADJUSTING ROD</t>
  </si>
  <si>
    <t>200 TAKE UP 5IN ADJUSTING ROD</t>
  </si>
  <si>
    <t>STA CHANNEL FRAME, LONG</t>
  </si>
  <si>
    <t>FRAME</t>
  </si>
  <si>
    <t>GEN F LHA KIT</t>
  </si>
  <si>
    <t>GEN F STA KIT</t>
  </si>
  <si>
    <t>SQ INSERT CAP 1.25"x1.25"x3mm</t>
  </si>
  <si>
    <t>END CAP, 1 INCH SQUARE</t>
  </si>
  <si>
    <t>TELEPOT</t>
  </si>
  <si>
    <t>140-0061 NO END FLANGE</t>
  </si>
  <si>
    <t>140-0076 WITH NO END FLANGE</t>
  </si>
  <si>
    <t>Unterbau NA - Variant1</t>
  </si>
  <si>
    <t>Unterbau NA - Variant2</t>
  </si>
  <si>
    <t>Unterbau NA</t>
  </si>
  <si>
    <t>PARTIAL BACKSHEET, .3MM G60</t>
  </si>
  <si>
    <t>CLEVIS MOUNT</t>
  </si>
  <si>
    <t>FLASHING, 8" X 12" X .6 MM</t>
  </si>
  <si>
    <t>Dispenser Cover</t>
  </si>
  <si>
    <t>Armature Front Cover</t>
  </si>
  <si>
    <t>Armature Rear Cover</t>
  </si>
  <si>
    <t>140-0056-00-FG</t>
  </si>
  <si>
    <t>140-0057-00-FG</t>
  </si>
  <si>
    <t>140-0076-01-FG</t>
  </si>
  <si>
    <t>140-0061-01-FG</t>
  </si>
  <si>
    <t>140-0062-01-FG</t>
  </si>
  <si>
    <t>140-0078-00-FG</t>
  </si>
  <si>
    <t>140-0054-00-FG</t>
  </si>
  <si>
    <t>140-0080-00-FG</t>
  </si>
  <si>
    <t>140-0063-01-FG</t>
  </si>
  <si>
    <t>140-0055-00-FG</t>
  </si>
  <si>
    <t>140-0077-00-FG</t>
  </si>
  <si>
    <t>140-0060-00-FG</t>
  </si>
  <si>
    <t>140-0091-00-FG</t>
  </si>
  <si>
    <t>140-0082-00-FG</t>
  </si>
  <si>
    <t>140-0047-00-FG</t>
  </si>
  <si>
    <t>140-0084-01-FG</t>
  </si>
  <si>
    <t>025-0000-00-GR</t>
  </si>
  <si>
    <t>025-0001-00-GR</t>
  </si>
  <si>
    <t>140-0068-00-GR</t>
  </si>
  <si>
    <t>140-0065-00-GR</t>
  </si>
  <si>
    <t>140-0067-00-GR</t>
  </si>
  <si>
    <t>140-0066-00-GR</t>
  </si>
  <si>
    <t>140-0074-00-RB</t>
  </si>
  <si>
    <t>140-0075-00-RB</t>
  </si>
  <si>
    <t>55486913-fg</t>
  </si>
  <si>
    <t>025-0000-00-RB</t>
  </si>
  <si>
    <t>55486914-FG</t>
  </si>
  <si>
    <t>025-0007-00-RB</t>
  </si>
  <si>
    <t>025-0008-00-RB</t>
  </si>
  <si>
    <t>140-0047-00-LC</t>
  </si>
  <si>
    <t>140-0049/51/53-LC</t>
  </si>
  <si>
    <t>140-0049-00-LC</t>
  </si>
  <si>
    <t>140-0050/52-LC</t>
  </si>
  <si>
    <t>140-0051-00-LC</t>
  </si>
  <si>
    <t>140-0052/53-LC</t>
  </si>
  <si>
    <t>140-0052-00-LC</t>
  </si>
  <si>
    <t>140-0053-00-LC</t>
  </si>
  <si>
    <t>140-0055-00-LC</t>
  </si>
  <si>
    <t>140-0056-00-LC</t>
  </si>
  <si>
    <t>140-0057-00-LC</t>
  </si>
  <si>
    <t>140-0060-00-LC</t>
  </si>
  <si>
    <t>140-0061-01-LC</t>
  </si>
  <si>
    <t>140-0062-01-LC</t>
  </si>
  <si>
    <t>140-0063-00-LC</t>
  </si>
  <si>
    <t>140-0064-01-LC</t>
  </si>
  <si>
    <t>140-0076-01-LC</t>
  </si>
  <si>
    <t>140-0077-00-LC</t>
  </si>
  <si>
    <t>140-0078-00-LC</t>
  </si>
  <si>
    <t>140-0080-00-LC</t>
  </si>
  <si>
    <t>140-0082-00-LC</t>
  </si>
  <si>
    <t>140-0088-00-LC</t>
  </si>
  <si>
    <t>140-0091-00-LC</t>
  </si>
  <si>
    <t>140-0094-00-LC</t>
  </si>
  <si>
    <t>140-0054-00-LC</t>
  </si>
  <si>
    <t>01-001-LC</t>
  </si>
  <si>
    <t>01-002-LC</t>
  </si>
  <si>
    <t>01-003-LC</t>
  </si>
  <si>
    <t>01-004-LC</t>
  </si>
  <si>
    <t>01-005-LC</t>
  </si>
  <si>
    <t>Peso de scrap de la maquina (kg)</t>
  </si>
  <si>
    <t>Scrap de empaque</t>
  </si>
  <si>
    <t>Scrap de arranque</t>
  </si>
  <si>
    <t>Scrap de cambio de bobina</t>
  </si>
  <si>
    <t>Estampado</t>
  </si>
  <si>
    <t>Formado</t>
  </si>
  <si>
    <t>Condición de ondulación</t>
  </si>
  <si>
    <t>Scrap de corte</t>
  </si>
  <si>
    <t>Falla de soldadura</t>
  </si>
  <si>
    <t>Longitud del tubo</t>
  </si>
  <si>
    <t>Corona</t>
  </si>
  <si>
    <t>DC01</t>
  </si>
  <si>
    <t>DC03</t>
  </si>
  <si>
    <t>Rechazo de maquina</t>
  </si>
  <si>
    <t>Otro</t>
  </si>
  <si>
    <t>Diametro no conforme</t>
  </si>
  <si>
    <t>Altura no conforme</t>
  </si>
  <si>
    <t>Ajustes de Ingenieria</t>
  </si>
  <si>
    <t>Ajustes de MTTO</t>
  </si>
  <si>
    <t>Ajsutes de Ingenieria</t>
  </si>
  <si>
    <t xml:space="preserve">MTTO OTROS </t>
  </si>
  <si>
    <t>QA TOTAL</t>
  </si>
  <si>
    <t>Week Number</t>
  </si>
  <si>
    <t>Suma de PPM´s</t>
  </si>
  <si>
    <t>Valores</t>
  </si>
  <si>
    <t>Week num</t>
  </si>
  <si>
    <t>Suma de PMM´s ACTUADORES</t>
  </si>
  <si>
    <t>ene</t>
  </si>
  <si>
    <t>Meses</t>
  </si>
  <si>
    <t>Other</t>
  </si>
  <si>
    <t>Tube Length</t>
  </si>
  <si>
    <t>Stamp</t>
  </si>
  <si>
    <t>Cutter</t>
  </si>
  <si>
    <t>Seal leak</t>
  </si>
  <si>
    <t>Missing spring</t>
  </si>
  <si>
    <t>Hysteresis failure</t>
  </si>
  <si>
    <t>Engraving malfunction</t>
  </si>
  <si>
    <t>JIG FASE 45 Failure</t>
  </si>
  <si>
    <t xml:space="preserve">Engraving not readable </t>
  </si>
  <si>
    <t>Fitting Short Loose Capping Not weld</t>
  </si>
  <si>
    <t>DMC code not correct</t>
  </si>
  <si>
    <t>Diameter NOK</t>
  </si>
  <si>
    <t>Height NOK</t>
  </si>
  <si>
    <t>Interrupted Process by safety sensor</t>
  </si>
  <si>
    <t>Engraving Missing Position Incomplete</t>
  </si>
  <si>
    <t>Surface treatment</t>
  </si>
  <si>
    <t>Burrs Dents Damage Marks Sharp-edges</t>
  </si>
  <si>
    <t xml:space="preserve">Crimping NOK deformed </t>
  </si>
  <si>
    <t>Crimping NOK Damaged</t>
  </si>
  <si>
    <t>Piezas cortas</t>
  </si>
  <si>
    <t>Caidas al piso</t>
  </si>
  <si>
    <t>Piezas con fuga</t>
  </si>
  <si>
    <t>Soldadura sañada</t>
  </si>
  <si>
    <t>Piezas con golpes</t>
  </si>
  <si>
    <t>Falla de la maquina</t>
  </si>
  <si>
    <t>Limado manual</t>
  </si>
  <si>
    <t>Rodillo</t>
  </si>
  <si>
    <t>Labio levantado</t>
  </si>
  <si>
    <t>Rebaba de ventana</t>
  </si>
  <si>
    <t>Washer</t>
  </si>
  <si>
    <t>Prensa</t>
  </si>
  <si>
    <t>Diimples marcados</t>
  </si>
  <si>
    <t>Couples</t>
  </si>
  <si>
    <t>Doble grabado</t>
  </si>
  <si>
    <t xml:space="preserve"> DISPONIBILIDAD</t>
  </si>
  <si>
    <t>Minutos teoricos totales</t>
  </si>
  <si>
    <t>Minutos de presencia totales</t>
  </si>
  <si>
    <t>Minutos pagados totales</t>
  </si>
  <si>
    <t>Piezas produccidas</t>
  </si>
  <si>
    <t>Fecha</t>
  </si>
  <si>
    <t>Ref Vlook Cap</t>
  </si>
  <si>
    <t>Minutos de presencia</t>
  </si>
  <si>
    <t>Minutos téoricos</t>
  </si>
  <si>
    <t>Numero de semana</t>
  </si>
  <si>
    <t>Etiquetas de fila</t>
  </si>
  <si>
    <t>Total general</t>
  </si>
  <si>
    <t xml:space="preserve">Quality </t>
  </si>
  <si>
    <t>Speed Factor</t>
  </si>
  <si>
    <t>Availability</t>
  </si>
  <si>
    <t xml:space="preserve">January </t>
  </si>
  <si>
    <t xml:space="preserve">February </t>
  </si>
  <si>
    <t>July</t>
  </si>
  <si>
    <t xml:space="preserve">September </t>
  </si>
  <si>
    <t xml:space="preserve">October </t>
  </si>
  <si>
    <t xml:space="preserve">November </t>
  </si>
  <si>
    <t>December</t>
  </si>
  <si>
    <t>Parts produced / Parts n.c</t>
  </si>
  <si>
    <t>Theaoretic hours / Hours of work</t>
  </si>
  <si>
    <t>Hours paid / Hours of work</t>
  </si>
  <si>
    <t>Quality Rate * Speed Factor * Availability</t>
  </si>
  <si>
    <t>FORMULAS</t>
  </si>
  <si>
    <t>Hours Paid</t>
  </si>
  <si>
    <t>Hours for work</t>
  </si>
  <si>
    <t>Theaoretic hours of work</t>
  </si>
  <si>
    <t>Week number</t>
  </si>
  <si>
    <t>Month number</t>
  </si>
  <si>
    <t>Pieza corta</t>
  </si>
  <si>
    <t>Soldadura dañada</t>
  </si>
  <si>
    <t>Mal limada</t>
  </si>
  <si>
    <t>Pieza con golpes</t>
  </si>
  <si>
    <t xml:space="preserve"> </t>
  </si>
  <si>
    <t>Soldadura desaliniada</t>
  </si>
  <si>
    <t>Misaligned welding</t>
  </si>
  <si>
    <t>Falls to the floor</t>
  </si>
  <si>
    <t>Badly filed piece</t>
  </si>
  <si>
    <t>Bad welding</t>
  </si>
  <si>
    <t>Short piece</t>
  </si>
  <si>
    <t>Manual filing</t>
  </si>
  <si>
    <t>turno</t>
  </si>
  <si>
    <t xml:space="preserve">DATE </t>
  </si>
  <si>
    <t>KG SCRAP ROLL COIL</t>
  </si>
  <si>
    <t xml:space="preserve">KG COIL DAMAGES AND PROCESS ADJUST </t>
  </si>
  <si>
    <t xml:space="preserve">QUARENTINE PIECES </t>
  </si>
  <si>
    <t>Total in kg</t>
  </si>
  <si>
    <t xml:space="preserve">Grand total in kg </t>
  </si>
  <si>
    <t>Mal grabado</t>
  </si>
  <si>
    <t>Pieza larga</t>
  </si>
  <si>
    <t>RESULTADO CALIDAD</t>
  </si>
  <si>
    <t>RESULTADO RENDIMIENTO</t>
  </si>
  <si>
    <t>RESULTADO DISPONIBILIDAD</t>
  </si>
  <si>
    <t>Suma de RESULTADO DISPONIBILIDAD</t>
  </si>
  <si>
    <t>Suma de RESULTADO RENDIMIENTO</t>
  </si>
  <si>
    <t>Suma de RESULTADO CALIDAD</t>
  </si>
  <si>
    <t>Día</t>
  </si>
  <si>
    <t>TOTAL</t>
  </si>
  <si>
    <t>POR CADA 1300 PZAS HAY 2 KG DE SCRAP</t>
  </si>
  <si>
    <t>RESULTADO OEE</t>
  </si>
  <si>
    <t>Welding Failure</t>
  </si>
  <si>
    <t>Pieces with hits</t>
  </si>
  <si>
    <t>feb</t>
  </si>
  <si>
    <t>Suma de Pieza larga</t>
  </si>
  <si>
    <t>Suma de Couples</t>
  </si>
  <si>
    <t>Suma de Diimples marcados</t>
  </si>
  <si>
    <t>Suma de Prensa</t>
  </si>
  <si>
    <t>Suma de Rebaba de ventana</t>
  </si>
  <si>
    <t>Suma de Labio levantado</t>
  </si>
  <si>
    <t>Suma de Rodillo</t>
  </si>
  <si>
    <t>Suma de Condición de ondulación</t>
  </si>
  <si>
    <t>PIEZAS PRODUCIDAS2</t>
  </si>
  <si>
    <t>Sum of PIEZAS PRODUCIDAS2</t>
  </si>
  <si>
    <t>Sum of PIEZAS PRODUCIDAS</t>
  </si>
  <si>
    <t>Sum of SCRAP</t>
  </si>
  <si>
    <t>Sum of Prensado no conforme Marcas Fisura</t>
  </si>
  <si>
    <t>Sum of Corona</t>
  </si>
  <si>
    <t>Sum of DC01</t>
  </si>
  <si>
    <t>Sum of DC03</t>
  </si>
  <si>
    <t>Sum of Doble grabado</t>
  </si>
  <si>
    <t>Sum of Otro</t>
  </si>
  <si>
    <t>Sum of Washer</t>
  </si>
  <si>
    <t>Sum of Formado</t>
  </si>
  <si>
    <t>Pieza con Fuga</t>
  </si>
  <si>
    <t>Pieza sin soldar</t>
  </si>
  <si>
    <t>(Varios elementos)</t>
  </si>
  <si>
    <t>mar</t>
  </si>
  <si>
    <t>(Todas)</t>
  </si>
  <si>
    <t>Meta</t>
  </si>
  <si>
    <t>PUNTO</t>
  </si>
  <si>
    <t>True position</t>
  </si>
  <si>
    <t>abr</t>
  </si>
  <si>
    <t>F</t>
  </si>
  <si>
    <t>L</t>
  </si>
  <si>
    <t>TABLA DE DEFECTOS</t>
  </si>
  <si>
    <t>DEFECTO</t>
  </si>
  <si>
    <t>CANTIDAD</t>
  </si>
  <si>
    <t>PORCENTAJE</t>
  </si>
  <si>
    <t>COSTO (DLLS)</t>
  </si>
  <si>
    <t>Costo de vetna</t>
  </si>
  <si>
    <t>Costo Greentek</t>
  </si>
  <si>
    <t>Total</t>
  </si>
  <si>
    <t xml:space="preserve">Parte Numero </t>
  </si>
  <si>
    <t>Limado excesivo</t>
  </si>
  <si>
    <t>Marcas de rodillo</t>
  </si>
  <si>
    <t>Wavy</t>
  </si>
  <si>
    <t>Dañada por navaja</t>
  </si>
  <si>
    <t>Punto</t>
  </si>
  <si>
    <t>Mal estampado</t>
  </si>
  <si>
    <t>Labio</t>
  </si>
  <si>
    <t>Hundida</t>
  </si>
  <si>
    <t>Soldadura desalineada</t>
  </si>
  <si>
    <t>Ondulacion</t>
  </si>
  <si>
    <t>Piezas largas</t>
  </si>
  <si>
    <t>daño limado manual</t>
  </si>
  <si>
    <t>piezas largas</t>
  </si>
  <si>
    <t>caida al piso</t>
  </si>
  <si>
    <t>limado excesivo</t>
  </si>
  <si>
    <t>eol</t>
  </si>
  <si>
    <t>TIEMPO DISPONIBLE</t>
  </si>
  <si>
    <t>% SF</t>
  </si>
  <si>
    <t>STD 180 pcs por hr</t>
  </si>
  <si>
    <t>Soldadura desalineada Crank</t>
  </si>
  <si>
    <t>MTTO/ING</t>
  </si>
  <si>
    <t>Mar</t>
  </si>
  <si>
    <t>PPMS</t>
  </si>
  <si>
    <t>EFICIENCIA</t>
  </si>
  <si>
    <t>204000662</t>
  </si>
  <si>
    <t>May</t>
  </si>
  <si>
    <t>operador</t>
  </si>
  <si>
    <t>SCRAP 960</t>
  </si>
  <si>
    <t>SCRAP EOL</t>
  </si>
  <si>
    <t>Liberacion</t>
  </si>
  <si>
    <t>Ing</t>
  </si>
  <si>
    <t>SUB TOTAL</t>
  </si>
  <si>
    <t>QA ( CSL1, Proceso)</t>
  </si>
  <si>
    <t>August</t>
  </si>
  <si>
    <t>940 leak test</t>
  </si>
  <si>
    <t xml:space="preserve"> OEE</t>
  </si>
  <si>
    <t xml:space="preserve"> EFICIENCIA</t>
  </si>
  <si>
    <t xml:space="preserve"> SCRAP</t>
  </si>
  <si>
    <t>Columna2</t>
  </si>
  <si>
    <t>BOBINA KG</t>
  </si>
  <si>
    <t>eff</t>
  </si>
  <si>
    <t>MINUTOS TEORICOS</t>
  </si>
  <si>
    <t>SFT REA</t>
  </si>
  <si>
    <t>NILZA</t>
  </si>
  <si>
    <t>mal remachado</t>
  </si>
  <si>
    <t>con GAP no OK</t>
  </si>
  <si>
    <t>RANURA CIRCLIP nok</t>
  </si>
  <si>
    <t>MARCAS NOK</t>
  </si>
  <si>
    <t>PRUEBAS CALIDAD</t>
  </si>
  <si>
    <t>Nov</t>
  </si>
  <si>
    <t xml:space="preserve">3140CA029 </t>
  </si>
  <si>
    <t>+'OEE REA'!B3</t>
  </si>
  <si>
    <t>+'OEE REA'!B4</t>
  </si>
  <si>
    <t>+'OEE REA'!B5</t>
  </si>
  <si>
    <t>+'OEE REA'!B6</t>
  </si>
  <si>
    <t>+'OEE REA'!B7</t>
  </si>
  <si>
    <t>+'OEE REA'!B8</t>
  </si>
  <si>
    <t>+'OEE REA'!B9</t>
  </si>
  <si>
    <t>+'OEE REA'!B10</t>
  </si>
  <si>
    <t>+'OEE REA'!B11</t>
  </si>
  <si>
    <t>+'OEE REA'!B12</t>
  </si>
  <si>
    <t>+'OEE REA'!B13</t>
  </si>
  <si>
    <t>+'OEE REA'!B14</t>
  </si>
  <si>
    <t>+'OEE REA'!B15</t>
  </si>
  <si>
    <t>+'OEE REA'!B16</t>
  </si>
  <si>
    <t>+'OEE REA'!B17</t>
  </si>
  <si>
    <t>+'OEE REA'!B18</t>
  </si>
  <si>
    <t>+'OEE REA'!B19</t>
  </si>
  <si>
    <t>+'OEE REA'!B20</t>
  </si>
  <si>
    <t>+'OEE REA'!B21</t>
  </si>
  <si>
    <t>+'OEE REA'!B22</t>
  </si>
  <si>
    <t>+'OEE REA'!B23</t>
  </si>
  <si>
    <t>+'OEE REA'!B24</t>
  </si>
  <si>
    <t>+'OEE REA'!B25</t>
  </si>
  <si>
    <t>+'OEE REA'!B26</t>
  </si>
  <si>
    <t>+'OEE REA'!B27</t>
  </si>
  <si>
    <t>+'OEE REA'!B28</t>
  </si>
  <si>
    <t>+'OEE REA'!B29</t>
  </si>
  <si>
    <t>+'OEE REA'!B30</t>
  </si>
  <si>
    <t>+'OEE REA'!B31</t>
  </si>
  <si>
    <t>+'OEE REA'!B32</t>
  </si>
  <si>
    <t>+'OEE REA'!B33</t>
  </si>
  <si>
    <t>+'OEE REA'!B34</t>
  </si>
  <si>
    <t>+'OEE REA'!B35</t>
  </si>
  <si>
    <t>+'OEE REA'!B36</t>
  </si>
  <si>
    <t>+'OEE REA'!B37</t>
  </si>
  <si>
    <t>+'OEE REA'!B38</t>
  </si>
  <si>
    <t>+'OEE REA'!B39</t>
  </si>
  <si>
    <t>+'OEE REA'!B40</t>
  </si>
  <si>
    <t>+'OEE REA'!B41</t>
  </si>
  <si>
    <t>+'OEE REA'!B42</t>
  </si>
  <si>
    <t>+'OEE REA'!B43</t>
  </si>
  <si>
    <t>+'OEE REA'!B44</t>
  </si>
  <si>
    <t>+'OEE REA'!B45</t>
  </si>
  <si>
    <t>+'OEE REA'!B46</t>
  </si>
  <si>
    <t>+'OEE REA'!B47</t>
  </si>
  <si>
    <t>+'OEE REA'!B48</t>
  </si>
  <si>
    <t>+'OEE REA'!B49</t>
  </si>
  <si>
    <t>+'OEE REA'!B50</t>
  </si>
  <si>
    <t>+'OEE REA'!B51</t>
  </si>
  <si>
    <t>+'OEE REA'!B52</t>
  </si>
  <si>
    <t>+'OEE REA'!B53</t>
  </si>
  <si>
    <t>+'OEE REA'!B54</t>
  </si>
  <si>
    <t>+'OEE REA'!B55</t>
  </si>
  <si>
    <t>+'OEE REA'!B56</t>
  </si>
  <si>
    <t>+'OEE REA'!B57</t>
  </si>
  <si>
    <t>+'OEE REA'!B58</t>
  </si>
  <si>
    <t>+'OEE REA'!B59</t>
  </si>
  <si>
    <t>+'OEE REA'!B60</t>
  </si>
  <si>
    <t>+'OEE REA'!B61</t>
  </si>
  <si>
    <t>+'OEE REA'!B62</t>
  </si>
  <si>
    <t>+'OEE REA'!B63</t>
  </si>
  <si>
    <t>+'OEE REA'!B64</t>
  </si>
  <si>
    <t>+'OEE REA'!B65</t>
  </si>
  <si>
    <t>+'OEE REA'!B66</t>
  </si>
  <si>
    <t>+'OEE REA'!B67</t>
  </si>
  <si>
    <t>+'OEE REA'!B68</t>
  </si>
  <si>
    <t>+'OEE REA'!B69</t>
  </si>
  <si>
    <t>+'OEE REA'!B70</t>
  </si>
  <si>
    <t>+'OEE REA'!B71</t>
  </si>
  <si>
    <t>+'OEE REA'!B72</t>
  </si>
  <si>
    <t>+'OEE REA'!B73</t>
  </si>
  <si>
    <t>+'OEE REA'!B74</t>
  </si>
  <si>
    <t>+'OEE REA'!B75</t>
  </si>
  <si>
    <t>+'OEE REA'!B76</t>
  </si>
  <si>
    <t>+'OEE REA'!B77</t>
  </si>
  <si>
    <t>+'OEE REA'!B78</t>
  </si>
  <si>
    <t>+'OEE REA'!B79</t>
  </si>
  <si>
    <t>+'OEE REA'!B80</t>
  </si>
  <si>
    <t>+'OEE REA'!B81</t>
  </si>
  <si>
    <t>+'OEE REA'!B82</t>
  </si>
  <si>
    <t>+'OEE REA'!B83</t>
  </si>
  <si>
    <t>+'OEE REA'!B84</t>
  </si>
  <si>
    <t>+'OEE REA'!B85</t>
  </si>
  <si>
    <t>+'OEE REA'!B86</t>
  </si>
  <si>
    <t>+'OEE REA'!B87</t>
  </si>
  <si>
    <t>+'OEE REA'!B88</t>
  </si>
  <si>
    <t>+'OEE REA'!B89</t>
  </si>
  <si>
    <t>+'OEE REA'!B90</t>
  </si>
  <si>
    <t>+'OEE REA'!B91</t>
  </si>
  <si>
    <t>+'OEE REA'!B92</t>
  </si>
  <si>
    <t>+'OEE REA'!B93</t>
  </si>
  <si>
    <t>+'OEE REA'!B94</t>
  </si>
  <si>
    <t>+'OEE REA'!B95</t>
  </si>
  <si>
    <t>+'OEE REA'!B96</t>
  </si>
  <si>
    <t>+'OEE REA'!B97</t>
  </si>
  <si>
    <t>+'OEE REA'!B98</t>
  </si>
  <si>
    <t>+'OEE REA'!B99</t>
  </si>
  <si>
    <t>+'OEE REA'!B100</t>
  </si>
  <si>
    <t>+'OEE REA'!B101</t>
  </si>
  <si>
    <t>+'OEE REA'!B102</t>
  </si>
  <si>
    <t>+'OEE REA'!B103</t>
  </si>
  <si>
    <t>+'OEE REA'!B104</t>
  </si>
  <si>
    <t>+'OEE REA'!B105</t>
  </si>
  <si>
    <t>+'OEE REA'!B106</t>
  </si>
  <si>
    <t>+'OEE REA'!B107</t>
  </si>
  <si>
    <t>+'OEE REA'!B108</t>
  </si>
  <si>
    <t>+'OEE REA'!B109</t>
  </si>
  <si>
    <t>+'OEE REA'!B110</t>
  </si>
  <si>
    <t>+'OEE REA'!B111</t>
  </si>
  <si>
    <t>+'OEE REA'!B112</t>
  </si>
  <si>
    <t>+'OEE REA'!B113</t>
  </si>
  <si>
    <t>+'OEE REA'!B114</t>
  </si>
  <si>
    <t>+'OEE REA'!B115</t>
  </si>
  <si>
    <t>+'OEE REA'!B116</t>
  </si>
  <si>
    <t>+'OEE REA'!B117</t>
  </si>
  <si>
    <t>+'OEE REA'!B118</t>
  </si>
  <si>
    <t>+'OEE REA'!B119</t>
  </si>
  <si>
    <t>+'OEE REA'!B120</t>
  </si>
  <si>
    <t>+'OEE REA'!B121</t>
  </si>
  <si>
    <t>+'OEE REA'!B122</t>
  </si>
  <si>
    <t>+'OEE REA'!B123</t>
  </si>
  <si>
    <t>+'OEE REA'!B124</t>
  </si>
  <si>
    <t>+'OEE REA'!B125</t>
  </si>
  <si>
    <t>+'OEE REA'!B126</t>
  </si>
  <si>
    <t>+'OEE REA'!B127</t>
  </si>
  <si>
    <t>+'OEE REA'!B128</t>
  </si>
  <si>
    <t>+'OEE REA'!B129</t>
  </si>
  <si>
    <t>+'OEE REA'!B130</t>
  </si>
  <si>
    <t>+'OEE REA'!B131</t>
  </si>
  <si>
    <t>+'OEE REA'!B132</t>
  </si>
  <si>
    <t>+'OEE REA'!B133</t>
  </si>
  <si>
    <t>+'OEE REA'!B134</t>
  </si>
  <si>
    <t>+'OEE REA'!B135</t>
  </si>
  <si>
    <t>+'OEE REA'!B136</t>
  </si>
  <si>
    <t>+'OEE REA'!B137</t>
  </si>
  <si>
    <t>+'OEE REA'!B138</t>
  </si>
  <si>
    <t>+'OEE REA'!B139</t>
  </si>
  <si>
    <t>+'OEE REA'!B140</t>
  </si>
  <si>
    <t>+'OEE REA'!B141</t>
  </si>
  <si>
    <t>+'OEE REA'!B142</t>
  </si>
  <si>
    <t>+'OEE REA'!B143</t>
  </si>
  <si>
    <t>+'OEE REA'!B144</t>
  </si>
  <si>
    <t>+'OEE REA'!B145</t>
  </si>
  <si>
    <t>+'OEE REA'!B146</t>
  </si>
  <si>
    <t>+'OEE REA'!B147</t>
  </si>
  <si>
    <t>+'OEE REA'!B148</t>
  </si>
  <si>
    <t>+'OEE REA'!B149</t>
  </si>
  <si>
    <t>+'OEE REA'!B150</t>
  </si>
  <si>
    <t>+'OEE REA'!B151</t>
  </si>
  <si>
    <t>+'OEE REA'!B152</t>
  </si>
  <si>
    <t>+'OEE REA'!B153</t>
  </si>
  <si>
    <t>+'OEE REA'!B154</t>
  </si>
  <si>
    <t>+'OEE REA'!B155</t>
  </si>
  <si>
    <t>+'OEE REA'!B156</t>
  </si>
  <si>
    <t>+'OEE REA'!B157</t>
  </si>
  <si>
    <t>+'OEE REA'!B158</t>
  </si>
  <si>
    <t>+'OEE REA'!B159</t>
  </si>
  <si>
    <t>+'OEE REA'!B160</t>
  </si>
  <si>
    <t>+'OEE REA'!B161</t>
  </si>
  <si>
    <t>+'OEE REA'!B162</t>
  </si>
  <si>
    <t>+'OEE REA'!B163</t>
  </si>
  <si>
    <t>+'OEE REA'!B164</t>
  </si>
  <si>
    <t>+'OEE REA'!B165</t>
  </si>
  <si>
    <t>+'OEE REA'!B166</t>
  </si>
  <si>
    <t>+'OEE REA'!B167</t>
  </si>
  <si>
    <t>+'OEE REA'!B168</t>
  </si>
  <si>
    <t>+'OEE REA'!B169</t>
  </si>
  <si>
    <t>+'OEE REA'!B170</t>
  </si>
  <si>
    <t>+'OEE REA'!B171</t>
  </si>
  <si>
    <t>+'OEE REA'!B172</t>
  </si>
  <si>
    <t>+'OEE REA'!B173</t>
  </si>
  <si>
    <t>+'OEE REA'!B174</t>
  </si>
  <si>
    <t>+'OEE REA'!B175</t>
  </si>
  <si>
    <t>+'OEE REA'!B176</t>
  </si>
  <si>
    <t>+'OEE REA'!B177</t>
  </si>
  <si>
    <t>+'OEE REA'!B178</t>
  </si>
  <si>
    <t>+'OEE REA'!B179</t>
  </si>
  <si>
    <t>+'OEE REA'!B180</t>
  </si>
  <si>
    <t>+'OEE REA'!B181</t>
  </si>
  <si>
    <t>+'OEE REA'!B182</t>
  </si>
  <si>
    <t>+'OEE REA'!B183</t>
  </si>
  <si>
    <t>+'OEE REA'!B184</t>
  </si>
  <si>
    <t>+'OEE REA'!B185</t>
  </si>
  <si>
    <t>+'OEE REA'!B186</t>
  </si>
  <si>
    <t>+'OEE REA'!B187</t>
  </si>
  <si>
    <t>+'OEE REA'!B188</t>
  </si>
  <si>
    <t>+'OEE REA'!B189</t>
  </si>
  <si>
    <t>+'OEE REA'!B190</t>
  </si>
  <si>
    <t>+'OEE REA'!B191</t>
  </si>
  <si>
    <t>+'OEE REA'!B192</t>
  </si>
  <si>
    <t>+'OEE REA'!B193</t>
  </si>
  <si>
    <t>+'OEE REA'!B194</t>
  </si>
  <si>
    <t>+'OEE REA'!B195</t>
  </si>
  <si>
    <t>+'OEE REA'!B196</t>
  </si>
  <si>
    <t>+'OEE REA'!B197</t>
  </si>
  <si>
    <t>+'OEE REA'!B198</t>
  </si>
  <si>
    <t>+'OEE REA'!B199</t>
  </si>
  <si>
    <t>+'OEE REA'!B200</t>
  </si>
  <si>
    <t>+'OEE REA'!B201</t>
  </si>
  <si>
    <t>+'OEE REA'!B202</t>
  </si>
  <si>
    <t>+'OEE REA'!B203</t>
  </si>
  <si>
    <t>+'OEE REA'!B204</t>
  </si>
  <si>
    <t>+'OEE REA'!B205</t>
  </si>
  <si>
    <t>+'OEE REA'!B206</t>
  </si>
  <si>
    <t>+'OEE REA'!B207</t>
  </si>
  <si>
    <t>+'OEE REA'!B208</t>
  </si>
  <si>
    <t>+'OEE REA'!B209</t>
  </si>
  <si>
    <t>+'OEE REA'!B210</t>
  </si>
  <si>
    <t>+'OEE REA'!B211</t>
  </si>
  <si>
    <t>+'OEE REA'!B212</t>
  </si>
  <si>
    <t>+'OEE REA'!B213</t>
  </si>
  <si>
    <t>+'OEE REA'!B214</t>
  </si>
  <si>
    <t>+'OEE REA'!B215</t>
  </si>
  <si>
    <t>+'OEE REA'!B216</t>
  </si>
  <si>
    <t>+'OEE REA'!B217</t>
  </si>
  <si>
    <t>+'OEE REA'!B218</t>
  </si>
  <si>
    <t>+'OEE REA'!B219</t>
  </si>
  <si>
    <t>+'OEE REA'!B220</t>
  </si>
  <si>
    <t>+'OEE REA'!B221</t>
  </si>
  <si>
    <t>+'OEE REA'!B222</t>
  </si>
  <si>
    <t>+'OEE REA'!B223</t>
  </si>
  <si>
    <t>+'OEE REA'!B224</t>
  </si>
  <si>
    <t>+'OEE REA'!B225</t>
  </si>
  <si>
    <t>+'OEE REA'!B226</t>
  </si>
  <si>
    <t>+'OEE REA'!B227</t>
  </si>
  <si>
    <t>+'OEE REA'!B228</t>
  </si>
  <si>
    <t>+'OEE REA'!B229</t>
  </si>
  <si>
    <t>+'OEE REA'!B230</t>
  </si>
  <si>
    <t>+'OEE REA'!B231</t>
  </si>
  <si>
    <t>+'OEE REA'!B232</t>
  </si>
  <si>
    <t>+'OEE REA'!B233</t>
  </si>
  <si>
    <t>+'OEE REA'!B234</t>
  </si>
  <si>
    <t>+'OEE REA'!B235</t>
  </si>
  <si>
    <t>+'OEE REA'!B236</t>
  </si>
  <si>
    <t>+'OEE REA'!B237</t>
  </si>
  <si>
    <t>+'OEE REA'!B238</t>
  </si>
  <si>
    <t>+'OEE REA'!B239</t>
  </si>
  <si>
    <t>+'OEE REA'!B240</t>
  </si>
  <si>
    <t>+'OEE REA'!B241</t>
  </si>
  <si>
    <t>+'OEE REA'!B242</t>
  </si>
  <si>
    <t>+'OEE REA'!B243</t>
  </si>
  <si>
    <t>+'OEE REA'!B244</t>
  </si>
  <si>
    <t>+'OEE REA'!B245</t>
  </si>
  <si>
    <t>+'OEE REA'!B246</t>
  </si>
  <si>
    <t>+'OEE REA'!B247</t>
  </si>
  <si>
    <t>+'OEE REA'!B248</t>
  </si>
  <si>
    <t>+'OEE REA'!B249</t>
  </si>
  <si>
    <t>+'OEE REA'!B250</t>
  </si>
  <si>
    <t>+'OEE REA'!B251</t>
  </si>
  <si>
    <t>+'OEE REA'!B252</t>
  </si>
  <si>
    <t>+'OEE REA'!B253</t>
  </si>
  <si>
    <t>+'OEE REA'!B254</t>
  </si>
  <si>
    <t>+'OEE REA'!B255</t>
  </si>
  <si>
    <t>+'OEE REA'!B256</t>
  </si>
  <si>
    <t>+'OEE REA'!B257</t>
  </si>
  <si>
    <t>+'OEE REA'!B258</t>
  </si>
  <si>
    <t>+'OEE REA'!B259</t>
  </si>
  <si>
    <t>+'OEE REA'!B260</t>
  </si>
  <si>
    <t>+'OEE REA'!B261</t>
  </si>
  <si>
    <t>+'OEE REA'!B262</t>
  </si>
  <si>
    <t>+'OEE REA'!B263</t>
  </si>
  <si>
    <t>+'OEE REA'!B264</t>
  </si>
  <si>
    <t>+'OEE REA'!B265</t>
  </si>
  <si>
    <t>+'OEE REA'!B266</t>
  </si>
  <si>
    <t>+'OEE REA'!B267</t>
  </si>
  <si>
    <t>+'OEE REA'!B268</t>
  </si>
  <si>
    <t>+'OEE REA'!B269</t>
  </si>
  <si>
    <t>+'OEE REA'!B270</t>
  </si>
  <si>
    <t>+'OEE REA'!B271</t>
  </si>
  <si>
    <t>+'OEE REA'!B272</t>
  </si>
  <si>
    <t>+'OEE REA'!B273</t>
  </si>
  <si>
    <t>+'OEE REA'!B274</t>
  </si>
  <si>
    <t>+'OEE REA'!B275</t>
  </si>
  <si>
    <t>+'OEE REA'!B276</t>
  </si>
  <si>
    <t>+'OEE REA'!B277</t>
  </si>
  <si>
    <t>+'OEE REA'!B278</t>
  </si>
  <si>
    <t>+'OEE REA'!B279</t>
  </si>
  <si>
    <t>+'OEE REA'!B280</t>
  </si>
  <si>
    <t>+'OEE REA'!B281</t>
  </si>
  <si>
    <t>+'OEE REA'!B282</t>
  </si>
  <si>
    <t>+'OEE REA'!B283</t>
  </si>
  <si>
    <t>+'OEE REA'!B284</t>
  </si>
  <si>
    <t>+'OEE REA'!B285</t>
  </si>
  <si>
    <t>+'OEE REA'!B286</t>
  </si>
  <si>
    <t>+'OEE REA'!B287</t>
  </si>
  <si>
    <t>+'OEE REA'!B288</t>
  </si>
  <si>
    <t>+'OEE REA'!B289</t>
  </si>
  <si>
    <t>+'OEE REA'!B290</t>
  </si>
  <si>
    <t>+'OEE REA'!B291</t>
  </si>
  <si>
    <t>+'OEE REA'!B292</t>
  </si>
  <si>
    <t>+'OEE REA'!B293</t>
  </si>
  <si>
    <t>+'OEE REA'!B294</t>
  </si>
  <si>
    <t>+'OEE REA'!B295</t>
  </si>
  <si>
    <t>+'OEE REA'!B296</t>
  </si>
  <si>
    <t>+'OEE REA'!B297</t>
  </si>
  <si>
    <t>+'OEE REA'!B298</t>
  </si>
  <si>
    <t>+'OEE REA'!B299</t>
  </si>
  <si>
    <t>+'OEE REA'!B300</t>
  </si>
  <si>
    <t>+'OEE REA'!B301</t>
  </si>
  <si>
    <t>+'OEE REA'!B302</t>
  </si>
  <si>
    <t>+'OEE REA'!B303</t>
  </si>
  <si>
    <t>+'OEE REA'!B304</t>
  </si>
  <si>
    <t>+'OEE REA'!B305</t>
  </si>
  <si>
    <t>+'OEE REA'!B306</t>
  </si>
  <si>
    <t>+'OEE REA'!B307</t>
  </si>
  <si>
    <t>+'OEE REA'!B308</t>
  </si>
  <si>
    <t>+'OEE REA'!B309</t>
  </si>
  <si>
    <t>+'OEE REA'!B310</t>
  </si>
  <si>
    <t>+'OEE REA'!B311</t>
  </si>
  <si>
    <t>+'OEE REA'!B312</t>
  </si>
  <si>
    <t>+'OEE REA'!B313</t>
  </si>
  <si>
    <t>+'OEE REA'!B314</t>
  </si>
  <si>
    <t>+'OEE REA'!B315</t>
  </si>
  <si>
    <t>+'OEE REA'!B316</t>
  </si>
  <si>
    <t>+'OEE REA'!B317</t>
  </si>
  <si>
    <t>+'OEE REA'!B318</t>
  </si>
  <si>
    <t>+'OEE REA'!B319</t>
  </si>
  <si>
    <t>+'OEE REA'!B320</t>
  </si>
  <si>
    <t>+'OEE REA'!B321</t>
  </si>
  <si>
    <t>+'OEE REA'!B322</t>
  </si>
  <si>
    <t>+'OEE REA'!B323</t>
  </si>
  <si>
    <t>+'OEE REA'!B324</t>
  </si>
  <si>
    <t>+'OEE REA'!B325</t>
  </si>
  <si>
    <t>+'OEE REA'!B326</t>
  </si>
  <si>
    <t>+'OEE REA'!B327</t>
  </si>
  <si>
    <t>+'OEE REA'!B328</t>
  </si>
  <si>
    <t>+'OEE REA'!B329</t>
  </si>
  <si>
    <t>+'OEE REA'!B330</t>
  </si>
  <si>
    <t>+'OEE REA'!B331</t>
  </si>
  <si>
    <t>+'OEE REA'!B332</t>
  </si>
  <si>
    <t>+'OEE REA'!B333</t>
  </si>
  <si>
    <t>+'OEE REA'!B334</t>
  </si>
  <si>
    <t>+'OEE REA'!B335</t>
  </si>
  <si>
    <t>+'OEE REA'!B336</t>
  </si>
  <si>
    <t>+'OEE REA'!B337</t>
  </si>
  <si>
    <t>+'OEE REA'!B338</t>
  </si>
  <si>
    <t>+'OEE REA'!B339</t>
  </si>
  <si>
    <t>+'OEE REA'!B340</t>
  </si>
  <si>
    <t>+'OEE REA'!B341</t>
  </si>
  <si>
    <t>+'OEE REA'!B342</t>
  </si>
  <si>
    <t>+'OEE REA'!B343</t>
  </si>
  <si>
    <t>+'OEE REA'!B344</t>
  </si>
  <si>
    <t>+'OEE REA'!B345</t>
  </si>
  <si>
    <t>+'OEE REA'!B346</t>
  </si>
  <si>
    <t>+'OEE REA'!B347</t>
  </si>
  <si>
    <t>+'OEE REA'!B348</t>
  </si>
  <si>
    <t>+'OEE REA'!B349</t>
  </si>
  <si>
    <t>+'OEE REA'!B350</t>
  </si>
  <si>
    <t>+'OEE REA'!B351</t>
  </si>
  <si>
    <t>+'OEE REA'!B352</t>
  </si>
  <si>
    <t>+'OEE REA'!B353</t>
  </si>
  <si>
    <t>+'OEE REA'!B354</t>
  </si>
  <si>
    <t>+'OEE REA'!B355</t>
  </si>
  <si>
    <t>+'OEE REA'!B356</t>
  </si>
  <si>
    <t>+'OEE REA'!B357</t>
  </si>
  <si>
    <t>+'OEE REA'!B358</t>
  </si>
  <si>
    <t>+'OEE REA'!B359</t>
  </si>
  <si>
    <t>+'OEE REA'!B360</t>
  </si>
  <si>
    <t>+'OEE REA'!B361</t>
  </si>
  <si>
    <t>+'OEE REA'!B362</t>
  </si>
  <si>
    <t>+'OEE REA'!B363</t>
  </si>
  <si>
    <t>+'OEE REA'!B364</t>
  </si>
  <si>
    <t>+'OEE REA'!B365</t>
  </si>
  <si>
    <t>+'OEE REA'!B366</t>
  </si>
  <si>
    <t>+'OEE REA'!B367</t>
  </si>
  <si>
    <t>+'OEE REA'!B368</t>
  </si>
  <si>
    <t>+'OEE REA'!B369</t>
  </si>
  <si>
    <t>+'OEE REA'!B370</t>
  </si>
  <si>
    <t>+'OEE REA'!B371</t>
  </si>
  <si>
    <t>+'OEE REA'!B372</t>
  </si>
  <si>
    <t>+'OEE REA'!B373</t>
  </si>
  <si>
    <t>+'OEE REA'!B374</t>
  </si>
  <si>
    <t>+'OEE REA'!B375</t>
  </si>
  <si>
    <t>+'OEE REA'!B376</t>
  </si>
  <si>
    <t>+'OEE REA'!B377</t>
  </si>
  <si>
    <t>+'OEE REA'!B378</t>
  </si>
  <si>
    <t>+'OEE REA'!B379</t>
  </si>
  <si>
    <t>+'OEE REA'!B380</t>
  </si>
  <si>
    <t>+'OEE REA'!B381</t>
  </si>
  <si>
    <t>+'OEE REA'!B382</t>
  </si>
  <si>
    <t>+'OEE REA'!B383</t>
  </si>
  <si>
    <t>+'OEE REA'!B384</t>
  </si>
  <si>
    <t>+'OEE REA'!B385</t>
  </si>
  <si>
    <t>+'OEE REA'!B386</t>
  </si>
  <si>
    <t>+'OEE REA'!B387</t>
  </si>
  <si>
    <t>+'OEE REA'!B388</t>
  </si>
  <si>
    <t>+'OEE REA'!B389</t>
  </si>
  <si>
    <t>+'OEE REA'!B390</t>
  </si>
  <si>
    <t>+'OEE REA'!B391</t>
  </si>
  <si>
    <t>+'OEE REA'!B392</t>
  </si>
  <si>
    <t>+'OEE REA'!B393</t>
  </si>
  <si>
    <t>+'OEE REA'!B394</t>
  </si>
  <si>
    <t>+'OEE REA'!B395</t>
  </si>
  <si>
    <t>+'OEE REA'!B396</t>
  </si>
  <si>
    <t>+'OEE REA'!B397</t>
  </si>
  <si>
    <t>+'OEE REA'!B398</t>
  </si>
  <si>
    <t>+'OEE REA'!B399</t>
  </si>
  <si>
    <t>+'OEE REA'!B400</t>
  </si>
  <si>
    <t>+'OEE REA'!B401</t>
  </si>
  <si>
    <t>+'OEE REA'!B402</t>
  </si>
  <si>
    <t>+'OEE REA'!B403</t>
  </si>
  <si>
    <t>+'OEE REA'!B404</t>
  </si>
  <si>
    <t>+'OEE REA'!B405</t>
  </si>
  <si>
    <t>+'OEE REA'!B406</t>
  </si>
  <si>
    <t>+'OEE REA'!B407</t>
  </si>
  <si>
    <t>+'OEE REA'!B408</t>
  </si>
  <si>
    <t>+'OEE REA'!B409</t>
  </si>
  <si>
    <t>+'OEE REA'!B410</t>
  </si>
  <si>
    <t>+'OEE REA'!B411</t>
  </si>
  <si>
    <t>+'OEE REA'!B412</t>
  </si>
  <si>
    <t>+'OEE REA'!B413</t>
  </si>
  <si>
    <t>+'OEE REA'!B414</t>
  </si>
  <si>
    <t>+'OEE REA'!B415</t>
  </si>
  <si>
    <t>+'OEE REA'!B416</t>
  </si>
  <si>
    <t>+'OEE REA'!B417</t>
  </si>
  <si>
    <t>+'OEE REA'!B418</t>
  </si>
  <si>
    <t>+'OEE REA'!B419</t>
  </si>
  <si>
    <t>+'OEE REA'!B420</t>
  </si>
  <si>
    <t>+'OEE REA'!B421</t>
  </si>
  <si>
    <t>+'OEE REA'!B422</t>
  </si>
  <si>
    <t>+'OEE REA'!B423</t>
  </si>
  <si>
    <t>+'OEE REA'!B424</t>
  </si>
  <si>
    <t>+'OEE REA'!B425</t>
  </si>
  <si>
    <t>+'OEE REA'!B426</t>
  </si>
  <si>
    <t>+'OEE REA'!B427</t>
  </si>
  <si>
    <t>+'OEE REA'!B428</t>
  </si>
  <si>
    <t>+'OEE REA'!B429</t>
  </si>
  <si>
    <t>+'OEE REA'!B430</t>
  </si>
  <si>
    <t>+'OEE REA'!B431</t>
  </si>
  <si>
    <t>+'OEE REA'!B432</t>
  </si>
  <si>
    <t>+'OEE REA'!B433</t>
  </si>
  <si>
    <t>+'OEE REA'!B434</t>
  </si>
  <si>
    <t>+'OEE REA'!B435</t>
  </si>
  <si>
    <t>+'OEE REA'!B436</t>
  </si>
  <si>
    <t>+'OEE REA'!B437</t>
  </si>
  <si>
    <t>+'OEE REA'!B438</t>
  </si>
  <si>
    <t>+'OEE REA'!B439</t>
  </si>
  <si>
    <t>+'OEE REA'!B440</t>
  </si>
  <si>
    <t>+'OEE REA'!B441</t>
  </si>
  <si>
    <t>+'OEE REA'!B442</t>
  </si>
  <si>
    <t>+'OEE REA'!B443</t>
  </si>
  <si>
    <t>+'OEE REA'!B444</t>
  </si>
  <si>
    <t>+'OEE REA'!B445</t>
  </si>
  <si>
    <t>+'OEE REA'!B446</t>
  </si>
  <si>
    <t>+'OEE REA'!B447</t>
  </si>
  <si>
    <t>+'OEE REA'!B448</t>
  </si>
  <si>
    <t>+'OEE REA'!B449</t>
  </si>
  <si>
    <t>+'OEE REA'!B450</t>
  </si>
  <si>
    <t>+'OEE REA'!B451</t>
  </si>
  <si>
    <t>+'OEE REA'!B452</t>
  </si>
  <si>
    <t>+'OEE REA'!B453</t>
  </si>
  <si>
    <t>+'OEE REA'!B454</t>
  </si>
  <si>
    <t>+'OEE REA'!B455</t>
  </si>
  <si>
    <t>+'OEE REA'!B456</t>
  </si>
  <si>
    <t>+'OEE REA'!B457</t>
  </si>
  <si>
    <t>+'OEE REA'!B458</t>
  </si>
  <si>
    <t>+'OEE REA'!B459</t>
  </si>
  <si>
    <t>+'OEE REA'!B460</t>
  </si>
  <si>
    <t>+'OEE REA'!B461</t>
  </si>
  <si>
    <t>+'OEE REA'!B462</t>
  </si>
  <si>
    <t>+'OEE REA'!B463</t>
  </si>
  <si>
    <t>+'OEE REA'!B464</t>
  </si>
  <si>
    <t>+'OEE REA'!B465</t>
  </si>
  <si>
    <t>+'OEE REA'!B466</t>
  </si>
  <si>
    <t>+'OEE REA'!B467</t>
  </si>
  <si>
    <t>+'OEE REA'!B468</t>
  </si>
  <si>
    <t>+'OEE REA'!B469</t>
  </si>
  <si>
    <t>+'OEE REA'!B470</t>
  </si>
  <si>
    <t>+'OEE REA'!B471</t>
  </si>
  <si>
    <t>+'OEE REA'!B472</t>
  </si>
  <si>
    <t>+'OEE REA'!B473</t>
  </si>
  <si>
    <t>+'OEE REA'!B474</t>
  </si>
  <si>
    <t>+'OEE REA'!B475</t>
  </si>
  <si>
    <t>+'OEE REA'!B476</t>
  </si>
  <si>
    <t>+'OEE REA'!B477</t>
  </si>
  <si>
    <t>+'OEE REA'!B478</t>
  </si>
  <si>
    <t>+'OEE REA'!B479</t>
  </si>
  <si>
    <t>+'OEE REA'!B480</t>
  </si>
  <si>
    <t>+'OEE REA'!B481</t>
  </si>
  <si>
    <t>+'OEE REA'!B482</t>
  </si>
  <si>
    <t>+'OEE REA'!B483</t>
  </si>
  <si>
    <t>+'OEE REA'!B484</t>
  </si>
  <si>
    <t>+'OEE REA'!B485</t>
  </si>
  <si>
    <t>+'OEE REA'!B486</t>
  </si>
  <si>
    <t>+'OEE REA'!B487</t>
  </si>
  <si>
    <t>+'OEE REA'!B488</t>
  </si>
  <si>
    <t>+'OEE REA'!B489</t>
  </si>
  <si>
    <t>+'OEE REA'!B490</t>
  </si>
  <si>
    <t>+'OEE REA'!B491</t>
  </si>
  <si>
    <t>+'OEE REA'!B492</t>
  </si>
  <si>
    <t>+'OEE REA'!B493</t>
  </si>
  <si>
    <t>+'OEE REA'!B494</t>
  </si>
  <si>
    <t>+'OEE REA'!B495</t>
  </si>
  <si>
    <t>+'OEE REA'!B496</t>
  </si>
  <si>
    <t>+'OEE REA'!B497</t>
  </si>
  <si>
    <t>+'OEE REA'!B498</t>
  </si>
  <si>
    <t>+'OEE REA'!B499</t>
  </si>
  <si>
    <t>+'OEE REA'!B500</t>
  </si>
  <si>
    <t>+'OEE REA'!B501</t>
  </si>
  <si>
    <t>+'OEE REA'!B502</t>
  </si>
  <si>
    <t>+'OEE REA'!B503</t>
  </si>
  <si>
    <t>+'OEE REA'!B504</t>
  </si>
  <si>
    <t>+'OEE REA'!B505</t>
  </si>
  <si>
    <t>+'OEE REA'!B506</t>
  </si>
  <si>
    <t>+'OEE REA'!B507</t>
  </si>
  <si>
    <t>+'OEE REA'!B508</t>
  </si>
  <si>
    <t>+'OEE REA'!B509</t>
  </si>
  <si>
    <t>+'OEE REA'!B510</t>
  </si>
  <si>
    <t>+'OEE REA'!B511</t>
  </si>
  <si>
    <t>+'OEE REA'!B512</t>
  </si>
  <si>
    <t>+'OEE REA'!B513</t>
  </si>
  <si>
    <t>+'OEE REA'!B514</t>
  </si>
  <si>
    <t>+'OEE REA'!B515</t>
  </si>
  <si>
    <t>+'OEE REA'!B516</t>
  </si>
  <si>
    <t>+'OEE REA'!B517</t>
  </si>
  <si>
    <t>+'OEE REA'!B518</t>
  </si>
  <si>
    <t>+'OEE REA'!B519</t>
  </si>
  <si>
    <t>+'OEE REA'!B520</t>
  </si>
  <si>
    <t>+'OEE REA'!B521</t>
  </si>
  <si>
    <t>+'OEE REA'!B522</t>
  </si>
  <si>
    <t>+'OEE REA'!B523</t>
  </si>
  <si>
    <t>+'OEE REA'!B524</t>
  </si>
  <si>
    <t>+'OEE REA'!B525</t>
  </si>
  <si>
    <t>+'OEE REA'!B526</t>
  </si>
  <si>
    <t>+'OEE REA'!B527</t>
  </si>
  <si>
    <t>+'OEE REA'!B528</t>
  </si>
  <si>
    <t>+'OEE REA'!B529</t>
  </si>
  <si>
    <t>+'OEE REA'!B530</t>
  </si>
  <si>
    <t>+'OEE REA'!B531</t>
  </si>
  <si>
    <t>+'OEE REA'!B532</t>
  </si>
  <si>
    <t>+'OEE REA'!B533</t>
  </si>
  <si>
    <t>+'OEE REA'!B534</t>
  </si>
  <si>
    <t>+'OEE REA'!B535</t>
  </si>
  <si>
    <t>+'OEE REA'!B536</t>
  </si>
  <si>
    <t>+'OEE REA'!B537</t>
  </si>
  <si>
    <t>+'OEE REA'!B538</t>
  </si>
  <si>
    <t>+'OEE REA'!B539</t>
  </si>
  <si>
    <t>+'OEE REA'!B540</t>
  </si>
  <si>
    <t>+'OEE REA'!B541</t>
  </si>
  <si>
    <t>+'OEE REA'!B542</t>
  </si>
  <si>
    <t>+'OEE REA'!B543</t>
  </si>
  <si>
    <t>+'OEE REA'!B544</t>
  </si>
  <si>
    <t>+'OEE REA'!B545</t>
  </si>
  <si>
    <t>+'OEE REA'!B546</t>
  </si>
  <si>
    <t>+'OEE REA'!B547</t>
  </si>
  <si>
    <t>+'OEE REA'!B548</t>
  </si>
  <si>
    <t>+'OEE REA'!B549</t>
  </si>
  <si>
    <t>+'OEE REA'!B550</t>
  </si>
  <si>
    <t>+'OEE REA'!B551</t>
  </si>
  <si>
    <t>+'OEE REA'!B552</t>
  </si>
  <si>
    <t>+'OEE REA'!B553</t>
  </si>
  <si>
    <t>+'OEE REA'!B554</t>
  </si>
  <si>
    <t>+'OEE REA'!B555</t>
  </si>
  <si>
    <t>+'OEE REA'!B556</t>
  </si>
  <si>
    <t>+'OEE REA'!B557</t>
  </si>
  <si>
    <t>+'OEE REA'!B558</t>
  </si>
  <si>
    <t>+'OEE REA'!B559</t>
  </si>
  <si>
    <t>+'OEE REA'!B560</t>
  </si>
  <si>
    <t>+'OEE REA'!B561</t>
  </si>
  <si>
    <t>+'OEE REA'!B562</t>
  </si>
  <si>
    <t>+'OEE REA'!B563</t>
  </si>
  <si>
    <t>+'OEE REA'!B564</t>
  </si>
  <si>
    <t>+'OEE REA'!B565</t>
  </si>
  <si>
    <t>+'OEE REA'!B566</t>
  </si>
  <si>
    <t>+'OEE REA'!B567</t>
  </si>
  <si>
    <t>+'OEE REA'!B568</t>
  </si>
  <si>
    <t>+'OEE REA'!B569</t>
  </si>
  <si>
    <t>+'OEE REA'!B570</t>
  </si>
  <si>
    <t>+'OEE REA'!B571</t>
  </si>
  <si>
    <t>+'OEE REA'!B572</t>
  </si>
  <si>
    <t>+'OEE REA'!B573</t>
  </si>
  <si>
    <t>+'OEE REA'!B574</t>
  </si>
  <si>
    <t>+'OEE REA'!B575</t>
  </si>
  <si>
    <t>+'OEE REA'!B576</t>
  </si>
  <si>
    <t>+'OEE REA'!B577</t>
  </si>
  <si>
    <t>+'OEE REA'!B578</t>
  </si>
  <si>
    <t>+'OEE REA'!B579</t>
  </si>
  <si>
    <t>+'OEE REA'!B580</t>
  </si>
  <si>
    <t>+'OEE REA'!B581</t>
  </si>
  <si>
    <t>+'OEE REA'!B582</t>
  </si>
  <si>
    <t>+'OEE REA'!B583</t>
  </si>
  <si>
    <t>+'OEE REA'!B584</t>
  </si>
  <si>
    <t>+'OEE REA'!B585</t>
  </si>
  <si>
    <t>+'OEE REA'!B586</t>
  </si>
  <si>
    <t>+'OEE REA'!B587</t>
  </si>
  <si>
    <t>+'OEE REA'!B588</t>
  </si>
  <si>
    <t>+'OEE REA'!B589</t>
  </si>
  <si>
    <t>+'OEE REA'!B590</t>
  </si>
  <si>
    <t>+'OEE REA'!B591</t>
  </si>
  <si>
    <t>+'OEE REA'!B592</t>
  </si>
  <si>
    <t>+'OEE REA'!B593</t>
  </si>
  <si>
    <t>+'OEE REA'!B594</t>
  </si>
  <si>
    <t>+'OEE REA'!B595</t>
  </si>
  <si>
    <t>+'OEE REA'!B596</t>
  </si>
  <si>
    <t>+'OEE REA'!B597</t>
  </si>
  <si>
    <t>+'OEE REA'!B598</t>
  </si>
  <si>
    <t>+'OEE REA'!B599</t>
  </si>
  <si>
    <t>+'OEE REA'!B600</t>
  </si>
  <si>
    <t>+'OEE REA'!B601</t>
  </si>
  <si>
    <t>+'OEE REA'!B602</t>
  </si>
  <si>
    <t>+'OEE REA'!B603</t>
  </si>
  <si>
    <t>+'OEE REA'!B604</t>
  </si>
  <si>
    <t>+'OEE REA'!B605</t>
  </si>
  <si>
    <t>+'OEE REA'!B606</t>
  </si>
  <si>
    <t>+'OEE REA'!B607</t>
  </si>
  <si>
    <t>+'OEE REA'!B608</t>
  </si>
  <si>
    <t>+'OEE REA'!B609</t>
  </si>
  <si>
    <t>+'OEE REA'!B610</t>
  </si>
  <si>
    <t>+'OEE REA'!B611</t>
  </si>
  <si>
    <t>+'OEE REA'!B612</t>
  </si>
  <si>
    <t>+'OEE REA'!B613</t>
  </si>
  <si>
    <t>+'OEE REA'!B614</t>
  </si>
  <si>
    <t>+'OEE REA'!B615</t>
  </si>
  <si>
    <t>+'OEE REA'!B616</t>
  </si>
  <si>
    <t>+'OEE REA'!B617</t>
  </si>
  <si>
    <t>+'OEE REA'!B618</t>
  </si>
  <si>
    <t>+'OEE REA'!B619</t>
  </si>
  <si>
    <t>+'OEE REA'!B620</t>
  </si>
  <si>
    <t>+'OEE REA'!B621</t>
  </si>
  <si>
    <t>+'OEE REA'!B622</t>
  </si>
  <si>
    <t>+'OEE REA'!B623</t>
  </si>
  <si>
    <t>+'OEE REA'!B624</t>
  </si>
  <si>
    <t>+'OEE REA'!B625</t>
  </si>
  <si>
    <t>+'OEE REA'!B626</t>
  </si>
  <si>
    <t>+'OEE REA'!B627</t>
  </si>
  <si>
    <t>+'OEE REA'!B628</t>
  </si>
  <si>
    <t>+'OEE REA'!B629</t>
  </si>
  <si>
    <t>+'OEE REA'!B630</t>
  </si>
  <si>
    <t>+'OEE REA'!B631</t>
  </si>
  <si>
    <t>+'OEE REA'!B632</t>
  </si>
  <si>
    <t>+'OEE REA'!B633</t>
  </si>
  <si>
    <t>+'OEE REA'!B634</t>
  </si>
  <si>
    <t>+'OEE REA'!B635</t>
  </si>
  <si>
    <t>+'OEE REA'!B636</t>
  </si>
  <si>
    <t>+'OEE REA'!B637</t>
  </si>
  <si>
    <t>+'OEE REA'!B638</t>
  </si>
  <si>
    <t>+'OEE REA'!B639</t>
  </si>
  <si>
    <t>+'OEE REA'!B640</t>
  </si>
  <si>
    <t>+'OEE REA'!B641</t>
  </si>
  <si>
    <t>+'OEE REA'!B642</t>
  </si>
  <si>
    <t>+'OEE REA'!B643</t>
  </si>
  <si>
    <t>+'OEE REA'!B644</t>
  </si>
  <si>
    <t>+'OEE REA'!B645</t>
  </si>
  <si>
    <t>+'OEE REA'!B646</t>
  </si>
  <si>
    <t>+'OEE REA'!B647</t>
  </si>
  <si>
    <t>+'OEE REA'!B648</t>
  </si>
  <si>
    <t>+'OEE REA'!B649</t>
  </si>
  <si>
    <t>+'OEE REA'!B650</t>
  </si>
  <si>
    <t>+'OEE REA'!B651</t>
  </si>
  <si>
    <t>+'OEE REA'!B652</t>
  </si>
  <si>
    <t>+'OEE REA'!B653</t>
  </si>
  <si>
    <t>+'OEE REA'!B654</t>
  </si>
  <si>
    <t>+'OEE REA'!B655</t>
  </si>
  <si>
    <t>+'OEE REA'!B656</t>
  </si>
  <si>
    <t>+'OEE REA'!B657</t>
  </si>
  <si>
    <t>+'OEE REA'!B658</t>
  </si>
  <si>
    <t>+'OEE REA'!B659</t>
  </si>
  <si>
    <t>+'OEE REA'!B660</t>
  </si>
  <si>
    <t>+'OEE REA'!B661</t>
  </si>
  <si>
    <t>+'OEE REA'!B662</t>
  </si>
  <si>
    <t>+'OEE REA'!B663</t>
  </si>
  <si>
    <t>+'OEE REA'!B664</t>
  </si>
  <si>
    <t>+'OEE REA'!B665</t>
  </si>
  <si>
    <t>+'OEE REA'!B666</t>
  </si>
  <si>
    <t>+'OEE REA'!B667</t>
  </si>
  <si>
    <t>+'OEE REA'!B668</t>
  </si>
  <si>
    <t>+'OEE REA'!B669</t>
  </si>
  <si>
    <t>+'OEE REA'!B670</t>
  </si>
  <si>
    <t>+'OEE REA'!B671</t>
  </si>
  <si>
    <t>+'OEE REA'!B672</t>
  </si>
  <si>
    <t>+'OEE REA'!B673</t>
  </si>
  <si>
    <t>+'OEE REA'!B674</t>
  </si>
  <si>
    <t>+'OEE REA'!B675</t>
  </si>
  <si>
    <t>+'OEE REA'!B676</t>
  </si>
  <si>
    <t>+'OEE REA'!B677</t>
  </si>
  <si>
    <t>+'OEE REA'!B678</t>
  </si>
  <si>
    <t>+'OEE REA'!B679</t>
  </si>
  <si>
    <t>roberto</t>
  </si>
  <si>
    <t>viviana</t>
  </si>
  <si>
    <t>3140CA027 SET UP</t>
  </si>
  <si>
    <t>3140CS022 set up</t>
  </si>
  <si>
    <t>3140CS022</t>
  </si>
  <si>
    <t>3140CS022 RW</t>
  </si>
  <si>
    <t>3140CS023 SET UP</t>
  </si>
  <si>
    <t xml:space="preserve">3140CS023 </t>
  </si>
  <si>
    <t xml:space="preserve">3140CA027 </t>
  </si>
  <si>
    <t>9161820003</t>
  </si>
  <si>
    <t>8285750089</t>
  </si>
  <si>
    <t>3140CA027  MAS RW</t>
  </si>
  <si>
    <t>3140CA028 LIB</t>
  </si>
  <si>
    <t xml:space="preserve">3140CA028 </t>
  </si>
  <si>
    <t>3140CA028 RW CAW/ SET UO 029</t>
  </si>
  <si>
    <t>3140CA029 LIB</t>
  </si>
  <si>
    <t>ROBERTO</t>
  </si>
  <si>
    <t>PATY</t>
  </si>
  <si>
    <t>3140CA029</t>
  </si>
  <si>
    <t>paty</t>
  </si>
  <si>
    <t>lupita</t>
  </si>
  <si>
    <t>zulma</t>
  </si>
  <si>
    <t>jorge</t>
  </si>
  <si>
    <t>3140CA029/ 023 set up</t>
  </si>
  <si>
    <t>3140CS023</t>
  </si>
  <si>
    <t>3140CS023/022</t>
  </si>
  <si>
    <t>IRASEMA</t>
  </si>
  <si>
    <t>LULU</t>
  </si>
  <si>
    <t xml:space="preserve">1  Y 2 </t>
  </si>
  <si>
    <t>SE ACABO MATERIAL</t>
  </si>
  <si>
    <t>A</t>
  </si>
  <si>
    <t>B</t>
  </si>
  <si>
    <t>C</t>
  </si>
  <si>
    <t>nohemi</t>
  </si>
  <si>
    <t>3140CA028</t>
  </si>
  <si>
    <t>LUPITA</t>
  </si>
  <si>
    <t>NOHEMI</t>
  </si>
  <si>
    <t>3140CA027</t>
  </si>
  <si>
    <t>3140CA028/027</t>
  </si>
  <si>
    <t>1 y 2</t>
  </si>
  <si>
    <t>paula</t>
  </si>
  <si>
    <t>3140CA029 LIBERACION</t>
  </si>
  <si>
    <t>NOHENY</t>
  </si>
  <si>
    <t>nilza</t>
  </si>
  <si>
    <t>niza</t>
  </si>
  <si>
    <t>belen</t>
  </si>
  <si>
    <t>3140CA029RW</t>
  </si>
  <si>
    <t>FRANCISCO</t>
  </si>
  <si>
    <t>GUSTAVO</t>
  </si>
  <si>
    <t>NI</t>
  </si>
  <si>
    <t>juan</t>
  </si>
  <si>
    <t>petra</t>
  </si>
  <si>
    <t>francisco</t>
  </si>
  <si>
    <t>3140CA029/ SET UP 028</t>
  </si>
  <si>
    <t>662/9161820003</t>
  </si>
  <si>
    <t>irma</t>
  </si>
  <si>
    <t>irasema</t>
  </si>
  <si>
    <t>robeto</t>
  </si>
  <si>
    <t>3140CA028/ SET UP 027</t>
  </si>
  <si>
    <t>3140CS022/ SET UP 023</t>
  </si>
  <si>
    <t>3140CA022</t>
  </si>
  <si>
    <t>3140CS023/ SET UP 029</t>
  </si>
  <si>
    <t>1y2</t>
  </si>
  <si>
    <t>diana</t>
  </si>
  <si>
    <t>bryan</t>
  </si>
  <si>
    <t>NANCY</t>
  </si>
  <si>
    <t>DIANA</t>
  </si>
  <si>
    <t>BRYAN</t>
  </si>
  <si>
    <t>nancy</t>
  </si>
  <si>
    <t>nanci</t>
  </si>
  <si>
    <t>204000662/20003</t>
  </si>
  <si>
    <t>3140CA028 SET UP</t>
  </si>
  <si>
    <t>3140CA029 RW</t>
  </si>
  <si>
    <t>3140CA028  RW</t>
  </si>
  <si>
    <t xml:space="preserve">3140CA028  </t>
  </si>
  <si>
    <t>3140CA027  RW</t>
  </si>
  <si>
    <t>3140CA022 SET UP/RW</t>
  </si>
  <si>
    <t xml:space="preserve">3140CA022 </t>
  </si>
  <si>
    <t>3140CA029 lib</t>
  </si>
  <si>
    <t>3140CA022 y RW</t>
  </si>
  <si>
    <t>3140CA029 SET UP</t>
  </si>
  <si>
    <t>960 CAW</t>
  </si>
  <si>
    <t xml:space="preserve">roberto </t>
  </si>
  <si>
    <t>lulu</t>
  </si>
  <si>
    <t>1 Y 2</t>
  </si>
  <si>
    <t>niilza</t>
  </si>
  <si>
    <t>3140CA023</t>
  </si>
  <si>
    <t>3140CA023/029 SET UP</t>
  </si>
  <si>
    <t>3140CA029/023 SET UP</t>
  </si>
  <si>
    <t>3140CA029/LIBERACION</t>
  </si>
  <si>
    <t xml:space="preserve">nilza </t>
  </si>
  <si>
    <t>miguel angel</t>
  </si>
  <si>
    <t>PPAP MITSUBICHI</t>
  </si>
  <si>
    <t>PPAP MITSUBICHI/ 3140CA029 SET UP</t>
  </si>
  <si>
    <t>fracico</t>
  </si>
  <si>
    <t>MIGUEL ANGEL</t>
  </si>
  <si>
    <t>ilza</t>
  </si>
  <si>
    <t>3140CA029 SET UP 022</t>
  </si>
  <si>
    <t>3140CA029 set up</t>
  </si>
  <si>
    <t>NLZA</t>
  </si>
  <si>
    <t>IRMA</t>
  </si>
  <si>
    <t>PULA</t>
  </si>
  <si>
    <t>PAULA</t>
  </si>
  <si>
    <t>LUPE</t>
  </si>
  <si>
    <t>3140CA029 + RW</t>
  </si>
  <si>
    <t>lupe</t>
  </si>
  <si>
    <t>3140CA027 LIBERACION</t>
  </si>
  <si>
    <t>BELEN</t>
  </si>
  <si>
    <t>3140CA027RWLEAK</t>
  </si>
  <si>
    <t>3140CA027RW/SETUP 029</t>
  </si>
  <si>
    <t>NANCU</t>
  </si>
  <si>
    <t>9161820003/00662</t>
  </si>
  <si>
    <t>3140CA029/SET UP 022</t>
  </si>
  <si>
    <t>204000662/8285750089</t>
  </si>
  <si>
    <t>3140CS022RW/023 SET UP</t>
  </si>
  <si>
    <t>3140CS023RW/029 SET UP</t>
  </si>
  <si>
    <t>82857500890/204000662set up</t>
  </si>
  <si>
    <t>3140CA029/ SETUP 027</t>
  </si>
  <si>
    <t>204000662/SET UP 9161820003</t>
  </si>
  <si>
    <t>3140CA028/ set up 029</t>
  </si>
  <si>
    <t>brenda</t>
  </si>
  <si>
    <t>9161820003/204000662</t>
  </si>
  <si>
    <t>brena</t>
  </si>
  <si>
    <t>3140CA038 MILLER PPAP</t>
  </si>
  <si>
    <t>3140CA039 MILLER PPAP</t>
  </si>
  <si>
    <t>204000723 miller</t>
  </si>
  <si>
    <t>3140CA038 MILLER PPAP RW</t>
  </si>
  <si>
    <t>3140CA039 MILLER PPAP RW</t>
  </si>
  <si>
    <t>3140CA028 /set up 029</t>
  </si>
  <si>
    <t>3140CA029 liberacion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</si>
</sst>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409]d\-mmm\-yy;@"/>
    <numFmt numFmtId="165" formatCode="0.0"/>
    <numFmt numFmtId="166" formatCode="_-* #,##0_-;\-* #,##0_-;_-* &quot;-&quot;??_-;_-@_-"/>
    <numFmt numFmtId="167" formatCode="0.0%"/>
    <numFmt numFmtId="168" formatCode="0.000"/>
  </numFmts>
  <fonts count="82" x14ac:knownFonts="1">
    <font>
      <sz val="11"/>
      <color theme="1"/>
      <name val="Calibri"/>
      <family val="2"/>
      <scheme val="minor"/>
    </font>
    <font>
      <sz val="10"/>
      <color theme="1"/>
      <name val="Arial Narrow"/>
      <family val="2"/>
    </font>
    <font>
      <sz val="10"/>
      <color theme="1"/>
      <name val="Arial Narrow"/>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1"/>
      <name val="Calibri"/>
      <family val="2"/>
      <scheme val="minor"/>
    </font>
    <font>
      <sz val="10"/>
      <color theme="1"/>
      <name val="Calibri"/>
      <family val="2"/>
      <scheme val="minor"/>
    </font>
    <font>
      <sz val="9"/>
      <color indexed="81"/>
      <name val="Tahoma"/>
      <family val="2"/>
    </font>
    <font>
      <b/>
      <sz val="9"/>
      <color indexed="81"/>
      <name val="Tahoma"/>
      <family val="2"/>
    </font>
    <font>
      <b/>
      <sz val="10"/>
      <color theme="0"/>
      <name val="Calibri"/>
      <family val="2"/>
      <scheme val="minor"/>
    </font>
    <font>
      <sz val="10"/>
      <name val="Arial"/>
      <family val="2"/>
    </font>
    <font>
      <sz val="10"/>
      <name val="Arial"/>
      <family val="2"/>
    </font>
    <font>
      <b/>
      <sz val="12"/>
      <color indexed="12"/>
      <name val="Arial"/>
      <family val="2"/>
    </font>
    <font>
      <b/>
      <sz val="12"/>
      <color theme="1"/>
      <name val="Calibri"/>
      <family val="2"/>
      <scheme val="minor"/>
    </font>
    <font>
      <sz val="11"/>
      <name val="Calibri"/>
      <family val="2"/>
      <scheme val="minor"/>
    </font>
    <font>
      <b/>
      <sz val="10"/>
      <color theme="1"/>
      <name val="Calibri"/>
      <family val="2"/>
      <scheme val="minor"/>
    </font>
    <font>
      <sz val="12"/>
      <name val="Calibri"/>
      <family val="2"/>
      <scheme val="minor"/>
    </font>
    <font>
      <b/>
      <sz val="10"/>
      <color theme="0"/>
      <name val="Arial Narrow"/>
      <family val="2"/>
    </font>
    <font>
      <sz val="10"/>
      <color rgb="FF9C0006"/>
      <name val="Arial Narrow"/>
      <family val="2"/>
    </font>
    <font>
      <b/>
      <sz val="10"/>
      <color theme="1"/>
      <name val="Arial Narrow"/>
      <family val="2"/>
    </font>
    <font>
      <b/>
      <sz val="15"/>
      <color theme="3"/>
      <name val="Arial Narrow"/>
      <family val="2"/>
    </font>
    <font>
      <b/>
      <sz val="13"/>
      <color theme="3"/>
      <name val="Arial Narrow"/>
      <family val="2"/>
    </font>
    <font>
      <b/>
      <sz val="11"/>
      <color theme="3"/>
      <name val="Arial Narrow"/>
      <family val="2"/>
    </font>
    <font>
      <sz val="10"/>
      <color rgb="FF006100"/>
      <name val="Arial Narrow"/>
      <family val="2"/>
    </font>
    <font>
      <sz val="10"/>
      <color rgb="FF9C6500"/>
      <name val="Arial Narrow"/>
      <family val="2"/>
    </font>
    <font>
      <sz val="10"/>
      <color rgb="FF3F3F76"/>
      <name val="Arial Narrow"/>
      <family val="2"/>
    </font>
    <font>
      <b/>
      <sz val="10"/>
      <color rgb="FF3F3F3F"/>
      <name val="Arial Narrow"/>
      <family val="2"/>
    </font>
    <font>
      <b/>
      <sz val="10"/>
      <color rgb="FFFA7D00"/>
      <name val="Arial Narrow"/>
      <family val="2"/>
    </font>
    <font>
      <sz val="10"/>
      <color rgb="FFFA7D00"/>
      <name val="Arial Narrow"/>
      <family val="2"/>
    </font>
    <font>
      <sz val="10"/>
      <color rgb="FFFF0000"/>
      <name val="Arial Narrow"/>
      <family val="2"/>
    </font>
    <font>
      <i/>
      <sz val="10"/>
      <color rgb="FF7F7F7F"/>
      <name val="Arial Narrow"/>
      <family val="2"/>
    </font>
    <font>
      <sz val="10"/>
      <color theme="0"/>
      <name val="Arial Narrow"/>
      <family val="2"/>
    </font>
    <font>
      <sz val="5"/>
      <color theme="1"/>
      <name val="Arial Narrow"/>
      <family val="2"/>
    </font>
    <font>
      <sz val="5"/>
      <color theme="1"/>
      <name val="Calibri"/>
      <family val="2"/>
      <scheme val="minor"/>
    </font>
    <font>
      <sz val="6"/>
      <color theme="1"/>
      <name val="Calibri"/>
      <family val="2"/>
      <scheme val="minor"/>
    </font>
    <font>
      <sz val="4"/>
      <color theme="1"/>
      <name val="Calibri"/>
      <family val="2"/>
      <scheme val="minor"/>
    </font>
    <font>
      <sz val="14"/>
      <color theme="1"/>
      <name val="Calibri"/>
      <family val="2"/>
      <scheme val="minor"/>
    </font>
    <font>
      <sz val="12"/>
      <color theme="0"/>
      <name val="Calibri"/>
      <family val="2"/>
      <scheme val="minor"/>
    </font>
    <font>
      <sz val="14"/>
      <name val="Calibri"/>
      <family val="2"/>
      <scheme val="minor"/>
    </font>
    <font>
      <sz val="14"/>
      <color theme="0"/>
      <name val="Calibri"/>
      <family val="2"/>
      <scheme val="minor"/>
    </font>
    <font>
      <sz val="12"/>
      <color indexed="8"/>
      <name val="Calibri"/>
      <family val="2"/>
      <scheme val="minor"/>
    </font>
    <font>
      <sz val="14"/>
      <color indexed="8"/>
      <name val="Calibri"/>
      <family val="2"/>
      <scheme val="minor"/>
    </font>
    <font>
      <sz val="12"/>
      <color theme="1"/>
      <name val="Calibri"/>
      <family val="2"/>
      <scheme val="minor"/>
    </font>
    <font>
      <b/>
      <sz val="14"/>
      <color theme="1"/>
      <name val="Calibri"/>
      <family val="2"/>
      <scheme val="minor"/>
    </font>
    <font>
      <b/>
      <sz val="16"/>
      <color theme="1"/>
      <name val="Calibri"/>
      <family val="2"/>
      <scheme val="minor"/>
    </font>
    <font>
      <sz val="11"/>
      <color theme="1"/>
      <name val="Bahnschrift"/>
      <family val="2"/>
    </font>
    <font>
      <sz val="12"/>
      <color theme="1"/>
      <name val="Calibri"/>
      <family val="2"/>
      <scheme val="minor"/>
    </font>
    <font>
      <sz val="12"/>
      <color rgb="FFFF0000"/>
      <name val="Calibri"/>
      <family val="2"/>
      <scheme val="minor"/>
    </font>
    <font>
      <sz val="12"/>
      <color theme="1"/>
      <name val="Calibri"/>
      <family val="2"/>
      <scheme val="minor"/>
    </font>
    <font>
      <sz val="14"/>
      <color theme="1"/>
      <name val="Arial Narrow"/>
      <family val="2"/>
    </font>
    <font>
      <sz val="14"/>
      <color rgb="FFFF0000"/>
      <name val="Calibri"/>
      <family val="2"/>
      <scheme val="minor"/>
    </font>
    <font>
      <sz val="16"/>
      <color theme="1"/>
      <name val="Calibri"/>
      <family val="2"/>
      <scheme val="minor"/>
    </font>
    <font>
      <sz val="8"/>
      <name val="Calibri"/>
      <family val="2"/>
      <scheme val="minor"/>
    </font>
    <font>
      <sz val="10"/>
      <name val="Arial CE"/>
      <charset val="238"/>
    </font>
    <font>
      <b/>
      <sz val="16"/>
      <name val="Arial"/>
      <family val="2"/>
    </font>
    <font>
      <sz val="16"/>
      <name val="Arial"/>
      <family val="2"/>
    </font>
    <font>
      <b/>
      <sz val="14"/>
      <color theme="0"/>
      <name val="Calibri"/>
      <family val="2"/>
      <scheme val="minor"/>
    </font>
    <font>
      <b/>
      <sz val="11"/>
      <color rgb="FFFF0000"/>
      <name val="Calibri"/>
      <family val="2"/>
      <scheme val="minor"/>
    </font>
    <font>
      <sz val="8"/>
      <color theme="1"/>
      <name val="Calibri"/>
      <family val="2"/>
      <scheme val="minor"/>
    </font>
    <font>
      <b/>
      <sz val="12"/>
      <name val="Calibri"/>
      <family val="2"/>
      <scheme val="minor"/>
    </font>
    <font>
      <b/>
      <sz val="11"/>
      <color rgb="FFE40000"/>
      <name val="Calibri"/>
      <family val="2"/>
      <scheme val="minor"/>
    </font>
    <font>
      <b/>
      <sz val="8"/>
      <color rgb="FFFF0000"/>
      <name val="Calibri"/>
      <family val="2"/>
      <scheme val="minor"/>
    </font>
    <font>
      <sz val="11"/>
      <color indexed="81"/>
      <name val="Tahoma"/>
      <family val="2"/>
    </font>
    <font>
      <sz val="11"/>
      <color rgb="FFED0000"/>
      <name val="Calibri"/>
      <family val="2"/>
      <scheme val="minor"/>
    </font>
    <font>
      <b/>
      <sz val="11"/>
      <color rgb="FFE50000"/>
      <name val="Calibri"/>
      <family val="2"/>
      <scheme val="minor"/>
    </font>
    <font>
      <b/>
      <sz val="12"/>
      <color rgb="FFC00000"/>
      <name val="Calibri"/>
      <family val="2"/>
      <scheme val="minor"/>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indexed="13"/>
        <bgColor indexed="64"/>
      </patternFill>
    </fill>
    <fill>
      <patternFill patternType="solid">
        <fgColor indexed="11"/>
        <bgColor indexed="64"/>
      </patternFill>
    </fill>
    <fill>
      <patternFill patternType="solid">
        <fgColor indexed="48"/>
        <bgColor indexed="64"/>
      </patternFill>
    </fill>
    <fill>
      <patternFill patternType="solid">
        <fgColor theme="5"/>
        <bgColor indexed="64"/>
      </patternFill>
    </fill>
    <fill>
      <patternFill patternType="solid">
        <fgColor theme="0" tint="-0.14999847407452621"/>
        <bgColor indexed="64"/>
      </patternFill>
    </fill>
    <fill>
      <patternFill patternType="solid">
        <fgColor rgb="FF00FF00"/>
        <bgColor indexed="64"/>
      </patternFill>
    </fill>
    <fill>
      <patternFill patternType="solid">
        <fgColor rgb="FF0066FF"/>
        <bgColor indexed="64"/>
      </patternFill>
    </fill>
    <fill>
      <patternFill patternType="solid">
        <fgColor rgb="FF00CC00"/>
        <bgColor indexed="64"/>
      </patternFill>
    </fill>
    <fill>
      <patternFill patternType="solid">
        <fgColor rgb="FFFFE12F"/>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99FF99"/>
        <bgColor indexed="64"/>
      </patternFill>
    </fill>
    <fill>
      <patternFill patternType="solid">
        <fgColor rgb="FFFF3300"/>
        <bgColor indexed="64"/>
      </patternFill>
    </fill>
    <fill>
      <patternFill patternType="solid">
        <fgColor theme="5" tint="0.59999389629810485"/>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theme="7" tint="0.39997558519241921"/>
        <bgColor indexed="64"/>
      </patternFill>
    </fill>
    <fill>
      <patternFill patternType="solid">
        <fgColor rgb="FFFFCCFF"/>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7" tint="0.79998168889431442"/>
        <bgColor indexed="64"/>
      </patternFill>
    </fill>
    <fill>
      <patternFill patternType="solid">
        <fgColor rgb="FFFFFF66"/>
        <bgColor indexed="64"/>
      </patternFill>
    </fill>
    <fill>
      <patternFill patternType="solid">
        <fgColor rgb="FFFFC000"/>
        <bgColor indexed="64"/>
      </patternFill>
    </fill>
  </fills>
  <borders count="6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style="double">
        <color rgb="FF3F3F3F"/>
      </top>
      <bottom/>
      <diagonal/>
    </border>
    <border>
      <left style="double">
        <color rgb="FF3F3F3F"/>
      </left>
      <right/>
      <top style="double">
        <color rgb="FF3F3F3F"/>
      </top>
      <bottom/>
      <diagonal/>
    </border>
    <border>
      <left/>
      <right style="double">
        <color rgb="FF3F3F3F"/>
      </right>
      <top style="double">
        <color rgb="FF3F3F3F"/>
      </top>
      <bottom/>
      <diagonal/>
    </border>
    <border>
      <left style="double">
        <color rgb="FF3F3F3F"/>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7F7F7F"/>
      </left>
      <right/>
      <top style="thin">
        <color rgb="FF7F7F7F"/>
      </top>
      <bottom style="thin">
        <color indexed="64"/>
      </bottom>
      <diagonal/>
    </border>
    <border>
      <left/>
      <right/>
      <top style="thin">
        <color rgb="FF7F7F7F"/>
      </top>
      <bottom style="thin">
        <color indexed="64"/>
      </bottom>
      <diagonal/>
    </border>
    <border>
      <left/>
      <right style="thin">
        <color rgb="FF7F7F7F"/>
      </right>
      <top style="thin">
        <color rgb="FF7F7F7F"/>
      </top>
      <bottom style="thin">
        <color indexed="64"/>
      </bottom>
      <diagonal/>
    </border>
    <border>
      <left style="medium">
        <color indexed="64"/>
      </left>
      <right/>
      <top/>
      <bottom style="thin">
        <color indexed="64"/>
      </bottom>
      <diagonal/>
    </border>
    <border>
      <left/>
      <right style="thin">
        <color rgb="FF7F7F7F"/>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ck">
        <color rgb="FF3F3F3F"/>
      </left>
      <right/>
      <top style="double">
        <color rgb="FF3F3F3F"/>
      </top>
      <bottom/>
      <diagonal/>
    </border>
    <border>
      <left/>
      <right style="thick">
        <color rgb="FF3F3F3F"/>
      </right>
      <top style="double">
        <color rgb="FF3F3F3F"/>
      </top>
      <bottom/>
      <diagonal/>
    </border>
    <border>
      <left style="thick">
        <color rgb="FF3F3F3F"/>
      </left>
      <right style="thin">
        <color indexed="64"/>
      </right>
      <top style="thin">
        <color indexed="64"/>
      </top>
      <bottom style="thin">
        <color indexed="64"/>
      </bottom>
      <diagonal/>
    </border>
    <border>
      <left style="thin">
        <color indexed="64"/>
      </left>
      <right style="thick">
        <color auto="1"/>
      </right>
      <top style="thin">
        <color indexed="64"/>
      </top>
      <bottom style="thin">
        <color indexed="64"/>
      </bottom>
      <diagonal/>
    </border>
    <border>
      <left style="thick">
        <color auto="1"/>
      </left>
      <right style="thin">
        <color indexed="64"/>
      </right>
      <top style="thin">
        <color indexed="64"/>
      </top>
      <bottom style="thin">
        <color indexed="64"/>
      </bottom>
      <diagonal/>
    </border>
    <border>
      <left style="thin">
        <color indexed="64"/>
      </left>
      <right style="thick">
        <color auto="1"/>
      </right>
      <top style="thin">
        <color indexed="64"/>
      </top>
      <bottom/>
      <diagonal/>
    </border>
    <border>
      <left style="thick">
        <color auto="1"/>
      </left>
      <right/>
      <top style="double">
        <color rgb="FF3F3F3F"/>
      </top>
      <bottom/>
      <diagonal/>
    </border>
    <border>
      <left style="thick">
        <color auto="1"/>
      </left>
      <right style="thin">
        <color indexed="64"/>
      </right>
      <top style="thin">
        <color indexed="64"/>
      </top>
      <bottom/>
      <diagonal/>
    </border>
    <border>
      <left/>
      <right style="thick">
        <color auto="1"/>
      </right>
      <top/>
      <bottom style="thin">
        <color indexed="64"/>
      </bottom>
      <diagonal/>
    </border>
    <border>
      <left style="thick">
        <color indexed="64"/>
      </left>
      <right style="thick">
        <color auto="1"/>
      </right>
      <top style="thin">
        <color indexed="64"/>
      </top>
      <bottom style="thin">
        <color indexed="64"/>
      </bottom>
      <diagonal/>
    </border>
    <border>
      <left style="thick">
        <color rgb="FF3F3F3F"/>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right style="double">
        <color rgb="FF3F3F3F"/>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110">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9"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9"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9"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9" fillId="32" borderId="0" applyNumberFormat="0" applyBorder="0" applyAlignment="0" applyProtection="0"/>
    <xf numFmtId="43" fontId="3" fillId="0" borderId="0" applyFont="0" applyFill="0" applyBorder="0" applyAlignment="0" applyProtection="0"/>
    <xf numFmtId="9" fontId="3" fillId="0" borderId="0" applyFont="0" applyFill="0" applyBorder="0" applyAlignment="0" applyProtection="0"/>
    <xf numFmtId="0" fontId="26" fillId="0" borderId="0"/>
    <xf numFmtId="9" fontId="27" fillId="0" borderId="0" applyFont="0" applyFill="0" applyBorder="0" applyAlignment="0" applyProtection="0"/>
    <xf numFmtId="0" fontId="2" fillId="0" borderId="0"/>
    <xf numFmtId="0" fontId="36" fillId="0" borderId="1" applyNumberFormat="0" applyFill="0" applyAlignment="0" applyProtection="0"/>
    <xf numFmtId="0" fontId="37" fillId="0" borderId="2" applyNumberFormat="0" applyFill="0" applyAlignment="0" applyProtection="0"/>
    <xf numFmtId="0" fontId="38" fillId="0" borderId="3" applyNumberFormat="0" applyFill="0" applyAlignment="0" applyProtection="0"/>
    <xf numFmtId="0" fontId="38" fillId="0" borderId="0" applyNumberFormat="0" applyFill="0" applyBorder="0" applyAlignment="0" applyProtection="0"/>
    <xf numFmtId="0" fontId="39" fillId="2" borderId="0" applyNumberFormat="0" applyBorder="0" applyAlignment="0" applyProtection="0"/>
    <xf numFmtId="0" fontId="34" fillId="3" borderId="0" applyNumberFormat="0" applyBorder="0" applyAlignment="0" applyProtection="0"/>
    <xf numFmtId="0" fontId="40" fillId="4" borderId="0" applyNumberFormat="0" applyBorder="0" applyAlignment="0" applyProtection="0"/>
    <xf numFmtId="0" fontId="41" fillId="5" borderId="4" applyNumberFormat="0" applyAlignment="0" applyProtection="0"/>
    <xf numFmtId="0" fontId="42" fillId="6" borderId="5" applyNumberFormat="0" applyAlignment="0" applyProtection="0"/>
    <xf numFmtId="0" fontId="43" fillId="6" borderId="4" applyNumberFormat="0" applyAlignment="0" applyProtection="0"/>
    <xf numFmtId="0" fontId="44" fillId="0" borderId="6" applyNumberFormat="0" applyFill="0" applyAlignment="0" applyProtection="0"/>
    <xf numFmtId="0" fontId="33" fillId="7" borderId="7" applyNumberFormat="0" applyAlignment="0" applyProtection="0"/>
    <xf numFmtId="0" fontId="45" fillId="0" borderId="0" applyNumberFormat="0" applyFill="0" applyBorder="0" applyAlignment="0" applyProtection="0"/>
    <xf numFmtId="0" fontId="2" fillId="8" borderId="8" applyNumberFormat="0" applyFont="0" applyAlignment="0" applyProtection="0"/>
    <xf numFmtId="0" fontId="46" fillId="0" borderId="0" applyNumberFormat="0" applyFill="0" applyBorder="0" applyAlignment="0" applyProtection="0"/>
    <xf numFmtId="0" fontId="35" fillId="0" borderId="9" applyNumberFormat="0" applyFill="0" applyAlignment="0" applyProtection="0"/>
    <xf numFmtId="0" fontId="4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47" fillId="12" borderId="0" applyNumberFormat="0" applyBorder="0" applyAlignment="0" applyProtection="0"/>
    <xf numFmtId="0" fontId="4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47" fillId="16" borderId="0" applyNumberFormat="0" applyBorder="0" applyAlignment="0" applyProtection="0"/>
    <xf numFmtId="0" fontId="4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47" fillId="20" borderId="0" applyNumberFormat="0" applyBorder="0" applyAlignment="0" applyProtection="0"/>
    <xf numFmtId="0" fontId="4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47" fillId="24" borderId="0" applyNumberFormat="0" applyBorder="0" applyAlignment="0" applyProtection="0"/>
    <xf numFmtId="0" fontId="4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47" fillId="28" borderId="0" applyNumberFormat="0" applyBorder="0" applyAlignment="0" applyProtection="0"/>
    <xf numFmtId="0" fontId="4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47" fillId="32" borderId="0" applyNumberFormat="0" applyBorder="0" applyAlignment="0" applyProtection="0"/>
    <xf numFmtId="43" fontId="3" fillId="0" borderId="0" applyFont="0" applyFill="0" applyBorder="0" applyAlignment="0" applyProtection="0"/>
    <xf numFmtId="9" fontId="26" fillId="0" borderId="0" applyFont="0" applyFill="0" applyBorder="0" applyAlignment="0" applyProtection="0"/>
    <xf numFmtId="0" fontId="1" fillId="0" borderId="0"/>
    <xf numFmtId="0" fontId="1" fillId="8" borderId="8" applyNumberFormat="0" applyFont="0" applyAlignment="0" applyProtection="0"/>
    <xf numFmtId="0" fontId="1" fillId="10" borderId="0" applyNumberFormat="0" applyBorder="0" applyAlignment="0" applyProtection="0"/>
    <xf numFmtId="0" fontId="1" fillId="11"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6" fillId="0" borderId="0"/>
    <xf numFmtId="9" fontId="26" fillId="0" borderId="0" applyFont="0" applyFill="0" applyBorder="0" applyAlignment="0" applyProtection="0"/>
    <xf numFmtId="0" fontId="9" fillId="3" borderId="0" applyNumberFormat="0" applyBorder="0" applyAlignment="0" applyProtection="0"/>
    <xf numFmtId="0" fontId="15" fillId="7" borderId="7" applyNumberFormat="0" applyAlignment="0" applyProtection="0"/>
    <xf numFmtId="0" fontId="3" fillId="0" borderId="0"/>
    <xf numFmtId="0" fontId="26" fillId="0" borderId="0"/>
    <xf numFmtId="0" fontId="69" fillId="0" borderId="0"/>
  </cellStyleXfs>
  <cellXfs count="379">
    <xf numFmtId="0" fontId="0" fillId="0" borderId="0" xfId="0"/>
    <xf numFmtId="16"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applyAlignment="1" applyProtection="1">
      <alignment wrapText="1"/>
      <protection locked="0"/>
    </xf>
    <xf numFmtId="0" fontId="0" fillId="0" borderId="0" xfId="0" applyProtection="1">
      <protection locked="0"/>
    </xf>
    <xf numFmtId="0" fontId="0" fillId="37" borderId="10" xfId="0" applyFill="1" applyBorder="1" applyAlignment="1" applyProtection="1">
      <alignment horizontal="center" wrapText="1"/>
      <protection locked="0"/>
    </xf>
    <xf numFmtId="0" fontId="0" fillId="37" borderId="10" xfId="0" applyFill="1" applyBorder="1" applyAlignment="1" applyProtection="1">
      <alignment horizontal="center" vertical="center" wrapText="1"/>
      <protection locked="0"/>
    </xf>
    <xf numFmtId="0" fontId="0" fillId="0" borderId="10" xfId="0"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10" xfId="0" applyBorder="1"/>
    <xf numFmtId="0" fontId="0" fillId="0" borderId="10" xfId="0" applyBorder="1" applyAlignment="1">
      <alignment horizontal="center" vertical="center"/>
    </xf>
    <xf numFmtId="0" fontId="22" fillId="0" borderId="10" xfId="0" applyFont="1" applyBorder="1" applyAlignment="1">
      <alignment horizontal="center" vertical="center" wrapText="1"/>
    </xf>
    <xf numFmtId="16" fontId="0" fillId="37" borderId="10" xfId="0" applyNumberFormat="1" applyFill="1" applyBorder="1" applyProtection="1">
      <protection locked="0"/>
    </xf>
    <xf numFmtId="0" fontId="22" fillId="0" borderId="10" xfId="0" applyFont="1" applyBorder="1" applyAlignment="1">
      <alignment horizontal="center" vertical="center"/>
    </xf>
    <xf numFmtId="0" fontId="22" fillId="0" borderId="10" xfId="0" applyFont="1" applyBorder="1"/>
    <xf numFmtId="0" fontId="22" fillId="0" borderId="10" xfId="0" applyFont="1" applyBorder="1" applyAlignment="1">
      <alignment horizontal="center"/>
    </xf>
    <xf numFmtId="0" fontId="22" fillId="0" borderId="10" xfId="0" applyFont="1" applyBorder="1" applyAlignment="1">
      <alignment vertical="center"/>
    </xf>
    <xf numFmtId="0" fontId="22" fillId="0" borderId="26" xfId="0" applyFont="1" applyBorder="1"/>
    <xf numFmtId="0" fontId="9" fillId="3" borderId="10" xfId="7" applyBorder="1"/>
    <xf numFmtId="0" fontId="28" fillId="0" borderId="0" xfId="0" applyFont="1" applyAlignment="1">
      <alignment horizontal="left"/>
    </xf>
    <xf numFmtId="20" fontId="22" fillId="0" borderId="10" xfId="0" applyNumberFormat="1" applyFont="1" applyBorder="1"/>
    <xf numFmtId="0" fontId="22" fillId="0" borderId="11" xfId="0" applyFont="1" applyBorder="1"/>
    <xf numFmtId="0" fontId="9" fillId="3" borderId="11" xfId="7" applyBorder="1" applyAlignment="1">
      <alignment horizontal="center" vertical="center" wrapText="1"/>
    </xf>
    <xf numFmtId="0" fontId="9" fillId="3" borderId="11" xfId="7" applyBorder="1"/>
    <xf numFmtId="0" fontId="22" fillId="33" borderId="10" xfId="0" applyFont="1" applyFill="1" applyBorder="1" applyAlignment="1">
      <alignment horizontal="center" vertical="center" wrapText="1"/>
    </xf>
    <xf numFmtId="0" fontId="22" fillId="33" borderId="10" xfId="0" applyFont="1" applyFill="1" applyBorder="1" applyAlignment="1">
      <alignment wrapText="1"/>
    </xf>
    <xf numFmtId="0" fontId="22" fillId="33" borderId="26" xfId="0" applyFont="1" applyFill="1" applyBorder="1" applyAlignment="1">
      <alignment horizontal="center" vertical="center"/>
    </xf>
    <xf numFmtId="0" fontId="22" fillId="43" borderId="10" xfId="0" applyFont="1" applyFill="1" applyBorder="1" applyAlignment="1">
      <alignment horizontal="center" vertical="center" wrapText="1"/>
    </xf>
    <xf numFmtId="0" fontId="22" fillId="43" borderId="10" xfId="0" applyFont="1" applyFill="1" applyBorder="1" applyAlignment="1">
      <alignment horizontal="center" vertical="center"/>
    </xf>
    <xf numFmtId="0" fontId="30" fillId="43" borderId="11" xfId="7" applyFont="1" applyFill="1" applyBorder="1" applyAlignment="1">
      <alignment horizontal="center" vertical="center" wrapText="1"/>
    </xf>
    <xf numFmtId="0" fontId="30" fillId="33" borderId="11" xfId="7" applyFont="1" applyFill="1" applyBorder="1" applyAlignment="1">
      <alignment horizontal="center" vertical="center" wrapText="1"/>
    </xf>
    <xf numFmtId="0" fontId="22" fillId="43" borderId="16" xfId="0" applyFont="1" applyFill="1" applyBorder="1" applyAlignment="1">
      <alignment horizontal="center" vertical="center"/>
    </xf>
    <xf numFmtId="20" fontId="22" fillId="0" borderId="16" xfId="0" applyNumberFormat="1" applyFont="1" applyBorder="1"/>
    <xf numFmtId="0" fontId="22" fillId="0" borderId="16" xfId="0" applyFont="1" applyBorder="1" applyAlignment="1">
      <alignment horizontal="center" vertical="center"/>
    </xf>
    <xf numFmtId="0" fontId="22" fillId="43" borderId="33" xfId="0" applyFont="1" applyFill="1" applyBorder="1" applyAlignment="1">
      <alignment horizontal="center" vertical="center"/>
    </xf>
    <xf numFmtId="0" fontId="22" fillId="0" borderId="33" xfId="0" applyFont="1" applyBorder="1"/>
    <xf numFmtId="0" fontId="22" fillId="0" borderId="34" xfId="0" applyFont="1" applyBorder="1"/>
    <xf numFmtId="0" fontId="30" fillId="43" borderId="31" xfId="8" applyFont="1" applyFill="1" applyBorder="1"/>
    <xf numFmtId="0" fontId="30" fillId="43" borderId="18" xfId="8" applyFont="1" applyFill="1" applyBorder="1"/>
    <xf numFmtId="0" fontId="30" fillId="43" borderId="32" xfId="8" applyFont="1" applyFill="1" applyBorder="1"/>
    <xf numFmtId="0" fontId="25" fillId="7" borderId="13" xfId="13" applyFont="1" applyBorder="1"/>
    <xf numFmtId="0" fontId="25" fillId="7" borderId="14" xfId="13" applyFont="1" applyBorder="1"/>
    <xf numFmtId="0" fontId="25" fillId="7" borderId="15" xfId="13" applyFont="1" applyBorder="1"/>
    <xf numFmtId="0" fontId="25" fillId="7" borderId="14" xfId="13" applyFont="1" applyBorder="1" applyAlignment="1">
      <alignment horizontal="center"/>
    </xf>
    <xf numFmtId="0" fontId="22" fillId="0" borderId="16" xfId="0" applyFont="1" applyBorder="1" applyAlignment="1">
      <alignment horizontal="center" vertical="center" wrapText="1"/>
    </xf>
    <xf numFmtId="0" fontId="0" fillId="0" borderId="10" xfId="0" applyBorder="1" applyAlignment="1">
      <alignment horizontal="center" wrapText="1"/>
    </xf>
    <xf numFmtId="0" fontId="0" fillId="0" borderId="16" xfId="0" applyBorder="1" applyAlignment="1">
      <alignment horizontal="center" wrapText="1"/>
    </xf>
    <xf numFmtId="0" fontId="0" fillId="0" borderId="0" xfId="0" applyAlignment="1" applyProtection="1">
      <alignment horizontal="center" vertical="center" wrapText="1"/>
      <protection locked="0"/>
    </xf>
    <xf numFmtId="0" fontId="18" fillId="0" borderId="0" xfId="0" applyFont="1" applyAlignment="1">
      <alignment horizontal="left"/>
    </xf>
    <xf numFmtId="0" fontId="18" fillId="0" borderId="0" xfId="0" applyFont="1" applyAlignment="1">
      <alignment horizontal="center"/>
    </xf>
    <xf numFmtId="0" fontId="0" fillId="0" borderId="0" xfId="0" applyAlignment="1">
      <alignment horizontal="left"/>
    </xf>
    <xf numFmtId="49" fontId="0" fillId="0" borderId="0" xfId="0" applyNumberFormat="1"/>
    <xf numFmtId="2" fontId="0" fillId="0" borderId="0" xfId="0" applyNumberFormat="1"/>
    <xf numFmtId="0" fontId="26" fillId="0" borderId="0" xfId="0" applyFont="1"/>
    <xf numFmtId="0" fontId="49" fillId="0" borderId="10" xfId="0" applyFont="1" applyBorder="1" applyAlignment="1">
      <alignment horizontal="center" wrapText="1"/>
    </xf>
    <xf numFmtId="0" fontId="22" fillId="0" borderId="11" xfId="0" applyFont="1" applyBorder="1" applyAlignment="1">
      <alignment horizontal="center" vertical="center"/>
    </xf>
    <xf numFmtId="0" fontId="22" fillId="0" borderId="40" xfId="0" applyFont="1" applyBorder="1" applyAlignment="1">
      <alignment horizontal="center" vertical="center" wrapText="1"/>
    </xf>
    <xf numFmtId="0" fontId="0" fillId="0" borderId="42" xfId="0" applyBorder="1" applyAlignment="1">
      <alignment horizontal="center" wrapText="1"/>
    </xf>
    <xf numFmtId="0" fontId="22" fillId="0" borderId="42" xfId="0" applyFont="1" applyBorder="1" applyAlignment="1">
      <alignment horizontal="center" vertical="center" wrapText="1"/>
    </xf>
    <xf numFmtId="0" fontId="48" fillId="0" borderId="10" xfId="0" applyFont="1" applyBorder="1" applyAlignment="1">
      <alignment horizontal="center" textRotation="90"/>
    </xf>
    <xf numFmtId="0" fontId="22" fillId="0" borderId="0" xfId="0" applyFont="1" applyAlignment="1">
      <alignment horizontal="center" vertical="center"/>
    </xf>
    <xf numFmtId="0" fontId="0" fillId="0" borderId="0" xfId="0" pivotButton="1"/>
    <xf numFmtId="0" fontId="49" fillId="0" borderId="10" xfId="0" applyFont="1" applyBorder="1" applyAlignment="1">
      <alignment horizontal="center" vertical="center"/>
    </xf>
    <xf numFmtId="0" fontId="50" fillId="0" borderId="10" xfId="0" applyFont="1" applyBorder="1" applyAlignment="1">
      <alignment horizontal="center" wrapText="1"/>
    </xf>
    <xf numFmtId="0" fontId="0" fillId="37" borderId="41" xfId="0" applyFill="1" applyBorder="1" applyAlignment="1" applyProtection="1">
      <alignment horizontal="center" vertical="center" wrapText="1"/>
      <protection locked="0"/>
    </xf>
    <xf numFmtId="166" fontId="0" fillId="0" borderId="0" xfId="42" applyNumberFormat="1" applyFont="1"/>
    <xf numFmtId="166" fontId="0" fillId="0" borderId="0" xfId="0" applyNumberFormat="1"/>
    <xf numFmtId="0" fontId="0" fillId="37" borderId="40" xfId="0" applyFill="1" applyBorder="1" applyAlignment="1" applyProtection="1">
      <alignment horizontal="center" vertical="center" wrapText="1"/>
      <protection locked="0"/>
    </xf>
    <xf numFmtId="9" fontId="0" fillId="0" borderId="0" xfId="43" applyFont="1"/>
    <xf numFmtId="0" fontId="22" fillId="0" borderId="41" xfId="0" applyFont="1" applyBorder="1" applyAlignment="1">
      <alignment horizontal="center" vertical="center" wrapText="1"/>
    </xf>
    <xf numFmtId="10" fontId="22" fillId="0" borderId="10" xfId="0" applyNumberFormat="1" applyFont="1" applyBorder="1" applyAlignment="1">
      <alignment horizontal="center" vertical="center" wrapText="1"/>
    </xf>
    <xf numFmtId="10" fontId="22" fillId="0" borderId="41" xfId="0" applyNumberFormat="1" applyFont="1" applyBorder="1" applyAlignment="1">
      <alignment horizontal="center" vertical="center" wrapText="1"/>
    </xf>
    <xf numFmtId="0" fontId="15" fillId="46" borderId="44" xfId="13" applyFill="1" applyBorder="1" applyAlignment="1">
      <alignment horizontal="center" vertical="center" wrapText="1"/>
    </xf>
    <xf numFmtId="0" fontId="31" fillId="0" borderId="42" xfId="0" applyFont="1" applyBorder="1" applyAlignment="1">
      <alignment horizontal="center" vertical="center" wrapText="1"/>
    </xf>
    <xf numFmtId="9" fontId="18" fillId="0" borderId="45" xfId="43" applyFont="1" applyBorder="1" applyAlignment="1">
      <alignment horizontal="center" vertical="center" wrapText="1"/>
    </xf>
    <xf numFmtId="10" fontId="0" fillId="0" borderId="12" xfId="42" applyNumberFormat="1" applyFont="1" applyBorder="1" applyAlignment="1">
      <alignment horizontal="center" vertical="center" wrapText="1"/>
    </xf>
    <xf numFmtId="10" fontId="0" fillId="0" borderId="12" xfId="0" applyNumberFormat="1" applyBorder="1" applyAlignment="1">
      <alignment horizontal="center" vertical="center" wrapText="1"/>
    </xf>
    <xf numFmtId="0" fontId="0" fillId="36" borderId="0" xfId="0" applyFill="1" applyAlignment="1">
      <alignment horizontal="center" vertical="center"/>
    </xf>
    <xf numFmtId="10" fontId="0" fillId="0" borderId="43" xfId="0" applyNumberFormat="1" applyBorder="1" applyAlignment="1">
      <alignment horizontal="center" vertical="center" wrapText="1"/>
    </xf>
    <xf numFmtId="0" fontId="0" fillId="37" borderId="42" xfId="0" applyFill="1" applyBorder="1" applyAlignment="1" applyProtection="1">
      <alignment horizontal="center" vertical="center" wrapText="1"/>
      <protection locked="0"/>
    </xf>
    <xf numFmtId="0" fontId="49" fillId="0" borderId="10" xfId="0" applyFont="1" applyBorder="1" applyAlignment="1">
      <alignment horizontal="center" textRotation="90" wrapText="1"/>
    </xf>
    <xf numFmtId="0" fontId="0" fillId="0" borderId="42" xfId="0" applyBorder="1"/>
    <xf numFmtId="9" fontId="22" fillId="0" borderId="41" xfId="0" applyNumberFormat="1" applyFont="1" applyBorder="1" applyAlignment="1">
      <alignment horizontal="center" vertical="center" wrapText="1"/>
    </xf>
    <xf numFmtId="0" fontId="15" fillId="46" borderId="44" xfId="13" applyFill="1" applyBorder="1" applyAlignment="1">
      <alignment horizontal="center" wrapText="1"/>
    </xf>
    <xf numFmtId="10" fontId="0" fillId="0" borderId="0" xfId="0" applyNumberFormat="1" applyAlignment="1">
      <alignment wrapText="1"/>
    </xf>
    <xf numFmtId="9" fontId="0" fillId="0" borderId="0" xfId="0" applyNumberFormat="1" applyAlignment="1">
      <alignment wrapText="1"/>
    </xf>
    <xf numFmtId="0" fontId="49" fillId="0" borderId="0" xfId="0" applyFont="1" applyAlignment="1">
      <alignment wrapText="1"/>
    </xf>
    <xf numFmtId="0" fontId="18" fillId="0" borderId="0" xfId="0" applyFont="1" applyAlignment="1">
      <alignment wrapText="1"/>
    </xf>
    <xf numFmtId="0" fontId="0" fillId="39" borderId="0" xfId="0" applyFill="1"/>
    <xf numFmtId="16" fontId="0" fillId="37" borderId="35" xfId="0" applyNumberFormat="1" applyFill="1" applyBorder="1" applyProtection="1">
      <protection locked="0"/>
    </xf>
    <xf numFmtId="10" fontId="31" fillId="0" borderId="41" xfId="0" applyNumberFormat="1" applyFont="1" applyBorder="1" applyAlignment="1">
      <alignment horizontal="center" vertical="center" wrapText="1"/>
    </xf>
    <xf numFmtId="9" fontId="31" fillId="0" borderId="10" xfId="0" applyNumberFormat="1" applyFont="1" applyBorder="1" applyAlignment="1">
      <alignment horizontal="center" vertical="center" wrapText="1"/>
    </xf>
    <xf numFmtId="10" fontId="31" fillId="0" borderId="10" xfId="0" applyNumberFormat="1" applyFont="1" applyBorder="1" applyAlignment="1">
      <alignment horizontal="center" vertical="center" wrapText="1"/>
    </xf>
    <xf numFmtId="9" fontId="0" fillId="0" borderId="41" xfId="42" applyNumberFormat="1" applyFont="1" applyBorder="1" applyAlignment="1">
      <alignment horizontal="center" vertical="center" wrapText="1"/>
    </xf>
    <xf numFmtId="9" fontId="0" fillId="0" borderId="43" xfId="0" applyNumberFormat="1" applyBorder="1" applyAlignment="1">
      <alignment horizontal="center" vertical="center" wrapText="1"/>
    </xf>
    <xf numFmtId="9" fontId="0" fillId="0" borderId="45" xfId="43" applyFont="1" applyBorder="1" applyAlignment="1">
      <alignment horizontal="center" vertical="center" wrapText="1"/>
    </xf>
    <xf numFmtId="0" fontId="20" fillId="0" borderId="0" xfId="0" applyFont="1"/>
    <xf numFmtId="0" fontId="20" fillId="39" borderId="10" xfId="0" applyFont="1" applyFill="1" applyBorder="1"/>
    <xf numFmtId="0" fontId="20" fillId="0" borderId="0" xfId="0" applyFont="1" applyAlignment="1">
      <alignment horizontal="center" vertical="center" wrapText="1"/>
    </xf>
    <xf numFmtId="0" fontId="20" fillId="48" borderId="10" xfId="0" applyFont="1" applyFill="1" applyBorder="1" applyAlignment="1">
      <alignment horizontal="center" vertical="center" wrapText="1"/>
    </xf>
    <xf numFmtId="0" fontId="32" fillId="48" borderId="10" xfId="0" applyFont="1" applyFill="1" applyBorder="1" applyAlignment="1">
      <alignment horizontal="center" vertical="center" wrapText="1"/>
    </xf>
    <xf numFmtId="0" fontId="20" fillId="44" borderId="10" xfId="0" applyFont="1" applyFill="1" applyBorder="1" applyAlignment="1">
      <alignment horizontal="center" vertical="center"/>
    </xf>
    <xf numFmtId="0" fontId="32" fillId="48" borderId="42" xfId="0" applyFont="1" applyFill="1" applyBorder="1" applyAlignment="1">
      <alignment horizontal="center" vertical="center" wrapText="1"/>
    </xf>
    <xf numFmtId="0" fontId="32" fillId="48" borderId="41" xfId="0" applyFont="1" applyFill="1" applyBorder="1" applyAlignment="1">
      <alignment horizontal="center" vertical="center" wrapText="1"/>
    </xf>
    <xf numFmtId="0" fontId="20" fillId="39" borderId="42" xfId="0" applyFont="1" applyFill="1" applyBorder="1"/>
    <xf numFmtId="0" fontId="32" fillId="39" borderId="41" xfId="0" applyFont="1" applyFill="1" applyBorder="1" applyAlignment="1">
      <alignment horizontal="center" vertical="center"/>
    </xf>
    <xf numFmtId="14" fontId="32" fillId="48" borderId="47" xfId="0" applyNumberFormat="1" applyFont="1" applyFill="1" applyBorder="1" applyAlignment="1">
      <alignment horizontal="center" vertical="center" wrapText="1"/>
    </xf>
    <xf numFmtId="0" fontId="20" fillId="49" borderId="42" xfId="0" applyFont="1" applyFill="1" applyBorder="1" applyAlignment="1">
      <alignment horizontal="center" vertical="center"/>
    </xf>
    <xf numFmtId="0" fontId="32" fillId="49" borderId="10" xfId="0" applyFont="1" applyFill="1" applyBorder="1" applyAlignment="1">
      <alignment horizontal="center"/>
    </xf>
    <xf numFmtId="1" fontId="32" fillId="49" borderId="10" xfId="0" applyNumberFormat="1" applyFont="1" applyFill="1" applyBorder="1" applyAlignment="1">
      <alignment horizontal="center" vertical="center"/>
    </xf>
    <xf numFmtId="0" fontId="20" fillId="44" borderId="42" xfId="0" applyFont="1" applyFill="1" applyBorder="1" applyAlignment="1">
      <alignment horizontal="center" vertical="center"/>
    </xf>
    <xf numFmtId="164" fontId="32" fillId="44" borderId="41" xfId="0" applyNumberFormat="1" applyFont="1" applyFill="1" applyBorder="1" applyAlignment="1">
      <alignment horizontal="left" vertical="center"/>
    </xf>
    <xf numFmtId="0" fontId="20" fillId="48" borderId="11" xfId="0" applyFont="1" applyFill="1" applyBorder="1" applyAlignment="1">
      <alignment horizontal="center" vertical="center" wrapText="1"/>
    </xf>
    <xf numFmtId="0" fontId="0" fillId="0" borderId="12" xfId="0" applyBorder="1" applyAlignment="1">
      <alignment horizontal="center" vertical="center" wrapText="1"/>
    </xf>
    <xf numFmtId="0" fontId="0" fillId="37" borderId="24" xfId="0" applyFill="1" applyBorder="1" applyAlignment="1" applyProtection="1">
      <alignment horizontal="center" vertical="center"/>
      <protection locked="0"/>
    </xf>
    <xf numFmtId="0" fontId="0" fillId="37" borderId="48" xfId="0" applyFill="1" applyBorder="1" applyAlignment="1" applyProtection="1">
      <alignment horizontal="center" vertical="center" wrapText="1"/>
      <protection locked="0"/>
    </xf>
    <xf numFmtId="0" fontId="0" fillId="37" borderId="12" xfId="0" applyFill="1" applyBorder="1" applyAlignment="1" applyProtection="1">
      <alignment horizontal="center" vertical="center" wrapText="1"/>
      <protection locked="0"/>
    </xf>
    <xf numFmtId="0" fontId="0" fillId="0" borderId="23" xfId="0" applyBorder="1" applyAlignment="1">
      <alignment horizontal="center" vertical="center" wrapText="1"/>
    </xf>
    <xf numFmtId="0" fontId="0" fillId="37" borderId="45" xfId="0" applyFill="1" applyBorder="1" applyAlignment="1" applyProtection="1">
      <alignment horizontal="center" vertical="center" wrapText="1"/>
      <protection locked="0"/>
    </xf>
    <xf numFmtId="0" fontId="0" fillId="0" borderId="45" xfId="0" applyBorder="1" applyAlignment="1">
      <alignment horizontal="center" vertical="center" wrapText="1"/>
    </xf>
    <xf numFmtId="0" fontId="51" fillId="0" borderId="12" xfId="0" applyFont="1" applyBorder="1" applyAlignment="1">
      <alignment horizontal="center" vertical="center" wrapText="1"/>
    </xf>
    <xf numFmtId="0" fontId="0" fillId="0" borderId="0" xfId="0" applyAlignment="1" applyProtection="1">
      <alignment horizontal="center" vertical="center"/>
      <protection locked="0"/>
    </xf>
    <xf numFmtId="10" fontId="0" fillId="0" borderId="0" xfId="0" applyNumberFormat="1" applyAlignment="1">
      <alignment horizontal="center" vertical="center" wrapText="1"/>
    </xf>
    <xf numFmtId="0" fontId="49" fillId="0" borderId="0" xfId="0" applyFont="1" applyAlignment="1">
      <alignment horizontal="center" vertical="center" wrapText="1"/>
    </xf>
    <xf numFmtId="0" fontId="0" fillId="37" borderId="43" xfId="0" applyFill="1" applyBorder="1" applyAlignment="1" applyProtection="1">
      <alignment horizontal="center" vertical="center" wrapText="1"/>
      <protection locked="0"/>
    </xf>
    <xf numFmtId="0" fontId="0" fillId="0" borderId="45" xfId="0" applyBorder="1" applyAlignment="1">
      <alignment horizontal="center" vertical="center"/>
    </xf>
    <xf numFmtId="0" fontId="51" fillId="0" borderId="12" xfId="0" applyFont="1" applyBorder="1" applyAlignment="1">
      <alignment horizontal="center" wrapText="1"/>
    </xf>
    <xf numFmtId="0" fontId="18" fillId="0" borderId="0" xfId="0" applyFont="1" applyAlignment="1">
      <alignment horizontal="center" vertical="center" wrapText="1"/>
    </xf>
    <xf numFmtId="9" fontId="0" fillId="0" borderId="0" xfId="0" applyNumberFormat="1" applyAlignment="1">
      <alignment horizontal="center" vertical="center" wrapText="1"/>
    </xf>
    <xf numFmtId="0" fontId="0" fillId="0" borderId="0" xfId="0" applyAlignment="1">
      <alignment horizontal="left" vertical="center"/>
    </xf>
    <xf numFmtId="0" fontId="9" fillId="0" borderId="0" xfId="105" applyFill="1" applyAlignment="1">
      <alignment horizontal="center" vertical="center"/>
    </xf>
    <xf numFmtId="0" fontId="0" fillId="0" borderId="11" xfId="0" applyBorder="1"/>
    <xf numFmtId="10" fontId="0" fillId="0" borderId="10" xfId="0" applyNumberFormat="1" applyBorder="1"/>
    <xf numFmtId="0" fontId="54" fillId="52" borderId="10" xfId="0" applyFont="1" applyFill="1" applyBorder="1"/>
    <xf numFmtId="0" fontId="54" fillId="40" borderId="10" xfId="0" applyFont="1" applyFill="1" applyBorder="1"/>
    <xf numFmtId="0" fontId="54" fillId="41" borderId="10" xfId="0" applyFont="1" applyFill="1" applyBorder="1"/>
    <xf numFmtId="0" fontId="55" fillId="42" borderId="10" xfId="0" applyFont="1" applyFill="1" applyBorder="1"/>
    <xf numFmtId="0" fontId="54" fillId="0" borderId="0" xfId="0" applyFont="1"/>
    <xf numFmtId="0" fontId="56" fillId="53" borderId="26" xfId="0" applyFont="1" applyFill="1" applyBorder="1" applyAlignment="1">
      <alignment horizontal="center"/>
    </xf>
    <xf numFmtId="1" fontId="32" fillId="51" borderId="26" xfId="0" applyNumberFormat="1" applyFont="1" applyFill="1" applyBorder="1" applyAlignment="1">
      <alignment horizontal="center"/>
    </xf>
    <xf numFmtId="1" fontId="32" fillId="44" borderId="26" xfId="0" applyNumberFormat="1" applyFont="1" applyFill="1" applyBorder="1" applyAlignment="1">
      <alignment horizontal="center"/>
    </xf>
    <xf numFmtId="2" fontId="32" fillId="39" borderId="26" xfId="0" applyNumberFormat="1" applyFont="1" applyFill="1" applyBorder="1" applyAlignment="1">
      <alignment horizontal="center"/>
    </xf>
    <xf numFmtId="2" fontId="32" fillId="44" borderId="26" xfId="0" applyNumberFormat="1" applyFont="1" applyFill="1" applyBorder="1" applyAlignment="1">
      <alignment horizontal="center"/>
    </xf>
    <xf numFmtId="2" fontId="20" fillId="53" borderId="26" xfId="0" applyNumberFormat="1" applyFont="1" applyFill="1" applyBorder="1" applyAlignment="1">
      <alignment horizontal="center"/>
    </xf>
    <xf numFmtId="165" fontId="32" fillId="52" borderId="26" xfId="0" applyNumberFormat="1" applyFont="1" applyFill="1" applyBorder="1" applyAlignment="1">
      <alignment horizontal="center"/>
    </xf>
    <xf numFmtId="10" fontId="32" fillId="52" borderId="26" xfId="0" applyNumberFormat="1" applyFont="1" applyFill="1" applyBorder="1" applyAlignment="1">
      <alignment horizontal="center"/>
    </xf>
    <xf numFmtId="10" fontId="32" fillId="33" borderId="26" xfId="0" applyNumberFormat="1" applyFont="1" applyFill="1" applyBorder="1" applyAlignment="1">
      <alignment horizontal="center"/>
    </xf>
    <xf numFmtId="10" fontId="32" fillId="41" borderId="26" xfId="88" applyNumberFormat="1" applyFont="1" applyFill="1" applyBorder="1" applyAlignment="1">
      <alignment horizontal="center"/>
    </xf>
    <xf numFmtId="1" fontId="56" fillId="39" borderId="10" xfId="88" applyNumberFormat="1" applyFont="1" applyFill="1" applyBorder="1" applyAlignment="1">
      <alignment horizontal="center"/>
    </xf>
    <xf numFmtId="0" fontId="56" fillId="53" borderId="10" xfId="0" applyFont="1" applyFill="1" applyBorder="1" applyAlignment="1">
      <alignment horizontal="center"/>
    </xf>
    <xf numFmtId="1" fontId="32" fillId="51" borderId="10" xfId="0" applyNumberFormat="1" applyFont="1" applyFill="1" applyBorder="1" applyAlignment="1">
      <alignment horizontal="center"/>
    </xf>
    <xf numFmtId="1" fontId="32" fillId="44" borderId="10" xfId="0" applyNumberFormat="1" applyFont="1" applyFill="1" applyBorder="1" applyAlignment="1">
      <alignment horizontal="center"/>
    </xf>
    <xf numFmtId="2" fontId="32" fillId="39" borderId="10" xfId="0" applyNumberFormat="1" applyFont="1" applyFill="1" applyBorder="1" applyAlignment="1">
      <alignment horizontal="center"/>
    </xf>
    <xf numFmtId="2" fontId="32" fillId="44" borderId="10" xfId="0" applyNumberFormat="1" applyFont="1" applyFill="1" applyBorder="1" applyAlignment="1">
      <alignment horizontal="center"/>
    </xf>
    <xf numFmtId="2" fontId="20" fillId="53" borderId="10" xfId="0" applyNumberFormat="1" applyFont="1" applyFill="1" applyBorder="1" applyAlignment="1">
      <alignment horizontal="center"/>
    </xf>
    <xf numFmtId="165" fontId="32" fillId="52" borderId="10" xfId="0" applyNumberFormat="1" applyFont="1" applyFill="1" applyBorder="1" applyAlignment="1">
      <alignment horizontal="center"/>
    </xf>
    <xf numFmtId="10" fontId="32" fillId="52" borderId="10" xfId="0" applyNumberFormat="1" applyFont="1" applyFill="1" applyBorder="1" applyAlignment="1">
      <alignment horizontal="center"/>
    </xf>
    <xf numFmtId="10" fontId="32" fillId="33" borderId="10" xfId="0" applyNumberFormat="1" applyFont="1" applyFill="1" applyBorder="1" applyAlignment="1">
      <alignment horizontal="center"/>
    </xf>
    <xf numFmtId="10" fontId="32" fillId="41" borderId="10" xfId="88" applyNumberFormat="1" applyFont="1" applyFill="1" applyBorder="1" applyAlignment="1">
      <alignment horizontal="center"/>
    </xf>
    <xf numFmtId="0" fontId="52" fillId="50" borderId="50" xfId="0" applyFont="1" applyFill="1" applyBorder="1" applyAlignment="1">
      <alignment horizontal="center"/>
    </xf>
    <xf numFmtId="0" fontId="52" fillId="50" borderId="50" xfId="106" applyFont="1" applyFill="1" applyBorder="1" applyAlignment="1">
      <alignment horizontal="center"/>
    </xf>
    <xf numFmtId="0" fontId="52" fillId="50" borderId="51" xfId="0" applyFont="1" applyFill="1" applyBorder="1" applyAlignment="1">
      <alignment horizontal="center"/>
    </xf>
    <xf numFmtId="1" fontId="56" fillId="39" borderId="26" xfId="88" applyNumberFormat="1" applyFont="1" applyFill="1" applyBorder="1" applyAlignment="1">
      <alignment horizontal="center"/>
    </xf>
    <xf numFmtId="10" fontId="53" fillId="42" borderId="27" xfId="88" applyNumberFormat="1" applyFont="1" applyFill="1" applyBorder="1" applyAlignment="1">
      <alignment horizontal="center"/>
    </xf>
    <xf numFmtId="10" fontId="53" fillId="42" borderId="53" xfId="88" applyNumberFormat="1" applyFont="1" applyFill="1" applyBorder="1" applyAlignment="1">
      <alignment horizontal="center"/>
    </xf>
    <xf numFmtId="0" fontId="57" fillId="39" borderId="25" xfId="0" applyFont="1" applyFill="1" applyBorder="1" applyAlignment="1">
      <alignment horizontal="left"/>
    </xf>
    <xf numFmtId="0" fontId="57" fillId="53" borderId="25" xfId="0" applyFont="1" applyFill="1" applyBorder="1" applyAlignment="1">
      <alignment horizontal="left"/>
    </xf>
    <xf numFmtId="0" fontId="54" fillId="51" borderId="25" xfId="0" applyFont="1" applyFill="1" applyBorder="1"/>
    <xf numFmtId="0" fontId="54" fillId="44" borderId="25" xfId="44" applyFont="1" applyFill="1" applyBorder="1"/>
    <xf numFmtId="0" fontId="54" fillId="39" borderId="25" xfId="0" applyFont="1" applyFill="1" applyBorder="1"/>
    <xf numFmtId="0" fontId="54" fillId="44" borderId="25" xfId="0" applyFont="1" applyFill="1" applyBorder="1"/>
    <xf numFmtId="0" fontId="52" fillId="53" borderId="25" xfId="0" applyFont="1" applyFill="1" applyBorder="1"/>
    <xf numFmtId="0" fontId="54" fillId="52" borderId="25" xfId="0" applyFont="1" applyFill="1" applyBorder="1"/>
    <xf numFmtId="0" fontId="54" fillId="40" borderId="25" xfId="0" applyFont="1" applyFill="1" applyBorder="1"/>
    <xf numFmtId="0" fontId="54" fillId="41" borderId="25" xfId="0" applyFont="1" applyFill="1" applyBorder="1"/>
    <xf numFmtId="0" fontId="55" fillId="42" borderId="52" xfId="0" applyFont="1" applyFill="1" applyBorder="1"/>
    <xf numFmtId="0" fontId="52" fillId="50" borderId="49" xfId="0" applyFont="1" applyFill="1" applyBorder="1" applyAlignment="1">
      <alignment horizontal="left"/>
    </xf>
    <xf numFmtId="43" fontId="0" fillId="0" borderId="0" xfId="0" applyNumberFormat="1"/>
    <xf numFmtId="0" fontId="8" fillId="0" borderId="0" xfId="6" applyFill="1" applyAlignment="1">
      <alignment horizontal="left" vertical="center"/>
    </xf>
    <xf numFmtId="0" fontId="0" fillId="0" borderId="10" xfId="0" applyBorder="1" applyAlignment="1">
      <alignment horizontal="left" vertical="center"/>
    </xf>
    <xf numFmtId="0" fontId="0" fillId="37" borderId="12" xfId="0" applyFill="1" applyBorder="1" applyAlignment="1" applyProtection="1">
      <alignment horizontal="left" vertical="center" wrapText="1"/>
      <protection locked="0"/>
    </xf>
    <xf numFmtId="0" fontId="52" fillId="0" borderId="0" xfId="0" applyFont="1"/>
    <xf numFmtId="0" fontId="52" fillId="35" borderId="54" xfId="0" applyFont="1" applyFill="1" applyBorder="1" applyAlignment="1">
      <alignment horizontal="center" vertical="center"/>
    </xf>
    <xf numFmtId="15" fontId="20" fillId="39" borderId="10" xfId="0" applyNumberFormat="1" applyFont="1" applyFill="1" applyBorder="1" applyAlignment="1" applyProtection="1">
      <alignment horizontal="center"/>
      <protection locked="0"/>
    </xf>
    <xf numFmtId="0" fontId="20" fillId="0" borderId="10" xfId="0" applyFont="1" applyBorder="1" applyAlignment="1">
      <alignment horizontal="center"/>
    </xf>
    <xf numFmtId="0" fontId="20" fillId="0" borderId="10" xfId="0" applyFont="1" applyBorder="1" applyAlignment="1">
      <alignment horizontal="center" vertical="center"/>
    </xf>
    <xf numFmtId="1" fontId="20" fillId="0" borderId="10" xfId="0" applyNumberFormat="1" applyFont="1" applyBorder="1" applyAlignment="1">
      <alignment horizontal="center"/>
    </xf>
    <xf numFmtId="0" fontId="20" fillId="0" borderId="12" xfId="0" applyFont="1" applyBorder="1" applyAlignment="1">
      <alignment horizontal="center" vertical="center"/>
    </xf>
    <xf numFmtId="0" fontId="53" fillId="55" borderId="10" xfId="0" applyFont="1" applyFill="1" applyBorder="1" applyAlignment="1">
      <alignment horizontal="center"/>
    </xf>
    <xf numFmtId="3" fontId="53" fillId="55" borderId="10" xfId="0" applyNumberFormat="1" applyFont="1" applyFill="1" applyBorder="1" applyAlignment="1">
      <alignment horizontal="center"/>
    </xf>
    <xf numFmtId="3" fontId="53" fillId="55" borderId="10" xfId="0" applyNumberFormat="1" applyFont="1" applyFill="1" applyBorder="1" applyAlignment="1">
      <alignment horizontal="center" vertical="center"/>
    </xf>
    <xf numFmtId="1" fontId="20" fillId="0" borderId="12" xfId="0" applyNumberFormat="1" applyFont="1" applyBorder="1" applyAlignment="1">
      <alignment horizontal="center"/>
    </xf>
    <xf numFmtId="0" fontId="52" fillId="35" borderId="18" xfId="0" applyFont="1" applyFill="1" applyBorder="1" applyAlignment="1">
      <alignment horizontal="center" vertical="center" wrapText="1"/>
    </xf>
    <xf numFmtId="0" fontId="15" fillId="7" borderId="7" xfId="106"/>
    <xf numFmtId="0" fontId="58" fillId="0" borderId="10" xfId="0" applyFont="1" applyBorder="1" applyAlignment="1">
      <alignment horizontal="center"/>
    </xf>
    <xf numFmtId="0" fontId="58" fillId="0" borderId="10" xfId="0" applyFont="1" applyBorder="1" applyAlignment="1">
      <alignment horizontal="center" vertical="center"/>
    </xf>
    <xf numFmtId="0" fontId="8" fillId="39" borderId="0" xfId="6" applyFill="1" applyAlignment="1">
      <alignment horizontal="center"/>
    </xf>
    <xf numFmtId="0" fontId="0" fillId="37" borderId="17" xfId="0" applyFill="1" applyBorder="1" applyAlignment="1" applyProtection="1">
      <alignment horizontal="center"/>
      <protection locked="0"/>
    </xf>
    <xf numFmtId="0" fontId="0" fillId="39" borderId="0" xfId="0" applyFill="1" applyAlignment="1">
      <alignment horizontal="center"/>
    </xf>
    <xf numFmtId="0" fontId="0" fillId="0" borderId="10" xfId="0" applyBorder="1" applyAlignment="1">
      <alignment horizontal="center"/>
    </xf>
    <xf numFmtId="14" fontId="0" fillId="0" borderId="0" xfId="0" applyNumberFormat="1" applyAlignment="1">
      <alignment horizontal="left"/>
    </xf>
    <xf numFmtId="0" fontId="58" fillId="0" borderId="12" xfId="0" applyFont="1" applyBorder="1" applyAlignment="1">
      <alignment horizontal="center"/>
    </xf>
    <xf numFmtId="0" fontId="58" fillId="0" borderId="12" xfId="0" applyFont="1" applyBorder="1" applyAlignment="1">
      <alignment horizontal="center" vertical="center"/>
    </xf>
    <xf numFmtId="0" fontId="59" fillId="39" borderId="10" xfId="0" applyFont="1" applyFill="1" applyBorder="1" applyAlignment="1">
      <alignment horizontal="center" vertical="center"/>
    </xf>
    <xf numFmtId="10" fontId="0" fillId="39" borderId="10" xfId="0" applyNumberFormat="1" applyFill="1" applyBorder="1" applyAlignment="1">
      <alignment horizontal="center" vertical="center"/>
    </xf>
    <xf numFmtId="0" fontId="60" fillId="39" borderId="10" xfId="0" applyFont="1" applyFill="1" applyBorder="1" applyAlignment="1">
      <alignment horizontal="center" vertical="center"/>
    </xf>
    <xf numFmtId="10" fontId="61" fillId="39" borderId="10" xfId="0" applyNumberFormat="1" applyFont="1" applyFill="1" applyBorder="1" applyAlignment="1">
      <alignment horizontal="center" vertical="center"/>
    </xf>
    <xf numFmtId="0" fontId="0" fillId="39" borderId="10" xfId="0" applyFill="1" applyBorder="1" applyAlignment="1">
      <alignment horizontal="center" vertical="center"/>
    </xf>
    <xf numFmtId="10" fontId="19" fillId="39" borderId="10" xfId="0" applyNumberFormat="1" applyFont="1" applyFill="1" applyBorder="1" applyAlignment="1">
      <alignment horizontal="center" vertical="center"/>
    </xf>
    <xf numFmtId="0" fontId="62" fillId="0" borderId="10" xfId="0" applyFont="1" applyBorder="1" applyAlignment="1">
      <alignment horizontal="center"/>
    </xf>
    <xf numFmtId="0" fontId="62" fillId="0" borderId="10" xfId="0" applyFont="1" applyBorder="1" applyAlignment="1">
      <alignment horizontal="center" vertical="center"/>
    </xf>
    <xf numFmtId="0" fontId="62" fillId="39" borderId="10" xfId="0" applyFont="1" applyFill="1" applyBorder="1" applyAlignment="1">
      <alignment horizontal="center" vertical="center"/>
    </xf>
    <xf numFmtId="1" fontId="62" fillId="39" borderId="10" xfId="0" applyNumberFormat="1" applyFont="1" applyFill="1" applyBorder="1" applyAlignment="1">
      <alignment horizontal="center"/>
    </xf>
    <xf numFmtId="0" fontId="63" fillId="0" borderId="0" xfId="0" applyFont="1"/>
    <xf numFmtId="15" fontId="62" fillId="39" borderId="12" xfId="0" applyNumberFormat="1" applyFont="1" applyFill="1" applyBorder="1" applyAlignment="1" applyProtection="1">
      <alignment horizontal="center"/>
      <protection locked="0"/>
    </xf>
    <xf numFmtId="0" fontId="62" fillId="0" borderId="12" xfId="0" applyFont="1" applyBorder="1" applyAlignment="1">
      <alignment horizontal="center"/>
    </xf>
    <xf numFmtId="0" fontId="62" fillId="0" borderId="12" xfId="0" applyFont="1" applyBorder="1" applyAlignment="1">
      <alignment horizontal="center" vertical="center"/>
    </xf>
    <xf numFmtId="10" fontId="0" fillId="0" borderId="10" xfId="0" applyNumberFormat="1" applyBorder="1" applyAlignment="1">
      <alignment horizontal="center" wrapText="1"/>
    </xf>
    <xf numFmtId="9" fontId="0" fillId="0" borderId="10" xfId="0" applyNumberFormat="1" applyBorder="1" applyAlignment="1">
      <alignment horizontal="center" vertical="center" wrapText="1"/>
    </xf>
    <xf numFmtId="10" fontId="0" fillId="0" borderId="10" xfId="42" applyNumberFormat="1" applyFont="1" applyBorder="1" applyAlignment="1">
      <alignment horizontal="center" vertical="center" wrapText="1"/>
    </xf>
    <xf numFmtId="10" fontId="18" fillId="0" borderId="10" xfId="43" applyNumberFormat="1" applyFont="1" applyBorder="1" applyAlignment="1">
      <alignment horizontal="center" vertical="center" wrapText="1"/>
    </xf>
    <xf numFmtId="0" fontId="64" fillId="0" borderId="10" xfId="0" applyFont="1" applyBorder="1" applyAlignment="1">
      <alignment horizontal="center"/>
    </xf>
    <xf numFmtId="0" fontId="64" fillId="0" borderId="10" xfId="0" applyFont="1" applyBorder="1" applyAlignment="1">
      <alignment horizontal="center" vertical="center"/>
    </xf>
    <xf numFmtId="16" fontId="0" fillId="39" borderId="10" xfId="0" applyNumberFormat="1" applyFill="1" applyBorder="1" applyAlignment="1">
      <alignment horizontal="center" vertical="center"/>
    </xf>
    <xf numFmtId="16" fontId="30" fillId="39" borderId="10" xfId="0" applyNumberFormat="1" applyFont="1" applyFill="1" applyBorder="1" applyAlignment="1">
      <alignment horizontal="center" vertical="center"/>
    </xf>
    <xf numFmtId="14" fontId="0" fillId="0" borderId="0" xfId="0" applyNumberFormat="1"/>
    <xf numFmtId="16" fontId="0" fillId="37" borderId="24" xfId="0" applyNumberFormat="1" applyFill="1" applyBorder="1" applyAlignment="1" applyProtection="1">
      <alignment horizontal="center" vertical="center"/>
      <protection locked="0"/>
    </xf>
    <xf numFmtId="1" fontId="52" fillId="0" borderId="10" xfId="0" applyNumberFormat="1" applyFont="1" applyBorder="1" applyAlignment="1" applyProtection="1">
      <alignment horizontal="center" vertical="center" wrapText="1"/>
      <protection locked="0"/>
    </xf>
    <xf numFmtId="0" fontId="65" fillId="0" borderId="10" xfId="0" applyFont="1" applyBorder="1" applyAlignment="1">
      <alignment horizontal="center" vertical="center"/>
    </xf>
    <xf numFmtId="0" fontId="65" fillId="36" borderId="10" xfId="0" applyFont="1" applyFill="1" applyBorder="1" applyAlignment="1">
      <alignment horizontal="center" vertical="center"/>
    </xf>
    <xf numFmtId="167" fontId="0" fillId="39" borderId="10" xfId="43" applyNumberFormat="1" applyFont="1" applyFill="1" applyBorder="1" applyAlignment="1">
      <alignment horizontal="center"/>
    </xf>
    <xf numFmtId="0" fontId="54" fillId="44" borderId="10" xfId="0" applyFont="1" applyFill="1" applyBorder="1" applyAlignment="1">
      <alignment horizontal="center"/>
    </xf>
    <xf numFmtId="0" fontId="65" fillId="44" borderId="10" xfId="0" applyFont="1" applyFill="1" applyBorder="1" applyAlignment="1">
      <alignment horizontal="center" vertical="center"/>
    </xf>
    <xf numFmtId="1" fontId="66" fillId="56" borderId="10" xfId="0" applyNumberFormat="1" applyFont="1" applyFill="1" applyBorder="1" applyAlignment="1">
      <alignment horizontal="center" vertical="center"/>
    </xf>
    <xf numFmtId="167" fontId="66" fillId="56" borderId="10" xfId="0" applyNumberFormat="1" applyFont="1" applyFill="1" applyBorder="1" applyAlignment="1">
      <alignment horizontal="center" vertical="center"/>
    </xf>
    <xf numFmtId="0" fontId="66" fillId="56" borderId="10" xfId="0" applyFont="1" applyFill="1" applyBorder="1" applyAlignment="1">
      <alignment horizontal="center" vertical="center"/>
    </xf>
    <xf numFmtId="168" fontId="0" fillId="0" borderId="0" xfId="0" applyNumberFormat="1"/>
    <xf numFmtId="1" fontId="0" fillId="0" borderId="0" xfId="0" applyNumberFormat="1"/>
    <xf numFmtId="49" fontId="22" fillId="0" borderId="10" xfId="0" applyNumberFormat="1" applyFont="1" applyBorder="1" applyAlignment="1">
      <alignment horizontal="center" vertical="center" wrapText="1"/>
    </xf>
    <xf numFmtId="49" fontId="0" fillId="0" borderId="0" xfId="0" applyNumberFormat="1" applyAlignment="1">
      <alignment horizontal="center"/>
    </xf>
    <xf numFmtId="49" fontId="29" fillId="44" borderId="47" xfId="0" applyNumberFormat="1" applyFont="1" applyFill="1" applyBorder="1" applyAlignment="1">
      <alignment horizontal="center"/>
    </xf>
    <xf numFmtId="0" fontId="48" fillId="0" borderId="10" xfId="0" applyFont="1" applyBorder="1" applyAlignment="1">
      <alignment horizontal="center" textRotation="90" wrapText="1"/>
    </xf>
    <xf numFmtId="0" fontId="48" fillId="0" borderId="0" xfId="0" applyFont="1" applyAlignment="1">
      <alignment horizontal="center" textRotation="90"/>
    </xf>
    <xf numFmtId="1" fontId="56" fillId="53" borderId="10" xfId="0" applyNumberFormat="1" applyFont="1" applyFill="1" applyBorder="1" applyAlignment="1">
      <alignment horizontal="center"/>
    </xf>
    <xf numFmtId="0" fontId="20" fillId="39" borderId="0" xfId="0" applyFont="1" applyFill="1"/>
    <xf numFmtId="0" fontId="22" fillId="0" borderId="0" xfId="0" applyFont="1" applyAlignment="1">
      <alignment horizontal="center" vertical="center" wrapText="1"/>
    </xf>
    <xf numFmtId="0" fontId="0" fillId="37" borderId="10" xfId="0" applyFill="1" applyBorder="1" applyAlignment="1">
      <alignment horizontal="center" wrapText="1"/>
    </xf>
    <xf numFmtId="2" fontId="70" fillId="33" borderId="56" xfId="103" applyNumberFormat="1" applyFont="1" applyFill="1" applyBorder="1" applyAlignment="1">
      <alignment horizontal="center" vertical="center"/>
    </xf>
    <xf numFmtId="2" fontId="71" fillId="33" borderId="57" xfId="103" applyNumberFormat="1" applyFont="1" applyFill="1" applyBorder="1" applyAlignment="1">
      <alignment horizontal="center" vertical="center"/>
    </xf>
    <xf numFmtId="2" fontId="67" fillId="0" borderId="0" xfId="0" applyNumberFormat="1" applyFont="1"/>
    <xf numFmtId="0" fontId="0" fillId="58" borderId="10" xfId="0" applyFill="1" applyBorder="1" applyAlignment="1">
      <alignment horizontal="center" vertical="center" wrapText="1"/>
    </xf>
    <xf numFmtId="0" fontId="72" fillId="46" borderId="10" xfId="0" applyFont="1" applyFill="1" applyBorder="1" applyAlignment="1">
      <alignment horizontal="center" textRotation="90"/>
    </xf>
    <xf numFmtId="0" fontId="15" fillId="46" borderId="0" xfId="13" applyFill="1" applyBorder="1" applyAlignment="1">
      <alignment horizontal="center" wrapText="1"/>
    </xf>
    <xf numFmtId="10" fontId="0" fillId="0" borderId="11" xfId="42" applyNumberFormat="1" applyFont="1" applyBorder="1" applyAlignment="1">
      <alignment horizontal="center" vertical="center" wrapText="1"/>
    </xf>
    <xf numFmtId="9" fontId="0" fillId="0" borderId="10" xfId="43" applyFont="1" applyBorder="1" applyAlignment="1">
      <alignment horizontal="center" vertical="center" wrapText="1"/>
    </xf>
    <xf numFmtId="1" fontId="0" fillId="0" borderId="10" xfId="43" applyNumberFormat="1" applyFont="1" applyBorder="1" applyAlignment="1">
      <alignment horizontal="center" vertical="center" wrapText="1"/>
    </xf>
    <xf numFmtId="0" fontId="32" fillId="33" borderId="41" xfId="0" applyFont="1" applyFill="1" applyBorder="1" applyAlignment="1">
      <alignment horizontal="center" vertical="center"/>
    </xf>
    <xf numFmtId="0" fontId="3" fillId="0" borderId="10" xfId="0" applyFont="1" applyBorder="1" applyAlignment="1">
      <alignment horizontal="center" vertical="center" wrapText="1"/>
    </xf>
    <xf numFmtId="0" fontId="3" fillId="0" borderId="10" xfId="0" applyFont="1" applyBorder="1" applyAlignment="1">
      <alignment horizontal="center" vertical="center" textRotation="90"/>
    </xf>
    <xf numFmtId="0" fontId="3" fillId="57" borderId="10" xfId="0" applyFont="1" applyFill="1" applyBorder="1" applyAlignment="1">
      <alignment horizontal="center" vertical="center" textRotation="90"/>
    </xf>
    <xf numFmtId="0" fontId="3" fillId="0" borderId="10" xfId="0" applyFont="1" applyBorder="1" applyAlignment="1">
      <alignment horizontal="center" textRotation="90"/>
    </xf>
    <xf numFmtId="0" fontId="3" fillId="0" borderId="10" xfId="0" applyFont="1" applyBorder="1" applyAlignment="1">
      <alignment horizontal="center" wrapText="1"/>
    </xf>
    <xf numFmtId="0" fontId="3" fillId="0" borderId="0" xfId="0" applyFont="1" applyAlignment="1">
      <alignment wrapText="1"/>
    </xf>
    <xf numFmtId="0" fontId="52" fillId="0" borderId="10" xfId="0" applyFont="1" applyBorder="1" applyAlignment="1">
      <alignment horizontal="center" wrapText="1"/>
    </xf>
    <xf numFmtId="0" fontId="52" fillId="0" borderId="0" xfId="0" applyFont="1" applyAlignment="1">
      <alignment wrapText="1"/>
    </xf>
    <xf numFmtId="0" fontId="32" fillId="33" borderId="10" xfId="0" applyFont="1" applyFill="1" applyBorder="1" applyAlignment="1">
      <alignment horizontal="center" vertical="center" wrapText="1"/>
    </xf>
    <xf numFmtId="0" fontId="3" fillId="57" borderId="10" xfId="0" applyFont="1" applyFill="1" applyBorder="1" applyAlignment="1">
      <alignment horizontal="center" vertical="center"/>
    </xf>
    <xf numFmtId="49" fontId="73" fillId="33" borderId="0" xfId="0" applyNumberFormat="1" applyFont="1" applyFill="1" applyAlignment="1">
      <alignment horizontal="center"/>
    </xf>
    <xf numFmtId="16" fontId="0" fillId="39" borderId="10" xfId="0" applyNumberFormat="1" applyFill="1" applyBorder="1" applyProtection="1">
      <protection locked="0"/>
    </xf>
    <xf numFmtId="9" fontId="0" fillId="0" borderId="10" xfId="43" applyFont="1" applyBorder="1" applyAlignment="1">
      <alignment horizontal="center"/>
    </xf>
    <xf numFmtId="1" fontId="0" fillId="0" borderId="10" xfId="0" applyNumberFormat="1" applyBorder="1" applyAlignment="1">
      <alignment horizontal="center"/>
    </xf>
    <xf numFmtId="0" fontId="52" fillId="0" borderId="18" xfId="0" applyFont="1" applyBorder="1"/>
    <xf numFmtId="0" fontId="53" fillId="55" borderId="12" xfId="0" applyFont="1" applyFill="1" applyBorder="1"/>
    <xf numFmtId="0" fontId="52" fillId="35" borderId="35" xfId="0" applyFont="1" applyFill="1" applyBorder="1" applyAlignment="1">
      <alignment horizontal="center" wrapText="1"/>
    </xf>
    <xf numFmtId="0" fontId="52" fillId="35" borderId="18" xfId="0" applyFont="1" applyFill="1" applyBorder="1" applyAlignment="1">
      <alignment horizontal="center" wrapText="1"/>
    </xf>
    <xf numFmtId="20" fontId="22" fillId="0" borderId="10" xfId="0" applyNumberFormat="1" applyFont="1" applyBorder="1" applyAlignment="1">
      <alignment horizontal="center"/>
    </xf>
    <xf numFmtId="0" fontId="0" fillId="59" borderId="10" xfId="0" applyFill="1" applyBorder="1" applyAlignment="1">
      <alignment horizontal="center"/>
    </xf>
    <xf numFmtId="165" fontId="32" fillId="49" borderId="10" xfId="0" applyNumberFormat="1" applyFont="1" applyFill="1" applyBorder="1" applyAlignment="1">
      <alignment horizontal="center" vertical="center"/>
    </xf>
    <xf numFmtId="0" fontId="75" fillId="39" borderId="59" xfId="0" applyFont="1" applyFill="1" applyBorder="1" applyAlignment="1">
      <alignment horizontal="center" vertical="center" textRotation="90" wrapText="1"/>
    </xf>
    <xf numFmtId="9" fontId="0" fillId="0" borderId="60" xfId="43" applyFont="1" applyBorder="1"/>
    <xf numFmtId="0" fontId="0" fillId="0" borderId="61" xfId="0" applyBorder="1"/>
    <xf numFmtId="0" fontId="0" fillId="0" borderId="60" xfId="0" applyBorder="1"/>
    <xf numFmtId="16" fontId="0" fillId="37" borderId="0" xfId="0" applyNumberFormat="1" applyFill="1" applyProtection="1">
      <protection locked="0"/>
    </xf>
    <xf numFmtId="0" fontId="0" fillId="37" borderId="0" xfId="0" applyFill="1" applyAlignment="1" applyProtection="1">
      <alignment horizontal="center" vertical="center" wrapText="1"/>
      <protection locked="0"/>
    </xf>
    <xf numFmtId="0" fontId="0" fillId="0" borderId="0" xfId="0" applyAlignment="1">
      <alignment horizontal="center" wrapText="1"/>
    </xf>
    <xf numFmtId="0" fontId="74" fillId="0" borderId="10" xfId="0" applyFont="1" applyBorder="1" applyAlignment="1">
      <alignment horizontal="center" textRotation="90"/>
    </xf>
    <xf numFmtId="0" fontId="75" fillId="60" borderId="58" xfId="0" applyFont="1" applyFill="1" applyBorder="1" applyAlignment="1">
      <alignment horizontal="center" vertical="center" textRotation="90" wrapText="1"/>
    </xf>
    <xf numFmtId="16" fontId="0" fillId="44" borderId="10" xfId="0" applyNumberFormat="1" applyFill="1" applyBorder="1" applyAlignment="1" applyProtection="1">
      <alignment horizontal="center"/>
      <protection locked="0"/>
    </xf>
    <xf numFmtId="49" fontId="76" fillId="33" borderId="0" xfId="0" applyNumberFormat="1" applyFont="1" applyFill="1" applyAlignment="1">
      <alignment horizontal="center"/>
    </xf>
    <xf numFmtId="49" fontId="77" fillId="33" borderId="0" xfId="0" applyNumberFormat="1" applyFont="1" applyFill="1" applyAlignment="1">
      <alignment horizontal="center"/>
    </xf>
    <xf numFmtId="0" fontId="16" fillId="37" borderId="10" xfId="0" applyFont="1" applyFill="1" applyBorder="1" applyAlignment="1" applyProtection="1">
      <alignment horizontal="center" vertical="center" wrapText="1"/>
      <protection locked="0"/>
    </xf>
    <xf numFmtId="0" fontId="22" fillId="0" borderId="10" xfId="0" applyFont="1" applyBorder="1" applyAlignment="1">
      <alignment horizontal="right" vertical="center" wrapText="1"/>
    </xf>
    <xf numFmtId="0" fontId="0" fillId="0" borderId="0" xfId="0" applyAlignment="1">
      <alignment horizontal="right"/>
    </xf>
    <xf numFmtId="49" fontId="0" fillId="33" borderId="0" xfId="0" applyNumberFormat="1" applyFill="1" applyAlignment="1">
      <alignment horizontal="center"/>
    </xf>
    <xf numFmtId="16" fontId="0" fillId="44" borderId="11" xfId="0" applyNumberFormat="1" applyFill="1" applyBorder="1" applyAlignment="1" applyProtection="1">
      <alignment horizontal="center"/>
      <protection locked="0"/>
    </xf>
    <xf numFmtId="1" fontId="56" fillId="39" borderId="11" xfId="88" applyNumberFormat="1" applyFont="1" applyFill="1" applyBorder="1" applyAlignment="1">
      <alignment horizontal="center"/>
    </xf>
    <xf numFmtId="0" fontId="56" fillId="53" borderId="11" xfId="0" applyFont="1" applyFill="1" applyBorder="1" applyAlignment="1">
      <alignment horizontal="center"/>
    </xf>
    <xf numFmtId="1" fontId="32" fillId="51" borderId="11" xfId="0" applyNumberFormat="1" applyFont="1" applyFill="1" applyBorder="1" applyAlignment="1">
      <alignment horizontal="center"/>
    </xf>
    <xf numFmtId="2" fontId="32" fillId="44" borderId="11" xfId="0" applyNumberFormat="1" applyFont="1" applyFill="1" applyBorder="1" applyAlignment="1">
      <alignment horizontal="center"/>
    </xf>
    <xf numFmtId="2" fontId="32" fillId="39" borderId="11" xfId="0" applyNumberFormat="1" applyFont="1" applyFill="1" applyBorder="1" applyAlignment="1">
      <alignment horizontal="center"/>
    </xf>
    <xf numFmtId="2" fontId="20" fillId="53" borderId="11" xfId="0" applyNumberFormat="1" applyFont="1" applyFill="1" applyBorder="1" applyAlignment="1">
      <alignment horizontal="center"/>
    </xf>
    <xf numFmtId="165" fontId="32" fillId="52" borderId="11" xfId="0" applyNumberFormat="1" applyFont="1" applyFill="1" applyBorder="1" applyAlignment="1">
      <alignment horizontal="center"/>
    </xf>
    <xf numFmtId="10" fontId="32" fillId="52" borderId="11" xfId="0" applyNumberFormat="1" applyFont="1" applyFill="1" applyBorder="1" applyAlignment="1">
      <alignment horizontal="center"/>
    </xf>
    <xf numFmtId="10" fontId="32" fillId="33" borderId="11" xfId="0" applyNumberFormat="1" applyFont="1" applyFill="1" applyBorder="1" applyAlignment="1">
      <alignment horizontal="center"/>
    </xf>
    <xf numFmtId="10" fontId="32" fillId="41" borderId="11" xfId="88" applyNumberFormat="1" applyFont="1" applyFill="1" applyBorder="1" applyAlignment="1">
      <alignment horizontal="center"/>
    </xf>
    <xf numFmtId="10" fontId="53" fillId="42" borderId="64" xfId="88" applyNumberFormat="1" applyFont="1" applyFill="1" applyBorder="1" applyAlignment="1">
      <alignment horizontal="center"/>
    </xf>
    <xf numFmtId="0" fontId="52" fillId="50" borderId="56" xfId="0" applyFont="1" applyFill="1" applyBorder="1" applyAlignment="1">
      <alignment horizontal="center"/>
    </xf>
    <xf numFmtId="1" fontId="56" fillId="39" borderId="33" xfId="88" applyNumberFormat="1" applyFont="1" applyFill="1" applyBorder="1" applyAlignment="1">
      <alignment horizontal="center"/>
    </xf>
    <xf numFmtId="0" fontId="56" fillId="53" borderId="33" xfId="0" applyFont="1" applyFill="1" applyBorder="1" applyAlignment="1">
      <alignment horizontal="center"/>
    </xf>
    <xf numFmtId="1" fontId="32" fillId="51" borderId="33" xfId="0" applyNumberFormat="1" applyFont="1" applyFill="1" applyBorder="1" applyAlignment="1">
      <alignment horizontal="center"/>
    </xf>
    <xf numFmtId="1" fontId="32" fillId="44" borderId="33" xfId="0" applyNumberFormat="1" applyFont="1" applyFill="1" applyBorder="1" applyAlignment="1">
      <alignment horizontal="center"/>
    </xf>
    <xf numFmtId="2" fontId="32" fillId="39" borderId="33" xfId="0" applyNumberFormat="1" applyFont="1" applyFill="1" applyBorder="1" applyAlignment="1">
      <alignment horizontal="center"/>
    </xf>
    <xf numFmtId="2" fontId="32" fillId="44" borderId="33" xfId="0" applyNumberFormat="1" applyFont="1" applyFill="1" applyBorder="1" applyAlignment="1">
      <alignment horizontal="center"/>
    </xf>
    <xf numFmtId="2" fontId="20" fillId="53" borderId="33" xfId="0" applyNumberFormat="1" applyFont="1" applyFill="1" applyBorder="1" applyAlignment="1">
      <alignment horizontal="center"/>
    </xf>
    <xf numFmtId="165" fontId="32" fillId="52" borderId="33" xfId="0" applyNumberFormat="1" applyFont="1" applyFill="1" applyBorder="1" applyAlignment="1">
      <alignment horizontal="center"/>
    </xf>
    <xf numFmtId="10" fontId="32" fillId="52" borderId="33" xfId="0" applyNumberFormat="1" applyFont="1" applyFill="1" applyBorder="1" applyAlignment="1">
      <alignment horizontal="center"/>
    </xf>
    <xf numFmtId="10" fontId="32" fillId="33" borderId="33" xfId="0" applyNumberFormat="1" applyFont="1" applyFill="1" applyBorder="1" applyAlignment="1">
      <alignment horizontal="center"/>
    </xf>
    <xf numFmtId="10" fontId="32" fillId="41" borderId="33" xfId="88" applyNumberFormat="1" applyFont="1" applyFill="1" applyBorder="1" applyAlignment="1">
      <alignment horizontal="center"/>
    </xf>
    <xf numFmtId="10" fontId="53" fillId="42" borderId="65" xfId="88" applyNumberFormat="1" applyFont="1" applyFill="1" applyBorder="1" applyAlignment="1">
      <alignment horizontal="center"/>
    </xf>
    <xf numFmtId="0" fontId="0" fillId="37" borderId="42" xfId="0" applyFill="1" applyBorder="1" applyAlignment="1">
      <alignment horizontal="center" vertical="center" wrapText="1"/>
    </xf>
    <xf numFmtId="0" fontId="3" fillId="33" borderId="10" xfId="0" applyFont="1" applyFill="1" applyBorder="1" applyAlignment="1">
      <alignment horizontal="center" wrapText="1"/>
    </xf>
    <xf numFmtId="49" fontId="18" fillId="33" borderId="0" xfId="0" applyNumberFormat="1" applyFont="1" applyFill="1" applyAlignment="1">
      <alignment horizontal="center"/>
    </xf>
    <xf numFmtId="49" fontId="73" fillId="60" borderId="0" xfId="0" applyNumberFormat="1" applyFont="1" applyFill="1" applyAlignment="1">
      <alignment horizontal="center"/>
    </xf>
    <xf numFmtId="49" fontId="73" fillId="61" borderId="0" xfId="0" applyNumberFormat="1" applyFont="1" applyFill="1" applyAlignment="1">
      <alignment horizontal="center"/>
    </xf>
    <xf numFmtId="0" fontId="73" fillId="61" borderId="0" xfId="0" applyFont="1" applyFill="1" applyAlignment="1">
      <alignment horizontal="right"/>
    </xf>
    <xf numFmtId="49" fontId="16" fillId="33" borderId="0" xfId="0" applyNumberFormat="1" applyFont="1" applyFill="1" applyAlignment="1">
      <alignment horizontal="center"/>
    </xf>
    <xf numFmtId="0" fontId="3" fillId="39" borderId="10" xfId="0" applyFont="1" applyFill="1" applyBorder="1" applyAlignment="1">
      <alignment horizontal="center" vertical="center" textRotation="90"/>
    </xf>
    <xf numFmtId="49" fontId="0" fillId="49" borderId="0" xfId="0" applyNumberFormat="1" applyFill="1" applyAlignment="1">
      <alignment horizontal="center"/>
    </xf>
    <xf numFmtId="49" fontId="79" fillId="33" borderId="0" xfId="0" applyNumberFormat="1" applyFont="1" applyFill="1" applyAlignment="1">
      <alignment horizontal="center"/>
    </xf>
    <xf numFmtId="49" fontId="0" fillId="61" borderId="0" xfId="0" applyNumberFormat="1" applyFill="1" applyAlignment="1">
      <alignment horizontal="center"/>
    </xf>
    <xf numFmtId="49" fontId="0" fillId="39" borderId="0" xfId="0" applyNumberFormat="1" applyFill="1" applyAlignment="1">
      <alignment horizontal="center"/>
    </xf>
    <xf numFmtId="0" fontId="0" fillId="33" borderId="42" xfId="0" applyFill="1" applyBorder="1" applyAlignment="1" applyProtection="1">
      <alignment horizontal="center" vertical="center" wrapText="1"/>
      <protection locked="0"/>
    </xf>
    <xf numFmtId="49" fontId="80" fillId="33" borderId="0" xfId="0" applyNumberFormat="1" applyFont="1" applyFill="1" applyAlignment="1">
      <alignment horizontal="center"/>
    </xf>
    <xf numFmtId="49" fontId="0" fillId="62" borderId="0" xfId="0" applyNumberFormat="1" applyFill="1" applyAlignment="1">
      <alignment horizontal="center"/>
    </xf>
    <xf numFmtId="0" fontId="0" fillId="62" borderId="0" xfId="0" applyFill="1" applyAlignment="1">
      <alignment horizontal="right"/>
    </xf>
    <xf numFmtId="1" fontId="30" fillId="0" borderId="10" xfId="0" applyNumberFormat="1" applyFont="1" applyBorder="1" applyAlignment="1">
      <alignment horizontal="center"/>
    </xf>
    <xf numFmtId="49" fontId="81" fillId="0" borderId="0" xfId="0" applyNumberFormat="1" applyFont="1" applyAlignment="1">
      <alignment horizontal="center"/>
    </xf>
    <xf numFmtId="0" fontId="15" fillId="34" borderId="38" xfId="13" applyFill="1" applyBorder="1" applyAlignment="1">
      <alignment horizontal="center" vertical="center" wrapText="1"/>
    </xf>
    <xf numFmtId="0" fontId="15" fillId="34" borderId="19" xfId="13" applyFill="1" applyBorder="1" applyAlignment="1">
      <alignment horizontal="center" vertical="center" wrapText="1"/>
    </xf>
    <xf numFmtId="0" fontId="15" fillId="34" borderId="39" xfId="13" applyFill="1" applyBorder="1" applyAlignment="1">
      <alignment horizontal="center" vertical="center" wrapText="1"/>
    </xf>
    <xf numFmtId="0" fontId="8" fillId="2" borderId="13" xfId="6" applyBorder="1" applyAlignment="1">
      <alignment horizontal="center" vertical="center" wrapText="1"/>
    </xf>
    <xf numFmtId="0" fontId="8" fillId="2" borderId="14" xfId="6" applyBorder="1" applyAlignment="1">
      <alignment horizontal="center" vertical="center" wrapText="1"/>
    </xf>
    <xf numFmtId="0" fontId="8" fillId="2" borderId="15" xfId="6" applyBorder="1" applyAlignment="1">
      <alignment horizontal="center" vertical="center" wrapText="1"/>
    </xf>
    <xf numFmtId="0" fontId="15" fillId="35" borderId="22" xfId="13" applyFill="1" applyBorder="1" applyAlignment="1">
      <alignment horizontal="center" vertical="center" wrapText="1"/>
    </xf>
    <xf numFmtId="0" fontId="15" fillId="35" borderId="18" xfId="13" applyFill="1" applyBorder="1" applyAlignment="1">
      <alignment horizontal="center" vertical="center" wrapText="1"/>
    </xf>
    <xf numFmtId="0" fontId="21" fillId="33" borderId="22" xfId="13" applyFont="1" applyFill="1" applyBorder="1" applyAlignment="1">
      <alignment horizontal="center" vertical="center" wrapText="1"/>
    </xf>
    <xf numFmtId="0" fontId="21" fillId="33" borderId="18" xfId="13" applyFont="1" applyFill="1" applyBorder="1" applyAlignment="1">
      <alignment horizontal="center" vertical="center" wrapText="1"/>
    </xf>
    <xf numFmtId="0" fontId="15" fillId="34" borderId="10" xfId="13" applyFill="1" applyBorder="1" applyAlignment="1">
      <alignment horizontal="center" vertical="center" wrapText="1"/>
    </xf>
    <xf numFmtId="0" fontId="18" fillId="47" borderId="14" xfId="6" applyFont="1" applyFill="1" applyBorder="1" applyAlignment="1">
      <alignment horizontal="center" wrapText="1"/>
    </xf>
    <xf numFmtId="0" fontId="18" fillId="47" borderId="15" xfId="6" applyFont="1" applyFill="1" applyBorder="1" applyAlignment="1">
      <alignment horizontal="center" wrapText="1"/>
    </xf>
    <xf numFmtId="0" fontId="15" fillId="35" borderId="22" xfId="13" applyFill="1" applyBorder="1" applyAlignment="1">
      <alignment horizontal="center" wrapText="1"/>
    </xf>
    <xf numFmtId="0" fontId="15" fillId="35" borderId="18" xfId="13" applyFill="1" applyBorder="1" applyAlignment="1">
      <alignment horizontal="center" wrapText="1"/>
    </xf>
    <xf numFmtId="0" fontId="21" fillId="33" borderId="22" xfId="13" applyFont="1" applyFill="1" applyBorder="1" applyAlignment="1">
      <alignment horizontal="center" wrapText="1"/>
    </xf>
    <xf numFmtId="0" fontId="21" fillId="33" borderId="18" xfId="13" applyFont="1" applyFill="1" applyBorder="1" applyAlignment="1">
      <alignment horizontal="center" wrapText="1"/>
    </xf>
    <xf numFmtId="3" fontId="15" fillId="7" borderId="7" xfId="106" applyNumberFormat="1" applyAlignment="1">
      <alignment horizontal="center"/>
    </xf>
    <xf numFmtId="0" fontId="15" fillId="7" borderId="7" xfId="106" applyAlignment="1">
      <alignment horizontal="center"/>
    </xf>
    <xf numFmtId="0" fontId="22" fillId="38" borderId="25" xfId="0" applyFont="1" applyFill="1" applyBorder="1" applyAlignment="1">
      <alignment horizontal="center"/>
    </xf>
    <xf numFmtId="0" fontId="22" fillId="38" borderId="10" xfId="0" applyFont="1" applyFill="1" applyBorder="1" applyAlignment="1">
      <alignment horizontal="center"/>
    </xf>
    <xf numFmtId="0" fontId="22" fillId="38" borderId="11" xfId="0" applyFont="1" applyFill="1" applyBorder="1" applyAlignment="1">
      <alignment horizontal="center"/>
    </xf>
    <xf numFmtId="0" fontId="22" fillId="38" borderId="26" xfId="0" applyFont="1" applyFill="1" applyBorder="1" applyAlignment="1">
      <alignment horizontal="center"/>
    </xf>
    <xf numFmtId="0" fontId="21" fillId="33" borderId="28" xfId="11" applyFont="1" applyFill="1" applyBorder="1" applyAlignment="1">
      <alignment horizontal="center"/>
    </xf>
    <xf numFmtId="0" fontId="21" fillId="33" borderId="29" xfId="11" applyFont="1" applyFill="1" applyBorder="1" applyAlignment="1">
      <alignment horizontal="center"/>
    </xf>
    <xf numFmtId="0" fontId="21" fillId="33" borderId="30" xfId="11" applyFont="1" applyFill="1" applyBorder="1" applyAlignment="1">
      <alignment horizontal="center"/>
    </xf>
    <xf numFmtId="0" fontId="0" fillId="60" borderId="62" xfId="0" applyFill="1" applyBorder="1" applyAlignment="1">
      <alignment horizontal="center"/>
    </xf>
    <xf numFmtId="0" fontId="0" fillId="60" borderId="63" xfId="0" applyFill="1" applyBorder="1" applyAlignment="1">
      <alignment horizontal="center"/>
    </xf>
    <xf numFmtId="0" fontId="29" fillId="33" borderId="18" xfId="0" applyFont="1" applyFill="1" applyBorder="1" applyAlignment="1">
      <alignment horizontal="center"/>
    </xf>
    <xf numFmtId="0" fontId="29" fillId="33" borderId="55" xfId="0" applyFont="1" applyFill="1" applyBorder="1" applyAlignment="1">
      <alignment horizontal="center"/>
    </xf>
    <xf numFmtId="0" fontId="21" fillId="33" borderId="46" xfId="13" applyFont="1" applyFill="1" applyBorder="1" applyAlignment="1">
      <alignment horizontal="center" wrapText="1"/>
    </xf>
    <xf numFmtId="0" fontId="15" fillId="34" borderId="20" xfId="13" applyFill="1" applyBorder="1" applyAlignment="1">
      <alignment horizontal="center" vertical="center" wrapText="1"/>
    </xf>
    <xf numFmtId="0" fontId="15" fillId="34" borderId="21" xfId="13" applyFill="1" applyBorder="1" applyAlignment="1">
      <alignment horizontal="center" vertical="center" wrapText="1"/>
    </xf>
    <xf numFmtId="0" fontId="21" fillId="45" borderId="36" xfId="6" applyFont="1" applyFill="1" applyBorder="1" applyAlignment="1">
      <alignment horizontal="center" wrapText="1"/>
    </xf>
    <xf numFmtId="0" fontId="21" fillId="45" borderId="37" xfId="6" applyFont="1" applyFill="1" applyBorder="1" applyAlignment="1">
      <alignment horizontal="center" wrapText="1"/>
    </xf>
    <xf numFmtId="0" fontId="52" fillId="0" borderId="10" xfId="0" applyFont="1" applyBorder="1" applyAlignment="1">
      <alignment horizontal="center"/>
    </xf>
    <xf numFmtId="0" fontId="52" fillId="0" borderId="0" xfId="0" applyFont="1" applyAlignment="1">
      <alignment horizontal="center"/>
    </xf>
    <xf numFmtId="0" fontId="52" fillId="54" borderId="10" xfId="0" applyFont="1" applyFill="1" applyBorder="1" applyAlignment="1">
      <alignment horizontal="center"/>
    </xf>
    <xf numFmtId="0" fontId="67" fillId="38" borderId="10" xfId="0" applyFont="1" applyFill="1" applyBorder="1" applyAlignment="1">
      <alignment horizontal="center"/>
    </xf>
    <xf numFmtId="0" fontId="0" fillId="39" borderId="10" xfId="0" applyFill="1" applyBorder="1" applyAlignment="1">
      <alignment horizontal="center" vertical="center" wrapText="1"/>
    </xf>
  </cellXfs>
  <cellStyles count="110">
    <cellStyle name="20% - Accent1 2" xfId="64" xr:uid="{00000000-0005-0000-0000-000000000000}"/>
    <cellStyle name="20% - Accent1 2 2" xfId="91" xr:uid="{00000000-0005-0000-0000-000001000000}"/>
    <cellStyle name="20% - Accent2 2" xfId="68" xr:uid="{00000000-0005-0000-0000-000002000000}"/>
    <cellStyle name="20% - Accent2 2 2" xfId="93" xr:uid="{00000000-0005-0000-0000-000003000000}"/>
    <cellStyle name="20% - Accent3 2" xfId="72" xr:uid="{00000000-0005-0000-0000-000004000000}"/>
    <cellStyle name="20% - Accent3 2 2" xfId="95" xr:uid="{00000000-0005-0000-0000-000005000000}"/>
    <cellStyle name="20% - Accent4 2" xfId="76" xr:uid="{00000000-0005-0000-0000-000006000000}"/>
    <cellStyle name="20% - Accent4 2 2" xfId="97" xr:uid="{00000000-0005-0000-0000-000007000000}"/>
    <cellStyle name="20% - Accent5 2" xfId="80" xr:uid="{00000000-0005-0000-0000-000008000000}"/>
    <cellStyle name="20% - Accent5 2 2" xfId="99" xr:uid="{00000000-0005-0000-0000-000009000000}"/>
    <cellStyle name="20% - Accent6 2" xfId="84" xr:uid="{00000000-0005-0000-0000-00000A000000}"/>
    <cellStyle name="20% - Accent6 2 2" xfId="101" xr:uid="{00000000-0005-0000-0000-00000B000000}"/>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Accent1 2" xfId="65" xr:uid="{00000000-0005-0000-0000-000012000000}"/>
    <cellStyle name="40% - Accent1 2 2" xfId="92" xr:uid="{00000000-0005-0000-0000-000013000000}"/>
    <cellStyle name="40% - Accent2 2" xfId="69" xr:uid="{00000000-0005-0000-0000-000014000000}"/>
    <cellStyle name="40% - Accent2 2 2" xfId="94" xr:uid="{00000000-0005-0000-0000-000015000000}"/>
    <cellStyle name="40% - Accent3 2" xfId="73" xr:uid="{00000000-0005-0000-0000-000016000000}"/>
    <cellStyle name="40% - Accent3 2 2" xfId="96" xr:uid="{00000000-0005-0000-0000-000017000000}"/>
    <cellStyle name="40% - Accent4 2" xfId="77" xr:uid="{00000000-0005-0000-0000-000018000000}"/>
    <cellStyle name="40% - Accent4 2 2" xfId="98" xr:uid="{00000000-0005-0000-0000-000019000000}"/>
    <cellStyle name="40% - Accent5 2" xfId="81" xr:uid="{00000000-0005-0000-0000-00001A000000}"/>
    <cellStyle name="40% - Accent5 2 2" xfId="100" xr:uid="{00000000-0005-0000-0000-00001B000000}"/>
    <cellStyle name="40% - Accent6 2" xfId="85" xr:uid="{00000000-0005-0000-0000-00001C000000}"/>
    <cellStyle name="40% - Accent6 2 2" xfId="102" xr:uid="{00000000-0005-0000-0000-00001D000000}"/>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Accent1 2" xfId="66" xr:uid="{00000000-0005-0000-0000-000024000000}"/>
    <cellStyle name="60% - Accent2 2" xfId="70" xr:uid="{00000000-0005-0000-0000-000025000000}"/>
    <cellStyle name="60% - Accent3 2" xfId="74" xr:uid="{00000000-0005-0000-0000-000026000000}"/>
    <cellStyle name="60% - Accent4 2" xfId="78" xr:uid="{00000000-0005-0000-0000-000027000000}"/>
    <cellStyle name="60% - Accent5 2" xfId="82" xr:uid="{00000000-0005-0000-0000-000028000000}"/>
    <cellStyle name="60% - Accent6 2" xfId="86" xr:uid="{00000000-0005-0000-0000-000029000000}"/>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Accent1 2" xfId="63" xr:uid="{00000000-0005-0000-0000-000030000000}"/>
    <cellStyle name="Accent2 2" xfId="67" xr:uid="{00000000-0005-0000-0000-000031000000}"/>
    <cellStyle name="Accent3 2" xfId="71" xr:uid="{00000000-0005-0000-0000-000032000000}"/>
    <cellStyle name="Accent4 2" xfId="75" xr:uid="{00000000-0005-0000-0000-000033000000}"/>
    <cellStyle name="Accent5 2" xfId="79" xr:uid="{00000000-0005-0000-0000-000034000000}"/>
    <cellStyle name="Accent6 2" xfId="83" xr:uid="{00000000-0005-0000-0000-000035000000}"/>
    <cellStyle name="Bad 2" xfId="52" xr:uid="{00000000-0005-0000-0000-000036000000}"/>
    <cellStyle name="Bueno" xfId="6" builtinId="26" customBuiltin="1"/>
    <cellStyle name="Calculation 2" xfId="56" xr:uid="{00000000-0005-0000-0000-000038000000}"/>
    <cellStyle name="Cálculo" xfId="11" builtinId="22" customBuiltin="1"/>
    <cellStyle name="Celda de comprobación" xfId="13" builtinId="23" customBuiltin="1"/>
    <cellStyle name="Celda de comprobación 2" xfId="106" xr:uid="{00000000-0005-0000-0000-00003B000000}"/>
    <cellStyle name="Celda vinculada" xfId="12" builtinId="24" customBuiltin="1"/>
    <cellStyle name="Check Cell 2" xfId="58" xr:uid="{00000000-0005-0000-0000-00003D000000}"/>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Explanatory Text 2" xfId="61" xr:uid="{00000000-0005-0000-0000-000047000000}"/>
    <cellStyle name="Good 2" xfId="51" xr:uid="{00000000-0005-0000-0000-000048000000}"/>
    <cellStyle name="Heading 1 2" xfId="47" xr:uid="{00000000-0005-0000-0000-000049000000}"/>
    <cellStyle name="Heading 2 2" xfId="48" xr:uid="{00000000-0005-0000-0000-00004A000000}"/>
    <cellStyle name="Heading 3 2" xfId="49" xr:uid="{00000000-0005-0000-0000-00004B000000}"/>
    <cellStyle name="Heading 4 2" xfId="50" xr:uid="{00000000-0005-0000-0000-00004C000000}"/>
    <cellStyle name="Incorrecto" xfId="7" builtinId="27" customBuiltin="1"/>
    <cellStyle name="Incorrecto 2" xfId="105" xr:uid="{00000000-0005-0000-0000-00004E000000}"/>
    <cellStyle name="Input 2" xfId="54" xr:uid="{00000000-0005-0000-0000-00004F000000}"/>
    <cellStyle name="Linked Cell 2" xfId="57" xr:uid="{00000000-0005-0000-0000-000050000000}"/>
    <cellStyle name="Millares" xfId="42" builtinId="3"/>
    <cellStyle name="Millares 2" xfId="87" xr:uid="{00000000-0005-0000-0000-000052000000}"/>
    <cellStyle name="Neutral" xfId="8" builtinId="28" customBuiltin="1"/>
    <cellStyle name="Neutral 2" xfId="53" xr:uid="{00000000-0005-0000-0000-000054000000}"/>
    <cellStyle name="Normal" xfId="0" builtinId="0"/>
    <cellStyle name="Normal 2" xfId="44" xr:uid="{00000000-0005-0000-0000-000056000000}"/>
    <cellStyle name="Normal 3" xfId="46" xr:uid="{00000000-0005-0000-0000-000057000000}"/>
    <cellStyle name="Normal 3 2" xfId="89" xr:uid="{00000000-0005-0000-0000-000058000000}"/>
    <cellStyle name="Normal 4" xfId="109" xr:uid="{00000000-0005-0000-0000-000059000000}"/>
    <cellStyle name="Normal 4 2" xfId="107" xr:uid="{00000000-0005-0000-0000-00005A000000}"/>
    <cellStyle name="Normale 2" xfId="103" xr:uid="{00000000-0005-0000-0000-00005B000000}"/>
    <cellStyle name="Notas" xfId="15" builtinId="10" customBuiltin="1"/>
    <cellStyle name="Note 2" xfId="60" xr:uid="{00000000-0005-0000-0000-00005D000000}"/>
    <cellStyle name="Note 2 2" xfId="90" xr:uid="{00000000-0005-0000-0000-00005E000000}"/>
    <cellStyle name="Output 2" xfId="55" xr:uid="{00000000-0005-0000-0000-00005F000000}"/>
    <cellStyle name="Percent 3" xfId="104" xr:uid="{00000000-0005-0000-0000-000060000000}"/>
    <cellStyle name="Porcentaje" xfId="43" builtinId="5"/>
    <cellStyle name="Porcentaje 2" xfId="45" xr:uid="{00000000-0005-0000-0000-000062000000}"/>
    <cellStyle name="Porcentaje 2 2" xfId="88" xr:uid="{00000000-0005-0000-0000-000063000000}"/>
    <cellStyle name="Salida" xfId="10" builtinId="21" customBuiltin="1"/>
    <cellStyle name="Standard_Aktionsplan" xfId="108" xr:uid="{00000000-0005-0000-0000-000065000000}"/>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 name="Total 2" xfId="62" xr:uid="{00000000-0005-0000-0000-00006C000000}"/>
    <cellStyle name="Warning Text 2" xfId="59" xr:uid="{00000000-0005-0000-0000-00006D000000}"/>
  </cellStyles>
  <dxfs count="56">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ill>
        <patternFill>
          <bgColor theme="7" tint="0.59996337778862885"/>
        </patternFill>
      </fill>
    </dxf>
    <dxf>
      <fill>
        <patternFill>
          <bgColor theme="9" tint="0.39994506668294322"/>
        </patternFill>
      </fill>
    </dxf>
    <dxf>
      <font>
        <b/>
        <i val="0"/>
      </font>
      <fill>
        <patternFill>
          <bgColor rgb="FF00FF00"/>
        </patternFill>
      </fill>
    </dxf>
    <dxf>
      <font>
        <b/>
        <i val="0"/>
      </font>
      <fill>
        <patternFill>
          <bgColor rgb="FF66FF66"/>
        </patternFill>
      </fill>
    </dxf>
    <dxf>
      <font>
        <b/>
        <i val="0"/>
      </font>
      <fill>
        <patternFill>
          <bgColor rgb="FFFFFF00"/>
        </patternFill>
      </fill>
    </dxf>
    <dxf>
      <font>
        <b/>
        <i val="0"/>
      </font>
      <fill>
        <patternFill>
          <bgColor rgb="FFFF6600"/>
        </patternFill>
      </fill>
    </dxf>
    <dxf>
      <font>
        <b/>
        <i val="0"/>
        <color auto="1"/>
      </font>
      <fill>
        <patternFill>
          <bgColor rgb="FFFF0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font>
      <fill>
        <patternFill>
          <bgColor rgb="FF00FF00"/>
        </patternFill>
      </fill>
    </dxf>
    <dxf>
      <font>
        <b/>
        <i val="0"/>
      </font>
      <fill>
        <patternFill>
          <bgColor rgb="FF66FF66"/>
        </patternFill>
      </fill>
    </dxf>
    <dxf>
      <font>
        <b/>
        <i val="0"/>
      </font>
      <fill>
        <patternFill>
          <bgColor rgb="FFFFFF00"/>
        </patternFill>
      </fill>
    </dxf>
    <dxf>
      <font>
        <b/>
        <i val="0"/>
      </font>
      <fill>
        <patternFill>
          <bgColor rgb="FFFF6600"/>
        </patternFill>
      </fill>
    </dxf>
    <dxf>
      <font>
        <b/>
        <i val="0"/>
        <color auto="1"/>
      </font>
      <fill>
        <patternFill>
          <bgColor rgb="FFFF0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i val="0"/>
      </font>
      <fill>
        <patternFill>
          <bgColor rgb="FF00FF00"/>
        </patternFill>
      </fill>
    </dxf>
    <dxf>
      <font>
        <b/>
        <i val="0"/>
      </font>
      <fill>
        <patternFill>
          <bgColor rgb="FF66FF66"/>
        </patternFill>
      </fill>
    </dxf>
    <dxf>
      <font>
        <b/>
        <i val="0"/>
      </font>
      <fill>
        <patternFill>
          <bgColor rgb="FFFFFF00"/>
        </patternFill>
      </fill>
    </dxf>
    <dxf>
      <font>
        <b/>
        <i val="0"/>
      </font>
      <fill>
        <patternFill>
          <bgColor rgb="FFFF6600"/>
        </patternFill>
      </fill>
    </dxf>
    <dxf>
      <font>
        <b/>
        <i val="0"/>
        <color auto="1"/>
      </font>
      <fill>
        <patternFill>
          <bgColor rgb="FFFF0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numFmt numFmtId="166" formatCode="_-* #,##0_-;\-* #,##0_-;_-* &quot;-&quot;??_-;_-@_-"/>
    </dxf>
    <dxf>
      <numFmt numFmtId="166" formatCode="_-* #,##0_-;\-* #,##0_-;_-* &quot;-&quot;??_-;_-@_-"/>
    </dxf>
    <dxf>
      <numFmt numFmtId="166" formatCode="_-* #,##0_-;\-* #,##0_-;_-* &quot;-&quot;??_-;_-@_-"/>
    </dxf>
    <dxf>
      <numFmt numFmtId="35" formatCode="_-* #,##0.00_-;\-* #,##0.00_-;_-* &quot;-&quot;??_-;_-@_-"/>
    </dxf>
    <dxf>
      <numFmt numFmtId="166" formatCode="_-* #,##0_-;\-* #,##0_-;_-* &quot;-&quot;??_-;_-@_-"/>
    </dxf>
    <dxf>
      <numFmt numFmtId="166" formatCode="_-* #,##0_-;\-* #,##0_-;_-* &quot;-&quot;??_-;_-@_-"/>
    </dxf>
    <dxf>
      <numFmt numFmtId="19" formatCode="dd/mm/yyyy"/>
    </dxf>
    <dxf>
      <font>
        <b val="0"/>
        <i val="0"/>
        <strike val="0"/>
        <condense val="0"/>
        <extend val="0"/>
        <outline val="0"/>
        <shadow val="0"/>
        <u val="none"/>
        <vertAlign val="baseline"/>
        <sz val="12"/>
        <color theme="0"/>
        <name val="Calibri"/>
        <scheme val="minor"/>
      </font>
      <fill>
        <patternFill patternType="solid">
          <fgColor indexed="64"/>
          <bgColor theme="1" tint="0.499984740745262"/>
        </patternFill>
      </fill>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rgb="FFFF0000"/>
        <name val="Calibri"/>
        <scheme val="minor"/>
      </font>
    </dxf>
    <dxf>
      <font>
        <b val="0"/>
        <i val="0"/>
        <strike val="0"/>
        <condense val="0"/>
        <extend val="0"/>
        <outline val="0"/>
        <shadow val="0"/>
        <u val="none"/>
        <vertAlign val="baseline"/>
        <sz val="12"/>
        <color theme="0"/>
        <name val="Calibri"/>
        <scheme val="minor"/>
      </font>
      <numFmt numFmtId="3" formatCode="#,##0"/>
      <fill>
        <patternFill patternType="solid">
          <fgColor indexed="64"/>
          <bgColor theme="1"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scheme val="minor"/>
      </font>
      <numFmt numFmtId="3" formatCode="#,##0"/>
      <fill>
        <patternFill patternType="solid">
          <fgColor indexed="64"/>
          <bgColor theme="1" tint="0.499984740745262"/>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0"/>
        <name val="Calibri"/>
        <scheme val="minor"/>
      </font>
      <numFmt numFmtId="3" formatCode="#,##0"/>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0"/>
        <name val="Calibri"/>
        <scheme val="minor"/>
      </font>
      <numFmt numFmtId="3" formatCode="#,##0"/>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0"/>
        <name val="Calibri"/>
        <scheme val="minor"/>
      </font>
      <fill>
        <patternFill patternType="solid">
          <fgColor indexed="64"/>
          <bgColor theme="1" tint="0.499984740745262"/>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Calibri"/>
        <scheme val="minor"/>
      </font>
      <numFmt numFmtId="20" formatCode="dd\-mmm\-yy"/>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border>
        <top style="thin">
          <color indexed="64"/>
        </top>
      </border>
    </dxf>
    <dxf>
      <font>
        <strike val="0"/>
        <outline val="0"/>
        <shadow val="0"/>
        <u val="none"/>
        <vertAlign val="baseline"/>
        <sz val="12"/>
        <color theme="0"/>
        <name val="Calibri"/>
        <scheme val="minor"/>
      </font>
      <fill>
        <patternFill>
          <fgColor indexed="64"/>
          <bgColor theme="1" tint="0.499984740745262"/>
        </patternFill>
      </fill>
      <border diagonalUp="0" diagonalDown="0" outline="0">
        <left style="thin">
          <color indexed="64"/>
        </left>
        <right style="thin">
          <color indexed="64"/>
        </right>
        <top/>
        <bottom/>
      </border>
    </dxf>
    <dxf>
      <border outline="0">
        <left style="thin">
          <color indexed="64"/>
        </left>
        <right style="thin">
          <color indexed="64"/>
        </right>
        <top style="thin">
          <color indexed="64"/>
        </top>
        <bottom style="thin">
          <color indexed="64"/>
        </bottom>
      </border>
    </dxf>
    <dxf>
      <border outline="0">
        <bottom style="thin">
          <color indexed="64"/>
        </bottom>
      </border>
    </dxf>
  </dxfs>
  <tableStyles count="0" defaultTableStyle="TableStyleMedium2" defaultPivotStyle="PivotStyleLight16"/>
  <colors>
    <mruColors>
      <color rgb="FFFFFF66"/>
      <color rgb="FF0066FF"/>
      <color rgb="FF00CC00"/>
      <color rgb="FFFFE12F"/>
      <color rgb="FF00FF00"/>
      <color rgb="FFFFFFFF"/>
      <color rgb="FFFF5050"/>
      <color rgb="FFF2CD00"/>
      <color rgb="FFCCCC00"/>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1/relationships/timelineCache" Target="timelineCaches/timelineCach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r>
              <a:rPr lang="es-MX"/>
              <a:t>OEE FORMADO FLAT TUBE</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endParaRPr lang="es-MX"/>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1"/>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C94-4AC6-8594-E4D6D03C6905}"/>
                </c:ext>
              </c:extLst>
            </c:dLbl>
            <c:dLbl>
              <c:idx val="2"/>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C94-4AC6-8594-E4D6D03C6905}"/>
                </c:ext>
              </c:extLst>
            </c:dLbl>
            <c:dLbl>
              <c:idx val="4"/>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94-4AC6-8594-E4D6D03C6905}"/>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94-4AC6-8594-E4D6D03C6905}"/>
                </c:ext>
              </c:extLst>
            </c:dLbl>
            <c:dLbl>
              <c:idx val="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94-4AC6-8594-E4D6D03C6905}"/>
                </c:ext>
              </c:extLst>
            </c:dLbl>
            <c:dLbl>
              <c:idx val="10"/>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C94-4AC6-8594-E4D6D03C6905}"/>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94-4AC6-8594-E4D6D03C6905}"/>
                </c:ext>
              </c:extLst>
            </c:dLbl>
            <c:dLbl>
              <c:idx val="12"/>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C94-4AC6-8594-E4D6D03C6905}"/>
                </c:ext>
              </c:extLst>
            </c:dLbl>
            <c:dLbl>
              <c:idx val="1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C94-4AC6-8594-E4D6D03C6905}"/>
                </c:ext>
              </c:extLst>
            </c:dLbl>
            <c:dLbl>
              <c:idx val="18"/>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C94-4AC6-8594-E4D6D03C6905}"/>
                </c:ext>
              </c:extLst>
            </c:dLbl>
            <c:dLbl>
              <c:idx val="19"/>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C94-4AC6-8594-E4D6D03C6905}"/>
                </c:ext>
              </c:extLst>
            </c:dLbl>
            <c:dLbl>
              <c:idx val="2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C94-4AC6-8594-E4D6D03C6905}"/>
                </c:ext>
              </c:extLst>
            </c:dLbl>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'GRAFICA FORMADORA'!$A$2:$A$30</c:f>
              <c:numCache>
                <c:formatCode>General</c:formatCode>
                <c:ptCount val="29"/>
                <c:pt idx="0">
                  <c:v>1</c:v>
                </c:pt>
                <c:pt idx="1">
                  <c:v>4</c:v>
                </c:pt>
                <c:pt idx="2">
                  <c:v>5</c:v>
                </c:pt>
                <c:pt idx="3">
                  <c:v>7</c:v>
                </c:pt>
                <c:pt idx="4">
                  <c:v>7</c:v>
                </c:pt>
                <c:pt idx="5">
                  <c:v>9</c:v>
                </c:pt>
                <c:pt idx="6">
                  <c:v>10</c:v>
                </c:pt>
                <c:pt idx="7">
                  <c:v>10</c:v>
                </c:pt>
                <c:pt idx="8">
                  <c:v>11</c:v>
                </c:pt>
                <c:pt idx="9">
                  <c:v>11</c:v>
                </c:pt>
                <c:pt idx="10">
                  <c:v>12</c:v>
                </c:pt>
                <c:pt idx="11">
                  <c:v>14</c:v>
                </c:pt>
                <c:pt idx="12">
                  <c:v>15</c:v>
                </c:pt>
                <c:pt idx="13">
                  <c:v>16</c:v>
                </c:pt>
                <c:pt idx="14">
                  <c:v>16</c:v>
                </c:pt>
                <c:pt idx="15">
                  <c:v>17</c:v>
                </c:pt>
                <c:pt idx="16">
                  <c:v>17</c:v>
                </c:pt>
                <c:pt idx="17">
                  <c:v>18</c:v>
                </c:pt>
                <c:pt idx="18">
                  <c:v>18</c:v>
                </c:pt>
                <c:pt idx="19">
                  <c:v>19</c:v>
                </c:pt>
                <c:pt idx="20">
                  <c:v>21</c:v>
                </c:pt>
                <c:pt idx="21">
                  <c:v>22</c:v>
                </c:pt>
                <c:pt idx="22">
                  <c:v>23</c:v>
                </c:pt>
                <c:pt idx="23">
                  <c:v>24</c:v>
                </c:pt>
                <c:pt idx="24">
                  <c:v>25</c:v>
                </c:pt>
                <c:pt idx="25">
                  <c:v>28</c:v>
                </c:pt>
                <c:pt idx="26">
                  <c:v>29</c:v>
                </c:pt>
                <c:pt idx="27">
                  <c:v>30</c:v>
                </c:pt>
                <c:pt idx="28">
                  <c:v>31</c:v>
                </c:pt>
              </c:numCache>
            </c:numRef>
          </c:cat>
          <c:val>
            <c:numRef>
              <c:f>'GRAFICA FORMADORA'!$B$2:$B$30</c:f>
              <c:numCache>
                <c:formatCode>0.00%</c:formatCode>
                <c:ptCount val="29"/>
                <c:pt idx="0">
                  <c:v>0.8265240641711229</c:v>
                </c:pt>
                <c:pt idx="1">
                  <c:v>0.9</c:v>
                </c:pt>
                <c:pt idx="2">
                  <c:v>8.855614973262034E-2</c:v>
                </c:pt>
                <c:pt idx="3">
                  <c:v>0.46545454545454545</c:v>
                </c:pt>
                <c:pt idx="4">
                  <c:v>0.16941176470588235</c:v>
                </c:pt>
                <c:pt idx="5">
                  <c:v>0.6676258772860072</c:v>
                </c:pt>
                <c:pt idx="6">
                  <c:v>0.31871657754010696</c:v>
                </c:pt>
                <c:pt idx="7">
                  <c:v>0.37775401069518716</c:v>
                </c:pt>
                <c:pt idx="8">
                  <c:v>0.45048128342245991</c:v>
                </c:pt>
                <c:pt idx="9">
                  <c:v>0.77901159243441132</c:v>
                </c:pt>
                <c:pt idx="10">
                  <c:v>0.38588235294117645</c:v>
                </c:pt>
                <c:pt idx="11">
                  <c:v>0.11324675324675325</c:v>
                </c:pt>
                <c:pt idx="12">
                  <c:v>0.44278074866310163</c:v>
                </c:pt>
                <c:pt idx="13">
                  <c:v>0.74909090909090903</c:v>
                </c:pt>
                <c:pt idx="14">
                  <c:v>0.7135828877005348</c:v>
                </c:pt>
                <c:pt idx="15">
                  <c:v>0.18310160427807487</c:v>
                </c:pt>
                <c:pt idx="16">
                  <c:v>0.73112299465240638</c:v>
                </c:pt>
                <c:pt idx="17">
                  <c:v>0.74267379679144385</c:v>
                </c:pt>
                <c:pt idx="18">
                  <c:v>0.19550802139037429</c:v>
                </c:pt>
                <c:pt idx="19">
                  <c:v>0.48171584242616428</c:v>
                </c:pt>
                <c:pt idx="20">
                  <c:v>0.94369999999999998</c:v>
                </c:pt>
                <c:pt idx="21">
                  <c:v>0.49969999999999998</c:v>
                </c:pt>
                <c:pt idx="22">
                  <c:v>0.56579999999999997</c:v>
                </c:pt>
                <c:pt idx="23">
                  <c:v>0.54549999999999998</c:v>
                </c:pt>
                <c:pt idx="24">
                  <c:v>0.9294</c:v>
                </c:pt>
                <c:pt idx="25">
                  <c:v>0.94</c:v>
                </c:pt>
                <c:pt idx="26">
                  <c:v>0.94199999999999995</c:v>
                </c:pt>
                <c:pt idx="27">
                  <c:v>0.29670000000000002</c:v>
                </c:pt>
                <c:pt idx="28">
                  <c:v>0.34620000000000001</c:v>
                </c:pt>
              </c:numCache>
            </c:numRef>
          </c:val>
          <c:smooth val="0"/>
          <c:extLst>
            <c:ext xmlns:c16="http://schemas.microsoft.com/office/drawing/2014/chart" uri="{C3380CC4-5D6E-409C-BE32-E72D297353CC}">
              <c16:uniqueId val="{00000000-6C94-4AC6-8594-E4D6D03C6905}"/>
            </c:ext>
          </c:extLst>
        </c:ser>
        <c:dLbls>
          <c:dLblPos val="t"/>
          <c:showLegendKey val="0"/>
          <c:showVal val="1"/>
          <c:showCatName val="0"/>
          <c:showSerName val="0"/>
          <c:showPercent val="0"/>
          <c:showBubbleSize val="0"/>
        </c:dLbls>
        <c:marker val="1"/>
        <c:smooth val="0"/>
        <c:axId val="694453904"/>
        <c:axId val="694452728"/>
      </c:lineChart>
      <c:catAx>
        <c:axId val="69445390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r>
                  <a:rPr lang="es-MX"/>
                  <a:t>Días del mes</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crossAx val="694452728"/>
        <c:crosses val="autoZero"/>
        <c:auto val="1"/>
        <c:lblAlgn val="ctr"/>
        <c:lblOffset val="100"/>
        <c:noMultiLvlLbl val="0"/>
      </c:catAx>
      <c:valAx>
        <c:axId val="694452728"/>
        <c:scaling>
          <c:orientation val="minMax"/>
        </c:scaling>
        <c:delete val="0"/>
        <c:axPos val="l"/>
        <c:majorGridlines>
          <c:spPr>
            <a:ln w="9525" cap="flat" cmpd="sng" algn="ctr">
              <a:solidFill>
                <a:schemeClr val="bg1">
                  <a:lumMod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crossAx val="694453904"/>
        <c:crosses val="autoZero"/>
        <c:crossBetween val="between"/>
      </c:valAx>
      <c:spPr>
        <a:noFill/>
        <a:ln>
          <a:solidFill>
            <a:schemeClr val="bg1">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85000"/>
            <a:lumOff val="15000"/>
          </a:schemeClr>
        </a:gs>
        <a:gs pos="100000">
          <a:schemeClr val="tx1">
            <a:lumMod val="50000"/>
            <a:lumOff val="50000"/>
          </a:schemeClr>
        </a:gs>
        <a:gs pos="100000">
          <a:schemeClr val="tx1">
            <a:lumMod val="50000"/>
            <a:lumOff val="50000"/>
          </a:schemeClr>
        </a:gs>
      </a:gsLst>
      <a:lin ang="16200000" scaled="1"/>
      <a:tileRect/>
    </a:gradFill>
    <a:ln w="9525" cap="flat" cmpd="sng" algn="ctr">
      <a:solidFill>
        <a:schemeClr val="tx1">
          <a:lumMod val="15000"/>
          <a:lumOff val="85000"/>
        </a:schemeClr>
      </a:solidFill>
      <a:round/>
    </a:ln>
    <a:effectLst/>
  </c:spPr>
  <c:txPr>
    <a:bodyPr/>
    <a:lstStyle/>
    <a:p>
      <a:pPr>
        <a:defRPr sz="1100" baseline="0">
          <a:solidFill>
            <a:schemeClr val="bg1"/>
          </a:solidFill>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[OEE Rea 2025.xlsx]Hoja1!TablaDinámica1</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Hoja1!$B$1</c:f>
              <c:strCache>
                <c:ptCount val="1"/>
                <c:pt idx="0">
                  <c:v>Suma de RESULTADO DISPONIBILIDAD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Hoja1!$A$2:$A$18</c:f>
              <c:strCache>
                <c:ptCount val="16"/>
                <c:pt idx="0">
                  <c:v>02/01/2019</c:v>
                </c:pt>
                <c:pt idx="1">
                  <c:v>03/01/2019</c:v>
                </c:pt>
                <c:pt idx="2">
                  <c:v>04/01/2019</c:v>
                </c:pt>
                <c:pt idx="3">
                  <c:v>05/01/2019</c:v>
                </c:pt>
                <c:pt idx="4">
                  <c:v>07/01/2019</c:v>
                </c:pt>
                <c:pt idx="5">
                  <c:v>09/01/2019</c:v>
                </c:pt>
                <c:pt idx="6">
                  <c:v>10/01/2019</c:v>
                </c:pt>
                <c:pt idx="7">
                  <c:v>11/01/2019</c:v>
                </c:pt>
                <c:pt idx="8">
                  <c:v>12/01/2019</c:v>
                </c:pt>
                <c:pt idx="9">
                  <c:v>14/01/2019</c:v>
                </c:pt>
                <c:pt idx="10">
                  <c:v>15/01/2019</c:v>
                </c:pt>
                <c:pt idx="11">
                  <c:v>16/01/2019</c:v>
                </c:pt>
                <c:pt idx="12">
                  <c:v>17/01/2019</c:v>
                </c:pt>
                <c:pt idx="13">
                  <c:v>18/01/2019</c:v>
                </c:pt>
                <c:pt idx="14">
                  <c:v>19/01/2019</c:v>
                </c:pt>
                <c:pt idx="15">
                  <c:v>21/01/2019</c:v>
                </c:pt>
              </c:strCache>
            </c:strRef>
          </c:cat>
          <c:val>
            <c:numRef>
              <c:f>Hoja1!$B$2:$B$18</c:f>
              <c:numCache>
                <c:formatCode>General</c:formatCode>
                <c:ptCount val="16"/>
                <c:pt idx="0">
                  <c:v>0.85882352941176465</c:v>
                </c:pt>
                <c:pt idx="2">
                  <c:v>0.4553191489361702</c:v>
                </c:pt>
                <c:pt idx="3">
                  <c:v>0.11058823529411765</c:v>
                </c:pt>
                <c:pt idx="4">
                  <c:v>0.6240941176470588</c:v>
                </c:pt>
                <c:pt idx="5">
                  <c:v>0.66160119385417326</c:v>
                </c:pt>
                <c:pt idx="6">
                  <c:v>0.9105882352941177</c:v>
                </c:pt>
                <c:pt idx="7">
                  <c:v>1.230288195815239</c:v>
                </c:pt>
                <c:pt idx="8">
                  <c:v>0.45882352941176469</c:v>
                </c:pt>
                <c:pt idx="9">
                  <c:v>0.13523809523809524</c:v>
                </c:pt>
                <c:pt idx="10">
                  <c:v>0.47529411764705881</c:v>
                </c:pt>
                <c:pt idx="11">
                  <c:v>1.4423529411764706</c:v>
                </c:pt>
                <c:pt idx="12">
                  <c:v>1.5152941176470587</c:v>
                </c:pt>
                <c:pt idx="13">
                  <c:v>0.90731764705882356</c:v>
                </c:pt>
                <c:pt idx="14">
                  <c:v>0.54653559537022356</c:v>
                </c:pt>
                <c:pt idx="15">
                  <c:v>0.95294117647058818</c:v>
                </c:pt>
              </c:numCache>
            </c:numRef>
          </c:val>
          <c:smooth val="0"/>
          <c:extLst>
            <c:ext xmlns:c16="http://schemas.microsoft.com/office/drawing/2014/chart" uri="{C3380CC4-5D6E-409C-BE32-E72D297353CC}">
              <c16:uniqueId val="{00000004-A043-4DB8-9FCC-1B1B20E8F7E6}"/>
            </c:ext>
          </c:extLst>
        </c:ser>
        <c:ser>
          <c:idx val="1"/>
          <c:order val="1"/>
          <c:tx>
            <c:strRef>
              <c:f>Hoja1!$C$1</c:f>
              <c:strCache>
                <c:ptCount val="1"/>
                <c:pt idx="0">
                  <c:v>Suma de RESULTADO RENDIMIENTO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Hoja1!$A$2:$A$18</c:f>
              <c:strCache>
                <c:ptCount val="16"/>
                <c:pt idx="0">
                  <c:v>02/01/2019</c:v>
                </c:pt>
                <c:pt idx="1">
                  <c:v>03/01/2019</c:v>
                </c:pt>
                <c:pt idx="2">
                  <c:v>04/01/2019</c:v>
                </c:pt>
                <c:pt idx="3">
                  <c:v>05/01/2019</c:v>
                </c:pt>
                <c:pt idx="4">
                  <c:v>07/01/2019</c:v>
                </c:pt>
                <c:pt idx="5">
                  <c:v>09/01/2019</c:v>
                </c:pt>
                <c:pt idx="6">
                  <c:v>10/01/2019</c:v>
                </c:pt>
                <c:pt idx="7">
                  <c:v>11/01/2019</c:v>
                </c:pt>
                <c:pt idx="8">
                  <c:v>12/01/2019</c:v>
                </c:pt>
                <c:pt idx="9">
                  <c:v>14/01/2019</c:v>
                </c:pt>
                <c:pt idx="10">
                  <c:v>15/01/2019</c:v>
                </c:pt>
                <c:pt idx="11">
                  <c:v>16/01/2019</c:v>
                </c:pt>
                <c:pt idx="12">
                  <c:v>17/01/2019</c:v>
                </c:pt>
                <c:pt idx="13">
                  <c:v>18/01/2019</c:v>
                </c:pt>
                <c:pt idx="14">
                  <c:v>19/01/2019</c:v>
                </c:pt>
                <c:pt idx="15">
                  <c:v>21/01/2019</c:v>
                </c:pt>
              </c:strCache>
            </c:strRef>
          </c:cat>
          <c:val>
            <c:numRef>
              <c:f>Hoja1!$C$2:$C$18</c:f>
              <c:numCache>
                <c:formatCode>General</c:formatCode>
                <c:ptCount val="16"/>
                <c:pt idx="0">
                  <c:v>0.96239103362391032</c:v>
                </c:pt>
                <c:pt idx="2">
                  <c:v>1.0110450297366185</c:v>
                </c:pt>
                <c:pt idx="3">
                  <c:v>0.80077369439071577</c:v>
                </c:pt>
                <c:pt idx="4">
                  <c:v>2.1779613946841243</c:v>
                </c:pt>
                <c:pt idx="5">
                  <c:v>1.0091062160827386</c:v>
                </c:pt>
                <c:pt idx="6">
                  <c:v>1.8035331671695307</c:v>
                </c:pt>
                <c:pt idx="7">
                  <c:v>2.0065634796238245</c:v>
                </c:pt>
                <c:pt idx="8">
                  <c:v>0.9883449883449883</c:v>
                </c:pt>
                <c:pt idx="9">
                  <c:v>0.83738796414852756</c:v>
                </c:pt>
                <c:pt idx="10">
                  <c:v>1.0126012601260126</c:v>
                </c:pt>
                <c:pt idx="11">
                  <c:v>2.2001981351981352</c:v>
                </c:pt>
                <c:pt idx="12">
                  <c:v>1.3479496298670481</c:v>
                </c:pt>
                <c:pt idx="13">
                  <c:v>2.2345555459843709</c:v>
                </c:pt>
                <c:pt idx="14">
                  <c:v>0.90935464303610514</c:v>
                </c:pt>
                <c:pt idx="15">
                  <c:v>1.0114478114478114</c:v>
                </c:pt>
              </c:numCache>
            </c:numRef>
          </c:val>
          <c:smooth val="0"/>
          <c:extLst>
            <c:ext xmlns:c16="http://schemas.microsoft.com/office/drawing/2014/chart" uri="{C3380CC4-5D6E-409C-BE32-E72D297353CC}">
              <c16:uniqueId val="{00000005-A043-4DB8-9FCC-1B1B20E8F7E6}"/>
            </c:ext>
          </c:extLst>
        </c:ser>
        <c:ser>
          <c:idx val="2"/>
          <c:order val="2"/>
          <c:tx>
            <c:strRef>
              <c:f>Hoja1!$D$1</c:f>
              <c:strCache>
                <c:ptCount val="1"/>
                <c:pt idx="0">
                  <c:v>Suma de RESULTADO CALIDAD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Hoja1!$A$2:$A$18</c:f>
              <c:strCache>
                <c:ptCount val="16"/>
                <c:pt idx="0">
                  <c:v>02/01/2019</c:v>
                </c:pt>
                <c:pt idx="1">
                  <c:v>03/01/2019</c:v>
                </c:pt>
                <c:pt idx="2">
                  <c:v>04/01/2019</c:v>
                </c:pt>
                <c:pt idx="3">
                  <c:v>05/01/2019</c:v>
                </c:pt>
                <c:pt idx="4">
                  <c:v>07/01/2019</c:v>
                </c:pt>
                <c:pt idx="5">
                  <c:v>09/01/2019</c:v>
                </c:pt>
                <c:pt idx="6">
                  <c:v>10/01/2019</c:v>
                </c:pt>
                <c:pt idx="7">
                  <c:v>11/01/2019</c:v>
                </c:pt>
                <c:pt idx="8">
                  <c:v>12/01/2019</c:v>
                </c:pt>
                <c:pt idx="9">
                  <c:v>14/01/2019</c:v>
                </c:pt>
                <c:pt idx="10">
                  <c:v>15/01/2019</c:v>
                </c:pt>
                <c:pt idx="11">
                  <c:v>16/01/2019</c:v>
                </c:pt>
                <c:pt idx="12">
                  <c:v>17/01/2019</c:v>
                </c:pt>
                <c:pt idx="13">
                  <c:v>18/01/2019</c:v>
                </c:pt>
                <c:pt idx="14">
                  <c:v>19/01/2019</c:v>
                </c:pt>
                <c:pt idx="15">
                  <c:v>21/01/2019</c:v>
                </c:pt>
              </c:strCache>
            </c:strRef>
          </c:cat>
          <c:val>
            <c:numRef>
              <c:f>Hoja1!$D$2:$D$18</c:f>
              <c:numCache>
                <c:formatCode>General</c:formatCode>
                <c:ptCount val="16"/>
                <c:pt idx="0">
                  <c:v>1</c:v>
                </c:pt>
                <c:pt idx="2">
                  <c:v>0.89915966386554624</c:v>
                </c:pt>
                <c:pt idx="3">
                  <c:v>1</c:v>
                </c:pt>
                <c:pt idx="4">
                  <c:v>1.7870573870573869</c:v>
                </c:pt>
                <c:pt idx="5">
                  <c:v>1</c:v>
                </c:pt>
                <c:pt idx="6">
                  <c:v>1.7034199068811584</c:v>
                </c:pt>
                <c:pt idx="7">
                  <c:v>1.991304347826087</c:v>
                </c:pt>
                <c:pt idx="8">
                  <c:v>0.85094339622641513</c:v>
                </c:pt>
                <c:pt idx="9">
                  <c:v>1</c:v>
                </c:pt>
                <c:pt idx="10">
                  <c:v>0.92</c:v>
                </c:pt>
                <c:pt idx="11">
                  <c:v>1.8472149014896937</c:v>
                </c:pt>
                <c:pt idx="12">
                  <c:v>1.6754802545042979</c:v>
                </c:pt>
                <c:pt idx="13">
                  <c:v>1.6746782608695652</c:v>
                </c:pt>
                <c:pt idx="14">
                  <c:v>0.96925754060324831</c:v>
                </c:pt>
                <c:pt idx="15">
                  <c:v>0.98180204172214824</c:v>
                </c:pt>
              </c:numCache>
            </c:numRef>
          </c:val>
          <c:smooth val="0"/>
          <c:extLst>
            <c:ext xmlns:c16="http://schemas.microsoft.com/office/drawing/2014/chart" uri="{C3380CC4-5D6E-409C-BE32-E72D297353CC}">
              <c16:uniqueId val="{00000006-A043-4DB8-9FCC-1B1B20E8F7E6}"/>
            </c:ext>
          </c:extLst>
        </c:ser>
        <c:dLbls>
          <c:showLegendKey val="0"/>
          <c:showVal val="0"/>
          <c:showCatName val="0"/>
          <c:showSerName val="0"/>
          <c:showPercent val="0"/>
          <c:showBubbleSize val="0"/>
        </c:dLbls>
        <c:marker val="1"/>
        <c:smooth val="0"/>
        <c:axId val="694455472"/>
        <c:axId val="694455080"/>
      </c:lineChart>
      <c:catAx>
        <c:axId val="69445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94455080"/>
        <c:crosses val="autoZero"/>
        <c:auto val="1"/>
        <c:lblAlgn val="ctr"/>
        <c:lblOffset val="100"/>
        <c:noMultiLvlLbl val="0"/>
      </c:catAx>
      <c:valAx>
        <c:axId val="694455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9445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[OEE Rea 2025.xlsx]PPM´s!TablaDinámica1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FLAT</a:t>
            </a:r>
            <a:r>
              <a:rPr lang="en-US" baseline="0"/>
              <a:t> TUBE 7914992007</a:t>
            </a:r>
            <a:br>
              <a:rPr lang="en-US" baseline="0"/>
            </a:br>
            <a:r>
              <a:rPr lang="es-MX" sz="1600" b="1" i="0" u="none" strike="noStrike" baseline="0"/>
              <a:t>MONTHLY</a:t>
            </a:r>
            <a:r>
              <a:rPr lang="en-US"/>
              <a:t> </a:t>
            </a:r>
            <a:r>
              <a:rPr lang="en-US" sz="1600" b="1" i="0" u="none" strike="noStrike" baseline="0">
                <a:effectLst/>
              </a:rPr>
              <a:t>PPM´s  </a:t>
            </a:r>
            <a:r>
              <a:rPr lang="en-US"/>
              <a:t>2019</a:t>
            </a:r>
          </a:p>
        </c:rich>
      </c:tx>
      <c:layout>
        <c:manualLayout>
          <c:xMode val="edge"/>
          <c:yMode val="edge"/>
          <c:x val="0.35002816631043482"/>
          <c:y val="5.026362855085592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MX"/>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1121654613626554"/>
          <c:y val="0.27662992125984254"/>
          <c:w val="0.86357168948057628"/>
          <c:h val="0.57257079707141867"/>
        </c:manualLayout>
      </c:layout>
      <c:barChart>
        <c:barDir val="col"/>
        <c:grouping val="clustered"/>
        <c:varyColors val="1"/>
        <c:ser>
          <c:idx val="0"/>
          <c:order val="0"/>
          <c:tx>
            <c:strRef>
              <c:f>PPM´s!$B$20</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A45-4E36-BC19-D8730A2C7703}"/>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22C-4D1E-B371-100DE66ECF70}"/>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59B-4BAB-9F23-0C31942181FF}"/>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7AD-4F16-8993-F1A734633475}"/>
              </c:ext>
            </c:extLst>
          </c:dPt>
          <c:cat>
            <c:strRef>
              <c:f>PPM´s!$A$21:$A$25</c:f>
              <c:strCache>
                <c:ptCount val="4"/>
                <c:pt idx="0">
                  <c:v>ene</c:v>
                </c:pt>
                <c:pt idx="1">
                  <c:v>feb</c:v>
                </c:pt>
                <c:pt idx="2">
                  <c:v>mar</c:v>
                </c:pt>
                <c:pt idx="3">
                  <c:v>abr</c:v>
                </c:pt>
              </c:strCache>
            </c:strRef>
          </c:cat>
          <c:val>
            <c:numRef>
              <c:f>PPM´s!$B$21:$B$25</c:f>
              <c:numCache>
                <c:formatCode>_-* #,##0_-;\-* #,##0_-;_-* "-"??_-;_-@_-</c:formatCode>
                <c:ptCount val="4"/>
                <c:pt idx="0">
                  <c:v>56578.947368421053</c:v>
                </c:pt>
                <c:pt idx="1">
                  <c:v>40790.374645407413</c:v>
                </c:pt>
                <c:pt idx="2">
                  <c:v>28430.461524846232</c:v>
                </c:pt>
                <c:pt idx="3">
                  <c:v>97069.019855026796</c:v>
                </c:pt>
              </c:numCache>
            </c:numRef>
          </c:val>
          <c:extLst>
            <c:ext xmlns:c16="http://schemas.microsoft.com/office/drawing/2014/chart" uri="{C3380CC4-5D6E-409C-BE32-E72D297353CC}">
              <c16:uniqueId val="{00000000-022C-4D1E-B371-100DE66ECF70}"/>
            </c:ext>
          </c:extLst>
        </c:ser>
        <c:dLbls>
          <c:showLegendKey val="0"/>
          <c:showVal val="0"/>
          <c:showCatName val="0"/>
          <c:showSerName val="0"/>
          <c:showPercent val="0"/>
          <c:showBubbleSize val="0"/>
        </c:dLbls>
        <c:gapWidth val="100"/>
        <c:overlap val="-24"/>
        <c:axId val="694453512"/>
        <c:axId val="694453120"/>
      </c:barChart>
      <c:catAx>
        <c:axId val="694453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94453120"/>
        <c:crosses val="autoZero"/>
        <c:auto val="1"/>
        <c:lblAlgn val="ctr"/>
        <c:lblOffset val="100"/>
        <c:noMultiLvlLbl val="0"/>
      </c:catAx>
      <c:valAx>
        <c:axId val="69445312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6944535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[OEE Rea 2025.xlsx]PPM´s!TablaDinámica2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 FLAT TUBE 7914992007 </a:t>
            </a:r>
            <a:br>
              <a:rPr lang="en-US"/>
            </a:br>
            <a:r>
              <a:rPr lang="en-US"/>
              <a:t> WEEKLY </a:t>
            </a:r>
            <a:r>
              <a:rPr lang="en-US" sz="1600" b="1" i="0" u="none" strike="noStrike" baseline="0">
                <a:effectLst/>
              </a:rPr>
              <a:t>PPM´s </a:t>
            </a:r>
            <a:r>
              <a:rPr lang="en-US" baseline="0"/>
              <a:t> </a:t>
            </a:r>
            <a:r>
              <a:rPr lang="en-US"/>
              <a:t>2019</a:t>
            </a:r>
          </a:p>
        </c:rich>
      </c:tx>
      <c:overlay val="0"/>
      <c:spPr>
        <a:noFill/>
        <a:ln>
          <a:noFill/>
        </a:ln>
        <a:effectLst/>
      </c:spPr>
    </c:title>
    <c:autoTitleDeleted val="0"/>
    <c:pivotFmts>
      <c:pivotFmt>
        <c:idx val="0"/>
        <c:marker>
          <c:symbol val="none"/>
        </c:marker>
        <c:dLbl>
          <c:idx val="0"/>
          <c:delet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pivotFmt>
      <c:pivotFmt>
        <c:idx val="1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pivotFmt>
      <c:pivotFmt>
        <c:idx val="11"/>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
        <c:idx val="1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pivotFmt>
      <c:pivotFmt>
        <c:idx val="13"/>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pivotFmt>
      <c:pivotFmt>
        <c:idx val="14"/>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pivotFmt>
      <c:pivotFmt>
        <c:idx val="15"/>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pivotFmt>
      <c:pivotFmt>
        <c:idx val="16"/>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pivotFmt>
      <c:pivotFmt>
        <c:idx val="17"/>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pivotFmt>
      <c:pivotFmt>
        <c:idx val="18"/>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pivotFmt>
      <c:pivotFmt>
        <c:idx val="19"/>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pivotFmt>
      <c:pivotFmt>
        <c:idx val="2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pivotFmt>
      <c:pivotFmt>
        <c:idx val="21"/>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pivotFmt>
      <c:pivotFmt>
        <c:idx val="22"/>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pivotFmt>
      <c:pivotFmt>
        <c:idx val="23"/>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pivotFmt>
      <c:pivotFmt>
        <c:idx val="24"/>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pivotFmt>
      <c:pivotFmt>
        <c:idx val="25"/>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pivotFmt>
      <c:pivotFmt>
        <c:idx val="26"/>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c:spPr>
      </c:pivotFmt>
      <c:pivotFmt>
        <c:idx val="27"/>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c:spPr>
      </c:pivotFmt>
      <c:pivotFmt>
        <c:idx val="28"/>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c:spPr>
      </c:pivotFmt>
      <c:pivotFmt>
        <c:idx val="29"/>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c:spPr>
      </c:pivotFmt>
      <c:pivotFmt>
        <c:idx val="3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c:spPr>
      </c:pivotFmt>
      <c:pivotFmt>
        <c:idx val="31"/>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c:spPr>
      </c:pivotFmt>
      <c:pivotFmt>
        <c:idx val="32"/>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c:spPr>
      </c:pivotFmt>
      <c:pivotFmt>
        <c:idx val="33"/>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c:spPr>
      </c:pivotFmt>
      <c:pivotFmt>
        <c:idx val="34"/>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c:spPr>
      </c:pivotFmt>
      <c:pivotFmt>
        <c:idx val="35"/>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c:spPr>
      </c:pivotFmt>
      <c:pivotFmt>
        <c:idx val="36"/>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c:spPr>
      </c:pivotFmt>
      <c:pivotFmt>
        <c:idx val="37"/>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c:spPr>
      </c:pivotFmt>
      <c:pivotFmt>
        <c:idx val="38"/>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c:spPr>
      </c:pivotFmt>
      <c:pivotFmt>
        <c:idx val="39"/>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c:spPr>
      </c:pivotFmt>
      <c:pivotFmt>
        <c:idx val="4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c:spPr>
      </c:pivotFmt>
      <c:pivotFmt>
        <c:idx val="41"/>
        <c:spPr>
          <a:gradFill rotWithShape="1">
            <a:gsLst>
              <a:gs pos="0">
                <a:schemeClr val="accent5">
                  <a:lumMod val="70000"/>
                  <a:lumOff val="30000"/>
                  <a:satMod val="103000"/>
                  <a:lumMod val="102000"/>
                  <a:tint val="94000"/>
                </a:schemeClr>
              </a:gs>
              <a:gs pos="50000">
                <a:schemeClr val="accent5">
                  <a:lumMod val="70000"/>
                  <a:lumOff val="30000"/>
                  <a:satMod val="110000"/>
                  <a:lumMod val="100000"/>
                  <a:shade val="100000"/>
                </a:schemeClr>
              </a:gs>
              <a:gs pos="100000">
                <a:schemeClr val="accent5">
                  <a:lumMod val="70000"/>
                  <a:lumOff val="30000"/>
                  <a:lumMod val="99000"/>
                  <a:satMod val="120000"/>
                  <a:shade val="78000"/>
                </a:schemeClr>
              </a:gs>
            </a:gsLst>
            <a:lin ang="5400000" scaled="0"/>
          </a:gradFill>
          <a:ln>
            <a:noFill/>
          </a:ln>
          <a:effectLst/>
        </c:spPr>
      </c:pivotFmt>
      <c:pivotFmt>
        <c:idx val="42"/>
        <c:spPr>
          <a:gradFill rotWithShape="1">
            <a:gsLst>
              <a:gs pos="0">
                <a:schemeClr val="accent6">
                  <a:lumMod val="70000"/>
                  <a:lumOff val="30000"/>
                  <a:satMod val="103000"/>
                  <a:lumMod val="102000"/>
                  <a:tint val="94000"/>
                </a:schemeClr>
              </a:gs>
              <a:gs pos="50000">
                <a:schemeClr val="accent6">
                  <a:lumMod val="70000"/>
                  <a:lumOff val="30000"/>
                  <a:satMod val="110000"/>
                  <a:lumMod val="100000"/>
                  <a:shade val="100000"/>
                </a:schemeClr>
              </a:gs>
              <a:gs pos="100000">
                <a:schemeClr val="accent6">
                  <a:lumMod val="70000"/>
                  <a:lumOff val="30000"/>
                  <a:lumMod val="99000"/>
                  <a:satMod val="120000"/>
                  <a:shade val="78000"/>
                </a:schemeClr>
              </a:gs>
            </a:gsLst>
            <a:lin ang="5400000" scaled="0"/>
          </a:gradFill>
          <a:ln>
            <a:noFill/>
          </a:ln>
          <a:effectLst/>
        </c:spPr>
      </c:pivotFmt>
      <c:pivotFmt>
        <c:idx val="43"/>
        <c:spPr>
          <a:gradFill rotWithShape="1">
            <a:gsLst>
              <a:gs pos="0">
                <a:schemeClr val="accent1">
                  <a:lumMod val="70000"/>
                  <a:satMod val="103000"/>
                  <a:lumMod val="102000"/>
                  <a:tint val="94000"/>
                </a:schemeClr>
              </a:gs>
              <a:gs pos="50000">
                <a:schemeClr val="accent1">
                  <a:lumMod val="70000"/>
                  <a:satMod val="110000"/>
                  <a:lumMod val="100000"/>
                  <a:shade val="100000"/>
                </a:schemeClr>
              </a:gs>
              <a:gs pos="100000">
                <a:schemeClr val="accent1">
                  <a:lumMod val="70000"/>
                  <a:lumMod val="99000"/>
                  <a:satMod val="120000"/>
                  <a:shade val="78000"/>
                </a:schemeClr>
              </a:gs>
            </a:gsLst>
            <a:lin ang="5400000" scaled="0"/>
          </a:gradFill>
          <a:ln>
            <a:noFill/>
          </a:ln>
          <a:effectLst/>
        </c:spPr>
      </c:pivotFmt>
      <c:pivotFmt>
        <c:idx val="44"/>
        <c:spPr>
          <a:gradFill rotWithShape="1">
            <a:gsLst>
              <a:gs pos="0">
                <a:schemeClr val="accent2">
                  <a:lumMod val="70000"/>
                  <a:satMod val="103000"/>
                  <a:lumMod val="102000"/>
                  <a:tint val="94000"/>
                </a:schemeClr>
              </a:gs>
              <a:gs pos="50000">
                <a:schemeClr val="accent2">
                  <a:lumMod val="70000"/>
                  <a:satMod val="110000"/>
                  <a:lumMod val="100000"/>
                  <a:shade val="100000"/>
                </a:schemeClr>
              </a:gs>
              <a:gs pos="100000">
                <a:schemeClr val="accent2">
                  <a:lumMod val="70000"/>
                  <a:lumMod val="99000"/>
                  <a:satMod val="120000"/>
                  <a:shade val="78000"/>
                </a:schemeClr>
              </a:gs>
            </a:gsLst>
            <a:lin ang="5400000" scaled="0"/>
          </a:gradFill>
          <a:ln>
            <a:noFill/>
          </a:ln>
          <a:effectLst/>
        </c:spPr>
      </c:pivotFmt>
      <c:pivotFmt>
        <c:idx val="45"/>
        <c:spPr>
          <a:gradFill rotWithShape="1">
            <a:gsLst>
              <a:gs pos="0">
                <a:schemeClr val="accent3">
                  <a:lumMod val="70000"/>
                  <a:satMod val="103000"/>
                  <a:lumMod val="102000"/>
                  <a:tint val="94000"/>
                </a:schemeClr>
              </a:gs>
              <a:gs pos="50000">
                <a:schemeClr val="accent3">
                  <a:lumMod val="70000"/>
                  <a:satMod val="110000"/>
                  <a:lumMod val="100000"/>
                  <a:shade val="100000"/>
                </a:schemeClr>
              </a:gs>
              <a:gs pos="100000">
                <a:schemeClr val="accent3">
                  <a:lumMod val="70000"/>
                  <a:lumMod val="99000"/>
                  <a:satMod val="120000"/>
                  <a:shade val="78000"/>
                </a:schemeClr>
              </a:gs>
            </a:gsLst>
            <a:lin ang="5400000" scaled="0"/>
          </a:gradFill>
          <a:ln>
            <a:noFill/>
          </a:ln>
          <a:effectLst/>
        </c:spPr>
      </c:pivotFmt>
      <c:pivotFmt>
        <c:idx val="46"/>
        <c:spPr>
          <a:gradFill rotWithShape="1">
            <a:gsLst>
              <a:gs pos="0">
                <a:schemeClr val="accent4">
                  <a:lumMod val="70000"/>
                  <a:satMod val="103000"/>
                  <a:lumMod val="102000"/>
                  <a:tint val="94000"/>
                </a:schemeClr>
              </a:gs>
              <a:gs pos="50000">
                <a:schemeClr val="accent4">
                  <a:lumMod val="70000"/>
                  <a:satMod val="110000"/>
                  <a:lumMod val="100000"/>
                  <a:shade val="100000"/>
                </a:schemeClr>
              </a:gs>
              <a:gs pos="100000">
                <a:schemeClr val="accent4">
                  <a:lumMod val="70000"/>
                  <a:lumMod val="99000"/>
                  <a:satMod val="120000"/>
                  <a:shade val="78000"/>
                </a:schemeClr>
              </a:gs>
            </a:gsLst>
            <a:lin ang="5400000" scaled="0"/>
          </a:gradFill>
          <a:ln>
            <a:noFill/>
          </a:ln>
          <a:effectLst/>
        </c:spPr>
      </c:pivotFmt>
      <c:pivotFmt>
        <c:idx val="47"/>
        <c:spPr>
          <a:gradFill rotWithShape="1">
            <a:gsLst>
              <a:gs pos="0">
                <a:schemeClr val="accent5">
                  <a:lumMod val="70000"/>
                  <a:satMod val="103000"/>
                  <a:lumMod val="102000"/>
                  <a:tint val="94000"/>
                </a:schemeClr>
              </a:gs>
              <a:gs pos="50000">
                <a:schemeClr val="accent5">
                  <a:lumMod val="70000"/>
                  <a:satMod val="110000"/>
                  <a:lumMod val="100000"/>
                  <a:shade val="100000"/>
                </a:schemeClr>
              </a:gs>
              <a:gs pos="100000">
                <a:schemeClr val="accent5">
                  <a:lumMod val="70000"/>
                  <a:lumMod val="99000"/>
                  <a:satMod val="120000"/>
                  <a:shade val="78000"/>
                </a:schemeClr>
              </a:gs>
            </a:gsLst>
            <a:lin ang="5400000" scaled="0"/>
          </a:gradFill>
          <a:ln>
            <a:noFill/>
          </a:ln>
          <a:effectLst/>
        </c:spPr>
      </c:pivotFmt>
      <c:pivotFmt>
        <c:idx val="48"/>
        <c:spPr>
          <a:gradFill rotWithShape="1">
            <a:gsLst>
              <a:gs pos="0">
                <a:schemeClr val="accent6">
                  <a:lumMod val="70000"/>
                  <a:satMod val="103000"/>
                  <a:lumMod val="102000"/>
                  <a:tint val="94000"/>
                </a:schemeClr>
              </a:gs>
              <a:gs pos="50000">
                <a:schemeClr val="accent6">
                  <a:lumMod val="70000"/>
                  <a:satMod val="110000"/>
                  <a:lumMod val="100000"/>
                  <a:shade val="100000"/>
                </a:schemeClr>
              </a:gs>
              <a:gs pos="100000">
                <a:schemeClr val="accent6">
                  <a:lumMod val="70000"/>
                  <a:lumMod val="99000"/>
                  <a:satMod val="120000"/>
                  <a:shade val="78000"/>
                </a:schemeClr>
              </a:gs>
            </a:gsLst>
            <a:lin ang="5400000" scaled="0"/>
          </a:gradFill>
          <a:ln>
            <a:noFill/>
          </a:ln>
          <a:effectLst/>
        </c:spPr>
      </c:pivotFmt>
      <c:pivotFmt>
        <c:idx val="49"/>
        <c:spPr>
          <a:gradFill rotWithShape="1">
            <a:gsLst>
              <a:gs pos="0">
                <a:schemeClr val="accent1">
                  <a:lumMod val="50000"/>
                  <a:lumOff val="50000"/>
                  <a:satMod val="103000"/>
                  <a:lumMod val="102000"/>
                  <a:tint val="94000"/>
                </a:schemeClr>
              </a:gs>
              <a:gs pos="50000">
                <a:schemeClr val="accent1">
                  <a:lumMod val="50000"/>
                  <a:lumOff val="50000"/>
                  <a:satMod val="110000"/>
                  <a:lumMod val="100000"/>
                  <a:shade val="100000"/>
                </a:schemeClr>
              </a:gs>
              <a:gs pos="100000">
                <a:schemeClr val="accent1">
                  <a:lumMod val="50000"/>
                  <a:lumOff val="50000"/>
                  <a:lumMod val="99000"/>
                  <a:satMod val="120000"/>
                  <a:shade val="78000"/>
                </a:schemeClr>
              </a:gs>
            </a:gsLst>
            <a:lin ang="5400000" scaled="0"/>
          </a:gradFill>
          <a:ln>
            <a:noFill/>
          </a:ln>
          <a:effectLst/>
        </c:spPr>
      </c:pivotFmt>
      <c:pivotFmt>
        <c:idx val="50"/>
        <c:spPr>
          <a:gradFill rotWithShape="1">
            <a:gsLst>
              <a:gs pos="0">
                <a:schemeClr val="accent2">
                  <a:lumMod val="50000"/>
                  <a:lumOff val="50000"/>
                  <a:satMod val="103000"/>
                  <a:lumMod val="102000"/>
                  <a:tint val="94000"/>
                </a:schemeClr>
              </a:gs>
              <a:gs pos="50000">
                <a:schemeClr val="accent2">
                  <a:lumMod val="50000"/>
                  <a:lumOff val="50000"/>
                  <a:satMod val="110000"/>
                  <a:lumMod val="100000"/>
                  <a:shade val="100000"/>
                </a:schemeClr>
              </a:gs>
              <a:gs pos="100000">
                <a:schemeClr val="accent2">
                  <a:lumMod val="50000"/>
                  <a:lumOff val="50000"/>
                  <a:lumMod val="99000"/>
                  <a:satMod val="120000"/>
                  <a:shade val="78000"/>
                </a:schemeClr>
              </a:gs>
            </a:gsLst>
            <a:lin ang="5400000" scaled="0"/>
          </a:gradFill>
          <a:ln>
            <a:noFill/>
          </a:ln>
          <a:effectLst/>
        </c:spPr>
      </c:pivotFmt>
      <c:pivotFmt>
        <c:idx val="51"/>
        <c:spPr>
          <a:gradFill rotWithShape="1">
            <a:gsLst>
              <a:gs pos="0">
                <a:schemeClr val="accent3">
                  <a:lumMod val="50000"/>
                  <a:lumOff val="50000"/>
                  <a:satMod val="103000"/>
                  <a:lumMod val="102000"/>
                  <a:tint val="94000"/>
                </a:schemeClr>
              </a:gs>
              <a:gs pos="50000">
                <a:schemeClr val="accent3">
                  <a:lumMod val="50000"/>
                  <a:lumOff val="50000"/>
                  <a:satMod val="110000"/>
                  <a:lumMod val="100000"/>
                  <a:shade val="100000"/>
                </a:schemeClr>
              </a:gs>
              <a:gs pos="100000">
                <a:schemeClr val="accent3">
                  <a:lumMod val="50000"/>
                  <a:lumOff val="50000"/>
                  <a:lumMod val="99000"/>
                  <a:satMod val="120000"/>
                  <a:shade val="78000"/>
                </a:schemeClr>
              </a:gs>
            </a:gsLst>
            <a:lin ang="5400000" scaled="0"/>
          </a:gradFill>
          <a:ln>
            <a:noFill/>
          </a:ln>
          <a:effectLst/>
        </c:spPr>
      </c:pivotFmt>
      <c:pivotFmt>
        <c:idx val="52"/>
        <c:spPr>
          <a:gradFill rotWithShape="1">
            <a:gsLst>
              <a:gs pos="0">
                <a:schemeClr val="accent4">
                  <a:lumMod val="50000"/>
                  <a:lumOff val="50000"/>
                  <a:satMod val="103000"/>
                  <a:lumMod val="102000"/>
                  <a:tint val="94000"/>
                </a:schemeClr>
              </a:gs>
              <a:gs pos="50000">
                <a:schemeClr val="accent4">
                  <a:lumMod val="50000"/>
                  <a:lumOff val="50000"/>
                  <a:satMod val="110000"/>
                  <a:lumMod val="100000"/>
                  <a:shade val="100000"/>
                </a:schemeClr>
              </a:gs>
              <a:gs pos="100000">
                <a:schemeClr val="accent4">
                  <a:lumMod val="50000"/>
                  <a:lumOff val="50000"/>
                  <a:lumMod val="99000"/>
                  <a:satMod val="120000"/>
                  <a:shade val="78000"/>
                </a:schemeClr>
              </a:gs>
            </a:gsLst>
            <a:lin ang="5400000" scaled="0"/>
          </a:gradFill>
          <a:ln>
            <a:noFill/>
          </a:ln>
          <a:effectLst/>
        </c:spPr>
      </c:pivotFmt>
      <c:pivotFmt>
        <c:idx val="53"/>
        <c:marker>
          <c:symbol val="none"/>
        </c:marker>
        <c:dLbl>
          <c:idx val="0"/>
          <c:delete val="1"/>
          <c:extLst>
            <c:ext xmlns:c15="http://schemas.microsoft.com/office/drawing/2012/chart" uri="{CE6537A1-D6FC-4f65-9D91-7224C49458BB}"/>
          </c:extLst>
        </c:dLbl>
      </c:pivotFmt>
      <c:pivotFmt>
        <c:idx val="54"/>
        <c:marker>
          <c:symbol val="none"/>
        </c:marker>
      </c:pivotFmt>
      <c:pivotFmt>
        <c:idx val="55"/>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1"/>
        <c:ser>
          <c:idx val="0"/>
          <c:order val="0"/>
          <c:tx>
            <c:strRef>
              <c:f>PPM´s!$Q$20</c:f>
              <c:strCache>
                <c:ptCount val="1"/>
                <c:pt idx="0">
                  <c:v>Sum of PIEZAS PRODUCIDAS2</c:v>
                </c:pt>
              </c:strCache>
            </c:strRef>
          </c:tx>
          <c:invertIfNegative val="0"/>
          <c:dPt>
            <c:idx val="0"/>
            <c:invertIfNegative val="0"/>
            <c:bubble3D val="0"/>
            <c:extLst>
              <c:ext xmlns:c16="http://schemas.microsoft.com/office/drawing/2014/chart" uri="{C3380CC4-5D6E-409C-BE32-E72D297353CC}">
                <c16:uniqueId val="{00000001-298F-4BE3-815E-C604102C510B}"/>
              </c:ext>
            </c:extLst>
          </c:dPt>
          <c:dPt>
            <c:idx val="1"/>
            <c:invertIfNegative val="0"/>
            <c:bubble3D val="0"/>
            <c:extLst>
              <c:ext xmlns:c16="http://schemas.microsoft.com/office/drawing/2014/chart" uri="{C3380CC4-5D6E-409C-BE32-E72D297353CC}">
                <c16:uniqueId val="{00000003-298F-4BE3-815E-C604102C510B}"/>
              </c:ext>
            </c:extLst>
          </c:dPt>
          <c:dPt>
            <c:idx val="2"/>
            <c:invertIfNegative val="0"/>
            <c:bubble3D val="0"/>
            <c:extLst>
              <c:ext xmlns:c16="http://schemas.microsoft.com/office/drawing/2014/chart" uri="{C3380CC4-5D6E-409C-BE32-E72D297353CC}">
                <c16:uniqueId val="{00000005-298F-4BE3-815E-C604102C510B}"/>
              </c:ext>
            </c:extLst>
          </c:dPt>
          <c:dPt>
            <c:idx val="3"/>
            <c:invertIfNegative val="0"/>
            <c:bubble3D val="0"/>
            <c:extLst>
              <c:ext xmlns:c16="http://schemas.microsoft.com/office/drawing/2014/chart" uri="{C3380CC4-5D6E-409C-BE32-E72D297353CC}">
                <c16:uniqueId val="{00000007-298F-4BE3-815E-C604102C510B}"/>
              </c:ext>
            </c:extLst>
          </c:dPt>
          <c:dPt>
            <c:idx val="4"/>
            <c:invertIfNegative val="0"/>
            <c:bubble3D val="0"/>
            <c:extLst>
              <c:ext xmlns:c16="http://schemas.microsoft.com/office/drawing/2014/chart" uri="{C3380CC4-5D6E-409C-BE32-E72D297353CC}">
                <c16:uniqueId val="{00000009-298F-4BE3-815E-C604102C510B}"/>
              </c:ext>
            </c:extLst>
          </c:dPt>
          <c:dPt>
            <c:idx val="5"/>
            <c:invertIfNegative val="0"/>
            <c:bubble3D val="0"/>
            <c:extLst>
              <c:ext xmlns:c16="http://schemas.microsoft.com/office/drawing/2014/chart" uri="{C3380CC4-5D6E-409C-BE32-E72D297353CC}">
                <c16:uniqueId val="{0000000B-298F-4BE3-815E-C604102C510B}"/>
              </c:ext>
            </c:extLst>
          </c:dPt>
          <c:dPt>
            <c:idx val="6"/>
            <c:invertIfNegative val="0"/>
            <c:bubble3D val="0"/>
            <c:extLst>
              <c:ext xmlns:c16="http://schemas.microsoft.com/office/drawing/2014/chart" uri="{C3380CC4-5D6E-409C-BE32-E72D297353CC}">
                <c16:uniqueId val="{0000000D-25FE-4D45-BC3C-FDECE80B635D}"/>
              </c:ext>
            </c:extLst>
          </c:dPt>
          <c:cat>
            <c:strRef>
              <c:f>PPM´s!$P$21:$P$39</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PPM´s!$Q$21:$Q$39</c:f>
              <c:numCache>
                <c:formatCode>_-* #,##0_-;\-* #,##0_-;_-* "-"??_-;_-@_-</c:formatCode>
                <c:ptCount val="18"/>
                <c:pt idx="0">
                  <c:v>3329</c:v>
                </c:pt>
                <c:pt idx="1">
                  <c:v>10626</c:v>
                </c:pt>
                <c:pt idx="2">
                  <c:v>11815</c:v>
                </c:pt>
                <c:pt idx="3">
                  <c:v>9996</c:v>
                </c:pt>
                <c:pt idx="4">
                  <c:v>11049</c:v>
                </c:pt>
                <c:pt idx="6">
                  <c:v>10493</c:v>
                </c:pt>
                <c:pt idx="7">
                  <c:v>13326</c:v>
                </c:pt>
                <c:pt idx="8">
                  <c:v>4115</c:v>
                </c:pt>
                <c:pt idx="9">
                  <c:v>11585</c:v>
                </c:pt>
                <c:pt idx="10">
                  <c:v>11970</c:v>
                </c:pt>
                <c:pt idx="11">
                  <c:v>9657</c:v>
                </c:pt>
                <c:pt idx="12">
                  <c:v>11986</c:v>
                </c:pt>
                <c:pt idx="13">
                  <c:v>6409</c:v>
                </c:pt>
                <c:pt idx="14">
                  <c:v>6395</c:v>
                </c:pt>
                <c:pt idx="15">
                  <c:v>9124</c:v>
                </c:pt>
                <c:pt idx="16">
                  <c:v>10754</c:v>
                </c:pt>
                <c:pt idx="17">
                  <c:v>2221</c:v>
                </c:pt>
              </c:numCache>
            </c:numRef>
          </c:val>
          <c:extLst>
            <c:ext xmlns:c16="http://schemas.microsoft.com/office/drawing/2014/chart" uri="{C3380CC4-5D6E-409C-BE32-E72D297353CC}">
              <c16:uniqueId val="{00000000-E7B5-4F12-B5BD-8C6525A3B528}"/>
            </c:ext>
          </c:extLst>
        </c:ser>
        <c:ser>
          <c:idx val="1"/>
          <c:order val="1"/>
          <c:tx>
            <c:strRef>
              <c:f>PPM´s!$R$20</c:f>
              <c:strCache>
                <c:ptCount val="1"/>
                <c:pt idx="0">
                  <c:v>Sum of SCRAP</c:v>
                </c:pt>
              </c:strCache>
            </c:strRef>
          </c:tx>
          <c:invertIfNegative val="0"/>
          <c:cat>
            <c:strRef>
              <c:f>PPM´s!$P$21:$P$39</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PPM´s!$R$21:$R$39</c:f>
              <c:numCache>
                <c:formatCode>_-* #,##0_-;\-* #,##0_-;_-* "-"??_-;_-@_-</c:formatCode>
                <c:ptCount val="18"/>
                <c:pt idx="0">
                  <c:v>120</c:v>
                </c:pt>
                <c:pt idx="1">
                  <c:v>620</c:v>
                </c:pt>
                <c:pt idx="2">
                  <c:v>1033</c:v>
                </c:pt>
                <c:pt idx="3">
                  <c:v>500</c:v>
                </c:pt>
                <c:pt idx="4">
                  <c:v>295</c:v>
                </c:pt>
                <c:pt idx="5">
                  <c:v>67</c:v>
                </c:pt>
                <c:pt idx="6">
                  <c:v>550</c:v>
                </c:pt>
                <c:pt idx="7">
                  <c:v>457</c:v>
                </c:pt>
                <c:pt idx="8">
                  <c:v>103</c:v>
                </c:pt>
                <c:pt idx="9">
                  <c:v>352</c:v>
                </c:pt>
                <c:pt idx="10">
                  <c:v>220</c:v>
                </c:pt>
                <c:pt idx="11">
                  <c:v>192</c:v>
                </c:pt>
                <c:pt idx="12">
                  <c:v>521</c:v>
                </c:pt>
                <c:pt idx="13">
                  <c:v>625</c:v>
                </c:pt>
                <c:pt idx="14">
                  <c:v>1426</c:v>
                </c:pt>
                <c:pt idx="15">
                  <c:v>985</c:v>
                </c:pt>
                <c:pt idx="16">
                  <c:v>345</c:v>
                </c:pt>
                <c:pt idx="17">
                  <c:v>7</c:v>
                </c:pt>
              </c:numCache>
            </c:numRef>
          </c:val>
          <c:extLst>
            <c:ext xmlns:c16="http://schemas.microsoft.com/office/drawing/2014/chart" uri="{C3380CC4-5D6E-409C-BE32-E72D297353CC}">
              <c16:uniqueId val="{00000007-4E11-49C4-8D3E-69C73F792B29}"/>
            </c:ext>
          </c:extLst>
        </c:ser>
        <c:ser>
          <c:idx val="2"/>
          <c:order val="2"/>
          <c:tx>
            <c:strRef>
              <c:f>PPM´s!$S$20</c:f>
              <c:strCache>
                <c:ptCount val="1"/>
                <c:pt idx="0">
                  <c:v>Suma de PPM´s</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9-4E11-49C4-8D3E-69C73F792B29}"/>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B-4E11-49C4-8D3E-69C73F792B29}"/>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D-4E11-49C4-8D3E-69C73F792B29}"/>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F-4E11-49C4-8D3E-69C73F792B29}"/>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11-4E11-49C4-8D3E-69C73F792B29}"/>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13-4E11-49C4-8D3E-69C73F792B29}"/>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4E11-49C4-8D3E-69C73F792B29}"/>
              </c:ext>
            </c:extLst>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6-EAC1-4978-B2FA-2D8B7D459CC8}"/>
              </c:ext>
            </c:extLst>
          </c:dPt>
          <c:dPt>
            <c:idx val="8"/>
            <c:invertIfNegative val="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8-EAC1-4978-B2FA-2D8B7D459CC8}"/>
              </c:ext>
            </c:extLst>
          </c:dPt>
          <c:dPt>
            <c:idx val="9"/>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A-88D6-4D7B-88B7-E15583728083}"/>
              </c:ext>
            </c:extLst>
          </c:dPt>
          <c:dPt>
            <c:idx val="10"/>
            <c:invertIfNegative val="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C-88D6-4D7B-88B7-E15583728083}"/>
              </c:ext>
            </c:extLst>
          </c:dPt>
          <c:dPt>
            <c:idx val="11"/>
            <c:invertIfNegative val="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E-88D6-4D7B-88B7-E15583728083}"/>
              </c:ext>
            </c:extLst>
          </c:dPt>
          <c:dPt>
            <c:idx val="12"/>
            <c:invertIfNegative val="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0-88D6-4D7B-88B7-E15583728083}"/>
              </c:ext>
            </c:extLst>
          </c:dPt>
          <c:dPt>
            <c:idx val="13"/>
            <c:invertIfNegative val="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2-88D6-4D7B-88B7-E15583728083}"/>
              </c:ext>
            </c:extLst>
          </c:dPt>
          <c:dPt>
            <c:idx val="14"/>
            <c:invertIfNegative val="0"/>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4-88D6-4D7B-88B7-E15583728083}"/>
              </c:ext>
            </c:extLst>
          </c:dPt>
          <c:dPt>
            <c:idx val="15"/>
            <c:invertIfNegative val="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6-88D6-4D7B-88B7-E15583728083}"/>
              </c:ext>
            </c:extLst>
          </c:dPt>
          <c:dPt>
            <c:idx val="16"/>
            <c:invertIfNegative val="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8-88D6-4D7B-88B7-E15583728083}"/>
              </c:ext>
            </c:extLst>
          </c:dPt>
          <c:dPt>
            <c:idx val="17"/>
            <c:invertIfNegative val="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A-88D6-4D7B-88B7-E15583728083}"/>
              </c:ext>
            </c:extLst>
          </c:dPt>
          <c:cat>
            <c:strRef>
              <c:f>PPM´s!$P$21:$P$39</c:f>
              <c:strCache>
                <c:ptCount val="1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strCache>
            </c:strRef>
          </c:cat>
          <c:val>
            <c:numRef>
              <c:f>PPM´s!$S$21:$S$39</c:f>
              <c:numCache>
                <c:formatCode>_-* #,##0_-;\-* #,##0_-;_-* "-"??_-;_-@_-</c:formatCode>
                <c:ptCount val="18"/>
                <c:pt idx="0">
                  <c:v>36046.860919194958</c:v>
                </c:pt>
                <c:pt idx="1">
                  <c:v>58347.449651797477</c:v>
                </c:pt>
                <c:pt idx="2">
                  <c:v>87431.231485399912</c:v>
                </c:pt>
                <c:pt idx="3">
                  <c:v>50020.008003201277</c:v>
                </c:pt>
                <c:pt idx="4">
                  <c:v>26699.248800796453</c:v>
                </c:pt>
                <c:pt idx="6">
                  <c:v>52415.896311826931</c:v>
                </c:pt>
                <c:pt idx="7">
                  <c:v>34293.861623893143</c:v>
                </c:pt>
                <c:pt idx="8">
                  <c:v>25030.376670716887</c:v>
                </c:pt>
                <c:pt idx="9">
                  <c:v>30384.117393180837</c:v>
                </c:pt>
                <c:pt idx="10">
                  <c:v>18379.281537176274</c:v>
                </c:pt>
                <c:pt idx="11">
                  <c:v>19881.950916433674</c:v>
                </c:pt>
                <c:pt idx="12">
                  <c:v>43467.378608376443</c:v>
                </c:pt>
                <c:pt idx="13">
                  <c:v>97519.113746294272</c:v>
                </c:pt>
                <c:pt idx="14">
                  <c:v>222986.70836591086</c:v>
                </c:pt>
                <c:pt idx="15">
                  <c:v>107957.03638754932</c:v>
                </c:pt>
                <c:pt idx="16">
                  <c:v>32081.086107494884</c:v>
                </c:pt>
                <c:pt idx="17">
                  <c:v>3151.7334533993694</c:v>
                </c:pt>
              </c:numCache>
            </c:numRef>
          </c:val>
          <c:extLst>
            <c:ext xmlns:c16="http://schemas.microsoft.com/office/drawing/2014/chart" uri="{C3380CC4-5D6E-409C-BE32-E72D297353CC}">
              <c16:uniqueId val="{00000016-4E11-49C4-8D3E-69C73F792B29}"/>
            </c:ext>
          </c:extLst>
        </c:ser>
        <c:dLbls>
          <c:showLegendKey val="0"/>
          <c:showVal val="0"/>
          <c:showCatName val="0"/>
          <c:showSerName val="0"/>
          <c:showPercent val="0"/>
          <c:showBubbleSize val="0"/>
        </c:dLbls>
        <c:gapWidth val="64"/>
        <c:overlap val="-24"/>
        <c:axId val="678248944"/>
        <c:axId val="678246984"/>
      </c:barChart>
      <c:catAx>
        <c:axId val="67824894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2"/>
                </a:solidFill>
                <a:latin typeface="+mn-lt"/>
                <a:ea typeface="+mn-ea"/>
                <a:cs typeface="+mn-cs"/>
              </a:defRPr>
            </a:pPr>
            <a:endParaRPr lang="es-MX"/>
          </a:p>
        </c:txPr>
        <c:crossAx val="678246984"/>
        <c:crosses val="autoZero"/>
        <c:auto val="1"/>
        <c:lblAlgn val="ctr"/>
        <c:lblOffset val="100"/>
        <c:noMultiLvlLbl val="0"/>
      </c:catAx>
      <c:valAx>
        <c:axId val="678246984"/>
        <c:scaling>
          <c:orientation val="minMax"/>
        </c:scaling>
        <c:delete val="0"/>
        <c:axPos val="l"/>
        <c:majorGridlines>
          <c:spPr>
            <a:ln w="9525" cap="flat" cmpd="sng" algn="ctr">
              <a:solidFill>
                <a:schemeClr val="tx2">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678248944"/>
        <c:crosses val="autoZero"/>
        <c:crossBetween val="between"/>
      </c:valAx>
      <c:dTable>
        <c:showHorzBorder val="1"/>
        <c:showVertBorder val="1"/>
        <c:showOutline val="1"/>
        <c:showKeys val="1"/>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rot="-5400000" vert="horz"/>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[OEE Rea 2025.xlsx]PPM´s!FLAT TUBE 7914992007 MONTHLY PARETO  2018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FLAT TUBE 7914992007</a:t>
            </a:r>
            <a:br>
              <a:rPr lang="en-US"/>
            </a:br>
            <a:r>
              <a:rPr lang="en-US"/>
              <a:t>PARETO  2019</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MX"/>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barChart>
        <c:barDir val="col"/>
        <c:grouping val="clustered"/>
        <c:varyColors val="1"/>
        <c:ser>
          <c:idx val="0"/>
          <c:order val="0"/>
          <c:tx>
            <c:strRef>
              <c:f>PPM´s!$H$22</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7A0D-4BAD-8CA1-42B8921B501D}"/>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A0D-4BAD-8CA1-42B8921B501D}"/>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7A0D-4BAD-8CA1-42B8921B501D}"/>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7A0D-4BAD-8CA1-42B8921B501D}"/>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7A0D-4BAD-8CA1-42B8921B501D}"/>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7A0D-4BAD-8CA1-42B8921B501D}"/>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7A0D-4BAD-8CA1-42B8921B501D}"/>
              </c:ext>
            </c:extLst>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7A0D-4BAD-8CA1-42B8921B501D}"/>
              </c:ext>
            </c:extLst>
          </c:dPt>
          <c:dPt>
            <c:idx val="8"/>
            <c:invertIfNegative val="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7A0D-4BAD-8CA1-42B8921B501D}"/>
              </c:ext>
            </c:extLst>
          </c:dPt>
          <c:dPt>
            <c:idx val="9"/>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7A0D-4BAD-8CA1-42B8921B501D}"/>
              </c:ext>
            </c:extLst>
          </c:dPt>
          <c:dPt>
            <c:idx val="10"/>
            <c:invertIfNegative val="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D9DF-4C9A-916D-58AF7BCE9EED}"/>
              </c:ext>
            </c:extLst>
          </c:dPt>
          <c:dPt>
            <c:idx val="11"/>
            <c:invertIfNegative val="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7-D9DF-4C9A-916D-58AF7BCE9EED}"/>
              </c:ext>
            </c:extLst>
          </c:dPt>
          <c:dPt>
            <c:idx val="12"/>
            <c:invertIfNegative val="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9-D9DF-4C9A-916D-58AF7BCE9EED}"/>
              </c:ext>
            </c:extLst>
          </c:dPt>
          <c:dPt>
            <c:idx val="13"/>
            <c:invertIfNegative val="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B-7792-45AD-8A1A-BDC122798752}"/>
              </c:ext>
            </c:extLst>
          </c:dPt>
          <c:dPt>
            <c:idx val="14"/>
            <c:invertIfNegative val="0"/>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D-7792-45AD-8A1A-BDC122798752}"/>
              </c:ext>
            </c:extLst>
          </c:dPt>
          <c:dPt>
            <c:idx val="15"/>
            <c:invertIfNegative val="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F-7792-45AD-8A1A-BDC122798752}"/>
              </c:ext>
            </c:extLst>
          </c:dPt>
          <c:dPt>
            <c:idx val="16"/>
            <c:invertIfNegative val="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1-7792-45AD-8A1A-BDC122798752}"/>
              </c:ext>
            </c:extLst>
          </c:dPt>
          <c:dPt>
            <c:idx val="17"/>
            <c:invertIfNegative val="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3-7792-45AD-8A1A-BDC122798752}"/>
              </c:ext>
            </c:extLst>
          </c:dPt>
          <c:dPt>
            <c:idx val="18"/>
            <c:invertIfNegative val="0"/>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5-7792-45AD-8A1A-BDC122798752}"/>
              </c:ext>
            </c:extLst>
          </c:dPt>
          <c:dPt>
            <c:idx val="19"/>
            <c:invertIfNegative val="0"/>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7-7792-45AD-8A1A-BDC122798752}"/>
              </c:ext>
            </c:extLst>
          </c:dPt>
          <c:dPt>
            <c:idx val="20"/>
            <c:invertIfNegative val="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9-C515-439E-9B35-433DE9774AB7}"/>
              </c:ext>
            </c:extLst>
          </c:dPt>
          <c:dPt>
            <c:idx val="21"/>
            <c:invertIfNegative val="0"/>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B-C515-439E-9B35-433DE9774AB7}"/>
              </c:ext>
            </c:extLst>
          </c:dPt>
          <c:dPt>
            <c:idx val="22"/>
            <c:invertIfNegative val="0"/>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D-C515-439E-9B35-433DE9774AB7}"/>
              </c:ext>
            </c:extLst>
          </c:dPt>
          <c:dPt>
            <c:idx val="23"/>
            <c:invertIfNegative val="0"/>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F-C515-439E-9B35-433DE9774AB7}"/>
              </c:ext>
            </c:extLst>
          </c:dPt>
          <c:dPt>
            <c:idx val="24"/>
            <c:invertIfNegative val="0"/>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31-C515-439E-9B35-433DE9774AB7}"/>
              </c:ext>
            </c:extLst>
          </c:dPt>
          <c:dPt>
            <c:idx val="25"/>
            <c:invertIfNegative val="0"/>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c:spPr>
            <c:extLst>
              <c:ext xmlns:c16="http://schemas.microsoft.com/office/drawing/2014/chart" uri="{C3380CC4-5D6E-409C-BE32-E72D297353CC}">
                <c16:uniqueId val="{00000033-C515-439E-9B35-433DE9774AB7}"/>
              </c:ext>
            </c:extLst>
          </c:dPt>
          <c:cat>
            <c:strRef>
              <c:f>PPM´s!$G$23:$G$48</c:f>
              <c:strCache>
                <c:ptCount val="26"/>
                <c:pt idx="0">
                  <c:v>Pieces with hits</c:v>
                </c:pt>
                <c:pt idx="1">
                  <c:v>Short piece</c:v>
                </c:pt>
                <c:pt idx="2">
                  <c:v>Suma de Condición de ondulación</c:v>
                </c:pt>
                <c:pt idx="3">
                  <c:v>Welding Failure</c:v>
                </c:pt>
                <c:pt idx="4">
                  <c:v>Badly filed piece</c:v>
                </c:pt>
                <c:pt idx="5">
                  <c:v>Bad welding</c:v>
                </c:pt>
                <c:pt idx="6">
                  <c:v>Sum of Formado</c:v>
                </c:pt>
                <c:pt idx="7">
                  <c:v>Cutter</c:v>
                </c:pt>
                <c:pt idx="8">
                  <c:v>Sum of Otro</c:v>
                </c:pt>
                <c:pt idx="9">
                  <c:v>Suma de Labio levantado</c:v>
                </c:pt>
                <c:pt idx="10">
                  <c:v>Tube Length</c:v>
                </c:pt>
                <c:pt idx="11">
                  <c:v>Stamp</c:v>
                </c:pt>
                <c:pt idx="12">
                  <c:v>Misaligned welding</c:v>
                </c:pt>
                <c:pt idx="13">
                  <c:v>Suma de Prensa</c:v>
                </c:pt>
                <c:pt idx="14">
                  <c:v>Falls to the floor</c:v>
                </c:pt>
                <c:pt idx="15">
                  <c:v>Suma de Pieza larga</c:v>
                </c:pt>
                <c:pt idx="16">
                  <c:v>Suma de Rodillo</c:v>
                </c:pt>
                <c:pt idx="17">
                  <c:v>Suma de Diimples marcados</c:v>
                </c:pt>
                <c:pt idx="18">
                  <c:v>Manual filing</c:v>
                </c:pt>
                <c:pt idx="19">
                  <c:v>Suma de Couples</c:v>
                </c:pt>
                <c:pt idx="20">
                  <c:v>Sum of Doble grabado</c:v>
                </c:pt>
                <c:pt idx="21">
                  <c:v>Suma de Rebaba de ventana</c:v>
                </c:pt>
                <c:pt idx="22">
                  <c:v>Sum of Washer</c:v>
                </c:pt>
                <c:pt idx="23">
                  <c:v>Sum of DC03</c:v>
                </c:pt>
                <c:pt idx="24">
                  <c:v>Sum of DC01</c:v>
                </c:pt>
                <c:pt idx="25">
                  <c:v>Sum of Corona</c:v>
                </c:pt>
              </c:strCache>
            </c:strRef>
          </c:cat>
          <c:val>
            <c:numRef>
              <c:f>PPM´s!$H$23:$H$48</c:f>
              <c:numCache>
                <c:formatCode>General</c:formatCode>
                <c:ptCount val="26"/>
                <c:pt idx="0">
                  <c:v>886</c:v>
                </c:pt>
                <c:pt idx="1">
                  <c:v>279</c:v>
                </c:pt>
                <c:pt idx="2">
                  <c:v>219</c:v>
                </c:pt>
                <c:pt idx="3">
                  <c:v>185</c:v>
                </c:pt>
                <c:pt idx="4">
                  <c:v>257</c:v>
                </c:pt>
                <c:pt idx="5">
                  <c:v>333</c:v>
                </c:pt>
                <c:pt idx="6">
                  <c:v>160</c:v>
                </c:pt>
                <c:pt idx="7">
                  <c:v>159</c:v>
                </c:pt>
                <c:pt idx="8">
                  <c:v>257</c:v>
                </c:pt>
                <c:pt idx="9">
                  <c:v>165</c:v>
                </c:pt>
                <c:pt idx="10">
                  <c:v>41</c:v>
                </c:pt>
                <c:pt idx="11">
                  <c:v>66</c:v>
                </c:pt>
                <c:pt idx="12">
                  <c:v>112</c:v>
                </c:pt>
                <c:pt idx="13">
                  <c:v>117</c:v>
                </c:pt>
                <c:pt idx="14">
                  <c:v>90</c:v>
                </c:pt>
                <c:pt idx="15">
                  <c:v>67</c:v>
                </c:pt>
                <c:pt idx="16">
                  <c:v>41</c:v>
                </c:pt>
                <c:pt idx="17">
                  <c:v>183</c:v>
                </c:pt>
                <c:pt idx="18">
                  <c:v>11</c:v>
                </c:pt>
                <c:pt idx="19">
                  <c:v>12</c:v>
                </c:pt>
                <c:pt idx="20">
                  <c:v>21</c:v>
                </c:pt>
                <c:pt idx="21">
                  <c:v>48</c:v>
                </c:pt>
              </c:numCache>
            </c:numRef>
          </c:val>
          <c:extLst>
            <c:ext xmlns:c16="http://schemas.microsoft.com/office/drawing/2014/chart" uri="{C3380CC4-5D6E-409C-BE32-E72D297353CC}">
              <c16:uniqueId val="{00000000-479E-468F-BA90-5CBF5801DC70}"/>
            </c:ext>
          </c:extLst>
        </c:ser>
        <c:dLbls>
          <c:showLegendKey val="0"/>
          <c:showVal val="0"/>
          <c:showCatName val="0"/>
          <c:showSerName val="0"/>
          <c:showPercent val="0"/>
          <c:showBubbleSize val="0"/>
        </c:dLbls>
        <c:gapWidth val="100"/>
        <c:overlap val="-24"/>
        <c:axId val="678248160"/>
        <c:axId val="678248552"/>
      </c:barChart>
      <c:catAx>
        <c:axId val="67824816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678248552"/>
        <c:crosses val="autoZero"/>
        <c:auto val="1"/>
        <c:lblAlgn val="ctr"/>
        <c:lblOffset val="100"/>
        <c:noMultiLvlLbl val="0"/>
      </c:catAx>
      <c:valAx>
        <c:axId val="67824855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678248160"/>
        <c:crosses val="autoZero"/>
        <c:crossBetween val="between"/>
      </c:valAx>
      <c:dTable>
        <c:showHorzBorder val="1"/>
        <c:showVertBorder val="1"/>
        <c:showOutline val="1"/>
        <c:showKeys val="0"/>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[OEE Rea 2025.xlsx]PPM´s!TablaDinámica5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ACTUADOR</a:t>
            </a:r>
            <a:r>
              <a:rPr lang="en-US" baseline="0"/>
              <a:t> 58301105038</a:t>
            </a:r>
            <a:br>
              <a:rPr lang="en-US" baseline="0"/>
            </a:br>
            <a:r>
              <a:rPr lang="en-US" sz="1600" b="1" i="0" u="none" strike="noStrike" baseline="0">
                <a:effectLst/>
              </a:rPr>
              <a:t>PPM´s  </a:t>
            </a:r>
            <a:r>
              <a:rPr lang="es-MX" sz="1600" b="1" i="0" u="none" strike="noStrike" baseline="0">
                <a:effectLst/>
              </a:rPr>
              <a:t>MONTHLY</a:t>
            </a:r>
            <a:r>
              <a:rPr lang="en-US" sz="1600" b="1" i="0" u="none" strike="noStrike" baseline="0">
                <a:effectLst/>
              </a:rPr>
              <a:t> 2018 PPM´s  2019</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clustered"/>
        <c:varyColors val="1"/>
        <c:ser>
          <c:idx val="0"/>
          <c:order val="0"/>
          <c:tx>
            <c:strRef>
              <c:f>PPM´s!$AB$20</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6C5-492F-82A3-462F00DBF9B3}"/>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FCB-4B43-8995-3FBE6899017A}"/>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1B0-4C66-BAAC-08110E5FF00C}"/>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3F1-49CC-A26B-189CEA08C3FC}"/>
              </c:ext>
            </c:extLst>
          </c:dPt>
          <c:cat>
            <c:strRef>
              <c:f>PPM´s!$AA$21:$AA$25</c:f>
              <c:strCache>
                <c:ptCount val="4"/>
                <c:pt idx="0">
                  <c:v>ene</c:v>
                </c:pt>
                <c:pt idx="1">
                  <c:v>feb</c:v>
                </c:pt>
                <c:pt idx="2">
                  <c:v>mar</c:v>
                </c:pt>
                <c:pt idx="3">
                  <c:v>abr</c:v>
                </c:pt>
              </c:strCache>
            </c:strRef>
          </c:cat>
          <c:val>
            <c:numRef>
              <c:f>PPM´s!$AB$21:$AB$25</c:f>
              <c:numCache>
                <c:formatCode>_-* #,##0_-;\-* #,##0_-;_-* "-"??_-;_-@_-</c:formatCode>
                <c:ptCount val="4"/>
                <c:pt idx="0">
                  <c:v>254.06504065040653</c:v>
                </c:pt>
                <c:pt idx="1">
                  <c:v>1295.6964368347985</c:v>
                </c:pt>
                <c:pt idx="2">
                  <c:v>1042.9447852760736</c:v>
                </c:pt>
                <c:pt idx="3">
                  <c:v>778.90285968621345</c:v>
                </c:pt>
              </c:numCache>
            </c:numRef>
          </c:val>
          <c:extLst>
            <c:ext xmlns:c16="http://schemas.microsoft.com/office/drawing/2014/chart" uri="{C3380CC4-5D6E-409C-BE32-E72D297353CC}">
              <c16:uniqueId val="{00000001-267C-45C1-867D-EF0D7D5360B3}"/>
            </c:ext>
          </c:extLst>
        </c:ser>
        <c:dLbls>
          <c:showLegendKey val="0"/>
          <c:showVal val="0"/>
          <c:showCatName val="0"/>
          <c:showSerName val="0"/>
          <c:showPercent val="0"/>
          <c:showBubbleSize val="0"/>
        </c:dLbls>
        <c:gapWidth val="100"/>
        <c:overlap val="-24"/>
        <c:axId val="701912680"/>
        <c:axId val="701913072"/>
      </c:barChart>
      <c:catAx>
        <c:axId val="701912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01913072"/>
        <c:crosses val="autoZero"/>
        <c:auto val="1"/>
        <c:lblAlgn val="ctr"/>
        <c:lblOffset val="100"/>
        <c:noMultiLvlLbl val="0"/>
      </c:catAx>
      <c:valAx>
        <c:axId val="701913072"/>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0191268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[OEE Rea 2025.xlsx]PPM´s!TablaDinámica6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ACTUADOR</a:t>
            </a:r>
            <a:r>
              <a:rPr lang="en-US" baseline="0"/>
              <a:t> 58301105038</a:t>
            </a:r>
            <a:br>
              <a:rPr lang="en-US" baseline="0"/>
            </a:br>
            <a:r>
              <a:rPr lang="en-US" sz="1600" b="1" i="0" u="none" strike="noStrike" baseline="0">
                <a:effectLst/>
              </a:rPr>
              <a:t>PPM´s WEEKLY 2019</a:t>
            </a:r>
            <a:endParaRPr lang="en-US"/>
          </a:p>
        </c:rich>
      </c:tx>
      <c:layout>
        <c:manualLayout>
          <c:xMode val="edge"/>
          <c:yMode val="edge"/>
          <c:x val="0.39931893504382693"/>
          <c:y val="4.8531667467670285E-2"/>
        </c:manualLayout>
      </c:layout>
      <c:overlay val="0"/>
      <c:spPr>
        <a:noFill/>
        <a:ln>
          <a:noFill/>
        </a:ln>
        <a:effectLst/>
      </c:sp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layout>
            <c:manualLayout>
              <c:x val="6.7551257175879689E-3"/>
              <c:y val="7.0175457984654136E-3"/>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096532973041665E-2"/>
          <c:y val="0.31960666379518271"/>
          <c:w val="0.92897627894066226"/>
          <c:h val="0.53254690773502089"/>
        </c:manualLayout>
      </c:layout>
      <c:barChart>
        <c:barDir val="col"/>
        <c:grouping val="clustered"/>
        <c:varyColors val="1"/>
        <c:ser>
          <c:idx val="0"/>
          <c:order val="0"/>
          <c:tx>
            <c:strRef>
              <c:f>PPM´s!$AN$20</c:f>
              <c:strCache>
                <c:ptCount val="1"/>
                <c:pt idx="0">
                  <c:v>Sum of PIEZAS PRODUCIDAS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1-BE28-4EB9-BD7E-A7FC13095F67}"/>
              </c:ext>
            </c:extLst>
          </c:dPt>
          <c:dPt>
            <c:idx val="1"/>
            <c:invertIfNegative val="0"/>
            <c:bubble3D val="0"/>
            <c:extLst>
              <c:ext xmlns:c16="http://schemas.microsoft.com/office/drawing/2014/chart" uri="{C3380CC4-5D6E-409C-BE32-E72D297353CC}">
                <c16:uniqueId val="{00000003-BE28-4EB9-BD7E-A7FC13095F67}"/>
              </c:ext>
            </c:extLst>
          </c:dPt>
          <c:dPt>
            <c:idx val="2"/>
            <c:invertIfNegative val="0"/>
            <c:bubble3D val="0"/>
            <c:extLst>
              <c:ext xmlns:c16="http://schemas.microsoft.com/office/drawing/2014/chart" uri="{C3380CC4-5D6E-409C-BE32-E72D297353CC}">
                <c16:uniqueId val="{00000005-BE28-4EB9-BD7E-A7FC13095F67}"/>
              </c:ext>
            </c:extLst>
          </c:dPt>
          <c:dPt>
            <c:idx val="3"/>
            <c:invertIfNegative val="0"/>
            <c:bubble3D val="0"/>
            <c:extLst>
              <c:ext xmlns:c16="http://schemas.microsoft.com/office/drawing/2014/chart" uri="{C3380CC4-5D6E-409C-BE32-E72D297353CC}">
                <c16:uniqueId val="{00000007-BE28-4EB9-BD7E-A7FC13095F67}"/>
              </c:ext>
            </c:extLst>
          </c:dPt>
          <c:dPt>
            <c:idx val="4"/>
            <c:invertIfNegative val="0"/>
            <c:bubble3D val="0"/>
            <c:extLst>
              <c:ext xmlns:c16="http://schemas.microsoft.com/office/drawing/2014/chart" uri="{C3380CC4-5D6E-409C-BE32-E72D297353CC}">
                <c16:uniqueId val="{00000009-B193-4C71-AE48-679484E97D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PPM´s!$AM$21:$AM$36</c:f>
              <c:strCache>
                <c:ptCount val="15"/>
                <c:pt idx="0">
                  <c:v>1</c:v>
                </c:pt>
                <c:pt idx="1">
                  <c:v>2</c:v>
                </c:pt>
                <c:pt idx="2">
                  <c:v>3</c:v>
                </c:pt>
                <c:pt idx="3">
                  <c:v>4</c:v>
                </c:pt>
                <c:pt idx="4">
                  <c:v>7</c:v>
                </c:pt>
                <c:pt idx="5">
                  <c:v>8</c:v>
                </c:pt>
                <c:pt idx="6">
                  <c:v>9</c:v>
                </c:pt>
                <c:pt idx="7">
                  <c:v>10</c:v>
                </c:pt>
                <c:pt idx="8">
                  <c:v>11</c:v>
                </c:pt>
                <c:pt idx="9">
                  <c:v>12</c:v>
                </c:pt>
                <c:pt idx="10">
                  <c:v>13</c:v>
                </c:pt>
                <c:pt idx="11">
                  <c:v>14</c:v>
                </c:pt>
                <c:pt idx="12">
                  <c:v>15</c:v>
                </c:pt>
                <c:pt idx="13">
                  <c:v>16</c:v>
                </c:pt>
                <c:pt idx="14">
                  <c:v>18</c:v>
                </c:pt>
              </c:strCache>
            </c:strRef>
          </c:cat>
          <c:val>
            <c:numRef>
              <c:f>PPM´s!$AN$21:$AN$36</c:f>
              <c:numCache>
                <c:formatCode>_(* #,##0.00_);_(* \(#,##0.00\);_(* "-"??_);_(@_)</c:formatCode>
                <c:ptCount val="15"/>
                <c:pt idx="0">
                  <c:v>1644</c:v>
                </c:pt>
                <c:pt idx="1">
                  <c:v>4236</c:v>
                </c:pt>
                <c:pt idx="2">
                  <c:v>3894</c:v>
                </c:pt>
                <c:pt idx="3">
                  <c:v>2034</c:v>
                </c:pt>
                <c:pt idx="4">
                  <c:v>4437</c:v>
                </c:pt>
                <c:pt idx="5">
                  <c:v>5835</c:v>
                </c:pt>
                <c:pt idx="6">
                  <c:v>1766</c:v>
                </c:pt>
                <c:pt idx="7">
                  <c:v>6520</c:v>
                </c:pt>
                <c:pt idx="8">
                  <c:v>959</c:v>
                </c:pt>
                <c:pt idx="9">
                  <c:v>4008</c:v>
                </c:pt>
                <c:pt idx="10">
                  <c:v>3580</c:v>
                </c:pt>
                <c:pt idx="11">
                  <c:v>2244</c:v>
                </c:pt>
                <c:pt idx="12">
                  <c:v>5110</c:v>
                </c:pt>
                <c:pt idx="13">
                  <c:v>923</c:v>
                </c:pt>
                <c:pt idx="14">
                  <c:v>710</c:v>
                </c:pt>
              </c:numCache>
            </c:numRef>
          </c:val>
          <c:extLst>
            <c:ext xmlns:c16="http://schemas.microsoft.com/office/drawing/2014/chart" uri="{C3380CC4-5D6E-409C-BE32-E72D297353CC}">
              <c16:uniqueId val="{00000000-0E84-49F8-8A0A-CB46E300DEEC}"/>
            </c:ext>
          </c:extLst>
        </c:ser>
        <c:ser>
          <c:idx val="1"/>
          <c:order val="1"/>
          <c:tx>
            <c:strRef>
              <c:f>PPM´s!$AO$20</c:f>
              <c:strCache>
                <c:ptCount val="1"/>
                <c:pt idx="0">
                  <c:v>Sum of SCRAP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PPM´s!$AM$21:$AM$36</c:f>
              <c:strCache>
                <c:ptCount val="15"/>
                <c:pt idx="0">
                  <c:v>1</c:v>
                </c:pt>
                <c:pt idx="1">
                  <c:v>2</c:v>
                </c:pt>
                <c:pt idx="2">
                  <c:v>3</c:v>
                </c:pt>
                <c:pt idx="3">
                  <c:v>4</c:v>
                </c:pt>
                <c:pt idx="4">
                  <c:v>7</c:v>
                </c:pt>
                <c:pt idx="5">
                  <c:v>8</c:v>
                </c:pt>
                <c:pt idx="6">
                  <c:v>9</c:v>
                </c:pt>
                <c:pt idx="7">
                  <c:v>10</c:v>
                </c:pt>
                <c:pt idx="8">
                  <c:v>11</c:v>
                </c:pt>
                <c:pt idx="9">
                  <c:v>12</c:v>
                </c:pt>
                <c:pt idx="10">
                  <c:v>13</c:v>
                </c:pt>
                <c:pt idx="11">
                  <c:v>14</c:v>
                </c:pt>
                <c:pt idx="12">
                  <c:v>15</c:v>
                </c:pt>
                <c:pt idx="13">
                  <c:v>16</c:v>
                </c:pt>
                <c:pt idx="14">
                  <c:v>18</c:v>
                </c:pt>
              </c:strCache>
            </c:strRef>
          </c:cat>
          <c:val>
            <c:numRef>
              <c:f>PPM´s!$AO$21:$AO$36</c:f>
              <c:numCache>
                <c:formatCode>_(* #,##0.00_);_(* \(#,##0.00\);_(* "-"??_);_(@_)</c:formatCode>
                <c:ptCount val="15"/>
                <c:pt idx="0">
                  <c:v>0</c:v>
                </c:pt>
                <c:pt idx="1">
                  <c:v>1</c:v>
                </c:pt>
                <c:pt idx="2">
                  <c:v>1</c:v>
                </c:pt>
                <c:pt idx="3">
                  <c:v>1</c:v>
                </c:pt>
                <c:pt idx="4">
                  <c:v>4</c:v>
                </c:pt>
                <c:pt idx="5">
                  <c:v>8</c:v>
                </c:pt>
                <c:pt idx="6">
                  <c:v>11</c:v>
                </c:pt>
                <c:pt idx="7">
                  <c:v>3</c:v>
                </c:pt>
                <c:pt idx="8">
                  <c:v>0</c:v>
                </c:pt>
                <c:pt idx="9">
                  <c:v>3</c:v>
                </c:pt>
                <c:pt idx="10">
                  <c:v>2</c:v>
                </c:pt>
                <c:pt idx="11">
                  <c:v>0</c:v>
                </c:pt>
                <c:pt idx="12">
                  <c:v>6</c:v>
                </c:pt>
                <c:pt idx="13">
                  <c:v>1</c:v>
                </c:pt>
                <c:pt idx="14">
                  <c:v>0</c:v>
                </c:pt>
              </c:numCache>
            </c:numRef>
          </c:val>
          <c:extLst>
            <c:ext xmlns:c16="http://schemas.microsoft.com/office/drawing/2014/chart" uri="{C3380CC4-5D6E-409C-BE32-E72D297353CC}">
              <c16:uniqueId val="{00000005-2C03-4CEE-A45A-8403C506F1C7}"/>
            </c:ext>
          </c:extLst>
        </c:ser>
        <c:ser>
          <c:idx val="2"/>
          <c:order val="2"/>
          <c:tx>
            <c:strRef>
              <c:f>PPM´s!$AP$20</c:f>
              <c:strCache>
                <c:ptCount val="1"/>
                <c:pt idx="0">
                  <c:v>Suma de PMM´s ACTUADORES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07-2C03-4CEE-A45A-8403C506F1C7}"/>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9-2C03-4CEE-A45A-8403C506F1C7}"/>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B-2C03-4CEE-A45A-8403C506F1C7}"/>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D-2C03-4CEE-A45A-8403C506F1C7}"/>
              </c:ext>
            </c:extLst>
          </c:dPt>
          <c:dPt>
            <c:idx val="4"/>
            <c:invertIfNegative val="0"/>
            <c:bubble3D val="0"/>
            <c:extLst>
              <c:ext xmlns:c16="http://schemas.microsoft.com/office/drawing/2014/chart" uri="{C3380CC4-5D6E-409C-BE32-E72D297353CC}">
                <c16:uniqueId val="{0000000F-2C03-4CEE-A45A-8403C506F1C7}"/>
              </c:ext>
            </c:extLst>
          </c:dPt>
          <c:dPt>
            <c:idx val="5"/>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E-010A-4CF0-A93D-259EEF24EA31}"/>
              </c:ext>
            </c:extLst>
          </c:dPt>
          <c:dPt>
            <c:idx val="6"/>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0-010A-4CF0-A93D-259EEF24EA31}"/>
              </c:ext>
            </c:extLst>
          </c:dPt>
          <c:dPt>
            <c:idx val="7"/>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2-010A-4CF0-A93D-259EEF24EA31}"/>
              </c:ext>
            </c:extLst>
          </c:dPt>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4-594F-4CF4-B0BD-F401F1BCF1E2}"/>
              </c:ext>
            </c:extLst>
          </c:dPt>
          <c:dPt>
            <c:idx val="9"/>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6-594F-4CF4-B0BD-F401F1BCF1E2}"/>
              </c:ext>
            </c:extLst>
          </c:dPt>
          <c:dPt>
            <c:idx val="1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8-594F-4CF4-B0BD-F401F1BCF1E2}"/>
              </c:ext>
            </c:extLst>
          </c:dPt>
          <c:dPt>
            <c:idx val="1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A-594F-4CF4-B0BD-F401F1BCF1E2}"/>
              </c:ext>
            </c:extLst>
          </c:dPt>
          <c:dPt>
            <c:idx val="1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C-594F-4CF4-B0BD-F401F1BCF1E2}"/>
              </c:ext>
            </c:extLst>
          </c:dPt>
          <c:dPt>
            <c:idx val="1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1E-594F-4CF4-B0BD-F401F1BCF1E2}"/>
              </c:ext>
            </c:extLst>
          </c:dPt>
          <c:dPt>
            <c:idx val="1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20-594F-4CF4-B0BD-F401F1BCF1E2}"/>
              </c:ext>
            </c:extLst>
          </c:dPt>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PPM´s!$AM$21:$AM$36</c:f>
              <c:strCache>
                <c:ptCount val="15"/>
                <c:pt idx="0">
                  <c:v>1</c:v>
                </c:pt>
                <c:pt idx="1">
                  <c:v>2</c:v>
                </c:pt>
                <c:pt idx="2">
                  <c:v>3</c:v>
                </c:pt>
                <c:pt idx="3">
                  <c:v>4</c:v>
                </c:pt>
                <c:pt idx="4">
                  <c:v>7</c:v>
                </c:pt>
                <c:pt idx="5">
                  <c:v>8</c:v>
                </c:pt>
                <c:pt idx="6">
                  <c:v>9</c:v>
                </c:pt>
                <c:pt idx="7">
                  <c:v>10</c:v>
                </c:pt>
                <c:pt idx="8">
                  <c:v>11</c:v>
                </c:pt>
                <c:pt idx="9">
                  <c:v>12</c:v>
                </c:pt>
                <c:pt idx="10">
                  <c:v>13</c:v>
                </c:pt>
                <c:pt idx="11">
                  <c:v>14</c:v>
                </c:pt>
                <c:pt idx="12">
                  <c:v>15</c:v>
                </c:pt>
                <c:pt idx="13">
                  <c:v>16</c:v>
                </c:pt>
                <c:pt idx="14">
                  <c:v>18</c:v>
                </c:pt>
              </c:strCache>
            </c:strRef>
          </c:cat>
          <c:val>
            <c:numRef>
              <c:f>PPM´s!$AP$21:$AP$36</c:f>
              <c:numCache>
                <c:formatCode>_(* #,##0.00_);_(* \(#,##0.00\);_(* "-"??_);_(@_)</c:formatCode>
                <c:ptCount val="15"/>
                <c:pt idx="0">
                  <c:v>0</c:v>
                </c:pt>
                <c:pt idx="1">
                  <c:v>236.07176581680832</c:v>
                </c:pt>
                <c:pt idx="2">
                  <c:v>256.80534155110428</c:v>
                </c:pt>
                <c:pt idx="3">
                  <c:v>491.64208456243858</c:v>
                </c:pt>
                <c:pt idx="4">
                  <c:v>901.510029299076</c:v>
                </c:pt>
                <c:pt idx="5">
                  <c:v>1371.0368466152527</c:v>
                </c:pt>
                <c:pt idx="6">
                  <c:v>6228.7655719139302</c:v>
                </c:pt>
                <c:pt idx="7">
                  <c:v>460.12269938650309</c:v>
                </c:pt>
                <c:pt idx="8">
                  <c:v>0</c:v>
                </c:pt>
                <c:pt idx="9">
                  <c:v>748.50299401197606</c:v>
                </c:pt>
                <c:pt idx="10">
                  <c:v>558.65921787709487</c:v>
                </c:pt>
                <c:pt idx="11">
                  <c:v>0</c:v>
                </c:pt>
                <c:pt idx="12">
                  <c:v>1174.1682974559687</c:v>
                </c:pt>
                <c:pt idx="13">
                  <c:v>1083.4236186348862</c:v>
                </c:pt>
                <c:pt idx="14">
                  <c:v>0</c:v>
                </c:pt>
              </c:numCache>
            </c:numRef>
          </c:val>
          <c:extLst>
            <c:ext xmlns:c16="http://schemas.microsoft.com/office/drawing/2014/chart" uri="{C3380CC4-5D6E-409C-BE32-E72D297353CC}">
              <c16:uniqueId val="{00000010-2C03-4CEE-A45A-8403C506F1C7}"/>
            </c:ext>
          </c:extLst>
        </c:ser>
        <c:dLbls>
          <c:dLblPos val="outEnd"/>
          <c:showLegendKey val="0"/>
          <c:showVal val="1"/>
          <c:showCatName val="0"/>
          <c:showSerName val="0"/>
          <c:showPercent val="0"/>
          <c:showBubbleSize val="0"/>
        </c:dLbls>
        <c:gapWidth val="100"/>
        <c:overlap val="-24"/>
        <c:axId val="701912288"/>
        <c:axId val="701913464"/>
      </c:barChart>
      <c:catAx>
        <c:axId val="7019122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701913464"/>
        <c:crosses val="autoZero"/>
        <c:auto val="1"/>
        <c:lblAlgn val="ctr"/>
        <c:lblOffset val="100"/>
        <c:noMultiLvlLbl val="0"/>
      </c:catAx>
      <c:valAx>
        <c:axId val="701913464"/>
        <c:scaling>
          <c:orientation val="minMax"/>
        </c:scaling>
        <c:delete val="0"/>
        <c:axPos val="l"/>
        <c:majorGridlines>
          <c:spPr>
            <a:ln w="9525" cap="flat" cmpd="sng" algn="ctr">
              <a:solidFill>
                <a:schemeClr val="tx2">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70191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[OEE Rea 2025.xlsx]PPM´s!TablaDinámica8</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ACTUADOR 58301105038</a:t>
            </a:r>
            <a:br>
              <a:rPr lang="en-US"/>
            </a:br>
            <a:r>
              <a:rPr lang="en-US"/>
              <a:t>MONTHLY PARETO  2019</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MX"/>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MX"/>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barChart>
        <c:barDir val="col"/>
        <c:grouping val="clustered"/>
        <c:varyColors val="1"/>
        <c:ser>
          <c:idx val="0"/>
          <c:order val="0"/>
          <c:tx>
            <c:strRef>
              <c:f>PPM´s!$BP$20</c:f>
              <c:strCache>
                <c:ptCount val="1"/>
                <c:pt idx="0">
                  <c:v>Total</c:v>
                </c:pt>
              </c:strCache>
            </c:strRef>
          </c:tx>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945-4400-AD1D-EB6A21480E30}"/>
              </c:ext>
            </c:extLst>
          </c:dPt>
          <c:dPt>
            <c:idx val="1"/>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945-4400-AD1D-EB6A21480E30}"/>
              </c:ext>
            </c:extLst>
          </c:dPt>
          <c:dPt>
            <c:idx val="2"/>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945-4400-AD1D-EB6A21480E30}"/>
              </c:ext>
            </c:extLst>
          </c:dPt>
          <c:dPt>
            <c:idx val="3"/>
            <c:invertIfNegative val="0"/>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945-4400-AD1D-EB6A21480E30}"/>
              </c:ext>
            </c:extLst>
          </c:dPt>
          <c:dPt>
            <c:idx val="4"/>
            <c:invertIfNegative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0945-4400-AD1D-EB6A21480E30}"/>
              </c:ext>
            </c:extLst>
          </c:dPt>
          <c:dPt>
            <c:idx val="5"/>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0945-4400-AD1D-EB6A21480E30}"/>
              </c:ext>
            </c:extLst>
          </c:dPt>
          <c:dPt>
            <c:idx val="6"/>
            <c:invertIfNegative val="0"/>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0945-4400-AD1D-EB6A21480E30}"/>
              </c:ext>
            </c:extLst>
          </c:dPt>
          <c:dPt>
            <c:idx val="7"/>
            <c:invertIfNegative val="0"/>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0945-4400-AD1D-EB6A21480E30}"/>
              </c:ext>
            </c:extLst>
          </c:dPt>
          <c:dPt>
            <c:idx val="8"/>
            <c:invertIfNegative val="0"/>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0945-4400-AD1D-EB6A21480E30}"/>
              </c:ext>
            </c:extLst>
          </c:dPt>
          <c:dPt>
            <c:idx val="9"/>
            <c:invertIfNegative val="0"/>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0945-4400-AD1D-EB6A21480E30}"/>
              </c:ext>
            </c:extLst>
          </c:dPt>
          <c:dPt>
            <c:idx val="10"/>
            <c:invertIfNegative val="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0945-4400-AD1D-EB6A21480E30}"/>
              </c:ext>
            </c:extLst>
          </c:dPt>
          <c:dPt>
            <c:idx val="11"/>
            <c:invertIfNegative val="0"/>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7-0945-4400-AD1D-EB6A21480E30}"/>
              </c:ext>
            </c:extLst>
          </c:dPt>
          <c:dPt>
            <c:idx val="12"/>
            <c:invertIfNegative val="0"/>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9-0945-4400-AD1D-EB6A21480E30}"/>
              </c:ext>
            </c:extLst>
          </c:dPt>
          <c:dPt>
            <c:idx val="13"/>
            <c:invertIfNegative val="0"/>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B-0945-4400-AD1D-EB6A21480E30}"/>
              </c:ext>
            </c:extLst>
          </c:dPt>
          <c:dPt>
            <c:idx val="14"/>
            <c:invertIfNegative val="0"/>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D-0945-4400-AD1D-EB6A21480E30}"/>
              </c:ext>
            </c:extLst>
          </c:dPt>
          <c:dPt>
            <c:idx val="15"/>
            <c:invertIfNegative val="0"/>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F-0945-4400-AD1D-EB6A21480E30}"/>
              </c:ext>
            </c:extLst>
          </c:dPt>
          <c:dPt>
            <c:idx val="16"/>
            <c:invertIfNegative val="0"/>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1-0945-4400-AD1D-EB6A21480E30}"/>
              </c:ext>
            </c:extLst>
          </c:dPt>
          <c:dPt>
            <c:idx val="17"/>
            <c:invertIfNegative val="0"/>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3-BB9D-4AB4-B68D-FE53722257D4}"/>
              </c:ext>
            </c:extLst>
          </c:dPt>
          <c:cat>
            <c:strRef>
              <c:f>PPM´s!$BO$21:$BO$38</c:f>
              <c:strCache>
                <c:ptCount val="18"/>
                <c:pt idx="0">
                  <c:v>Other</c:v>
                </c:pt>
                <c:pt idx="1">
                  <c:v>Sum of Prensado no conforme Marcas Fisura</c:v>
                </c:pt>
                <c:pt idx="2">
                  <c:v>Seal leak</c:v>
                </c:pt>
                <c:pt idx="3">
                  <c:v>Engraving Missing Position Incomplete</c:v>
                </c:pt>
                <c:pt idx="4">
                  <c:v>Missing spring</c:v>
                </c:pt>
                <c:pt idx="5">
                  <c:v>Surface treatment</c:v>
                </c:pt>
                <c:pt idx="6">
                  <c:v>Burrs Dents Damage Marks Sharp-edges</c:v>
                </c:pt>
                <c:pt idx="7">
                  <c:v>Crimping NOK Damaged</c:v>
                </c:pt>
                <c:pt idx="8">
                  <c:v>Diameter NOK</c:v>
                </c:pt>
                <c:pt idx="9">
                  <c:v>Height NOK</c:v>
                </c:pt>
                <c:pt idx="10">
                  <c:v>Interrupted Process by safety sensor</c:v>
                </c:pt>
                <c:pt idx="11">
                  <c:v>Crimping NOK deformed </c:v>
                </c:pt>
                <c:pt idx="12">
                  <c:v>JIG FASE 45 Failure</c:v>
                </c:pt>
                <c:pt idx="13">
                  <c:v>DMC code not correct</c:v>
                </c:pt>
                <c:pt idx="14">
                  <c:v>Hysteresis failure</c:v>
                </c:pt>
                <c:pt idx="15">
                  <c:v>Engraving malfunction</c:v>
                </c:pt>
                <c:pt idx="16">
                  <c:v>Engraving not readable </c:v>
                </c:pt>
                <c:pt idx="17">
                  <c:v>Fitting Short Loose Capping Not weld</c:v>
                </c:pt>
              </c:strCache>
            </c:strRef>
          </c:cat>
          <c:val>
            <c:numRef>
              <c:f>PPM´s!$BP$21:$BP$38</c:f>
              <c:numCache>
                <c:formatCode>General</c:formatCode>
                <c:ptCount val="18"/>
                <c:pt idx="0">
                  <c:v>9</c:v>
                </c:pt>
                <c:pt idx="1">
                  <c:v>3</c:v>
                </c:pt>
                <c:pt idx="2">
                  <c:v>22</c:v>
                </c:pt>
                <c:pt idx="4">
                  <c:v>3</c:v>
                </c:pt>
                <c:pt idx="9">
                  <c:v>1</c:v>
                </c:pt>
              </c:numCache>
            </c:numRef>
          </c:val>
          <c:extLst>
            <c:ext xmlns:c16="http://schemas.microsoft.com/office/drawing/2014/chart" uri="{C3380CC4-5D6E-409C-BE32-E72D297353CC}">
              <c16:uniqueId val="{00000000-4360-430D-AAF6-3BC51E4DD328}"/>
            </c:ext>
          </c:extLst>
        </c:ser>
        <c:dLbls>
          <c:showLegendKey val="0"/>
          <c:showVal val="0"/>
          <c:showCatName val="0"/>
          <c:showSerName val="0"/>
          <c:showPercent val="0"/>
          <c:showBubbleSize val="0"/>
        </c:dLbls>
        <c:gapWidth val="100"/>
        <c:overlap val="-24"/>
        <c:axId val="702897120"/>
        <c:axId val="702897904"/>
      </c:barChart>
      <c:catAx>
        <c:axId val="7028971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702897904"/>
        <c:crosses val="autoZero"/>
        <c:auto val="1"/>
        <c:lblAlgn val="ctr"/>
        <c:lblOffset val="100"/>
        <c:noMultiLvlLbl val="0"/>
      </c:catAx>
      <c:valAx>
        <c:axId val="70289790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702897120"/>
        <c:crosses val="autoZero"/>
        <c:crossBetween val="between"/>
      </c:valAx>
      <c:dTable>
        <c:showHorzBorder val="1"/>
        <c:showVertBorder val="1"/>
        <c:showOutline val="1"/>
        <c:showKeys val="0"/>
        <c:spPr>
          <a:noFill/>
          <a:ln w="9525">
            <a:solidFill>
              <a:schemeClr val="tx2">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2"/>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r>
              <a:rPr lang="es-MX"/>
              <a:t>OEE PRENSA</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endParaRPr lang="es-MX"/>
        </a:p>
      </c:tx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0"/>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2B-4D2C-9008-4262EE24B85B}"/>
                </c:ext>
              </c:extLst>
            </c:dLbl>
            <c:dLbl>
              <c:idx val="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2B-4D2C-9008-4262EE24B85B}"/>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B2B-4D2C-9008-4262EE24B85B}"/>
                </c:ext>
              </c:extLst>
            </c:dLbl>
            <c:dLbl>
              <c:idx val="5"/>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B2B-4D2C-9008-4262EE24B85B}"/>
                </c:ext>
              </c:extLst>
            </c:dLbl>
            <c:dLbl>
              <c:idx val="6"/>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B2B-4D2C-9008-4262EE24B85B}"/>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B2B-4D2C-9008-4262EE24B85B}"/>
                </c:ext>
              </c:extLst>
            </c:dLbl>
            <c:dLbl>
              <c:idx val="1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B2B-4D2C-9008-4262EE24B85B}"/>
                </c:ext>
              </c:extLst>
            </c:dLbl>
            <c:dLbl>
              <c:idx val="1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B2B-4D2C-9008-4262EE24B85B}"/>
                </c:ext>
              </c:extLst>
            </c:dLbl>
            <c:dLbl>
              <c:idx val="1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B2B-4D2C-9008-4262EE24B85B}"/>
                </c:ext>
              </c:extLst>
            </c:dLbl>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'GRAFICA PRENSA'!$A$2:$A$36</c:f>
              <c:numCache>
                <c:formatCode>General</c:formatCode>
                <c:ptCount val="35"/>
                <c:pt idx="0">
                  <c:v>3</c:v>
                </c:pt>
                <c:pt idx="1">
                  <c:v>4</c:v>
                </c:pt>
                <c:pt idx="2">
                  <c:v>7</c:v>
                </c:pt>
                <c:pt idx="3">
                  <c:v>8</c:v>
                </c:pt>
                <c:pt idx="4">
                  <c:v>10</c:v>
                </c:pt>
                <c:pt idx="5">
                  <c:v>10</c:v>
                </c:pt>
                <c:pt idx="6">
                  <c:v>11</c:v>
                </c:pt>
                <c:pt idx="7">
                  <c:v>11</c:v>
                </c:pt>
                <c:pt idx="8">
                  <c:v>12</c:v>
                </c:pt>
                <c:pt idx="9">
                  <c:v>14</c:v>
                </c:pt>
                <c:pt idx="10">
                  <c:v>14</c:v>
                </c:pt>
                <c:pt idx="11">
                  <c:v>16</c:v>
                </c:pt>
                <c:pt idx="12">
                  <c:v>16</c:v>
                </c:pt>
                <c:pt idx="13">
                  <c:v>17</c:v>
                </c:pt>
                <c:pt idx="14">
                  <c:v>17</c:v>
                </c:pt>
                <c:pt idx="15">
                  <c:v>18</c:v>
                </c:pt>
                <c:pt idx="16">
                  <c:v>18</c:v>
                </c:pt>
                <c:pt idx="17">
                  <c:v>19</c:v>
                </c:pt>
                <c:pt idx="18">
                  <c:v>21</c:v>
                </c:pt>
                <c:pt idx="19">
                  <c:v>22</c:v>
                </c:pt>
                <c:pt idx="20">
                  <c:v>23</c:v>
                </c:pt>
                <c:pt idx="21">
                  <c:v>24</c:v>
                </c:pt>
                <c:pt idx="22">
                  <c:v>25</c:v>
                </c:pt>
                <c:pt idx="23">
                  <c:v>25</c:v>
                </c:pt>
                <c:pt idx="24">
                  <c:v>26</c:v>
                </c:pt>
                <c:pt idx="25">
                  <c:v>27</c:v>
                </c:pt>
                <c:pt idx="26">
                  <c:v>28</c:v>
                </c:pt>
                <c:pt idx="27">
                  <c:v>29</c:v>
                </c:pt>
                <c:pt idx="28">
                  <c:v>30</c:v>
                </c:pt>
                <c:pt idx="29">
                  <c:v>30</c:v>
                </c:pt>
                <c:pt idx="30">
                  <c:v>31</c:v>
                </c:pt>
                <c:pt idx="31">
                  <c:v>31</c:v>
                </c:pt>
                <c:pt idx="32" formatCode="d\-mmm">
                  <c:v>43497</c:v>
                </c:pt>
                <c:pt idx="33" formatCode="d\-mmm">
                  <c:v>43497</c:v>
                </c:pt>
                <c:pt idx="34" formatCode="d\-mmm">
                  <c:v>43501</c:v>
                </c:pt>
              </c:numCache>
            </c:numRef>
          </c:cat>
          <c:val>
            <c:numRef>
              <c:f>'GRAFICA PRENSA'!$B$2:$B$36</c:f>
              <c:numCache>
                <c:formatCode>0.00%</c:formatCode>
                <c:ptCount val="35"/>
                <c:pt idx="0">
                  <c:v>0.63510848126232755</c:v>
                </c:pt>
                <c:pt idx="1">
                  <c:v>0.70628571428571418</c:v>
                </c:pt>
                <c:pt idx="2">
                  <c:v>0.53028571428571425</c:v>
                </c:pt>
                <c:pt idx="3">
                  <c:v>0.22857142857142856</c:v>
                </c:pt>
                <c:pt idx="4">
                  <c:v>0.33752380952380956</c:v>
                </c:pt>
                <c:pt idx="5">
                  <c:v>0.57485714285714284</c:v>
                </c:pt>
                <c:pt idx="6">
                  <c:v>0.14209523809523811</c:v>
                </c:pt>
                <c:pt idx="7">
                  <c:v>0.80609523809523831</c:v>
                </c:pt>
                <c:pt idx="8">
                  <c:v>0.25676190476190469</c:v>
                </c:pt>
                <c:pt idx="9">
                  <c:v>0.1459047619047619</c:v>
                </c:pt>
                <c:pt idx="10">
                  <c:v>0.36</c:v>
                </c:pt>
                <c:pt idx="11">
                  <c:v>0.36952380952380948</c:v>
                </c:pt>
                <c:pt idx="12">
                  <c:v>0.64860215053763437</c:v>
                </c:pt>
                <c:pt idx="13">
                  <c:v>0.75771428571428578</c:v>
                </c:pt>
                <c:pt idx="14">
                  <c:v>0.41806451612903234</c:v>
                </c:pt>
                <c:pt idx="15">
                  <c:v>0.31161904761904763</c:v>
                </c:pt>
                <c:pt idx="16">
                  <c:v>0.50064516129032255</c:v>
                </c:pt>
                <c:pt idx="17">
                  <c:v>0.46819047619047621</c:v>
                </c:pt>
                <c:pt idx="18">
                  <c:v>0.71053763440860218</c:v>
                </c:pt>
                <c:pt idx="19">
                  <c:v>0.69510000000000005</c:v>
                </c:pt>
                <c:pt idx="20">
                  <c:v>0.5161</c:v>
                </c:pt>
                <c:pt idx="21">
                  <c:v>0.2969</c:v>
                </c:pt>
                <c:pt idx="22">
                  <c:v>0.17710000000000001</c:v>
                </c:pt>
                <c:pt idx="23">
                  <c:v>0.65</c:v>
                </c:pt>
                <c:pt idx="24">
                  <c:v>0.38640000000000002</c:v>
                </c:pt>
                <c:pt idx="25">
                  <c:v>0.51400000000000001</c:v>
                </c:pt>
                <c:pt idx="26">
                  <c:v>0.53200000000000003</c:v>
                </c:pt>
                <c:pt idx="27">
                  <c:v>0.4229</c:v>
                </c:pt>
                <c:pt idx="28">
                  <c:v>0.51649999999999996</c:v>
                </c:pt>
                <c:pt idx="29">
                  <c:v>0.36799999999999999</c:v>
                </c:pt>
                <c:pt idx="30">
                  <c:v>0.79610000000000003</c:v>
                </c:pt>
                <c:pt idx="31">
                  <c:v>0.80430000000000001</c:v>
                </c:pt>
                <c:pt idx="32">
                  <c:v>1</c:v>
                </c:pt>
                <c:pt idx="33">
                  <c:v>0.94799999999999995</c:v>
                </c:pt>
                <c:pt idx="34">
                  <c:v>0.53049999999999997</c:v>
                </c:pt>
              </c:numCache>
            </c:numRef>
          </c:val>
          <c:smooth val="0"/>
          <c:extLst>
            <c:ext xmlns:c16="http://schemas.microsoft.com/office/drawing/2014/chart" uri="{C3380CC4-5D6E-409C-BE32-E72D297353CC}">
              <c16:uniqueId val="{00000000-8B2B-4D2C-9008-4262EE24B85B}"/>
            </c:ext>
          </c:extLst>
        </c:ser>
        <c:dLbls>
          <c:dLblPos val="t"/>
          <c:showLegendKey val="0"/>
          <c:showVal val="1"/>
          <c:showCatName val="0"/>
          <c:showSerName val="0"/>
          <c:showPercent val="0"/>
          <c:showBubbleSize val="0"/>
        </c:dLbls>
        <c:marker val="1"/>
        <c:smooth val="0"/>
        <c:axId val="702897512"/>
        <c:axId val="702899080"/>
      </c:lineChart>
      <c:catAx>
        <c:axId val="70289751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r>
                  <a:rPr lang="es-MX"/>
                  <a:t>Días del mes</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crossAx val="702899080"/>
        <c:crosses val="autoZero"/>
        <c:auto val="1"/>
        <c:lblAlgn val="ctr"/>
        <c:lblOffset val="100"/>
        <c:noMultiLvlLbl val="0"/>
      </c:catAx>
      <c:valAx>
        <c:axId val="702899080"/>
        <c:scaling>
          <c:orientation val="minMax"/>
        </c:scaling>
        <c:delete val="0"/>
        <c:axPos val="l"/>
        <c:majorGridlines>
          <c:spPr>
            <a:ln w="9525" cap="flat" cmpd="sng" algn="ctr">
              <a:solidFill>
                <a:schemeClr val="bg1">
                  <a:lumMod val="6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crossAx val="70289751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85000"/>
            <a:lumOff val="15000"/>
          </a:schemeClr>
        </a:gs>
        <a:gs pos="50000">
          <a:schemeClr val="tx1">
            <a:lumMod val="50000"/>
            <a:lumOff val="50000"/>
            <a:shade val="67500"/>
            <a:satMod val="115000"/>
          </a:schemeClr>
        </a:gs>
        <a:gs pos="100000">
          <a:schemeClr val="bg1">
            <a:lumMod val="65000"/>
          </a:schemeClr>
        </a:gs>
      </a:gsLst>
      <a:lin ang="16200000" scaled="1"/>
      <a:tileRect/>
    </a:gradFill>
    <a:ln w="9525" cap="flat" cmpd="sng" algn="ctr">
      <a:solidFill>
        <a:schemeClr val="tx1">
          <a:lumMod val="15000"/>
          <a:lumOff val="85000"/>
        </a:schemeClr>
      </a:solidFill>
      <a:round/>
    </a:ln>
    <a:effectLst/>
  </c:spPr>
  <c:txPr>
    <a:bodyPr/>
    <a:lstStyle/>
    <a:p>
      <a:pPr>
        <a:defRPr sz="1100" baseline="0">
          <a:solidFill>
            <a:schemeClr val="bg1"/>
          </a:solidFill>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r>
              <a:rPr lang="en-US" sz="1600" b="1"/>
              <a:t>OEE LEAK TEST</a:t>
            </a:r>
          </a:p>
        </c:rich>
      </c:tx>
      <c:overlay val="0"/>
      <c:spPr>
        <a:solidFill>
          <a:schemeClr val="tx1">
            <a:lumMod val="65000"/>
            <a:lumOff val="35000"/>
          </a:schemeClr>
        </a:solidFill>
        <a:ln>
          <a:noFill/>
        </a:ln>
        <a:effectLst/>
      </c:spPr>
      <c:txPr>
        <a:bodyPr rot="0" spcFirstLastPara="1" vertOverflow="ellipsis" vert="horz" wrap="square" anchor="ctr" anchorCtr="1"/>
        <a:lstStyle/>
        <a:p>
          <a:pPr>
            <a:defRPr sz="1320" b="0" i="0" u="none" strike="noStrike" kern="1200" spc="0" baseline="0">
              <a:solidFill>
                <a:schemeClr val="bg1"/>
              </a:solidFill>
              <a:latin typeface="+mn-lt"/>
              <a:ea typeface="+mn-ea"/>
              <a:cs typeface="+mn-cs"/>
            </a:defRPr>
          </a:pPr>
          <a:endParaRPr lang="es-MX"/>
        </a:p>
      </c:tx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'GRAFICA LEAK TEST'!$A$2:$A$35</c:f>
              <c:numCache>
                <c:formatCode>General</c:formatCode>
                <c:ptCount val="34"/>
                <c:pt idx="0">
                  <c:v>3</c:v>
                </c:pt>
                <c:pt idx="1">
                  <c:v>4</c:v>
                </c:pt>
                <c:pt idx="2">
                  <c:v>5</c:v>
                </c:pt>
                <c:pt idx="3">
                  <c:v>7</c:v>
                </c:pt>
                <c:pt idx="4">
                  <c:v>8</c:v>
                </c:pt>
                <c:pt idx="5">
                  <c:v>10</c:v>
                </c:pt>
                <c:pt idx="6">
                  <c:v>11</c:v>
                </c:pt>
                <c:pt idx="7">
                  <c:v>11</c:v>
                </c:pt>
                <c:pt idx="8">
                  <c:v>12</c:v>
                </c:pt>
                <c:pt idx="9">
                  <c:v>14</c:v>
                </c:pt>
                <c:pt idx="10">
                  <c:v>16</c:v>
                </c:pt>
                <c:pt idx="11">
                  <c:v>16</c:v>
                </c:pt>
                <c:pt idx="12">
                  <c:v>17</c:v>
                </c:pt>
                <c:pt idx="13">
                  <c:v>17</c:v>
                </c:pt>
                <c:pt idx="14">
                  <c:v>18</c:v>
                </c:pt>
                <c:pt idx="15">
                  <c:v>18</c:v>
                </c:pt>
                <c:pt idx="16">
                  <c:v>19</c:v>
                </c:pt>
                <c:pt idx="17">
                  <c:v>21</c:v>
                </c:pt>
                <c:pt idx="18">
                  <c:v>22</c:v>
                </c:pt>
                <c:pt idx="19">
                  <c:v>23</c:v>
                </c:pt>
                <c:pt idx="20">
                  <c:v>24</c:v>
                </c:pt>
                <c:pt idx="21">
                  <c:v>25</c:v>
                </c:pt>
                <c:pt idx="22">
                  <c:v>25</c:v>
                </c:pt>
                <c:pt idx="23">
                  <c:v>26</c:v>
                </c:pt>
                <c:pt idx="24">
                  <c:v>27</c:v>
                </c:pt>
                <c:pt idx="25">
                  <c:v>28</c:v>
                </c:pt>
                <c:pt idx="26">
                  <c:v>29</c:v>
                </c:pt>
                <c:pt idx="27">
                  <c:v>30</c:v>
                </c:pt>
                <c:pt idx="28">
                  <c:v>30</c:v>
                </c:pt>
                <c:pt idx="29">
                  <c:v>31</c:v>
                </c:pt>
                <c:pt idx="30">
                  <c:v>31</c:v>
                </c:pt>
                <c:pt idx="31" formatCode="d\-mmm">
                  <c:v>43497</c:v>
                </c:pt>
                <c:pt idx="32" formatCode="d\-mmm">
                  <c:v>43497</c:v>
                </c:pt>
                <c:pt idx="33" formatCode="d\-mmm">
                  <c:v>43501</c:v>
                </c:pt>
              </c:numCache>
            </c:numRef>
          </c:cat>
          <c:val>
            <c:numRef>
              <c:f>'GRAFICA LEAK TEST'!$B$2:$B$35</c:f>
              <c:numCache>
                <c:formatCode>0.00%</c:formatCode>
                <c:ptCount val="34"/>
                <c:pt idx="0">
                  <c:v>1</c:v>
                </c:pt>
                <c:pt idx="1">
                  <c:v>0.91708597681032589</c:v>
                </c:pt>
                <c:pt idx="2">
                  <c:v>0.76761904761904765</c:v>
                </c:pt>
                <c:pt idx="3">
                  <c:v>0.50552380952380949</c:v>
                </c:pt>
                <c:pt idx="4">
                  <c:v>0.1017142857142857</c:v>
                </c:pt>
                <c:pt idx="5">
                  <c:v>0.37748917748917749</c:v>
                </c:pt>
                <c:pt idx="6">
                  <c:v>0.49212121212121201</c:v>
                </c:pt>
                <c:pt idx="7">
                  <c:v>0.97947214076246336</c:v>
                </c:pt>
                <c:pt idx="8">
                  <c:v>0.45229437229437225</c:v>
                </c:pt>
                <c:pt idx="9">
                  <c:v>0.34330400782013681</c:v>
                </c:pt>
                <c:pt idx="10">
                  <c:v>0.38510822510822512</c:v>
                </c:pt>
                <c:pt idx="11">
                  <c:v>0.6232649071358749</c:v>
                </c:pt>
                <c:pt idx="12">
                  <c:v>0.65800865800865793</c:v>
                </c:pt>
                <c:pt idx="13">
                  <c:v>0.41133919843597266</c:v>
                </c:pt>
                <c:pt idx="14">
                  <c:v>0.33454545454545453</c:v>
                </c:pt>
                <c:pt idx="15">
                  <c:v>0.44692082111436954</c:v>
                </c:pt>
                <c:pt idx="16">
                  <c:v>0.46060606060606063</c:v>
                </c:pt>
                <c:pt idx="17">
                  <c:v>0.62091886608015634</c:v>
                </c:pt>
                <c:pt idx="18">
                  <c:v>0.69655781112091808</c:v>
                </c:pt>
                <c:pt idx="19">
                  <c:v>0.45650000000000002</c:v>
                </c:pt>
                <c:pt idx="20">
                  <c:v>0.29830000000000001</c:v>
                </c:pt>
                <c:pt idx="21">
                  <c:v>0.61270000000000002</c:v>
                </c:pt>
                <c:pt idx="22">
                  <c:v>0.16170000000000001</c:v>
                </c:pt>
                <c:pt idx="23">
                  <c:v>0.45300000000000001</c:v>
                </c:pt>
                <c:pt idx="24">
                  <c:v>0.6</c:v>
                </c:pt>
                <c:pt idx="25">
                  <c:v>0.41</c:v>
                </c:pt>
                <c:pt idx="26">
                  <c:v>0.40460000000000002</c:v>
                </c:pt>
                <c:pt idx="27">
                  <c:v>0.48330000000000001</c:v>
                </c:pt>
                <c:pt idx="28">
                  <c:v>0.35830000000000001</c:v>
                </c:pt>
                <c:pt idx="29">
                  <c:v>0.76890000000000003</c:v>
                </c:pt>
                <c:pt idx="30">
                  <c:v>0.75439999999999996</c:v>
                </c:pt>
                <c:pt idx="31">
                  <c:v>0.87770000000000004</c:v>
                </c:pt>
                <c:pt idx="32">
                  <c:v>0.91449999999999998</c:v>
                </c:pt>
                <c:pt idx="33">
                  <c:v>0.60529999999999995</c:v>
                </c:pt>
              </c:numCache>
            </c:numRef>
          </c:val>
          <c:smooth val="0"/>
          <c:extLst>
            <c:ext xmlns:c16="http://schemas.microsoft.com/office/drawing/2014/chart" uri="{C3380CC4-5D6E-409C-BE32-E72D297353CC}">
              <c16:uniqueId val="{00000003-4DFB-4E72-A54D-26ED4A44FE88}"/>
            </c:ext>
          </c:extLst>
        </c:ser>
        <c:dLbls>
          <c:dLblPos val="t"/>
          <c:showLegendKey val="0"/>
          <c:showVal val="1"/>
          <c:showCatName val="0"/>
          <c:showSerName val="0"/>
          <c:showPercent val="0"/>
          <c:showBubbleSize val="0"/>
        </c:dLbls>
        <c:marker val="1"/>
        <c:smooth val="0"/>
        <c:axId val="702899864"/>
        <c:axId val="702706528"/>
      </c:lineChart>
      <c:catAx>
        <c:axId val="702899864"/>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r>
                  <a:rPr lang="es-MX"/>
                  <a:t>Días del</a:t>
                </a:r>
                <a:r>
                  <a:rPr lang="es-MX" baseline="0"/>
                  <a:t> mes</a:t>
                </a:r>
                <a:endParaRPr lang="es-MX"/>
              </a:p>
            </c:rich>
          </c:tx>
          <c:overlay val="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crossAx val="702706528"/>
        <c:crosses val="autoZero"/>
        <c:auto val="1"/>
        <c:lblAlgn val="ctr"/>
        <c:lblOffset val="100"/>
        <c:noMultiLvlLbl val="0"/>
      </c:catAx>
      <c:valAx>
        <c:axId val="702706528"/>
        <c:scaling>
          <c:orientation val="minMax"/>
        </c:scaling>
        <c:delete val="0"/>
        <c:axPos val="l"/>
        <c:majorGridlines>
          <c:spPr>
            <a:ln w="9525" cap="flat" cmpd="sng" algn="ctr">
              <a:solidFill>
                <a:schemeClr val="bg1">
                  <a:lumMod val="7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s-MX"/>
          </a:p>
        </c:txPr>
        <c:crossAx val="70289986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65000"/>
            <a:lumOff val="35000"/>
            <a:shade val="30000"/>
            <a:satMod val="115000"/>
          </a:schemeClr>
        </a:gs>
        <a:gs pos="50000">
          <a:schemeClr val="bg1">
            <a:lumMod val="50000"/>
          </a:schemeClr>
        </a:gs>
        <a:gs pos="100000">
          <a:schemeClr val="bg1">
            <a:lumMod val="65000"/>
          </a:schemeClr>
        </a:gs>
      </a:gsLst>
      <a:lin ang="16200000" scaled="1"/>
      <a:tileRect/>
    </a:gradFill>
    <a:ln w="9525" cap="flat" cmpd="sng" algn="ctr">
      <a:solidFill>
        <a:schemeClr val="tx1">
          <a:lumMod val="15000"/>
          <a:lumOff val="85000"/>
        </a:schemeClr>
      </a:solidFill>
      <a:round/>
    </a:ln>
    <a:effectLst/>
  </c:spPr>
  <c:txPr>
    <a:bodyPr/>
    <a:lstStyle/>
    <a:p>
      <a:pPr>
        <a:defRPr sz="1100" baseline="0">
          <a:solidFill>
            <a:schemeClr val="bg1"/>
          </a:solidFill>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Scrap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prstClr val="black"/>
            </a:solidFill>
            <a:ln>
              <a:solidFill>
                <a:prstClr val="black"/>
              </a:solidFill>
            </a:ln>
            <a:effectLst/>
          </c:spPr>
          <c:invertIfNegative val="0"/>
          <c:cat>
            <c:strRef>
              <c:f>'OEE REA'!$S$2:$AD$2</c:f>
              <c:strCache>
                <c:ptCount val="12"/>
                <c:pt idx="0">
                  <c:v>605</c:v>
                </c:pt>
                <c:pt idx="1">
                  <c:v>610</c:v>
                </c:pt>
                <c:pt idx="2">
                  <c:v>620</c:v>
                </c:pt>
                <c:pt idx="3">
                  <c:v>730</c:v>
                </c:pt>
                <c:pt idx="4">
                  <c:v>731</c:v>
                </c:pt>
                <c:pt idx="5">
                  <c:v>740</c:v>
                </c:pt>
                <c:pt idx="6">
                  <c:v>750</c:v>
                </c:pt>
                <c:pt idx="7">
                  <c:v>810</c:v>
                </c:pt>
                <c:pt idx="8">
                  <c:v>915</c:v>
                </c:pt>
                <c:pt idx="9">
                  <c:v>940 leak test</c:v>
                </c:pt>
                <c:pt idx="10">
                  <c:v>960 CAW</c:v>
                </c:pt>
                <c:pt idx="11">
                  <c:v>eol</c:v>
                </c:pt>
              </c:strCache>
            </c:strRef>
          </c:cat>
          <c:val>
            <c:numRef>
              <c:f>'OEE REA'!$S$558:$AD$558</c:f>
              <c:numCache>
                <c:formatCode>General</c:formatCode>
                <c:ptCount val="12"/>
                <c:pt idx="0">
                  <c:v>8280</c:v>
                </c:pt>
                <c:pt idx="1">
                  <c:v>772</c:v>
                </c:pt>
                <c:pt idx="2">
                  <c:v>1065</c:v>
                </c:pt>
                <c:pt idx="3">
                  <c:v>583</c:v>
                </c:pt>
                <c:pt idx="4">
                  <c:v>1445</c:v>
                </c:pt>
                <c:pt idx="5">
                  <c:v>2025</c:v>
                </c:pt>
                <c:pt idx="6">
                  <c:v>315</c:v>
                </c:pt>
                <c:pt idx="7">
                  <c:v>1871</c:v>
                </c:pt>
                <c:pt idx="8">
                  <c:v>527</c:v>
                </c:pt>
                <c:pt idx="9">
                  <c:v>8691</c:v>
                </c:pt>
                <c:pt idx="10">
                  <c:v>1779</c:v>
                </c:pt>
                <c:pt idx="11">
                  <c:v>3086</c:v>
                </c:pt>
              </c:numCache>
            </c:numRef>
          </c:val>
          <c:extLst>
            <c:ext xmlns:c16="http://schemas.microsoft.com/office/drawing/2014/chart" uri="{C3380CC4-5D6E-409C-BE32-E72D297353CC}">
              <c16:uniqueId val="{00000000-9ADA-433C-B7D2-BA42F43BE4CE}"/>
            </c:ext>
          </c:extLst>
        </c:ser>
        <c:dLbls>
          <c:showLegendKey val="0"/>
          <c:showVal val="0"/>
          <c:showCatName val="0"/>
          <c:showSerName val="0"/>
          <c:showPercent val="0"/>
          <c:showBubbleSize val="0"/>
        </c:dLbls>
        <c:gapWidth val="219"/>
        <c:overlap val="-27"/>
        <c:axId val="702705744"/>
        <c:axId val="702704960"/>
      </c:barChart>
      <c:catAx>
        <c:axId val="70270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02704960"/>
        <c:crosses val="autoZero"/>
        <c:auto val="1"/>
        <c:lblAlgn val="ctr"/>
        <c:lblOffset val="100"/>
        <c:noMultiLvlLbl val="0"/>
      </c:catAx>
      <c:valAx>
        <c:axId val="70270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02705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60" b="0" i="0" u="none" strike="noStrike" kern="1200" spc="0" baseline="0">
                <a:solidFill>
                  <a:sysClr val="windowText" lastClr="000000"/>
                </a:solidFill>
                <a:latin typeface="+mn-lt"/>
                <a:ea typeface="+mn-ea"/>
                <a:cs typeface="+mn-cs"/>
              </a:defRPr>
            </a:pPr>
            <a:r>
              <a:rPr lang="es-MX" sz="2400">
                <a:latin typeface="Bahnschrift SemiLight SemiConde" panose="020B0502040204020203" pitchFamily="34" charset="0"/>
              </a:rPr>
              <a:t>REA</a:t>
            </a:r>
            <a:r>
              <a:rPr lang="es-MX" sz="2400" baseline="0">
                <a:latin typeface="Bahnschrift SemiLight SemiConde" panose="020B0502040204020203" pitchFamily="34" charset="0"/>
              </a:rPr>
              <a:t> </a:t>
            </a:r>
            <a:r>
              <a:rPr lang="es-MX" sz="2400">
                <a:latin typeface="Bahnschrift SemiLight SemiConde" panose="020B0502040204020203" pitchFamily="34" charset="0"/>
              </a:rPr>
              <a:t> 2025</a:t>
            </a:r>
          </a:p>
        </c:rich>
      </c:tx>
      <c:overlay val="0"/>
      <c:spPr>
        <a:noFill/>
        <a:ln>
          <a:noFill/>
        </a:ln>
        <a:effectLst/>
      </c:spPr>
      <c:txPr>
        <a:bodyPr rot="0" spcFirstLastPara="1" vertOverflow="ellipsis" vert="horz" wrap="square" anchor="ctr" anchorCtr="1"/>
        <a:lstStyle/>
        <a:p>
          <a:pPr>
            <a:defRPr sz="1560" b="0" i="0" u="none" strike="noStrike" kern="1200" spc="0" baseline="0">
              <a:solidFill>
                <a:sysClr val="windowText" lastClr="000000"/>
              </a:solidFill>
              <a:latin typeface="+mn-lt"/>
              <a:ea typeface="+mn-ea"/>
              <a:cs typeface="+mn-cs"/>
            </a:defRPr>
          </a:pPr>
          <a:endParaRPr lang="es-MX"/>
        </a:p>
      </c:txPr>
    </c:title>
    <c:autoTitleDeleted val="0"/>
    <c:plotArea>
      <c:layout>
        <c:manualLayout>
          <c:layoutTarget val="inner"/>
          <c:xMode val="edge"/>
          <c:yMode val="edge"/>
          <c:x val="3.7211898849180386E-2"/>
          <c:y val="6.0953922482802313E-2"/>
          <c:w val="0.95564159787109981"/>
          <c:h val="0.80501366013778264"/>
        </c:manualLayout>
      </c:layout>
      <c:lineChart>
        <c:grouping val="standard"/>
        <c:varyColors val="0"/>
        <c:ser>
          <c:idx val="0"/>
          <c:order val="0"/>
          <c:spPr>
            <a:ln w="28575" cap="rnd">
              <a:solidFill>
                <a:srgbClr val="FF0000"/>
              </a:solidFill>
              <a:round/>
            </a:ln>
            <a:effectLst/>
          </c:spPr>
          <c:marker>
            <c:symbol val="circle"/>
            <c:size val="5"/>
            <c:spPr>
              <a:solidFill>
                <a:schemeClr val="tx1"/>
              </a:solidFill>
              <a:ln w="9525">
                <a:solidFill>
                  <a:srgbClr val="FF0000"/>
                </a:solidFill>
              </a:ln>
              <a:effectLst/>
            </c:spPr>
          </c:marker>
          <c:cat>
            <c:strRef>
              <c:f>'OEE daily REA '!$A$24:$A$35</c:f>
              <c:strCache>
                <c:ptCount val="12"/>
                <c:pt idx="0">
                  <c:v>January </c:v>
                </c:pt>
                <c:pt idx="1">
                  <c:v>February </c:v>
                </c:pt>
                <c:pt idx="2">
                  <c:v>March </c:v>
                </c:pt>
                <c:pt idx="3">
                  <c:v>April </c:v>
                </c:pt>
                <c:pt idx="4">
                  <c:v>May </c:v>
                </c:pt>
                <c:pt idx="5">
                  <c:v>June </c:v>
                </c:pt>
                <c:pt idx="6">
                  <c:v>July</c:v>
                </c:pt>
                <c:pt idx="7">
                  <c:v>August </c:v>
                </c:pt>
                <c:pt idx="8">
                  <c:v>September </c:v>
                </c:pt>
                <c:pt idx="9">
                  <c:v>October </c:v>
                </c:pt>
                <c:pt idx="10">
                  <c:v>November </c:v>
                </c:pt>
                <c:pt idx="11">
                  <c:v>December</c:v>
                </c:pt>
              </c:strCache>
            </c:strRef>
          </c:cat>
          <c:val>
            <c:numRef>
              <c:f>'OEE daily REA '!$B$24:$B$35</c:f>
            </c:numRef>
          </c:val>
          <c:smooth val="0"/>
          <c:extLst>
            <c:ext xmlns:c16="http://schemas.microsoft.com/office/drawing/2014/chart" uri="{C3380CC4-5D6E-409C-BE32-E72D297353CC}">
              <c16:uniqueId val="{00000000-B4D9-4C45-B3FD-97E4C3B57023}"/>
            </c:ext>
          </c:extLst>
        </c:ser>
        <c:ser>
          <c:idx val="1"/>
          <c:order val="1"/>
          <c:spPr>
            <a:ln w="28575" cap="rnd">
              <a:solidFill>
                <a:srgbClr val="FFFF00"/>
              </a:solidFill>
              <a:round/>
            </a:ln>
            <a:effectLst/>
          </c:spPr>
          <c:marker>
            <c:symbol val="circle"/>
            <c:size val="5"/>
            <c:spPr>
              <a:solidFill>
                <a:schemeClr val="tx1"/>
              </a:solidFill>
              <a:ln w="9525">
                <a:solidFill>
                  <a:srgbClr val="FFFF00"/>
                </a:solidFill>
              </a:ln>
              <a:effectLst/>
            </c:spPr>
          </c:marker>
          <c:cat>
            <c:strRef>
              <c:f>'OEE daily REA '!$A$24:$A$35</c:f>
              <c:strCache>
                <c:ptCount val="12"/>
                <c:pt idx="0">
                  <c:v>January </c:v>
                </c:pt>
                <c:pt idx="1">
                  <c:v>February </c:v>
                </c:pt>
                <c:pt idx="2">
                  <c:v>March </c:v>
                </c:pt>
                <c:pt idx="3">
                  <c:v>April </c:v>
                </c:pt>
                <c:pt idx="4">
                  <c:v>May </c:v>
                </c:pt>
                <c:pt idx="5">
                  <c:v>June </c:v>
                </c:pt>
                <c:pt idx="6">
                  <c:v>July</c:v>
                </c:pt>
                <c:pt idx="7">
                  <c:v>August </c:v>
                </c:pt>
                <c:pt idx="8">
                  <c:v>September </c:v>
                </c:pt>
                <c:pt idx="9">
                  <c:v>October </c:v>
                </c:pt>
                <c:pt idx="10">
                  <c:v>November </c:v>
                </c:pt>
                <c:pt idx="11">
                  <c:v>December</c:v>
                </c:pt>
              </c:strCache>
            </c:strRef>
          </c:cat>
          <c:val>
            <c:numRef>
              <c:f>'OEE daily REA '!$C$24:$C$35</c:f>
            </c:numRef>
          </c:val>
          <c:smooth val="0"/>
          <c:extLst>
            <c:ext xmlns:c16="http://schemas.microsoft.com/office/drawing/2014/chart" uri="{C3380CC4-5D6E-409C-BE32-E72D297353CC}">
              <c16:uniqueId val="{00000001-B4D9-4C45-B3FD-97E4C3B57023}"/>
            </c:ext>
          </c:extLst>
        </c:ser>
        <c:ser>
          <c:idx val="2"/>
          <c:order val="2"/>
          <c:spPr>
            <a:ln w="28575" cap="rnd">
              <a:solidFill>
                <a:srgbClr val="00FF00"/>
              </a:solidFill>
              <a:round/>
            </a:ln>
            <a:effectLst/>
          </c:spPr>
          <c:marker>
            <c:symbol val="circle"/>
            <c:size val="5"/>
            <c:spPr>
              <a:solidFill>
                <a:schemeClr val="tx1"/>
              </a:solidFill>
              <a:ln w="9525">
                <a:solidFill>
                  <a:srgbClr val="00FF00"/>
                </a:solidFill>
              </a:ln>
              <a:effectLst/>
            </c:spPr>
          </c:marker>
          <c:cat>
            <c:strRef>
              <c:f>'OEE daily REA '!$A$24:$A$35</c:f>
              <c:strCache>
                <c:ptCount val="12"/>
                <c:pt idx="0">
                  <c:v>January </c:v>
                </c:pt>
                <c:pt idx="1">
                  <c:v>February </c:v>
                </c:pt>
                <c:pt idx="2">
                  <c:v>March </c:v>
                </c:pt>
                <c:pt idx="3">
                  <c:v>April </c:v>
                </c:pt>
                <c:pt idx="4">
                  <c:v>May </c:v>
                </c:pt>
                <c:pt idx="5">
                  <c:v>June </c:v>
                </c:pt>
                <c:pt idx="6">
                  <c:v>July</c:v>
                </c:pt>
                <c:pt idx="7">
                  <c:v>August </c:v>
                </c:pt>
                <c:pt idx="8">
                  <c:v>September </c:v>
                </c:pt>
                <c:pt idx="9">
                  <c:v>October </c:v>
                </c:pt>
                <c:pt idx="10">
                  <c:v>November </c:v>
                </c:pt>
                <c:pt idx="11">
                  <c:v>December</c:v>
                </c:pt>
              </c:strCache>
            </c:strRef>
          </c:cat>
          <c:val>
            <c:numRef>
              <c:f>'OEE daily REA '!$D$24:$D$35</c:f>
            </c:numRef>
          </c:val>
          <c:smooth val="0"/>
          <c:extLst>
            <c:ext xmlns:c16="http://schemas.microsoft.com/office/drawing/2014/chart" uri="{C3380CC4-5D6E-409C-BE32-E72D297353CC}">
              <c16:uniqueId val="{00000002-B4D9-4C45-B3FD-97E4C3B57023}"/>
            </c:ext>
          </c:extLst>
        </c:ser>
        <c:dLbls>
          <c:showLegendKey val="0"/>
          <c:showVal val="0"/>
          <c:showCatName val="0"/>
          <c:showSerName val="0"/>
          <c:showPercent val="0"/>
          <c:showBubbleSize val="0"/>
        </c:dLbls>
        <c:marker val="1"/>
        <c:smooth val="0"/>
        <c:axId val="702707704"/>
        <c:axId val="702707312"/>
      </c:lineChart>
      <c:catAx>
        <c:axId val="702707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endParaRPr lang="es-MX"/>
          </a:p>
        </c:txPr>
        <c:crossAx val="702707312"/>
        <c:crosses val="autoZero"/>
        <c:auto val="1"/>
        <c:lblAlgn val="ctr"/>
        <c:lblOffset val="100"/>
        <c:noMultiLvlLbl val="0"/>
      </c:catAx>
      <c:valAx>
        <c:axId val="702707312"/>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r>
                  <a:rPr lang="es-MX"/>
                  <a:t>Porcentage</a:t>
                </a:r>
              </a:p>
            </c:rich>
          </c:tx>
          <c:overlay val="0"/>
          <c:spPr>
            <a:noFill/>
            <a:ln>
              <a:noFill/>
            </a:ln>
            <a:effectLst/>
          </c:spPr>
          <c:txPr>
            <a:bodyPr rot="-54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endParaRPr lang="es-MX"/>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endParaRPr lang="es-MX"/>
          </a:p>
        </c:txPr>
        <c:crossAx val="702707704"/>
        <c:crosses val="autoZero"/>
        <c:crossBetween val="between"/>
        <c:majorUnit val="0.1"/>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1300" b="0" i="0" u="none" strike="noStrike" kern="1200" baseline="0">
                <a:solidFill>
                  <a:sysClr val="windowText" lastClr="000000"/>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50000"/>
            <a:lumOff val="50000"/>
          </a:schemeClr>
        </a:gs>
        <a:gs pos="50000">
          <a:srgbClr val="FFFFFF">
            <a:shade val="67500"/>
            <a:satMod val="115000"/>
          </a:srgbClr>
        </a:gs>
        <a:gs pos="100000">
          <a:schemeClr val="bg1">
            <a:lumMod val="95000"/>
          </a:schemeClr>
        </a:gs>
      </a:gsLst>
      <a:lin ang="16200000" scaled="1"/>
      <a:tileRect/>
    </a:gradFill>
    <a:ln w="9525" cap="flat" cmpd="sng" algn="ctr">
      <a:gradFill>
        <a:gsLst>
          <a:gs pos="0">
            <a:schemeClr val="accent1">
              <a:lumMod val="5000"/>
              <a:lumOff val="95000"/>
            </a:schemeClr>
          </a:gs>
          <a:gs pos="74000">
            <a:schemeClr val="accent1">
              <a:lumMod val="45000"/>
              <a:lumOff val="55000"/>
            </a:schemeClr>
          </a:gs>
          <a:gs pos="0">
            <a:schemeClr val="bg1"/>
          </a:gs>
          <a:gs pos="100000">
            <a:schemeClr val="bg1">
              <a:lumMod val="50000"/>
            </a:schemeClr>
          </a:gs>
        </a:gsLst>
        <a:lin ang="5400000" scaled="1"/>
      </a:gradFill>
      <a:round/>
    </a:ln>
    <a:effectLst/>
  </c:spPr>
  <c:txPr>
    <a:bodyPr/>
    <a:lstStyle/>
    <a:p>
      <a:pPr>
        <a:defRPr sz="1300" baseline="0">
          <a:solidFill>
            <a:sysClr val="windowText" lastClr="000000"/>
          </a:solidFill>
        </a:defRPr>
      </a:pPr>
      <a:endParaRPr lang="es-MX"/>
    </a:p>
  </c:txPr>
  <c:printSettings>
    <c:headerFooter/>
    <c:pageMargins b="0.74803149606299213" l="0.70866141732283472" r="0.70866141732283472" t="0.74803149606299213" header="0.31496062992125984" footer="0.31496062992125984"/>
    <c:pageSetup orientation="landscape"/>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60" b="0" i="0" u="none" strike="noStrike" kern="1200" spc="0" baseline="0">
                <a:solidFill>
                  <a:sysClr val="windowText" lastClr="000000"/>
                </a:solidFill>
                <a:latin typeface="+mn-lt"/>
                <a:ea typeface="+mn-ea"/>
                <a:cs typeface="+mn-cs"/>
              </a:defRPr>
            </a:pPr>
            <a:r>
              <a:rPr lang="es-MX" sz="2400">
                <a:latin typeface="Bahnschrift SemiLight SemiConde" panose="020B0502040204020203" pitchFamily="34" charset="0"/>
              </a:rPr>
              <a:t>REA</a:t>
            </a:r>
            <a:r>
              <a:rPr lang="es-MX" sz="2400" baseline="0">
                <a:latin typeface="Bahnschrift SemiLight SemiConde" panose="020B0502040204020203" pitchFamily="34" charset="0"/>
              </a:rPr>
              <a:t> </a:t>
            </a:r>
            <a:r>
              <a:rPr lang="es-MX" sz="2400">
                <a:latin typeface="Bahnschrift SemiLight SemiConde" panose="020B0502040204020203" pitchFamily="34" charset="0"/>
              </a:rPr>
              <a:t> 2025</a:t>
            </a:r>
          </a:p>
        </c:rich>
      </c:tx>
      <c:overlay val="0"/>
      <c:spPr>
        <a:noFill/>
        <a:ln>
          <a:noFill/>
        </a:ln>
        <a:effectLst/>
      </c:spPr>
      <c:txPr>
        <a:bodyPr rot="0" spcFirstLastPara="1" vertOverflow="ellipsis" vert="horz" wrap="square" anchor="ctr" anchorCtr="1"/>
        <a:lstStyle/>
        <a:p>
          <a:pPr>
            <a:defRPr sz="1560" b="0" i="0" u="none" strike="noStrike" kern="1200" spc="0" baseline="0">
              <a:solidFill>
                <a:sysClr val="windowText" lastClr="000000"/>
              </a:solidFill>
              <a:latin typeface="+mn-lt"/>
              <a:ea typeface="+mn-ea"/>
              <a:cs typeface="+mn-cs"/>
            </a:defRPr>
          </a:pPr>
          <a:endParaRPr lang="es-MX"/>
        </a:p>
      </c:txPr>
    </c:title>
    <c:autoTitleDeleted val="0"/>
    <c:plotArea>
      <c:layout>
        <c:manualLayout>
          <c:layoutTarget val="inner"/>
          <c:xMode val="edge"/>
          <c:yMode val="edge"/>
          <c:x val="3.7211898849180386E-2"/>
          <c:y val="6.0953922482802313E-2"/>
          <c:w val="0.95564159787109981"/>
          <c:h val="0.80501366013778264"/>
        </c:manualLayout>
      </c:layout>
      <c:lineChart>
        <c:grouping val="standard"/>
        <c:varyColors val="0"/>
        <c:ser>
          <c:idx val="0"/>
          <c:order val="0"/>
          <c:spPr>
            <a:ln w="28575" cap="rnd">
              <a:solidFill>
                <a:srgbClr val="FF0000"/>
              </a:solidFill>
              <a:round/>
            </a:ln>
            <a:effectLst/>
          </c:spPr>
          <c:marker>
            <c:symbol val="circle"/>
            <c:size val="5"/>
            <c:spPr>
              <a:solidFill>
                <a:schemeClr val="tx1"/>
              </a:solidFill>
              <a:ln w="9525">
                <a:solidFill>
                  <a:srgbClr val="FF0000"/>
                </a:solidFill>
              </a:ln>
              <a:effectLst/>
            </c:spPr>
          </c:marker>
          <c:cat>
            <c:strRef>
              <c:f>'OEE MONTH REA'!$A$24:$A$35</c:f>
              <c:strCache>
                <c:ptCount val="12"/>
                <c:pt idx="0">
                  <c:v>January </c:v>
                </c:pt>
                <c:pt idx="1">
                  <c:v>February </c:v>
                </c:pt>
                <c:pt idx="2">
                  <c:v>March </c:v>
                </c:pt>
                <c:pt idx="3">
                  <c:v>April </c:v>
                </c:pt>
                <c:pt idx="4">
                  <c:v>May </c:v>
                </c:pt>
                <c:pt idx="5">
                  <c:v>June </c:v>
                </c:pt>
                <c:pt idx="6">
                  <c:v>July</c:v>
                </c:pt>
                <c:pt idx="7">
                  <c:v>August </c:v>
                </c:pt>
                <c:pt idx="8">
                  <c:v>September </c:v>
                </c:pt>
                <c:pt idx="9">
                  <c:v>October </c:v>
                </c:pt>
                <c:pt idx="10">
                  <c:v>November </c:v>
                </c:pt>
                <c:pt idx="11">
                  <c:v>December</c:v>
                </c:pt>
              </c:strCache>
            </c:strRef>
          </c:cat>
          <c:val>
            <c:numRef>
              <c:f>'OEE MONTH REA'!$B$24:$B$35</c:f>
              <c:numCache>
                <c:formatCode>0.00%</c:formatCode>
                <c:ptCount val="12"/>
                <c:pt idx="0">
                  <c:v>0.74260000000000004</c:v>
                </c:pt>
              </c:numCache>
            </c:numRef>
          </c:val>
          <c:smooth val="0"/>
          <c:extLst>
            <c:ext xmlns:c16="http://schemas.microsoft.com/office/drawing/2014/chart" uri="{C3380CC4-5D6E-409C-BE32-E72D297353CC}">
              <c16:uniqueId val="{00000000-4141-441A-B194-1CDF0F1AE9C6}"/>
            </c:ext>
          </c:extLst>
        </c:ser>
        <c:ser>
          <c:idx val="1"/>
          <c:order val="1"/>
          <c:spPr>
            <a:ln w="28575" cap="rnd">
              <a:solidFill>
                <a:srgbClr val="FFFF00"/>
              </a:solidFill>
              <a:round/>
            </a:ln>
            <a:effectLst/>
          </c:spPr>
          <c:marker>
            <c:symbol val="circle"/>
            <c:size val="5"/>
            <c:spPr>
              <a:solidFill>
                <a:schemeClr val="tx1"/>
              </a:solidFill>
              <a:ln w="9525">
                <a:solidFill>
                  <a:srgbClr val="FFFF00"/>
                </a:solidFill>
              </a:ln>
              <a:effectLst/>
            </c:spPr>
          </c:marker>
          <c:cat>
            <c:strRef>
              <c:f>'OEE MONTH REA'!$A$24:$A$35</c:f>
              <c:strCache>
                <c:ptCount val="12"/>
                <c:pt idx="0">
                  <c:v>January </c:v>
                </c:pt>
                <c:pt idx="1">
                  <c:v>February </c:v>
                </c:pt>
                <c:pt idx="2">
                  <c:v>March </c:v>
                </c:pt>
                <c:pt idx="3">
                  <c:v>April </c:v>
                </c:pt>
                <c:pt idx="4">
                  <c:v>May </c:v>
                </c:pt>
                <c:pt idx="5">
                  <c:v>June </c:v>
                </c:pt>
                <c:pt idx="6">
                  <c:v>July</c:v>
                </c:pt>
                <c:pt idx="7">
                  <c:v>August </c:v>
                </c:pt>
                <c:pt idx="8">
                  <c:v>September </c:v>
                </c:pt>
                <c:pt idx="9">
                  <c:v>October </c:v>
                </c:pt>
                <c:pt idx="10">
                  <c:v>November </c:v>
                </c:pt>
                <c:pt idx="11">
                  <c:v>December</c:v>
                </c:pt>
              </c:strCache>
            </c:strRef>
          </c:cat>
          <c:val>
            <c:numRef>
              <c:f>'OEE MONTH REA'!$C$24:$C$35</c:f>
              <c:numCache>
                <c:formatCode>0.00%</c:formatCode>
                <c:ptCount val="12"/>
                <c:pt idx="0">
                  <c:v>0.90839999999999999</c:v>
                </c:pt>
              </c:numCache>
            </c:numRef>
          </c:val>
          <c:smooth val="0"/>
          <c:extLst>
            <c:ext xmlns:c16="http://schemas.microsoft.com/office/drawing/2014/chart" uri="{C3380CC4-5D6E-409C-BE32-E72D297353CC}">
              <c16:uniqueId val="{00000001-4141-441A-B194-1CDF0F1AE9C6}"/>
            </c:ext>
          </c:extLst>
        </c:ser>
        <c:ser>
          <c:idx val="2"/>
          <c:order val="2"/>
          <c:spPr>
            <a:ln w="28575" cap="rnd">
              <a:solidFill>
                <a:srgbClr val="00FF00"/>
              </a:solidFill>
              <a:round/>
            </a:ln>
            <a:effectLst/>
          </c:spPr>
          <c:marker>
            <c:symbol val="circle"/>
            <c:size val="5"/>
            <c:spPr>
              <a:solidFill>
                <a:schemeClr val="tx1"/>
              </a:solidFill>
              <a:ln w="9525">
                <a:solidFill>
                  <a:srgbClr val="00FF00"/>
                </a:solidFill>
              </a:ln>
              <a:effectLst/>
            </c:spPr>
          </c:marker>
          <c:cat>
            <c:strRef>
              <c:f>'OEE MONTH REA'!$A$24:$A$35</c:f>
              <c:strCache>
                <c:ptCount val="12"/>
                <c:pt idx="0">
                  <c:v>January </c:v>
                </c:pt>
                <c:pt idx="1">
                  <c:v>February </c:v>
                </c:pt>
                <c:pt idx="2">
                  <c:v>March </c:v>
                </c:pt>
                <c:pt idx="3">
                  <c:v>April </c:v>
                </c:pt>
                <c:pt idx="4">
                  <c:v>May </c:v>
                </c:pt>
                <c:pt idx="5">
                  <c:v>June </c:v>
                </c:pt>
                <c:pt idx="6">
                  <c:v>July</c:v>
                </c:pt>
                <c:pt idx="7">
                  <c:v>August </c:v>
                </c:pt>
                <c:pt idx="8">
                  <c:v>September </c:v>
                </c:pt>
                <c:pt idx="9">
                  <c:v>October </c:v>
                </c:pt>
                <c:pt idx="10">
                  <c:v>November </c:v>
                </c:pt>
                <c:pt idx="11">
                  <c:v>December</c:v>
                </c:pt>
              </c:strCache>
            </c:strRef>
          </c:cat>
          <c:val>
            <c:numRef>
              <c:f>'OEE MONTH REA'!$D$24:$D$35</c:f>
              <c:numCache>
                <c:formatCode>0.00%</c:formatCode>
                <c:ptCount val="12"/>
                <c:pt idx="0">
                  <c:v>0.85</c:v>
                </c:pt>
                <c:pt idx="1">
                  <c:v>0.85</c:v>
                </c:pt>
                <c:pt idx="2">
                  <c:v>0.85</c:v>
                </c:pt>
                <c:pt idx="3">
                  <c:v>0.85</c:v>
                </c:pt>
                <c:pt idx="4">
                  <c:v>0.85</c:v>
                </c:pt>
                <c:pt idx="5">
                  <c:v>0.85</c:v>
                </c:pt>
                <c:pt idx="6">
                  <c:v>0.85</c:v>
                </c:pt>
                <c:pt idx="7">
                  <c:v>0.85</c:v>
                </c:pt>
                <c:pt idx="8">
                  <c:v>0.85</c:v>
                </c:pt>
                <c:pt idx="9">
                  <c:v>0.85</c:v>
                </c:pt>
                <c:pt idx="10">
                  <c:v>0.85</c:v>
                </c:pt>
                <c:pt idx="11">
                  <c:v>0.85</c:v>
                </c:pt>
              </c:numCache>
            </c:numRef>
          </c:val>
          <c:smooth val="0"/>
          <c:extLst>
            <c:ext xmlns:c16="http://schemas.microsoft.com/office/drawing/2014/chart" uri="{C3380CC4-5D6E-409C-BE32-E72D297353CC}">
              <c16:uniqueId val="{00000002-4141-441A-B194-1CDF0F1AE9C6}"/>
            </c:ext>
          </c:extLst>
        </c:ser>
        <c:dLbls>
          <c:showLegendKey val="0"/>
          <c:showVal val="0"/>
          <c:showCatName val="0"/>
          <c:showSerName val="0"/>
          <c:showPercent val="0"/>
          <c:showBubbleSize val="0"/>
        </c:dLbls>
        <c:marker val="1"/>
        <c:smooth val="0"/>
        <c:axId val="702707704"/>
        <c:axId val="702707312"/>
      </c:lineChart>
      <c:catAx>
        <c:axId val="702707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endParaRPr lang="es-MX"/>
          </a:p>
        </c:txPr>
        <c:crossAx val="702707312"/>
        <c:crosses val="autoZero"/>
        <c:auto val="1"/>
        <c:lblAlgn val="ctr"/>
        <c:lblOffset val="100"/>
        <c:noMultiLvlLbl val="0"/>
      </c:catAx>
      <c:valAx>
        <c:axId val="702707312"/>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r>
                  <a:rPr lang="es-MX"/>
                  <a:t>Porcentage</a:t>
                </a:r>
              </a:p>
            </c:rich>
          </c:tx>
          <c:overlay val="0"/>
          <c:spPr>
            <a:noFill/>
            <a:ln>
              <a:noFill/>
            </a:ln>
            <a:effectLst/>
          </c:spPr>
          <c:txPr>
            <a:bodyPr rot="-54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endParaRPr lang="es-MX"/>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endParaRPr lang="es-MX"/>
          </a:p>
        </c:txPr>
        <c:crossAx val="702707704"/>
        <c:crosses val="autoZero"/>
        <c:crossBetween val="between"/>
        <c:majorUnit val="0.1"/>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1300" b="0" i="0" u="none" strike="noStrike" kern="1200" baseline="0">
                <a:solidFill>
                  <a:sysClr val="windowText" lastClr="000000"/>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50000"/>
            <a:lumOff val="50000"/>
          </a:schemeClr>
        </a:gs>
        <a:gs pos="50000">
          <a:srgbClr val="FFFFFF">
            <a:shade val="67500"/>
            <a:satMod val="115000"/>
          </a:srgbClr>
        </a:gs>
        <a:gs pos="100000">
          <a:schemeClr val="bg1">
            <a:lumMod val="95000"/>
          </a:schemeClr>
        </a:gs>
      </a:gsLst>
      <a:lin ang="16200000" scaled="1"/>
      <a:tileRect/>
    </a:gradFill>
    <a:ln w="9525" cap="flat" cmpd="sng" algn="ctr">
      <a:gradFill>
        <a:gsLst>
          <a:gs pos="0">
            <a:schemeClr val="accent1">
              <a:lumMod val="5000"/>
              <a:lumOff val="95000"/>
            </a:schemeClr>
          </a:gs>
          <a:gs pos="74000">
            <a:schemeClr val="accent1">
              <a:lumMod val="45000"/>
              <a:lumOff val="55000"/>
            </a:schemeClr>
          </a:gs>
          <a:gs pos="0">
            <a:schemeClr val="bg1"/>
          </a:gs>
          <a:gs pos="100000">
            <a:schemeClr val="bg1">
              <a:lumMod val="50000"/>
            </a:schemeClr>
          </a:gs>
        </a:gsLst>
        <a:lin ang="5400000" scaled="1"/>
      </a:gradFill>
      <a:round/>
    </a:ln>
    <a:effectLst/>
  </c:spPr>
  <c:txPr>
    <a:bodyPr/>
    <a:lstStyle/>
    <a:p>
      <a:pPr>
        <a:defRPr sz="1300" baseline="0">
          <a:solidFill>
            <a:sysClr val="windowText" lastClr="000000"/>
          </a:solidFill>
        </a:defRPr>
      </a:pPr>
      <a:endParaRPr lang="es-MX"/>
    </a:p>
  </c:txPr>
  <c:printSettings>
    <c:headerFooter/>
    <c:pageMargins b="0.74803149606299213" l="0.70866141732283472" r="0.70866141732283472" t="0.74803149606299213" header="0.31496062992125984" footer="0.31496062992125984"/>
    <c:pageSetup orientation="landscape"/>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a:t>
            </a:r>
            <a:r>
              <a:rPr lang="en-US" b="1"/>
              <a:t>OEE REA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0.1224156826485942"/>
          <c:y val="0.16819857498737306"/>
          <c:w val="0.80295612245849179"/>
          <c:h val="0.60376780991523382"/>
        </c:manualLayout>
      </c:layout>
      <c:barChart>
        <c:barDir val="col"/>
        <c:grouping val="clustered"/>
        <c:varyColors val="0"/>
        <c:ser>
          <c:idx val="0"/>
          <c:order val="0"/>
          <c:tx>
            <c:strRef>
              <c:f>Hoja6!$B$2</c:f>
              <c:strCache>
                <c:ptCount val="1"/>
                <c:pt idx="0">
                  <c:v> OEE</c:v>
                </c:pt>
              </c:strCache>
            </c:strRef>
          </c:tx>
          <c:spPr>
            <a:solidFill>
              <a:schemeClr val="bg1">
                <a:lumMod val="95000"/>
              </a:schemeClr>
            </a:solidFill>
            <a:ln w="19050">
              <a:solidFill>
                <a:schemeClr val="accent1"/>
              </a:solidFill>
              <a:beve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numRef>
              <c:f>Hoja6!$A$3:$A$21</c:f>
              <c:numCache>
                <c:formatCode>d\-mmm</c:formatCode>
                <c:ptCount val="19"/>
                <c:pt idx="0">
                  <c:v>45505</c:v>
                </c:pt>
                <c:pt idx="1">
                  <c:v>45506</c:v>
                </c:pt>
                <c:pt idx="2">
                  <c:v>45511</c:v>
                </c:pt>
                <c:pt idx="3">
                  <c:v>45512</c:v>
                </c:pt>
                <c:pt idx="4">
                  <c:v>45516</c:v>
                </c:pt>
                <c:pt idx="5">
                  <c:v>45517</c:v>
                </c:pt>
                <c:pt idx="6">
                  <c:v>45518</c:v>
                </c:pt>
                <c:pt idx="7">
                  <c:v>45519</c:v>
                </c:pt>
                <c:pt idx="8">
                  <c:v>45523</c:v>
                </c:pt>
                <c:pt idx="9">
                  <c:v>45524</c:v>
                </c:pt>
                <c:pt idx="10">
                  <c:v>45527</c:v>
                </c:pt>
                <c:pt idx="11">
                  <c:v>45530</c:v>
                </c:pt>
                <c:pt idx="12">
                  <c:v>45531</c:v>
                </c:pt>
                <c:pt idx="13">
                  <c:v>45532</c:v>
                </c:pt>
                <c:pt idx="14">
                  <c:v>45533</c:v>
                </c:pt>
                <c:pt idx="15">
                  <c:v>45534</c:v>
                </c:pt>
                <c:pt idx="16">
                  <c:v>45535</c:v>
                </c:pt>
                <c:pt idx="17">
                  <c:v>45536</c:v>
                </c:pt>
                <c:pt idx="18">
                  <c:v>45537</c:v>
                </c:pt>
              </c:numCache>
            </c:numRef>
          </c:cat>
          <c:val>
            <c:numRef>
              <c:f>Hoja6!$B$3:$B$21</c:f>
              <c:numCache>
                <c:formatCode>0%</c:formatCode>
                <c:ptCount val="19"/>
                <c:pt idx="0">
                  <c:v>0.88969138730629527</c:v>
                </c:pt>
                <c:pt idx="1">
                  <c:v>0.85902127442996734</c:v>
                </c:pt>
                <c:pt idx="2">
                  <c:v>9.08078264238667E-2</c:v>
                </c:pt>
                <c:pt idx="3">
                  <c:v>0.66325918406263973</c:v>
                </c:pt>
                <c:pt idx="4">
                  <c:v>0.91989977880567997</c:v>
                </c:pt>
                <c:pt idx="5">
                  <c:v>0.45184248734825505</c:v>
                </c:pt>
                <c:pt idx="6">
                  <c:v>0.78698035784320508</c:v>
                </c:pt>
                <c:pt idx="7">
                  <c:v>0.86364493256578556</c:v>
                </c:pt>
                <c:pt idx="8">
                  <c:v>0.74918879085034995</c:v>
                </c:pt>
                <c:pt idx="9">
                  <c:v>0.53363095238095237</c:v>
                </c:pt>
                <c:pt idx="10">
                  <c:v>0.68496749167294879</c:v>
                </c:pt>
                <c:pt idx="11">
                  <c:v>1</c:v>
                </c:pt>
                <c:pt idx="12">
                  <c:v>1.06</c:v>
                </c:pt>
              </c:numCache>
            </c:numRef>
          </c:val>
          <c:extLst>
            <c:ext xmlns:c16="http://schemas.microsoft.com/office/drawing/2014/chart" uri="{C3380CC4-5D6E-409C-BE32-E72D297353CC}">
              <c16:uniqueId val="{00000000-2F3C-4988-BBF8-B9C5789B7FEC}"/>
            </c:ext>
          </c:extLst>
        </c:ser>
        <c:dLbls>
          <c:showLegendKey val="0"/>
          <c:showVal val="0"/>
          <c:showCatName val="0"/>
          <c:showSerName val="0"/>
          <c:showPercent val="0"/>
          <c:showBubbleSize val="0"/>
        </c:dLbls>
        <c:gapWidth val="219"/>
        <c:overlap val="-27"/>
        <c:axId val="724723560"/>
        <c:axId val="724721208"/>
      </c:barChart>
      <c:dateAx>
        <c:axId val="724723560"/>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24721208"/>
        <c:crosses val="autoZero"/>
        <c:auto val="1"/>
        <c:lblOffset val="100"/>
        <c:baseTimeUnit val="days"/>
      </c:dateAx>
      <c:valAx>
        <c:axId val="7247212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24723560"/>
        <c:crosses val="autoZero"/>
        <c:crossBetween val="between"/>
        <c:majorUnit val="0.1"/>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PPM REA</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Hoja6!$C$2</c:f>
              <c:strCache>
                <c:ptCount val="1"/>
                <c:pt idx="0">
                  <c:v>PPMS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5.3763440860215058E-3"/>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3F3-47DF-85A7-2D2C8F945797}"/>
                </c:ext>
              </c:extLst>
            </c:dLbl>
            <c:dLbl>
              <c:idx val="1"/>
              <c:layout>
                <c:manualLayout>
                  <c:x val="2.1505376344086023E-2"/>
                  <c:y val="-0.11111111111111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3F3-47DF-85A7-2D2C8F945797}"/>
                </c:ext>
              </c:extLst>
            </c:dLbl>
            <c:dLbl>
              <c:idx val="2"/>
              <c:layout>
                <c:manualLayout>
                  <c:x val="-5.3763440860215379E-3"/>
                  <c:y val="-0.129629629629629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3F3-47DF-85A7-2D2C8F945797}"/>
                </c:ext>
              </c:extLst>
            </c:dLbl>
            <c:dLbl>
              <c:idx val="3"/>
              <c:layout>
                <c:manualLayout>
                  <c:x val="1.2544802867383513E-2"/>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3F3-47DF-85A7-2D2C8F945797}"/>
                </c:ext>
              </c:extLst>
            </c:dLbl>
            <c:dLbl>
              <c:idx val="4"/>
              <c:layout>
                <c:manualLayout>
                  <c:x val="0"/>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3F3-47DF-85A7-2D2C8F945797}"/>
                </c:ext>
              </c:extLst>
            </c:dLbl>
            <c:dLbl>
              <c:idx val="5"/>
              <c:layout>
                <c:manualLayout>
                  <c:x val="1.2544802867383513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3F3-47DF-85A7-2D2C8F945797}"/>
                </c:ext>
              </c:extLst>
            </c:dLbl>
            <c:dLbl>
              <c:idx val="6"/>
              <c:layout>
                <c:manualLayout>
                  <c:x val="8.9186168313787131E-3"/>
                  <c:y val="-7.45022479126526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23F3-47DF-85A7-2D2C8F945797}"/>
                </c:ext>
              </c:extLst>
            </c:dLbl>
            <c:dLbl>
              <c:idx val="7"/>
              <c:layout>
                <c:manualLayout>
                  <c:x val="3.3444813117670174E-3"/>
                  <c:y val="-0.10019267822736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23F3-47DF-85A7-2D2C8F945797}"/>
                </c:ext>
              </c:extLst>
            </c:dLbl>
            <c:dLbl>
              <c:idx val="8"/>
              <c:layout>
                <c:manualLayout>
                  <c:x val="-3.3444813117669359E-3"/>
                  <c:y val="-0.2466281310211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23F3-47DF-85A7-2D2C8F945797}"/>
                </c:ext>
              </c:extLst>
            </c:dLbl>
            <c:dLbl>
              <c:idx val="9"/>
              <c:layout>
                <c:manualLayout>
                  <c:x val="1.560757945491275E-2"/>
                  <c:y val="-6.1657032755298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23F3-47DF-85A7-2D2C8F945797}"/>
                </c:ext>
              </c:extLst>
            </c:dLbl>
            <c:dLbl>
              <c:idx val="10"/>
              <c:layout>
                <c:manualLayout>
                  <c:x val="-7.6923070170641331E-2"/>
                  <c:y val="-0.251766217084136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23F3-47DF-85A7-2D2C8F945797}"/>
                </c:ext>
              </c:extLst>
            </c:dLbl>
            <c:dLbl>
              <c:idx val="11"/>
              <c:layout>
                <c:manualLayout>
                  <c:x val="-1.684352252430552E-16"/>
                  <c:y val="-4.84359079158385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23F3-47DF-85A7-2D2C8F945797}"/>
                </c:ext>
              </c:extLst>
            </c:dLbl>
            <c:spPr>
              <a:noFill/>
              <a:ln>
                <a:solidFill>
                  <a:srgbClr val="0066FF"/>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Hoja6!$A$3:$A$36</c:f>
              <c:numCache>
                <c:formatCode>d\-mmm</c:formatCode>
                <c:ptCount val="34"/>
                <c:pt idx="0">
                  <c:v>45505</c:v>
                </c:pt>
                <c:pt idx="1">
                  <c:v>45506</c:v>
                </c:pt>
                <c:pt idx="2">
                  <c:v>45511</c:v>
                </c:pt>
                <c:pt idx="3">
                  <c:v>45512</c:v>
                </c:pt>
                <c:pt idx="4">
                  <c:v>45516</c:v>
                </c:pt>
                <c:pt idx="5">
                  <c:v>45517</c:v>
                </c:pt>
                <c:pt idx="6">
                  <c:v>45518</c:v>
                </c:pt>
                <c:pt idx="7">
                  <c:v>45519</c:v>
                </c:pt>
                <c:pt idx="8">
                  <c:v>45523</c:v>
                </c:pt>
                <c:pt idx="9">
                  <c:v>45524</c:v>
                </c:pt>
                <c:pt idx="10">
                  <c:v>45527</c:v>
                </c:pt>
                <c:pt idx="11">
                  <c:v>45530</c:v>
                </c:pt>
                <c:pt idx="12">
                  <c:v>45531</c:v>
                </c:pt>
                <c:pt idx="13">
                  <c:v>45532</c:v>
                </c:pt>
                <c:pt idx="14">
                  <c:v>45533</c:v>
                </c:pt>
                <c:pt idx="15">
                  <c:v>45534</c:v>
                </c:pt>
                <c:pt idx="16">
                  <c:v>45535</c:v>
                </c:pt>
                <c:pt idx="17">
                  <c:v>45536</c:v>
                </c:pt>
                <c:pt idx="18">
                  <c:v>45537</c:v>
                </c:pt>
                <c:pt idx="19">
                  <c:v>45538</c:v>
                </c:pt>
                <c:pt idx="20">
                  <c:v>45539</c:v>
                </c:pt>
                <c:pt idx="21">
                  <c:v>45540</c:v>
                </c:pt>
                <c:pt idx="22">
                  <c:v>45541</c:v>
                </c:pt>
                <c:pt idx="23">
                  <c:v>45542</c:v>
                </c:pt>
                <c:pt idx="24">
                  <c:v>45543</c:v>
                </c:pt>
                <c:pt idx="25">
                  <c:v>45544</c:v>
                </c:pt>
                <c:pt idx="26">
                  <c:v>45545</c:v>
                </c:pt>
                <c:pt idx="27">
                  <c:v>45546</c:v>
                </c:pt>
                <c:pt idx="28">
                  <c:v>45547</c:v>
                </c:pt>
                <c:pt idx="29">
                  <c:v>45548</c:v>
                </c:pt>
                <c:pt idx="30">
                  <c:v>45549</c:v>
                </c:pt>
                <c:pt idx="31">
                  <c:v>45550</c:v>
                </c:pt>
                <c:pt idx="32">
                  <c:v>45551</c:v>
                </c:pt>
                <c:pt idx="33">
                  <c:v>45552</c:v>
                </c:pt>
              </c:numCache>
            </c:numRef>
          </c:cat>
          <c:val>
            <c:numRef>
              <c:f>Hoja6!$C$3:$C$14</c:f>
              <c:numCache>
                <c:formatCode>0</c:formatCode>
                <c:ptCount val="12"/>
                <c:pt idx="0">
                  <c:v>5765.1906916612807</c:v>
                </c:pt>
                <c:pt idx="1">
                  <c:v>3257.328990228013</c:v>
                </c:pt>
                <c:pt idx="2">
                  <c:v>6896.5517241379312</c:v>
                </c:pt>
                <c:pt idx="3">
                  <c:v>4177.8020179983632</c:v>
                </c:pt>
                <c:pt idx="4">
                  <c:v>1716.6446509001596</c:v>
                </c:pt>
                <c:pt idx="5">
                  <c:v>1742.1602787456445</c:v>
                </c:pt>
                <c:pt idx="6">
                  <c:v>2904.162633107454</c:v>
                </c:pt>
                <c:pt idx="7">
                  <c:v>4989.8512173379468</c:v>
                </c:pt>
                <c:pt idx="8">
                  <c:v>19636.744009128946</c:v>
                </c:pt>
                <c:pt idx="9">
                  <c:v>0</c:v>
                </c:pt>
                <c:pt idx="10">
                  <c:v>30318.278137247256</c:v>
                </c:pt>
                <c:pt idx="11">
                  <c:v>775</c:v>
                </c:pt>
              </c:numCache>
            </c:numRef>
          </c:val>
          <c:extLst>
            <c:ext xmlns:c16="http://schemas.microsoft.com/office/drawing/2014/chart" uri="{C3380CC4-5D6E-409C-BE32-E72D297353CC}">
              <c16:uniqueId val="{00000000-23F3-47DF-85A7-2D2C8F945797}"/>
            </c:ext>
          </c:extLst>
        </c:ser>
        <c:ser>
          <c:idx val="1"/>
          <c:order val="1"/>
          <c:tx>
            <c:strRef>
              <c:f>Hoja6!$E$2</c:f>
              <c:strCache>
                <c:ptCount val="1"/>
                <c:pt idx="0">
                  <c:v> SCRAP</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0"/>
              <c:layout>
                <c:manualLayout>
                  <c:x val="4.5937410278495553E-3"/>
                  <c:y val="-0.518625949033983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3F3-47DF-85A7-2D2C8F945797}"/>
                </c:ext>
              </c:extLst>
            </c:dLbl>
            <c:dLbl>
              <c:idx val="1"/>
              <c:layout>
                <c:manualLayout>
                  <c:x val="5.7421762848119439E-3"/>
                  <c:y val="-0.557329378066370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3F3-47DF-85A7-2D2C8F945797}"/>
                </c:ext>
              </c:extLst>
            </c:dLbl>
            <c:dLbl>
              <c:idx val="2"/>
              <c:layout>
                <c:manualLayout>
                  <c:x val="5.7421762848119014E-3"/>
                  <c:y val="-0.510885263227506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23F3-47DF-85A7-2D2C8F945797}"/>
                </c:ext>
              </c:extLst>
            </c:dLbl>
            <c:dLbl>
              <c:idx val="3"/>
              <c:layout>
                <c:manualLayout>
                  <c:x val="6.8906115417743325E-3"/>
                  <c:y val="-0.54571834935665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23F3-47DF-85A7-2D2C8F945797}"/>
                </c:ext>
              </c:extLst>
            </c:dLbl>
            <c:dLbl>
              <c:idx val="4"/>
              <c:layout>
                <c:manualLayout>
                  <c:x val="6.8906115417742483E-3"/>
                  <c:y val="-0.592162464195518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3F3-47DF-85A7-2D2C8F945797}"/>
                </c:ext>
              </c:extLst>
            </c:dLbl>
            <c:dLbl>
              <c:idx val="5"/>
              <c:layout>
                <c:manualLayout>
                  <c:x val="6.8906115417742483E-3"/>
                  <c:y val="-0.588292121292280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23F3-47DF-85A7-2D2C8F945797}"/>
                </c:ext>
              </c:extLst>
            </c:dLbl>
            <c:dLbl>
              <c:idx val="6"/>
              <c:layout>
                <c:manualLayout>
                  <c:x val="6.8906115417742483E-3"/>
                  <c:y val="-0.572810749679325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23F3-47DF-85A7-2D2C8F945797}"/>
                </c:ext>
              </c:extLst>
            </c:dLbl>
            <c:dLbl>
              <c:idx val="7"/>
              <c:layout>
                <c:manualLayout>
                  <c:x val="6.8906115417742483E-3"/>
                  <c:y val="-0.537977663550177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23F3-47DF-85A7-2D2C8F945797}"/>
                </c:ext>
              </c:extLst>
            </c:dLbl>
            <c:dLbl>
              <c:idx val="8"/>
              <c:layout>
                <c:manualLayout>
                  <c:x val="4.5937410278495553E-3"/>
                  <c:y val="-0.313497775162333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23F3-47DF-85A7-2D2C8F945797}"/>
                </c:ext>
              </c:extLst>
            </c:dLbl>
            <c:dLbl>
              <c:idx val="9"/>
              <c:layout>
                <c:manualLayout>
                  <c:x val="4.5937410278494711E-3"/>
                  <c:y val="-0.615384521614950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23F3-47DF-85A7-2D2C8F945797}"/>
                </c:ext>
              </c:extLst>
            </c:dLbl>
            <c:dLbl>
              <c:idx val="10"/>
              <c:layout>
                <c:manualLayout>
                  <c:x val="6.9578378534012894E-3"/>
                  <c:y val="-6.2294640915550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23F3-47DF-85A7-2D2C8F945797}"/>
                </c:ext>
              </c:extLst>
            </c:dLbl>
            <c:dLbl>
              <c:idx val="11"/>
              <c:layout>
                <c:manualLayout>
                  <c:x val="5.7421762848119439E-3"/>
                  <c:y val="-0.603773492905234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23F3-47DF-85A7-2D2C8F945797}"/>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Hoja6!$A$3:$A$36</c:f>
              <c:numCache>
                <c:formatCode>d\-mmm</c:formatCode>
                <c:ptCount val="34"/>
                <c:pt idx="0">
                  <c:v>45505</c:v>
                </c:pt>
                <c:pt idx="1">
                  <c:v>45506</c:v>
                </c:pt>
                <c:pt idx="2">
                  <c:v>45511</c:v>
                </c:pt>
                <c:pt idx="3">
                  <c:v>45512</c:v>
                </c:pt>
                <c:pt idx="4">
                  <c:v>45516</c:v>
                </c:pt>
                <c:pt idx="5">
                  <c:v>45517</c:v>
                </c:pt>
                <c:pt idx="6">
                  <c:v>45518</c:v>
                </c:pt>
                <c:pt idx="7">
                  <c:v>45519</c:v>
                </c:pt>
                <c:pt idx="8">
                  <c:v>45523</c:v>
                </c:pt>
                <c:pt idx="9">
                  <c:v>45524</c:v>
                </c:pt>
                <c:pt idx="10">
                  <c:v>45527</c:v>
                </c:pt>
                <c:pt idx="11">
                  <c:v>45530</c:v>
                </c:pt>
                <c:pt idx="12">
                  <c:v>45531</c:v>
                </c:pt>
                <c:pt idx="13">
                  <c:v>45532</c:v>
                </c:pt>
                <c:pt idx="14">
                  <c:v>45533</c:v>
                </c:pt>
                <c:pt idx="15">
                  <c:v>45534</c:v>
                </c:pt>
                <c:pt idx="16">
                  <c:v>45535</c:v>
                </c:pt>
                <c:pt idx="17">
                  <c:v>45536</c:v>
                </c:pt>
                <c:pt idx="18">
                  <c:v>45537</c:v>
                </c:pt>
                <c:pt idx="19">
                  <c:v>45538</c:v>
                </c:pt>
                <c:pt idx="20">
                  <c:v>45539</c:v>
                </c:pt>
                <c:pt idx="21">
                  <c:v>45540</c:v>
                </c:pt>
                <c:pt idx="22">
                  <c:v>45541</c:v>
                </c:pt>
                <c:pt idx="23">
                  <c:v>45542</c:v>
                </c:pt>
                <c:pt idx="24">
                  <c:v>45543</c:v>
                </c:pt>
                <c:pt idx="25">
                  <c:v>45544</c:v>
                </c:pt>
                <c:pt idx="26">
                  <c:v>45545</c:v>
                </c:pt>
                <c:pt idx="27">
                  <c:v>45546</c:v>
                </c:pt>
                <c:pt idx="28">
                  <c:v>45547</c:v>
                </c:pt>
                <c:pt idx="29">
                  <c:v>45548</c:v>
                </c:pt>
                <c:pt idx="30">
                  <c:v>45549</c:v>
                </c:pt>
                <c:pt idx="31">
                  <c:v>45550</c:v>
                </c:pt>
                <c:pt idx="32">
                  <c:v>45551</c:v>
                </c:pt>
                <c:pt idx="33">
                  <c:v>45552</c:v>
                </c:pt>
              </c:numCache>
            </c:numRef>
          </c:cat>
          <c:val>
            <c:numRef>
              <c:f>Hoja6!$E$3:$E$14</c:f>
              <c:numCache>
                <c:formatCode>General</c:formatCode>
                <c:ptCount val="12"/>
                <c:pt idx="0">
                  <c:v>7</c:v>
                </c:pt>
                <c:pt idx="1">
                  <c:v>2</c:v>
                </c:pt>
                <c:pt idx="2">
                  <c:v>1</c:v>
                </c:pt>
                <c:pt idx="3">
                  <c:v>4</c:v>
                </c:pt>
                <c:pt idx="4">
                  <c:v>2</c:v>
                </c:pt>
                <c:pt idx="5">
                  <c:v>1</c:v>
                </c:pt>
                <c:pt idx="6">
                  <c:v>3</c:v>
                </c:pt>
                <c:pt idx="7">
                  <c:v>6</c:v>
                </c:pt>
                <c:pt idx="8">
                  <c:v>6</c:v>
                </c:pt>
                <c:pt idx="9">
                  <c:v>0</c:v>
                </c:pt>
                <c:pt idx="10">
                  <c:v>18</c:v>
                </c:pt>
                <c:pt idx="11">
                  <c:v>1</c:v>
                </c:pt>
              </c:numCache>
            </c:numRef>
          </c:val>
          <c:extLst>
            <c:ext xmlns:c16="http://schemas.microsoft.com/office/drawing/2014/chart" uri="{C3380CC4-5D6E-409C-BE32-E72D297353CC}">
              <c16:uniqueId val="{00000001-23F3-47DF-85A7-2D2C8F945797}"/>
            </c:ext>
          </c:extLst>
        </c:ser>
        <c:dLbls>
          <c:showLegendKey val="0"/>
          <c:showVal val="0"/>
          <c:showCatName val="0"/>
          <c:showSerName val="0"/>
          <c:showPercent val="0"/>
          <c:showBubbleSize val="0"/>
        </c:dLbls>
        <c:gapWidth val="150"/>
        <c:shape val="box"/>
        <c:axId val="724722384"/>
        <c:axId val="724722776"/>
        <c:axId val="0"/>
        <c:extLst>
          <c:ext xmlns:c15="http://schemas.microsoft.com/office/drawing/2012/chart" uri="{02D57815-91ED-43cb-92C2-25804820EDAC}">
            <c15:filteredBarSeries>
              <c15:ser>
                <c:idx val="2"/>
                <c:order val="2"/>
                <c:tx>
                  <c:strRef>
                    <c:extLst>
                      <c:ext uri="{02D57815-91ED-43cb-92C2-25804820EDAC}">
                        <c15:formulaRef>
                          <c15:sqref>Hoja6!$E$2</c15:sqref>
                        </c15:formulaRef>
                      </c:ext>
                    </c:extLst>
                    <c:strCache>
                      <c:ptCount val="1"/>
                      <c:pt idx="0">
                        <c:v> SCRAP</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numRef>
                    <c:extLst>
                      <c:ext uri="{02D57815-91ED-43cb-92C2-25804820EDAC}">
                        <c15:formulaRef>
                          <c15:sqref>Hoja6!$A$3:$A$36</c15:sqref>
                        </c15:formulaRef>
                      </c:ext>
                    </c:extLst>
                    <c:numCache>
                      <c:formatCode>d\-mmm</c:formatCode>
                      <c:ptCount val="34"/>
                      <c:pt idx="0">
                        <c:v>45505</c:v>
                      </c:pt>
                      <c:pt idx="1">
                        <c:v>45506</c:v>
                      </c:pt>
                      <c:pt idx="2">
                        <c:v>45511</c:v>
                      </c:pt>
                      <c:pt idx="3">
                        <c:v>45512</c:v>
                      </c:pt>
                      <c:pt idx="4">
                        <c:v>45516</c:v>
                      </c:pt>
                      <c:pt idx="5">
                        <c:v>45517</c:v>
                      </c:pt>
                      <c:pt idx="6">
                        <c:v>45518</c:v>
                      </c:pt>
                      <c:pt idx="7">
                        <c:v>45519</c:v>
                      </c:pt>
                      <c:pt idx="8">
                        <c:v>45523</c:v>
                      </c:pt>
                      <c:pt idx="9">
                        <c:v>45524</c:v>
                      </c:pt>
                      <c:pt idx="10">
                        <c:v>45527</c:v>
                      </c:pt>
                      <c:pt idx="11">
                        <c:v>45530</c:v>
                      </c:pt>
                      <c:pt idx="12">
                        <c:v>45531</c:v>
                      </c:pt>
                      <c:pt idx="13">
                        <c:v>45532</c:v>
                      </c:pt>
                      <c:pt idx="14">
                        <c:v>45533</c:v>
                      </c:pt>
                      <c:pt idx="15">
                        <c:v>45534</c:v>
                      </c:pt>
                      <c:pt idx="16">
                        <c:v>45535</c:v>
                      </c:pt>
                      <c:pt idx="17">
                        <c:v>45536</c:v>
                      </c:pt>
                      <c:pt idx="18">
                        <c:v>45537</c:v>
                      </c:pt>
                      <c:pt idx="19">
                        <c:v>45538</c:v>
                      </c:pt>
                      <c:pt idx="20">
                        <c:v>45539</c:v>
                      </c:pt>
                      <c:pt idx="21">
                        <c:v>45540</c:v>
                      </c:pt>
                      <c:pt idx="22">
                        <c:v>45541</c:v>
                      </c:pt>
                      <c:pt idx="23">
                        <c:v>45542</c:v>
                      </c:pt>
                      <c:pt idx="24">
                        <c:v>45543</c:v>
                      </c:pt>
                      <c:pt idx="25">
                        <c:v>45544</c:v>
                      </c:pt>
                      <c:pt idx="26">
                        <c:v>45545</c:v>
                      </c:pt>
                      <c:pt idx="27">
                        <c:v>45546</c:v>
                      </c:pt>
                      <c:pt idx="28">
                        <c:v>45547</c:v>
                      </c:pt>
                      <c:pt idx="29">
                        <c:v>45548</c:v>
                      </c:pt>
                      <c:pt idx="30">
                        <c:v>45549</c:v>
                      </c:pt>
                      <c:pt idx="31">
                        <c:v>45550</c:v>
                      </c:pt>
                      <c:pt idx="32">
                        <c:v>45551</c:v>
                      </c:pt>
                      <c:pt idx="33">
                        <c:v>45552</c:v>
                      </c:pt>
                    </c:numCache>
                  </c:numRef>
                </c:cat>
                <c:val>
                  <c:numRef>
                    <c:extLst>
                      <c:ext uri="{02D57815-91ED-43cb-92C2-25804820EDAC}">
                        <c15:formulaRef>
                          <c15:sqref>Hoja6!$E$3:$E$14</c15:sqref>
                        </c15:formulaRef>
                      </c:ext>
                    </c:extLst>
                    <c:numCache>
                      <c:formatCode>General</c:formatCode>
                      <c:ptCount val="12"/>
                      <c:pt idx="0">
                        <c:v>7</c:v>
                      </c:pt>
                      <c:pt idx="1">
                        <c:v>2</c:v>
                      </c:pt>
                      <c:pt idx="2">
                        <c:v>1</c:v>
                      </c:pt>
                      <c:pt idx="3">
                        <c:v>4</c:v>
                      </c:pt>
                      <c:pt idx="4">
                        <c:v>2</c:v>
                      </c:pt>
                      <c:pt idx="5">
                        <c:v>1</c:v>
                      </c:pt>
                      <c:pt idx="6">
                        <c:v>3</c:v>
                      </c:pt>
                      <c:pt idx="7">
                        <c:v>6</c:v>
                      </c:pt>
                      <c:pt idx="8">
                        <c:v>6</c:v>
                      </c:pt>
                      <c:pt idx="9">
                        <c:v>0</c:v>
                      </c:pt>
                      <c:pt idx="10">
                        <c:v>18</c:v>
                      </c:pt>
                      <c:pt idx="11">
                        <c:v>1</c:v>
                      </c:pt>
                    </c:numCache>
                  </c:numRef>
                </c:val>
                <c:extLst>
                  <c:ext xmlns:c16="http://schemas.microsoft.com/office/drawing/2014/chart" uri="{C3380CC4-5D6E-409C-BE32-E72D297353CC}">
                    <c16:uniqueId val="{00000009-23F3-47DF-85A7-2D2C8F945797}"/>
                  </c:ext>
                </c:extLst>
              </c15:ser>
            </c15:filteredBarSeries>
          </c:ext>
        </c:extLst>
      </c:bar3DChart>
      <c:dateAx>
        <c:axId val="724722384"/>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d\-mmm"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24722776"/>
        <c:crosses val="autoZero"/>
        <c:auto val="1"/>
        <c:lblOffset val="100"/>
        <c:baseTimeUnit val="days"/>
      </c:dateAx>
      <c:valAx>
        <c:axId val="7247227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24722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4803149606299213" l="0.70866141732283472" r="0.70866141732283472" t="0.74803149606299213" header="0.31496062992125984" footer="0.31496062992125984"/>
    <c:pageSetup paperSize="9" orientation="landscape"/>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EFICIENCIA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6.2408162835067303E-2"/>
          <c:y val="0.14408213719289659"/>
          <c:w val="0.91795774524168416"/>
          <c:h val="0.74372208211994217"/>
        </c:manualLayout>
      </c:layout>
      <c:barChart>
        <c:barDir val="col"/>
        <c:grouping val="clustered"/>
        <c:varyColors val="0"/>
        <c:ser>
          <c:idx val="0"/>
          <c:order val="0"/>
          <c:tx>
            <c:strRef>
              <c:f>Hoja6!$D$2</c:f>
              <c:strCache>
                <c:ptCount val="1"/>
                <c:pt idx="0">
                  <c:v> EFICIENCIA</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Hoja6!$A$3:$A$14</c:f>
              <c:numCache>
                <c:formatCode>d\-mmm</c:formatCode>
                <c:ptCount val="12"/>
                <c:pt idx="0">
                  <c:v>45505</c:v>
                </c:pt>
                <c:pt idx="1">
                  <c:v>45506</c:v>
                </c:pt>
                <c:pt idx="2">
                  <c:v>45511</c:v>
                </c:pt>
                <c:pt idx="3">
                  <c:v>45512</c:v>
                </c:pt>
                <c:pt idx="4">
                  <c:v>45516</c:v>
                </c:pt>
                <c:pt idx="5">
                  <c:v>45517</c:v>
                </c:pt>
                <c:pt idx="6">
                  <c:v>45518</c:v>
                </c:pt>
                <c:pt idx="7">
                  <c:v>45519</c:v>
                </c:pt>
                <c:pt idx="8">
                  <c:v>45523</c:v>
                </c:pt>
                <c:pt idx="9">
                  <c:v>45524</c:v>
                </c:pt>
                <c:pt idx="10">
                  <c:v>45527</c:v>
                </c:pt>
                <c:pt idx="11">
                  <c:v>45530</c:v>
                </c:pt>
              </c:numCache>
            </c:numRef>
          </c:cat>
          <c:val>
            <c:numRef>
              <c:f>Hoja6!$D$3:$D$14</c:f>
              <c:numCache>
                <c:formatCode>0%</c:formatCode>
                <c:ptCount val="12"/>
                <c:pt idx="0">
                  <c:v>0.92578486450760078</c:v>
                </c:pt>
                <c:pt idx="1">
                  <c:v>0.90781250000000002</c:v>
                </c:pt>
                <c:pt idx="2">
                  <c:v>0.10533707865168539</c:v>
                </c:pt>
                <c:pt idx="3">
                  <c:v>0.70753056840713813</c:v>
                </c:pt>
                <c:pt idx="4">
                  <c:v>0.92554527428949096</c:v>
                </c:pt>
                <c:pt idx="5">
                  <c:v>0.45456047587574355</c:v>
                </c:pt>
                <c:pt idx="6">
                  <c:v>0.79888466622604093</c:v>
                </c:pt>
                <c:pt idx="7">
                  <c:v>0.87386814276272307</c:v>
                </c:pt>
                <c:pt idx="8">
                  <c:v>0.81471813725490205</c:v>
                </c:pt>
                <c:pt idx="9">
                  <c:v>0.67500000000000004</c:v>
                </c:pt>
                <c:pt idx="10">
                  <c:v>0.71587078651685387</c:v>
                </c:pt>
                <c:pt idx="11">
                  <c:v>1.01</c:v>
                </c:pt>
              </c:numCache>
            </c:numRef>
          </c:val>
          <c:extLst>
            <c:ext xmlns:c16="http://schemas.microsoft.com/office/drawing/2014/chart" uri="{C3380CC4-5D6E-409C-BE32-E72D297353CC}">
              <c16:uniqueId val="{00000000-F1C2-4CF6-A99E-5669D6B116A1}"/>
            </c:ext>
          </c:extLst>
        </c:ser>
        <c:dLbls>
          <c:showLegendKey val="0"/>
          <c:showVal val="0"/>
          <c:showCatName val="0"/>
          <c:showSerName val="0"/>
          <c:showPercent val="0"/>
          <c:showBubbleSize val="0"/>
        </c:dLbls>
        <c:gapWidth val="219"/>
        <c:overlap val="-27"/>
        <c:axId val="724720032"/>
        <c:axId val="724720424"/>
      </c:barChart>
      <c:dateAx>
        <c:axId val="724720032"/>
        <c:scaling>
          <c:orientation val="minMax"/>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24720424"/>
        <c:crosses val="autoZero"/>
        <c:auto val="1"/>
        <c:lblOffset val="100"/>
        <c:baseTimeUnit val="days"/>
      </c:dateAx>
      <c:valAx>
        <c:axId val="7247204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24720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560" b="0" i="0" u="none" strike="noStrike" kern="1200" spc="0" baseline="0">
                <a:solidFill>
                  <a:sysClr val="windowText" lastClr="000000"/>
                </a:solidFill>
                <a:latin typeface="+mn-lt"/>
                <a:ea typeface="+mn-ea"/>
                <a:cs typeface="+mn-cs"/>
              </a:defRPr>
            </a:pPr>
            <a:r>
              <a:rPr lang="es-MX" sz="2400">
                <a:latin typeface="Bahnschrift SemiLight SemiConde" panose="020B0502040204020203" pitchFamily="34" charset="0"/>
              </a:rPr>
              <a:t>ACTUATOR 2022</a:t>
            </a:r>
          </a:p>
        </c:rich>
      </c:tx>
      <c:overlay val="0"/>
      <c:spPr>
        <a:noFill/>
        <a:ln>
          <a:noFill/>
        </a:ln>
        <a:effectLst/>
      </c:spPr>
      <c:txPr>
        <a:bodyPr rot="0" spcFirstLastPara="1" vertOverflow="ellipsis" vert="horz" wrap="square" anchor="ctr" anchorCtr="1"/>
        <a:lstStyle/>
        <a:p>
          <a:pPr>
            <a:defRPr sz="1560" b="0" i="0" u="none" strike="noStrike" kern="1200" spc="0" baseline="0">
              <a:solidFill>
                <a:sysClr val="windowText" lastClr="000000"/>
              </a:solidFill>
              <a:latin typeface="+mn-lt"/>
              <a:ea typeface="+mn-ea"/>
              <a:cs typeface="+mn-cs"/>
            </a:defRPr>
          </a:pPr>
          <a:endParaRPr lang="es-MX"/>
        </a:p>
      </c:txPr>
    </c:title>
    <c:autoTitleDeleted val="0"/>
    <c:plotArea>
      <c:layout/>
      <c:lineChart>
        <c:grouping val="standard"/>
        <c:varyColors val="0"/>
        <c:ser>
          <c:idx val="0"/>
          <c:order val="0"/>
          <c:tx>
            <c:v>Quality</c:v>
          </c:tx>
          <c:spPr>
            <a:ln w="28575" cap="rnd">
              <a:solidFill>
                <a:srgbClr val="FF0000"/>
              </a:solidFill>
              <a:round/>
            </a:ln>
            <a:effectLst/>
          </c:spPr>
          <c:marker>
            <c:symbol val="circle"/>
            <c:size val="5"/>
            <c:spPr>
              <a:solidFill>
                <a:schemeClr val="tx1"/>
              </a:solidFill>
              <a:ln w="9525">
                <a:solidFill>
                  <a:srgbClr val="FF0000"/>
                </a:solidFill>
              </a:ln>
              <a:effectLst/>
            </c:spPr>
          </c:marker>
          <c:cat>
            <c:strRef>
              <c:f>'OEE MONTHLY REA'!$A$24:$A$35</c:f>
              <c:strCache>
                <c:ptCount val="12"/>
                <c:pt idx="0">
                  <c:v>January </c:v>
                </c:pt>
                <c:pt idx="1">
                  <c:v>February </c:v>
                </c:pt>
                <c:pt idx="2">
                  <c:v>March </c:v>
                </c:pt>
                <c:pt idx="3">
                  <c:v>April </c:v>
                </c:pt>
                <c:pt idx="4">
                  <c:v>May </c:v>
                </c:pt>
                <c:pt idx="5">
                  <c:v>June </c:v>
                </c:pt>
                <c:pt idx="6">
                  <c:v>July</c:v>
                </c:pt>
                <c:pt idx="7">
                  <c:v>August </c:v>
                </c:pt>
                <c:pt idx="8">
                  <c:v>September </c:v>
                </c:pt>
                <c:pt idx="9">
                  <c:v>October </c:v>
                </c:pt>
                <c:pt idx="10">
                  <c:v>November </c:v>
                </c:pt>
                <c:pt idx="11">
                  <c:v>December</c:v>
                </c:pt>
              </c:strCache>
            </c:strRef>
          </c:cat>
          <c:val>
            <c:numRef>
              <c:f>'OEE MONTHLY REA'!$B$24:$B$35</c:f>
              <c:numCache>
                <c:formatCode>0.00%</c:formatCode>
                <c:ptCount val="12"/>
                <c:pt idx="0">
                  <c:v>0.99124125394778262</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1FA5-4E6E-BF27-C8457932F473}"/>
            </c:ext>
          </c:extLst>
        </c:ser>
        <c:ser>
          <c:idx val="1"/>
          <c:order val="1"/>
          <c:tx>
            <c:v>Speed Factor</c:v>
          </c:tx>
          <c:spPr>
            <a:ln w="28575" cap="rnd">
              <a:solidFill>
                <a:srgbClr val="FFFF00"/>
              </a:solidFill>
              <a:round/>
            </a:ln>
            <a:effectLst/>
          </c:spPr>
          <c:marker>
            <c:symbol val="circle"/>
            <c:size val="5"/>
            <c:spPr>
              <a:solidFill>
                <a:schemeClr val="tx1"/>
              </a:solidFill>
              <a:ln w="9525">
                <a:solidFill>
                  <a:srgbClr val="FFFF00"/>
                </a:solidFill>
              </a:ln>
              <a:effectLst/>
            </c:spPr>
          </c:marker>
          <c:cat>
            <c:strRef>
              <c:f>'OEE MONTHLY REA'!$A$24:$A$35</c:f>
              <c:strCache>
                <c:ptCount val="12"/>
                <c:pt idx="0">
                  <c:v>January </c:v>
                </c:pt>
                <c:pt idx="1">
                  <c:v>February </c:v>
                </c:pt>
                <c:pt idx="2">
                  <c:v>March </c:v>
                </c:pt>
                <c:pt idx="3">
                  <c:v>April </c:v>
                </c:pt>
                <c:pt idx="4">
                  <c:v>May </c:v>
                </c:pt>
                <c:pt idx="5">
                  <c:v>June </c:v>
                </c:pt>
                <c:pt idx="6">
                  <c:v>July</c:v>
                </c:pt>
                <c:pt idx="7">
                  <c:v>August </c:v>
                </c:pt>
                <c:pt idx="8">
                  <c:v>September </c:v>
                </c:pt>
                <c:pt idx="9">
                  <c:v>October </c:v>
                </c:pt>
                <c:pt idx="10">
                  <c:v>November </c:v>
                </c:pt>
                <c:pt idx="11">
                  <c:v>December</c:v>
                </c:pt>
              </c:strCache>
            </c:strRef>
          </c:cat>
          <c:val>
            <c:numRef>
              <c:f>'OEE MONTHLY REA'!$C$24:$C$35</c:f>
              <c:numCache>
                <c:formatCode>0.00%</c:formatCode>
                <c:ptCount val="12"/>
                <c:pt idx="0">
                  <c:v>0.73018649641881572</c:v>
                </c:pt>
                <c:pt idx="1">
                  <c:v>0</c:v>
                </c:pt>
                <c:pt idx="2">
                  <c:v>0</c:v>
                </c:pt>
                <c:pt idx="3">
                  <c:v>0</c:v>
                </c:pt>
                <c:pt idx="4">
                  <c:v>0</c:v>
                </c:pt>
                <c:pt idx="5">
                  <c:v>0</c:v>
                </c:pt>
                <c:pt idx="6">
                  <c:v>0</c:v>
                </c:pt>
                <c:pt idx="7">
                  <c:v>0</c:v>
                </c:pt>
                <c:pt idx="8">
                  <c:v>0</c:v>
                </c:pt>
                <c:pt idx="9">
                  <c:v>8.612072279892348E-2</c:v>
                </c:pt>
                <c:pt idx="10">
                  <c:v>0</c:v>
                </c:pt>
                <c:pt idx="11">
                  <c:v>0</c:v>
                </c:pt>
              </c:numCache>
            </c:numRef>
          </c:val>
          <c:smooth val="0"/>
          <c:extLst>
            <c:ext xmlns:c16="http://schemas.microsoft.com/office/drawing/2014/chart" uri="{C3380CC4-5D6E-409C-BE32-E72D297353CC}">
              <c16:uniqueId val="{00000001-1FA5-4E6E-BF27-C8457932F473}"/>
            </c:ext>
          </c:extLst>
        </c:ser>
        <c:ser>
          <c:idx val="2"/>
          <c:order val="2"/>
          <c:tx>
            <c:v>Availability</c:v>
          </c:tx>
          <c:spPr>
            <a:ln w="28575" cap="rnd">
              <a:solidFill>
                <a:srgbClr val="00FF00"/>
              </a:solidFill>
              <a:round/>
            </a:ln>
            <a:effectLst/>
          </c:spPr>
          <c:marker>
            <c:symbol val="circle"/>
            <c:size val="5"/>
            <c:spPr>
              <a:solidFill>
                <a:schemeClr val="tx1"/>
              </a:solidFill>
              <a:ln w="9525">
                <a:solidFill>
                  <a:srgbClr val="00FF00"/>
                </a:solidFill>
              </a:ln>
              <a:effectLst/>
            </c:spPr>
          </c:marker>
          <c:cat>
            <c:strRef>
              <c:f>'OEE MONTHLY REA'!$A$24:$A$35</c:f>
              <c:strCache>
                <c:ptCount val="12"/>
                <c:pt idx="0">
                  <c:v>January </c:v>
                </c:pt>
                <c:pt idx="1">
                  <c:v>February </c:v>
                </c:pt>
                <c:pt idx="2">
                  <c:v>March </c:v>
                </c:pt>
                <c:pt idx="3">
                  <c:v>April </c:v>
                </c:pt>
                <c:pt idx="4">
                  <c:v>May </c:v>
                </c:pt>
                <c:pt idx="5">
                  <c:v>June </c:v>
                </c:pt>
                <c:pt idx="6">
                  <c:v>July</c:v>
                </c:pt>
                <c:pt idx="7">
                  <c:v>August </c:v>
                </c:pt>
                <c:pt idx="8">
                  <c:v>September </c:v>
                </c:pt>
                <c:pt idx="9">
                  <c:v>October </c:v>
                </c:pt>
                <c:pt idx="10">
                  <c:v>November </c:v>
                </c:pt>
                <c:pt idx="11">
                  <c:v>December</c:v>
                </c:pt>
              </c:strCache>
            </c:strRef>
          </c:cat>
          <c:val>
            <c:numRef>
              <c:f>'OEE MONTHLY REA'!$D$24:$D$35</c:f>
              <c:numCache>
                <c:formatCode>0.00%</c:formatCode>
                <c:ptCount val="12"/>
                <c:pt idx="0">
                  <c:v>0.89881423597810639</c:v>
                </c:pt>
                <c:pt idx="1">
                  <c:v>0</c:v>
                </c:pt>
                <c:pt idx="2">
                  <c:v>0</c:v>
                </c:pt>
                <c:pt idx="3">
                  <c:v>0</c:v>
                </c:pt>
                <c:pt idx="4">
                  <c:v>0</c:v>
                </c:pt>
                <c:pt idx="5">
                  <c:v>0</c:v>
                </c:pt>
                <c:pt idx="6">
                  <c:v>0</c:v>
                </c:pt>
                <c:pt idx="7">
                  <c:v>0</c:v>
                </c:pt>
                <c:pt idx="8">
                  <c:v>0</c:v>
                </c:pt>
                <c:pt idx="9">
                  <c:v>0.85</c:v>
                </c:pt>
                <c:pt idx="10">
                  <c:v>0</c:v>
                </c:pt>
                <c:pt idx="11">
                  <c:v>0</c:v>
                </c:pt>
              </c:numCache>
            </c:numRef>
          </c:val>
          <c:smooth val="0"/>
          <c:extLst>
            <c:ext xmlns:c16="http://schemas.microsoft.com/office/drawing/2014/chart" uri="{C3380CC4-5D6E-409C-BE32-E72D297353CC}">
              <c16:uniqueId val="{00000002-1FA5-4E6E-BF27-C8457932F473}"/>
            </c:ext>
          </c:extLst>
        </c:ser>
        <c:dLbls>
          <c:showLegendKey val="0"/>
          <c:showVal val="0"/>
          <c:showCatName val="0"/>
          <c:showSerName val="0"/>
          <c:showPercent val="0"/>
          <c:showBubbleSize val="0"/>
        </c:dLbls>
        <c:marker val="1"/>
        <c:smooth val="0"/>
        <c:axId val="724720816"/>
        <c:axId val="710132080"/>
      </c:lineChart>
      <c:catAx>
        <c:axId val="72472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endParaRPr lang="es-MX"/>
          </a:p>
        </c:txPr>
        <c:crossAx val="710132080"/>
        <c:crosses val="autoZero"/>
        <c:auto val="1"/>
        <c:lblAlgn val="ctr"/>
        <c:lblOffset val="100"/>
        <c:noMultiLvlLbl val="0"/>
      </c:catAx>
      <c:valAx>
        <c:axId val="710132080"/>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r>
                  <a:rPr lang="es-MX"/>
                  <a:t>Porcentage</a:t>
                </a:r>
              </a:p>
            </c:rich>
          </c:tx>
          <c:overlay val="0"/>
          <c:spPr>
            <a:noFill/>
            <a:ln>
              <a:noFill/>
            </a:ln>
            <a:effectLst/>
          </c:spPr>
          <c:txPr>
            <a:bodyPr rot="-54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endParaRPr lang="es-MX"/>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300" b="0" i="0" u="none" strike="noStrike" kern="1200" baseline="0">
                <a:solidFill>
                  <a:sysClr val="windowText" lastClr="000000"/>
                </a:solidFill>
                <a:latin typeface="+mn-lt"/>
                <a:ea typeface="+mn-ea"/>
                <a:cs typeface="+mn-cs"/>
              </a:defRPr>
            </a:pPr>
            <a:endParaRPr lang="es-MX"/>
          </a:p>
        </c:txPr>
        <c:crossAx val="724720816"/>
        <c:crosses val="autoZero"/>
        <c:crossBetween val="between"/>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1300" b="0" i="0" u="none" strike="noStrike" kern="1200" baseline="0">
                <a:solidFill>
                  <a:sysClr val="windowText" lastClr="000000"/>
                </a:solidFill>
                <a:latin typeface="+mn-lt"/>
                <a:ea typeface="+mn-ea"/>
                <a:cs typeface="+mn-cs"/>
              </a:defRPr>
            </a:pPr>
            <a:endParaRPr lang="es-MX"/>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tx1">
            <a:lumMod val="50000"/>
            <a:lumOff val="50000"/>
          </a:schemeClr>
        </a:gs>
        <a:gs pos="50000">
          <a:srgbClr val="FFFFFF">
            <a:shade val="67500"/>
            <a:satMod val="115000"/>
          </a:srgbClr>
        </a:gs>
        <a:gs pos="100000">
          <a:schemeClr val="bg1">
            <a:lumMod val="95000"/>
          </a:schemeClr>
        </a:gs>
      </a:gsLst>
      <a:lin ang="16200000" scaled="1"/>
      <a:tileRect/>
    </a:gradFill>
    <a:ln w="9525" cap="flat" cmpd="sng" algn="ctr">
      <a:gradFill>
        <a:gsLst>
          <a:gs pos="0">
            <a:schemeClr val="accent1">
              <a:lumMod val="5000"/>
              <a:lumOff val="95000"/>
            </a:schemeClr>
          </a:gs>
          <a:gs pos="74000">
            <a:schemeClr val="accent1">
              <a:lumMod val="45000"/>
              <a:lumOff val="55000"/>
            </a:schemeClr>
          </a:gs>
          <a:gs pos="0">
            <a:schemeClr val="bg1"/>
          </a:gs>
          <a:gs pos="100000">
            <a:schemeClr val="bg1">
              <a:lumMod val="50000"/>
            </a:schemeClr>
          </a:gs>
        </a:gsLst>
        <a:lin ang="5400000" scaled="1"/>
      </a:gradFill>
      <a:round/>
    </a:ln>
    <a:effectLst/>
  </c:spPr>
  <c:txPr>
    <a:bodyPr/>
    <a:lstStyle/>
    <a:p>
      <a:pPr>
        <a:defRPr sz="1300" baseline="0">
          <a:solidFill>
            <a:sysClr val="windowText" lastClr="000000"/>
          </a:solidFill>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2</xdr:col>
      <xdr:colOff>9524</xdr:colOff>
      <xdr:row>0</xdr:row>
      <xdr:rowOff>0</xdr:rowOff>
    </xdr:from>
    <xdr:to>
      <xdr:col>17</xdr:col>
      <xdr:colOff>752475</xdr:colOff>
      <xdr:row>34</xdr:row>
      <xdr:rowOff>28575</xdr:rowOff>
    </xdr:to>
    <xdr:graphicFrame macro="">
      <xdr:nvGraphicFramePr>
        <xdr:cNvPr id="3" name="Gráfico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8</xdr:row>
      <xdr:rowOff>104775</xdr:rowOff>
    </xdr:from>
    <xdr:to>
      <xdr:col>17</xdr:col>
      <xdr:colOff>523875</xdr:colOff>
      <xdr:row>8</xdr:row>
      <xdr:rowOff>114300</xdr:rowOff>
    </xdr:to>
    <xdr:cxnSp macro="">
      <xdr:nvCxnSpPr>
        <xdr:cNvPr id="5" name="Conector recto 4">
          <a:extLst>
            <a:ext uri="{FF2B5EF4-FFF2-40B4-BE49-F238E27FC236}">
              <a16:creationId xmlns:a16="http://schemas.microsoft.com/office/drawing/2014/main" id="{00000000-0008-0000-0400-000005000000}"/>
            </a:ext>
          </a:extLst>
        </xdr:cNvPr>
        <xdr:cNvCxnSpPr/>
      </xdr:nvCxnSpPr>
      <xdr:spPr>
        <a:xfrm flipH="1">
          <a:off x="2209800" y="1676400"/>
          <a:ext cx="11268075" cy="952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xdr:colOff>
      <xdr:row>7</xdr:row>
      <xdr:rowOff>28576</xdr:rowOff>
    </xdr:from>
    <xdr:to>
      <xdr:col>17</xdr:col>
      <xdr:colOff>561975</xdr:colOff>
      <xdr:row>7</xdr:row>
      <xdr:rowOff>47625</xdr:rowOff>
    </xdr:to>
    <xdr:cxnSp macro="">
      <xdr:nvCxnSpPr>
        <xdr:cNvPr id="8" name="Conector recto 7">
          <a:extLst>
            <a:ext uri="{FF2B5EF4-FFF2-40B4-BE49-F238E27FC236}">
              <a16:creationId xmlns:a16="http://schemas.microsoft.com/office/drawing/2014/main" id="{00000000-0008-0000-0400-000008000000}"/>
            </a:ext>
          </a:extLst>
        </xdr:cNvPr>
        <xdr:cNvCxnSpPr/>
      </xdr:nvCxnSpPr>
      <xdr:spPr>
        <a:xfrm flipH="1" flipV="1">
          <a:off x="2295525" y="1409701"/>
          <a:ext cx="11220450" cy="19049"/>
        </a:xfrm>
        <a:prstGeom prst="line">
          <a:avLst/>
        </a:prstGeom>
        <a:ln>
          <a:solidFill>
            <a:srgbClr val="00FF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xdr:colOff>
      <xdr:row>0</xdr:row>
      <xdr:rowOff>0</xdr:rowOff>
    </xdr:from>
    <xdr:to>
      <xdr:col>11</xdr:col>
      <xdr:colOff>86591</xdr:colOff>
      <xdr:row>19</xdr:row>
      <xdr:rowOff>180974</xdr:rowOff>
    </xdr:to>
    <xdr:graphicFrame macro="">
      <xdr:nvGraphicFramePr>
        <xdr:cNvPr id="2" name="Gráfico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152400</xdr:rowOff>
    </xdr:from>
    <xdr:to>
      <xdr:col>5</xdr:col>
      <xdr:colOff>2228850</xdr:colOff>
      <xdr:row>18</xdr:row>
      <xdr:rowOff>142875</xdr:rowOff>
    </xdr:to>
    <xdr:graphicFrame macro="">
      <xdr:nvGraphicFramePr>
        <xdr:cNvPr id="2" name="Gráfico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754673</xdr:colOff>
      <xdr:row>0</xdr:row>
      <xdr:rowOff>0</xdr:rowOff>
    </xdr:from>
    <xdr:to>
      <xdr:col>25</xdr:col>
      <xdr:colOff>0</xdr:colOff>
      <xdr:row>19</xdr:row>
      <xdr:rowOff>0</xdr:rowOff>
    </xdr:to>
    <xdr:graphicFrame macro="">
      <xdr:nvGraphicFramePr>
        <xdr:cNvPr id="3" name="Gráfico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1246910</xdr:colOff>
      <xdr:row>1</xdr:row>
      <xdr:rowOff>44822</xdr:rowOff>
    </xdr:from>
    <xdr:to>
      <xdr:col>17</xdr:col>
      <xdr:colOff>1212273</xdr:colOff>
      <xdr:row>76</xdr:row>
      <xdr:rowOff>190499</xdr:rowOff>
    </xdr:to>
    <xdr:graphicFrame macro="">
      <xdr:nvGraphicFramePr>
        <xdr:cNvPr id="5" name="Gráfico 4">
          <a:extLst>
            <a:ext uri="{FF2B5EF4-FFF2-40B4-BE49-F238E27FC236}">
              <a16:creationId xmlns:a16="http://schemas.microsoft.com/office/drawing/2014/main" id="{00000000-0008-0000-08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0</xdr:colOff>
      <xdr:row>0</xdr:row>
      <xdr:rowOff>0</xdr:rowOff>
    </xdr:from>
    <xdr:to>
      <xdr:col>37</xdr:col>
      <xdr:colOff>0</xdr:colOff>
      <xdr:row>19</xdr:row>
      <xdr:rowOff>0</xdr:rowOff>
    </xdr:to>
    <xdr:graphicFrame macro="">
      <xdr:nvGraphicFramePr>
        <xdr:cNvPr id="6" name="Gráfico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721177</xdr:colOff>
      <xdr:row>0</xdr:row>
      <xdr:rowOff>0</xdr:rowOff>
    </xdr:from>
    <xdr:to>
      <xdr:col>50</xdr:col>
      <xdr:colOff>0</xdr:colOff>
      <xdr:row>18</xdr:row>
      <xdr:rowOff>190499</xdr:rowOff>
    </xdr:to>
    <xdr:graphicFrame macro="">
      <xdr:nvGraphicFramePr>
        <xdr:cNvPr id="7" name="Gráfico 6">
          <a:extLst>
            <a:ext uri="{FF2B5EF4-FFF2-40B4-BE49-F238E27FC236}">
              <a16:creationId xmlns:a16="http://schemas.microsoft.com/office/drawing/2014/main" id="{00000000-0008-0000-08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66</xdr:col>
      <xdr:colOff>1016</xdr:colOff>
      <xdr:row>0</xdr:row>
      <xdr:rowOff>0</xdr:rowOff>
    </xdr:from>
    <xdr:to>
      <xdr:col>71</xdr:col>
      <xdr:colOff>2571750</xdr:colOff>
      <xdr:row>19</xdr:row>
      <xdr:rowOff>11206</xdr:rowOff>
    </xdr:to>
    <xdr:graphicFrame macro="">
      <xdr:nvGraphicFramePr>
        <xdr:cNvPr id="9" name="Gráfico 8">
          <a:extLst>
            <a:ext uri="{FF2B5EF4-FFF2-40B4-BE49-F238E27FC236}">
              <a16:creationId xmlns:a16="http://schemas.microsoft.com/office/drawing/2014/main" id="{00000000-0008-0000-08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289833</xdr:colOff>
      <xdr:row>20</xdr:row>
      <xdr:rowOff>10885</xdr:rowOff>
    </xdr:from>
    <xdr:to>
      <xdr:col>3</xdr:col>
      <xdr:colOff>569786</xdr:colOff>
      <xdr:row>33</xdr:row>
      <xdr:rowOff>58510</xdr:rowOff>
    </xdr:to>
    <mc:AlternateContent xmlns:mc="http://schemas.openxmlformats.org/markup-compatibility/2006" xmlns:a14="http://schemas.microsoft.com/office/drawing/2010/main">
      <mc:Choice Requires="a14">
        <xdr:graphicFrame macro="">
          <xdr:nvGraphicFramePr>
            <xdr:cNvPr id="11" name="Años 1">
              <a:extLst>
                <a:ext uri="{FF2B5EF4-FFF2-40B4-BE49-F238E27FC236}">
                  <a16:creationId xmlns:a16="http://schemas.microsoft.com/office/drawing/2014/main" id="{00000000-0008-0000-0800-00000B000000}"/>
                </a:ext>
              </a:extLst>
            </xdr:cNvPr>
            <xdr:cNvGraphicFramePr/>
          </xdr:nvGraphicFramePr>
          <xdr:xfrm>
            <a:off x="0" y="0"/>
            <a:ext cx="0" cy="0"/>
          </xdr:xfrm>
          <a:graphic>
            <a:graphicData uri="http://schemas.microsoft.com/office/drawing/2010/slicer">
              <sle:slicer xmlns:sle="http://schemas.microsoft.com/office/drawing/2010/slicer" name="Años 1"/>
            </a:graphicData>
          </a:graphic>
        </xdr:graphicFrame>
      </mc:Choice>
      <mc:Fallback xmlns="">
        <xdr:sp macro="" textlink="">
          <xdr:nvSpPr>
            <xdr:cNvPr id="0" name=""/>
            <xdr:cNvSpPr>
              <a:spLocks noTextEdit="1"/>
            </xdr:cNvSpPr>
          </xdr:nvSpPr>
          <xdr:spPr>
            <a:xfrm>
              <a:off x="2956833" y="382088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43</xdr:col>
      <xdr:colOff>586468</xdr:colOff>
      <xdr:row>20</xdr:row>
      <xdr:rowOff>40821</xdr:rowOff>
    </xdr:from>
    <xdr:to>
      <xdr:col>48</xdr:col>
      <xdr:colOff>314325</xdr:colOff>
      <xdr:row>27</xdr:row>
      <xdr:rowOff>78921</xdr:rowOff>
    </xdr:to>
    <mc:AlternateContent xmlns:mc="http://schemas.openxmlformats.org/markup-compatibility/2006" xmlns:tsle="http://schemas.microsoft.com/office/drawing/2012/timeslicer">
      <mc:Choice Requires="tsle">
        <xdr:graphicFrame macro="">
          <xdr:nvGraphicFramePr>
            <xdr:cNvPr id="17" name="FECHA">
              <a:extLst>
                <a:ext uri="{FF2B5EF4-FFF2-40B4-BE49-F238E27FC236}">
                  <a16:creationId xmlns:a16="http://schemas.microsoft.com/office/drawing/2014/main" id="{00000000-0008-0000-0800-000011000000}"/>
                </a:ext>
              </a:extLst>
            </xdr:cNvPr>
            <xdr:cNvGraphicFramePr/>
          </xdr:nvGraphicFramePr>
          <xdr:xfrm>
            <a:off x="0" y="0"/>
            <a:ext cx="0" cy="0"/>
          </xdr:xfrm>
          <a:graphic>
            <a:graphicData uri="http://schemas.microsoft.com/office/drawing/2012/timeslicer">
              <tsle:timeslicer name="FECHA"/>
            </a:graphicData>
          </a:graphic>
        </xdr:graphicFrame>
      </mc:Choice>
      <mc:Fallback xmlns="">
        <xdr:sp macro="" textlink="">
          <xdr:nvSpPr>
            <xdr:cNvPr id="4" name="Rectangle 3"/>
            <xdr:cNvSpPr>
              <a:spLocks noTextEdit="1"/>
            </xdr:cNvSpPr>
          </xdr:nvSpPr>
          <xdr:spPr>
            <a:xfrm>
              <a:off x="58290650" y="3850821"/>
              <a:ext cx="33646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19049</xdr:colOff>
      <xdr:row>0</xdr:row>
      <xdr:rowOff>0</xdr:rowOff>
    </xdr:from>
    <xdr:to>
      <xdr:col>18</xdr:col>
      <xdr:colOff>28575</xdr:colOff>
      <xdr:row>38</xdr:row>
      <xdr:rowOff>28575</xdr:rowOff>
    </xdr:to>
    <xdr:graphicFrame macro="">
      <xdr:nvGraphicFramePr>
        <xdr:cNvPr id="4" name="Gráfico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619125</xdr:colOff>
      <xdr:row>8</xdr:row>
      <xdr:rowOff>95250</xdr:rowOff>
    </xdr:from>
    <xdr:to>
      <xdr:col>17</xdr:col>
      <xdr:colOff>685800</xdr:colOff>
      <xdr:row>8</xdr:row>
      <xdr:rowOff>104776</xdr:rowOff>
    </xdr:to>
    <xdr:cxnSp macro="">
      <xdr:nvCxnSpPr>
        <xdr:cNvPr id="6" name="Conector recto 5">
          <a:extLst>
            <a:ext uri="{FF2B5EF4-FFF2-40B4-BE49-F238E27FC236}">
              <a16:creationId xmlns:a16="http://schemas.microsoft.com/office/drawing/2014/main" id="{00000000-0008-0000-0900-000006000000}"/>
            </a:ext>
          </a:extLst>
        </xdr:cNvPr>
        <xdr:cNvCxnSpPr/>
      </xdr:nvCxnSpPr>
      <xdr:spPr>
        <a:xfrm flipH="1">
          <a:off x="2143125" y="1666875"/>
          <a:ext cx="11496675" cy="9526"/>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581026</xdr:colOff>
      <xdr:row>6</xdr:row>
      <xdr:rowOff>161925</xdr:rowOff>
    </xdr:from>
    <xdr:to>
      <xdr:col>17</xdr:col>
      <xdr:colOff>609600</xdr:colOff>
      <xdr:row>6</xdr:row>
      <xdr:rowOff>171450</xdr:rowOff>
    </xdr:to>
    <xdr:cxnSp macro="">
      <xdr:nvCxnSpPr>
        <xdr:cNvPr id="9" name="Conector recto 8">
          <a:extLst>
            <a:ext uri="{FF2B5EF4-FFF2-40B4-BE49-F238E27FC236}">
              <a16:creationId xmlns:a16="http://schemas.microsoft.com/office/drawing/2014/main" id="{00000000-0008-0000-0900-000009000000}"/>
            </a:ext>
          </a:extLst>
        </xdr:cNvPr>
        <xdr:cNvCxnSpPr/>
      </xdr:nvCxnSpPr>
      <xdr:spPr>
        <a:xfrm flipH="1">
          <a:off x="2105026" y="1352550"/>
          <a:ext cx="11458574" cy="9525"/>
        </a:xfrm>
        <a:prstGeom prst="line">
          <a:avLst/>
        </a:prstGeom>
        <a:ln>
          <a:solidFill>
            <a:srgbClr val="00FF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0</xdr:row>
      <xdr:rowOff>0</xdr:rowOff>
    </xdr:from>
    <xdr:to>
      <xdr:col>18</xdr:col>
      <xdr:colOff>28575</xdr:colOff>
      <xdr:row>37</xdr:row>
      <xdr:rowOff>19050</xdr:rowOff>
    </xdr:to>
    <xdr:graphicFrame macro="">
      <xdr:nvGraphicFramePr>
        <xdr:cNvPr id="2" name="Gráfico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704850</xdr:colOff>
      <xdr:row>8</xdr:row>
      <xdr:rowOff>57150</xdr:rowOff>
    </xdr:from>
    <xdr:to>
      <xdr:col>17</xdr:col>
      <xdr:colOff>628650</xdr:colOff>
      <xdr:row>8</xdr:row>
      <xdr:rowOff>66676</xdr:rowOff>
    </xdr:to>
    <xdr:cxnSp macro="">
      <xdr:nvCxnSpPr>
        <xdr:cNvPr id="4" name="Conector recto 3">
          <a:extLst>
            <a:ext uri="{FF2B5EF4-FFF2-40B4-BE49-F238E27FC236}">
              <a16:creationId xmlns:a16="http://schemas.microsoft.com/office/drawing/2014/main" id="{00000000-0008-0000-0A00-000004000000}"/>
            </a:ext>
          </a:extLst>
        </xdr:cNvPr>
        <xdr:cNvCxnSpPr/>
      </xdr:nvCxnSpPr>
      <xdr:spPr>
        <a:xfrm flipV="1">
          <a:off x="2228850" y="1628775"/>
          <a:ext cx="11353800" cy="9526"/>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676275</xdr:colOff>
      <xdr:row>6</xdr:row>
      <xdr:rowOff>142875</xdr:rowOff>
    </xdr:from>
    <xdr:to>
      <xdr:col>17</xdr:col>
      <xdr:colOff>600075</xdr:colOff>
      <xdr:row>6</xdr:row>
      <xdr:rowOff>152401</xdr:rowOff>
    </xdr:to>
    <xdr:cxnSp macro="">
      <xdr:nvCxnSpPr>
        <xdr:cNvPr id="6" name="Conector recto 5">
          <a:extLst>
            <a:ext uri="{FF2B5EF4-FFF2-40B4-BE49-F238E27FC236}">
              <a16:creationId xmlns:a16="http://schemas.microsoft.com/office/drawing/2014/main" id="{00000000-0008-0000-0A00-000006000000}"/>
            </a:ext>
          </a:extLst>
        </xdr:cNvPr>
        <xdr:cNvCxnSpPr/>
      </xdr:nvCxnSpPr>
      <xdr:spPr>
        <a:xfrm flipV="1">
          <a:off x="2200275" y="1333500"/>
          <a:ext cx="11353800" cy="9526"/>
        </a:xfrm>
        <a:prstGeom prst="line">
          <a:avLst/>
        </a:prstGeom>
        <a:ln>
          <a:solidFill>
            <a:srgbClr val="00FF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17</xdr:col>
      <xdr:colOff>799007</xdr:colOff>
      <xdr:row>558</xdr:row>
      <xdr:rowOff>181984</xdr:rowOff>
    </xdr:from>
    <xdr:to>
      <xdr:col>38</xdr:col>
      <xdr:colOff>141670</xdr:colOff>
      <xdr:row>568</xdr:row>
      <xdr:rowOff>143884</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13607</xdr:colOff>
      <xdr:row>0</xdr:row>
      <xdr:rowOff>54428</xdr:rowOff>
    </xdr:from>
    <xdr:to>
      <xdr:col>195</xdr:col>
      <xdr:colOff>0</xdr:colOff>
      <xdr:row>3</xdr:row>
      <xdr:rowOff>78441</xdr:rowOff>
    </xdr:to>
    <xdr:sp macro="" textlink="">
      <xdr:nvSpPr>
        <xdr:cNvPr id="2" name="CuadroTexto 1">
          <a:extLst>
            <a:ext uri="{FF2B5EF4-FFF2-40B4-BE49-F238E27FC236}">
              <a16:creationId xmlns:a16="http://schemas.microsoft.com/office/drawing/2014/main" id="{7B51EA35-2B94-4872-8139-9173700CF154}"/>
            </a:ext>
          </a:extLst>
        </xdr:cNvPr>
        <xdr:cNvSpPr txBox="1"/>
      </xdr:nvSpPr>
      <xdr:spPr>
        <a:xfrm>
          <a:off x="13607" y="54428"/>
          <a:ext cx="13711918" cy="595513"/>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s-MX" sz="2800">
              <a:latin typeface="Bahnschrift SemiLight SemiConde" panose="020B0502040204020203" pitchFamily="34" charset="0"/>
            </a:rPr>
            <a:t>OEE MONTH</a:t>
          </a:r>
          <a:r>
            <a:rPr lang="es-MX" sz="2800" baseline="0">
              <a:latin typeface="Bahnschrift SemiLight SemiConde" panose="020B0502040204020203" pitchFamily="34" charset="0"/>
            </a:rPr>
            <a:t> REA</a:t>
          </a:r>
          <a:r>
            <a:rPr lang="es-MX" sz="2800">
              <a:latin typeface="Bahnschrift SemiLight SemiConde" panose="020B0502040204020203" pitchFamily="34" charset="0"/>
            </a:rPr>
            <a:t> 2025- Target 85%</a:t>
          </a:r>
        </a:p>
      </xdr:txBody>
    </xdr:sp>
    <xdr:clientData/>
  </xdr:twoCellAnchor>
  <xdr:twoCellAnchor>
    <xdr:from>
      <xdr:col>4</xdr:col>
      <xdr:colOff>428628</xdr:colOff>
      <xdr:row>22</xdr:row>
      <xdr:rowOff>5440</xdr:rowOff>
    </xdr:from>
    <xdr:to>
      <xdr:col>17</xdr:col>
      <xdr:colOff>66675</xdr:colOff>
      <xdr:row>41</xdr:row>
      <xdr:rowOff>104776</xdr:rowOff>
    </xdr:to>
    <xdr:graphicFrame macro="">
      <xdr:nvGraphicFramePr>
        <xdr:cNvPr id="3" name="Gráfico 2">
          <a:extLst>
            <a:ext uri="{FF2B5EF4-FFF2-40B4-BE49-F238E27FC236}">
              <a16:creationId xmlns:a16="http://schemas.microsoft.com/office/drawing/2014/main" id="{A7DD4019-5671-4812-AEB6-7B8BB9D1B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196</xdr:col>
      <xdr:colOff>108858</xdr:colOff>
      <xdr:row>2</xdr:row>
      <xdr:rowOff>1</xdr:rowOff>
    </xdr:from>
    <xdr:to>
      <xdr:col>202</xdr:col>
      <xdr:colOff>250558</xdr:colOff>
      <xdr:row>9</xdr:row>
      <xdr:rowOff>96679</xdr:rowOff>
    </xdr:to>
    <xdr:pic>
      <xdr:nvPicPr>
        <xdr:cNvPr id="4" name="Imagen 3">
          <a:extLst>
            <a:ext uri="{FF2B5EF4-FFF2-40B4-BE49-F238E27FC236}">
              <a16:creationId xmlns:a16="http://schemas.microsoft.com/office/drawing/2014/main" id="{C7D73D14-277A-41D8-99E9-463CD4BD8D3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9886" b="21596"/>
        <a:stretch/>
      </xdr:blipFill>
      <xdr:spPr>
        <a:xfrm>
          <a:off x="14253483" y="381001"/>
          <a:ext cx="4789900" cy="147780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13607</xdr:colOff>
      <xdr:row>0</xdr:row>
      <xdr:rowOff>54428</xdr:rowOff>
    </xdr:from>
    <xdr:to>
      <xdr:col>14</xdr:col>
      <xdr:colOff>0</xdr:colOff>
      <xdr:row>3</xdr:row>
      <xdr:rowOff>78441</xdr:rowOff>
    </xdr:to>
    <xdr:sp macro="" textlink="">
      <xdr:nvSpPr>
        <xdr:cNvPr id="2" name="CuadroTexto 1">
          <a:extLst>
            <a:ext uri="{FF2B5EF4-FFF2-40B4-BE49-F238E27FC236}">
              <a16:creationId xmlns:a16="http://schemas.microsoft.com/office/drawing/2014/main" id="{00000000-0008-0000-0E00-000002000000}"/>
            </a:ext>
          </a:extLst>
        </xdr:cNvPr>
        <xdr:cNvSpPr txBox="1"/>
      </xdr:nvSpPr>
      <xdr:spPr>
        <a:xfrm>
          <a:off x="13607" y="54428"/>
          <a:ext cx="15702643" cy="595513"/>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s-MX" sz="2800">
              <a:latin typeface="Bahnschrift SemiLight SemiConde" panose="020B0502040204020203" pitchFamily="34" charset="0"/>
            </a:rPr>
            <a:t>OEE MONTH</a:t>
          </a:r>
          <a:r>
            <a:rPr lang="es-MX" sz="2800" baseline="0">
              <a:latin typeface="Bahnschrift SemiLight SemiConde" panose="020B0502040204020203" pitchFamily="34" charset="0"/>
            </a:rPr>
            <a:t> REA</a:t>
          </a:r>
          <a:r>
            <a:rPr lang="es-MX" sz="2800">
              <a:latin typeface="Bahnschrift SemiLight SemiConde" panose="020B0502040204020203" pitchFamily="34" charset="0"/>
            </a:rPr>
            <a:t> 2025- Target 85%</a:t>
          </a:r>
        </a:p>
      </xdr:txBody>
    </xdr:sp>
    <xdr:clientData/>
  </xdr:twoCellAnchor>
  <xdr:twoCellAnchor>
    <xdr:from>
      <xdr:col>4</xdr:col>
      <xdr:colOff>428627</xdr:colOff>
      <xdr:row>22</xdr:row>
      <xdr:rowOff>5438</xdr:rowOff>
    </xdr:from>
    <xdr:to>
      <xdr:col>18</xdr:col>
      <xdr:colOff>123825</xdr:colOff>
      <xdr:row>42</xdr:row>
      <xdr:rowOff>104775</xdr:rowOff>
    </xdr:to>
    <xdr:graphicFrame macro="">
      <xdr:nvGraphicFramePr>
        <xdr:cNvPr id="3" name="Gráfico 2">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108858</xdr:colOff>
      <xdr:row>2</xdr:row>
      <xdr:rowOff>1</xdr:rowOff>
    </xdr:from>
    <xdr:to>
      <xdr:col>21</xdr:col>
      <xdr:colOff>250558</xdr:colOff>
      <xdr:row>9</xdr:row>
      <xdr:rowOff>96679</xdr:rowOff>
    </xdr:to>
    <xdr:pic>
      <xdr:nvPicPr>
        <xdr:cNvPr id="4" name="Imagen 3">
          <a:extLst>
            <a:ext uri="{FF2B5EF4-FFF2-40B4-BE49-F238E27FC236}">
              <a16:creationId xmlns:a16="http://schemas.microsoft.com/office/drawing/2014/main" id="{00000000-0008-0000-0E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9886" b="21596"/>
        <a:stretch/>
      </xdr:blipFill>
      <xdr:spPr>
        <a:xfrm>
          <a:off x="43488429" y="381001"/>
          <a:ext cx="4808950" cy="148678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5</xdr:col>
      <xdr:colOff>752473</xdr:colOff>
      <xdr:row>1</xdr:row>
      <xdr:rowOff>4761</xdr:rowOff>
    </xdr:from>
    <xdr:to>
      <xdr:col>20</xdr:col>
      <xdr:colOff>371474</xdr:colOff>
      <xdr:row>24</xdr:row>
      <xdr:rowOff>180975</xdr:rowOff>
    </xdr:to>
    <xdr:graphicFrame macro="">
      <xdr:nvGraphicFramePr>
        <xdr:cNvPr id="2" name="Gráfico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9524</xdr:colOff>
      <xdr:row>26</xdr:row>
      <xdr:rowOff>1</xdr:rowOff>
    </xdr:from>
    <xdr:to>
      <xdr:col>22</xdr:col>
      <xdr:colOff>295275</xdr:colOff>
      <xdr:row>51</xdr:row>
      <xdr:rowOff>19051</xdr:rowOff>
    </xdr:to>
    <xdr:graphicFrame macro="">
      <xdr:nvGraphicFramePr>
        <xdr:cNvPr id="4" name="Gráfico 3">
          <a:extLst>
            <a:ext uri="{FF2B5EF4-FFF2-40B4-BE49-F238E27FC236}">
              <a16:creationId xmlns:a16="http://schemas.microsoft.com/office/drawing/2014/main" id="{00000000-0008-0000-1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704848</xdr:colOff>
      <xdr:row>54</xdr:row>
      <xdr:rowOff>14286</xdr:rowOff>
    </xdr:from>
    <xdr:to>
      <xdr:col>20</xdr:col>
      <xdr:colOff>761999</xdr:colOff>
      <xdr:row>75</xdr:row>
      <xdr:rowOff>57149</xdr:rowOff>
    </xdr:to>
    <xdr:graphicFrame macro="">
      <xdr:nvGraphicFramePr>
        <xdr:cNvPr id="5" name="Gráfico 4">
          <a:extLst>
            <a:ext uri="{FF2B5EF4-FFF2-40B4-BE49-F238E27FC236}">
              <a16:creationId xmlns:a16="http://schemas.microsoft.com/office/drawing/2014/main" id="{00000000-0008-0000-1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581025</xdr:colOff>
      <xdr:row>10</xdr:row>
      <xdr:rowOff>38100</xdr:rowOff>
    </xdr:from>
    <xdr:to>
      <xdr:col>19</xdr:col>
      <xdr:colOff>333375</xdr:colOff>
      <xdr:row>10</xdr:row>
      <xdr:rowOff>38100</xdr:rowOff>
    </xdr:to>
    <xdr:cxnSp macro="">
      <xdr:nvCxnSpPr>
        <xdr:cNvPr id="6" name="Conector recto 5">
          <a:extLst>
            <a:ext uri="{FF2B5EF4-FFF2-40B4-BE49-F238E27FC236}">
              <a16:creationId xmlns:a16="http://schemas.microsoft.com/office/drawing/2014/main" id="{00000000-0008-0000-1000-000006000000}"/>
            </a:ext>
          </a:extLst>
        </xdr:cNvPr>
        <xdr:cNvCxnSpPr/>
      </xdr:nvCxnSpPr>
      <xdr:spPr>
        <a:xfrm>
          <a:off x="6057900" y="1943100"/>
          <a:ext cx="8896350" cy="0"/>
        </a:xfrm>
        <a:prstGeom prst="line">
          <a:avLst/>
        </a:prstGeom>
        <a:ln w="28575">
          <a:solidFill>
            <a:srgbClr val="FFC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600075</xdr:colOff>
      <xdr:row>8</xdr:row>
      <xdr:rowOff>152400</xdr:rowOff>
    </xdr:from>
    <xdr:to>
      <xdr:col>19</xdr:col>
      <xdr:colOff>371475</xdr:colOff>
      <xdr:row>8</xdr:row>
      <xdr:rowOff>161925</xdr:rowOff>
    </xdr:to>
    <xdr:cxnSp macro="">
      <xdr:nvCxnSpPr>
        <xdr:cNvPr id="7" name="Conector recto 6">
          <a:extLst>
            <a:ext uri="{FF2B5EF4-FFF2-40B4-BE49-F238E27FC236}">
              <a16:creationId xmlns:a16="http://schemas.microsoft.com/office/drawing/2014/main" id="{00000000-0008-0000-1000-000007000000}"/>
            </a:ext>
          </a:extLst>
        </xdr:cNvPr>
        <xdr:cNvCxnSpPr/>
      </xdr:nvCxnSpPr>
      <xdr:spPr>
        <a:xfrm flipV="1">
          <a:off x="6076950" y="1676400"/>
          <a:ext cx="8915400" cy="9525"/>
        </a:xfrm>
        <a:prstGeom prst="line">
          <a:avLst/>
        </a:prstGeom>
        <a:ln w="28575">
          <a:solidFill>
            <a:srgbClr val="00CC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638175</xdr:colOff>
      <xdr:row>2</xdr:row>
      <xdr:rowOff>85725</xdr:rowOff>
    </xdr:from>
    <xdr:to>
      <xdr:col>20</xdr:col>
      <xdr:colOff>219075</xdr:colOff>
      <xdr:row>3</xdr:row>
      <xdr:rowOff>171450</xdr:rowOff>
    </xdr:to>
    <xdr:sp macro="" textlink="">
      <xdr:nvSpPr>
        <xdr:cNvPr id="8" name="CuadroTexto 7">
          <a:extLst>
            <a:ext uri="{FF2B5EF4-FFF2-40B4-BE49-F238E27FC236}">
              <a16:creationId xmlns:a16="http://schemas.microsoft.com/office/drawing/2014/main" id="{00000000-0008-0000-1000-000008000000}"/>
            </a:ext>
          </a:extLst>
        </xdr:cNvPr>
        <xdr:cNvSpPr txBox="1"/>
      </xdr:nvSpPr>
      <xdr:spPr>
        <a:xfrm>
          <a:off x="13735050" y="466725"/>
          <a:ext cx="1866900" cy="2762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b="1"/>
            <a:t>MES: AGOSTO</a:t>
          </a:r>
        </a:p>
      </xdr:txBody>
    </xdr:sp>
    <xdr:clientData/>
  </xdr:twoCellAnchor>
  <xdr:twoCellAnchor>
    <xdr:from>
      <xdr:col>17</xdr:col>
      <xdr:colOff>323850</xdr:colOff>
      <xdr:row>27</xdr:row>
      <xdr:rowOff>47625</xdr:rowOff>
    </xdr:from>
    <xdr:to>
      <xdr:col>19</xdr:col>
      <xdr:colOff>666750</xdr:colOff>
      <xdr:row>28</xdr:row>
      <xdr:rowOff>133350</xdr:rowOff>
    </xdr:to>
    <xdr:sp macro="" textlink="">
      <xdr:nvSpPr>
        <xdr:cNvPr id="11" name="CuadroTexto 10">
          <a:extLst>
            <a:ext uri="{FF2B5EF4-FFF2-40B4-BE49-F238E27FC236}">
              <a16:creationId xmlns:a16="http://schemas.microsoft.com/office/drawing/2014/main" id="{00000000-0008-0000-1000-00000B000000}"/>
            </a:ext>
          </a:extLst>
        </xdr:cNvPr>
        <xdr:cNvSpPr txBox="1"/>
      </xdr:nvSpPr>
      <xdr:spPr>
        <a:xfrm>
          <a:off x="13420725" y="5191125"/>
          <a:ext cx="1866900" cy="2762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200" b="1"/>
            <a:t>MES: AGOSTO</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0.01469</cdr:x>
      <cdr:y>0.01322</cdr:y>
    </cdr:from>
    <cdr:to>
      <cdr:x>0.26569</cdr:x>
      <cdr:y>0.08957</cdr:y>
    </cdr:to>
    <cdr:sp macro="" textlink="">
      <cdr:nvSpPr>
        <cdr:cNvPr id="2" name="CuadroTexto 1">
          <a:extLst xmlns:a="http://schemas.openxmlformats.org/drawingml/2006/main">
            <a:ext uri="{FF2B5EF4-FFF2-40B4-BE49-F238E27FC236}">
              <a16:creationId xmlns:a16="http://schemas.microsoft.com/office/drawing/2014/main" id="{99000711-1148-359C-AD14-2FFA12AC64F1}"/>
            </a:ext>
          </a:extLst>
        </cdr:cNvPr>
        <cdr:cNvSpPr txBox="1"/>
      </cdr:nvSpPr>
      <cdr:spPr>
        <a:xfrm xmlns:a="http://schemas.openxmlformats.org/drawingml/2006/main">
          <a:off x="104776" y="42864"/>
          <a:ext cx="1790700" cy="2476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MX" sz="1100"/>
        </a:p>
      </cdr:txBody>
    </cdr:sp>
  </cdr:relSizeAnchor>
  <cdr:relSizeAnchor xmlns:cdr="http://schemas.openxmlformats.org/drawingml/2006/chartDrawing">
    <cdr:from>
      <cdr:x>0.12241</cdr:x>
      <cdr:y>0.43783</cdr:y>
    </cdr:from>
    <cdr:to>
      <cdr:x>0.92759</cdr:x>
      <cdr:y>0.44201</cdr:y>
    </cdr:to>
    <cdr:cxnSp macro="">
      <cdr:nvCxnSpPr>
        <cdr:cNvPr id="4" name="Conector recto 3">
          <a:extLst xmlns:a="http://schemas.openxmlformats.org/drawingml/2006/main">
            <a:ext uri="{FF2B5EF4-FFF2-40B4-BE49-F238E27FC236}">
              <a16:creationId xmlns:a16="http://schemas.microsoft.com/office/drawing/2014/main" id="{010D4F8E-1BC4-FBF8-D985-F7B961CA8601}"/>
            </a:ext>
          </a:extLst>
        </cdr:cNvPr>
        <cdr:cNvCxnSpPr/>
      </cdr:nvCxnSpPr>
      <cdr:spPr>
        <a:xfrm xmlns:a="http://schemas.openxmlformats.org/drawingml/2006/main">
          <a:off x="1352552" y="1995489"/>
          <a:ext cx="8896350" cy="19050"/>
        </a:xfrm>
        <a:prstGeom xmlns:a="http://schemas.openxmlformats.org/drawingml/2006/main" prst="line">
          <a:avLst/>
        </a:prstGeom>
        <a:ln xmlns:a="http://schemas.openxmlformats.org/drawingml/2006/main" w="28575">
          <a:solidFill>
            <a:srgbClr val="FF0000"/>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0.73561</cdr:x>
      <cdr:y>0.00893</cdr:y>
    </cdr:from>
    <cdr:to>
      <cdr:x>0.92744</cdr:x>
      <cdr:y>0.05979</cdr:y>
    </cdr:to>
    <cdr:sp macro="" textlink="">
      <cdr:nvSpPr>
        <cdr:cNvPr id="6" name="CuadroTexto 5">
          <a:extLst xmlns:a="http://schemas.openxmlformats.org/drawingml/2006/main">
            <a:ext uri="{FF2B5EF4-FFF2-40B4-BE49-F238E27FC236}">
              <a16:creationId xmlns:a16="http://schemas.microsoft.com/office/drawing/2014/main" id="{A4E470F8-CCE0-6DDF-9072-0072C1B69272}"/>
            </a:ext>
          </a:extLst>
        </cdr:cNvPr>
        <cdr:cNvSpPr txBox="1"/>
      </cdr:nvSpPr>
      <cdr:spPr>
        <a:xfrm xmlns:a="http://schemas.openxmlformats.org/drawingml/2006/main">
          <a:off x="8401051" y="61914"/>
          <a:ext cx="2190750" cy="352425"/>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MX" sz="1100"/>
        </a:p>
      </cdr:txBody>
    </cdr:sp>
  </cdr:relSizeAnchor>
  <cdr:relSizeAnchor xmlns:cdr="http://schemas.openxmlformats.org/drawingml/2006/chartDrawing">
    <cdr:from>
      <cdr:x>0.76647</cdr:x>
      <cdr:y>0.01718</cdr:y>
    </cdr:from>
    <cdr:to>
      <cdr:x>0.84654</cdr:x>
      <cdr:y>0.14914</cdr:y>
    </cdr:to>
    <cdr:sp macro="" textlink="">
      <cdr:nvSpPr>
        <cdr:cNvPr id="8" name="CuadroTexto 7">
          <a:extLst xmlns:a="http://schemas.openxmlformats.org/drawingml/2006/main">
            <a:ext uri="{FF2B5EF4-FFF2-40B4-BE49-F238E27FC236}">
              <a16:creationId xmlns:a16="http://schemas.microsoft.com/office/drawing/2014/main" id="{84E2223C-AD20-D554-4900-4B1CB7AB839B}"/>
            </a:ext>
          </a:extLst>
        </cdr:cNvPr>
        <cdr:cNvSpPr txBox="1"/>
      </cdr:nvSpPr>
      <cdr:spPr>
        <a:xfrm xmlns:a="http://schemas.openxmlformats.org/drawingml/2006/main">
          <a:off x="8753476" y="119064"/>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s-MX" sz="1100"/>
        </a:p>
      </cdr:txBody>
    </cdr:sp>
  </cdr:relSizeAnchor>
</c:userShapes>
</file>

<file path=xl/drawings/drawing11.xml><?xml version="1.0" encoding="utf-8"?>
<c:userShapes xmlns:c="http://schemas.openxmlformats.org/drawingml/2006/chart">
  <cdr:relSizeAnchor xmlns:cdr="http://schemas.openxmlformats.org/drawingml/2006/chartDrawing">
    <cdr:from>
      <cdr:x>0.00459</cdr:x>
      <cdr:y>0.01548</cdr:y>
    </cdr:from>
    <cdr:to>
      <cdr:x>0.15108</cdr:x>
      <cdr:y>0.12882</cdr:y>
    </cdr:to>
    <cdr:pic>
      <cdr:nvPicPr>
        <cdr:cNvPr id="2" name="Immagine 105">
          <a:extLst xmlns:a="http://schemas.openxmlformats.org/drawingml/2006/main">
            <a:ext uri="{FF2B5EF4-FFF2-40B4-BE49-F238E27FC236}">
              <a16:creationId xmlns:a16="http://schemas.microsoft.com/office/drawing/2014/main" id="{4CCD2348-6FAD-6176-9E9B-FF151EECD10E}"/>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cstate="print">
          <a:extLst>
            <a:ext uri="{28A0092B-C50C-407E-A947-70E740481C1C}">
              <a14:useLocalDpi xmlns:a14="http://schemas.microsoft.com/office/drawing/2010/main" val="0"/>
            </a:ext>
          </a:extLst>
        </a:blip>
        <a:srcRect xmlns:a="http://schemas.openxmlformats.org/drawingml/2006/main" t="29148" b="21228"/>
        <a:stretch xmlns:a="http://schemas.openxmlformats.org/drawingml/2006/main"/>
      </cdr:blipFill>
      <cdr:spPr bwMode="auto">
        <a:xfrm xmlns:a="http://schemas.openxmlformats.org/drawingml/2006/main" rot="10800000" flipH="1" flipV="1">
          <a:off x="50800" y="50800"/>
          <a:ext cx="1619900" cy="371912"/>
        </a:xfrm>
        <a:prstGeom xmlns:a="http://schemas.openxmlformats.org/drawingml/2006/main" prst="rect">
          <a:avLst/>
        </a:prstGeom>
        <a:noFill xmlns:a="http://schemas.openxmlformats.org/drawingml/2006/main"/>
        <a:ln xmlns:a="http://schemas.openxmlformats.org/drawingml/2006/main">
          <a:noFill/>
        </a:ln>
        <a:extLst xmlns:a="http://schemas.openxmlformats.org/drawingml/2006/main">
          <a:ext uri="{53640926-AAD7-44D8-BBD7-CCE9431645EC}">
            <a14:shadowObscured xmlns:a14="http://schemas.microsoft.com/office/drawing/2010/main"/>
          </a:ext>
        </a:extLst>
      </cdr:spPr>
    </cdr:pic>
  </cdr:relSizeAnchor>
</c:userShapes>
</file>

<file path=xl/drawings/drawing12.xml><?xml version="1.0" encoding="utf-8"?>
<xdr:wsDr xmlns:xdr="http://schemas.openxmlformats.org/drawingml/2006/spreadsheetDrawing" xmlns:a="http://schemas.openxmlformats.org/drawingml/2006/main">
  <xdr:twoCellAnchor>
    <xdr:from>
      <xdr:col>0</xdr:col>
      <xdr:colOff>13607</xdr:colOff>
      <xdr:row>0</xdr:row>
      <xdr:rowOff>54428</xdr:rowOff>
    </xdr:from>
    <xdr:to>
      <xdr:col>14</xdr:col>
      <xdr:colOff>0</xdr:colOff>
      <xdr:row>3</xdr:row>
      <xdr:rowOff>78441</xdr:rowOff>
    </xdr:to>
    <xdr:sp macro="" textlink="">
      <xdr:nvSpPr>
        <xdr:cNvPr id="2" name="CuadroTexto 1">
          <a:extLst>
            <a:ext uri="{FF2B5EF4-FFF2-40B4-BE49-F238E27FC236}">
              <a16:creationId xmlns:a16="http://schemas.microsoft.com/office/drawing/2014/main" id="{00000000-0008-0000-1100-000002000000}"/>
            </a:ext>
          </a:extLst>
        </xdr:cNvPr>
        <xdr:cNvSpPr txBox="1"/>
      </xdr:nvSpPr>
      <xdr:spPr>
        <a:xfrm>
          <a:off x="13607" y="54428"/>
          <a:ext cx="15702643" cy="595513"/>
        </a:xfrm>
        <a:prstGeom prst="rect">
          <a:avLst/>
        </a:prstGeom>
        <a:ln/>
      </xdr:spPr>
      <xdr:style>
        <a:lnRef idx="1">
          <a:schemeClr val="dk1"/>
        </a:lnRef>
        <a:fillRef idx="2">
          <a:schemeClr val="dk1"/>
        </a:fillRef>
        <a:effectRef idx="1">
          <a:schemeClr val="dk1"/>
        </a:effectRef>
        <a:fontRef idx="minor">
          <a:schemeClr val="dk1"/>
        </a:fontRef>
      </xdr:style>
      <xdr:txBody>
        <a:bodyPr vertOverflow="clip" horzOverflow="clip" wrap="square" rtlCol="0" anchor="ctr"/>
        <a:lstStyle/>
        <a:p>
          <a:pPr algn="ctr"/>
          <a:r>
            <a:rPr lang="es-MX" sz="2800">
              <a:latin typeface="Bahnschrift SemiLight SemiConde" panose="020B0502040204020203" pitchFamily="34" charset="0"/>
            </a:rPr>
            <a:t>OEE MONTHLY ACTUATOR 2022- Target 88%</a:t>
          </a:r>
        </a:p>
      </xdr:txBody>
    </xdr:sp>
    <xdr:clientData/>
  </xdr:twoCellAnchor>
  <xdr:twoCellAnchor>
    <xdr:from>
      <xdr:col>0</xdr:col>
      <xdr:colOff>231321</xdr:colOff>
      <xdr:row>21</xdr:row>
      <xdr:rowOff>95249</xdr:rowOff>
    </xdr:from>
    <xdr:to>
      <xdr:col>14</xdr:col>
      <xdr:colOff>231321</xdr:colOff>
      <xdr:row>45</xdr:row>
      <xdr:rowOff>163284</xdr:rowOff>
    </xdr:to>
    <xdr:graphicFrame macro="">
      <xdr:nvGraphicFramePr>
        <xdr:cNvPr id="3" name="Gráfico 2">
          <a:extLst>
            <a:ext uri="{FF2B5EF4-FFF2-40B4-BE49-F238E27FC236}">
              <a16:creationId xmlns:a16="http://schemas.microsoft.com/office/drawing/2014/main" id="{00000000-0008-0000-1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176893</xdr:colOff>
      <xdr:row>1</xdr:row>
      <xdr:rowOff>176894</xdr:rowOff>
    </xdr:from>
    <xdr:to>
      <xdr:col>20</xdr:col>
      <xdr:colOff>161022</xdr:colOff>
      <xdr:row>9</xdr:row>
      <xdr:rowOff>64022</xdr:rowOff>
    </xdr:to>
    <xdr:pic>
      <xdr:nvPicPr>
        <xdr:cNvPr id="4" name="Imagen 3">
          <a:extLst>
            <a:ext uri="{FF2B5EF4-FFF2-40B4-BE49-F238E27FC236}">
              <a16:creationId xmlns:a16="http://schemas.microsoft.com/office/drawing/2014/main" id="{00000000-0008-0000-1100-00000400000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19886" b="21596"/>
        <a:stretch/>
      </xdr:blipFill>
      <xdr:spPr>
        <a:xfrm>
          <a:off x="15893143" y="367394"/>
          <a:ext cx="4794254" cy="145875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artin.rivera\Downloads\249%20FF%20Action%20Pla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ion_plan"/>
      <sheetName val="Implem"/>
      <sheetName val="Areas"/>
      <sheetName val="Matrix"/>
      <sheetName val="Basis"/>
    </sheetNames>
    <sheetDataSet>
      <sheetData sheetId="0"/>
      <sheetData sheetId="1" refreshError="1"/>
      <sheetData sheetId="2" refreshError="1"/>
      <sheetData sheetId="3"/>
      <sheetData sheetId="4">
        <row r="2">
          <cell r="G2" t="str">
            <v>ja</v>
          </cell>
          <cell r="I2" t="str">
            <v>1.1</v>
          </cell>
        </row>
        <row r="3">
          <cell r="G3" t="str">
            <v>nein</v>
          </cell>
          <cell r="I3" t="str">
            <v>1.2</v>
          </cell>
        </row>
        <row r="4">
          <cell r="I4" t="str">
            <v>1.3</v>
          </cell>
        </row>
        <row r="5">
          <cell r="I5" t="str">
            <v>1.4</v>
          </cell>
        </row>
        <row r="6">
          <cell r="I6" t="str">
            <v>1.5</v>
          </cell>
        </row>
        <row r="7">
          <cell r="I7" t="str">
            <v>1.6</v>
          </cell>
        </row>
        <row r="8">
          <cell r="I8" t="str">
            <v>2.1</v>
          </cell>
        </row>
        <row r="9">
          <cell r="I9" t="str">
            <v>2.2</v>
          </cell>
        </row>
        <row r="10">
          <cell r="I10" t="str">
            <v>2.3</v>
          </cell>
        </row>
        <row r="11">
          <cell r="I11" t="str">
            <v>2.4</v>
          </cell>
        </row>
        <row r="12">
          <cell r="I12" t="str">
            <v>2.5</v>
          </cell>
        </row>
        <row r="13">
          <cell r="I13" t="str">
            <v>3.1</v>
          </cell>
        </row>
        <row r="14">
          <cell r="I14" t="str">
            <v>3.2</v>
          </cell>
        </row>
        <row r="15">
          <cell r="I15" t="str">
            <v>3.3</v>
          </cell>
        </row>
        <row r="16">
          <cell r="I16" t="str">
            <v>3.4</v>
          </cell>
        </row>
        <row r="17">
          <cell r="I17" t="str">
            <v>3.5</v>
          </cell>
        </row>
        <row r="18">
          <cell r="I18" t="str">
            <v>3.6</v>
          </cell>
        </row>
        <row r="19">
          <cell r="I19" t="str">
            <v>3.7</v>
          </cell>
        </row>
        <row r="20">
          <cell r="I20" t="str">
            <v>3.8</v>
          </cell>
        </row>
        <row r="21">
          <cell r="I21" t="str">
            <v>3.9</v>
          </cell>
        </row>
        <row r="22">
          <cell r="I22" t="str">
            <v>3.10</v>
          </cell>
        </row>
        <row r="23">
          <cell r="I23" t="str">
            <v>4.1</v>
          </cell>
        </row>
        <row r="24">
          <cell r="I24" t="str">
            <v>4.2</v>
          </cell>
        </row>
        <row r="25">
          <cell r="I25" t="str">
            <v>4.3</v>
          </cell>
        </row>
        <row r="26">
          <cell r="I26" t="str">
            <v>4.4</v>
          </cell>
        </row>
        <row r="27">
          <cell r="I27" t="str">
            <v>4.5</v>
          </cell>
        </row>
        <row r="28">
          <cell r="I28" t="str">
            <v>4.6</v>
          </cell>
        </row>
        <row r="29">
          <cell r="I29" t="str">
            <v>4.7</v>
          </cell>
        </row>
        <row r="30">
          <cell r="I30" t="str">
            <v>5.1</v>
          </cell>
        </row>
        <row r="31">
          <cell r="I31" t="str">
            <v>5.2</v>
          </cell>
        </row>
        <row r="32">
          <cell r="I32" t="str">
            <v>5.3</v>
          </cell>
        </row>
        <row r="33">
          <cell r="I33" t="str">
            <v>5.4</v>
          </cell>
        </row>
        <row r="34">
          <cell r="I34" t="str">
            <v>5.5</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maritza.romero\AppData\Local\Microsoft\Windows\INetCache\Content.Outlook\LORFTEVD\OEE%20REA.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maritza.romero\AppData\Local\Microsoft\Windows\INetCache\Content.Outlook\LORFTEVD\OEE%20REA.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co Márquez" refreshedDate="43587.33082638889" createdVersion="6" refreshedVersion="6" minRefreshableVersion="3" recordCount="132" xr:uid="{00000000-000A-0000-FFFF-FFFF05000000}">
  <cacheSource type="worksheet">
    <worksheetSource ref="C2:BG1048576" sheet="OEE FLAT TUBE " r:id="rId2"/>
  </cacheSource>
  <cacheFields count="59">
    <cacheField name="FECHA" numFmtId="0">
      <sharedItems containsNonDate="0" containsDate="1" containsString="0" containsBlank="1" minDate="2019-01-02T00:00:00" maxDate="2019-04-30T00:00:00" count="77">
        <d v="2019-01-02T00:00:00"/>
        <d v="2019-01-03T00:00:00"/>
        <d v="2019-01-04T00:00:00"/>
        <d v="2019-01-05T00:00:00"/>
        <d v="2019-01-07T00:00:00"/>
        <d v="2019-01-09T00:00:00"/>
        <d v="2019-01-10T00:00:00"/>
        <d v="2019-01-11T00:00:00"/>
        <d v="2019-01-12T00:00:00"/>
        <d v="2019-01-14T00:00:00"/>
        <d v="2019-01-15T00:00:00"/>
        <d v="2019-01-16T00:00:00"/>
        <d v="2019-01-17T00:00:00"/>
        <d v="2019-01-18T00:00:00"/>
        <d v="2019-01-19T00:00:00"/>
        <d v="2019-01-21T00:00:00"/>
        <d v="2019-01-22T00:00:00"/>
        <d v="2019-01-23T00:00:00"/>
        <d v="2019-01-24T00:00:00"/>
        <d v="2019-01-25T00:00:00"/>
        <d v="2019-01-28T00:00:00"/>
        <d v="2019-01-29T00:00:00"/>
        <d v="2019-01-30T00:00:00"/>
        <d v="2019-01-31T00:00:00"/>
        <d v="2019-02-01T00:00:00"/>
        <d v="2019-02-05T00:00:00"/>
        <d v="2019-02-11T00:00:00"/>
        <d v="2019-02-12T00:00:00"/>
        <d v="2019-02-13T00:00:00"/>
        <d v="2019-02-14T00:00:00"/>
        <d v="2019-02-15T00:00:00"/>
        <d v="2019-02-18T00:00:00"/>
        <d v="2019-02-19T00:00:00"/>
        <d v="2019-02-20T00:00:00"/>
        <d v="2019-02-21T00:00:00"/>
        <d v="2019-02-22T00:00:00"/>
        <d v="2019-02-26T00:00:00"/>
        <d v="2019-02-27T00:00:00"/>
        <d v="2019-03-06T00:00:00"/>
        <d v="2019-03-07T00:00:00"/>
        <d v="2019-03-08T00:00:00"/>
        <d v="2019-03-09T00:00:00"/>
        <d v="2019-03-11T00:00:00"/>
        <d v="2019-03-12T00:00:00"/>
        <d v="2019-03-13T00:00:00"/>
        <d v="2019-03-14T00:00:00"/>
        <d v="2019-03-15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m/>
      </sharedItems>
      <fieldGroup par="57" base="0">
        <rangePr groupBy="months" startDate="2019-01-02T00:00:00" endDate="2019-04-30T00:00:00"/>
        <groupItems count="14">
          <s v="(en blanco)"/>
          <s v="ene"/>
          <s v="feb"/>
          <s v="mar"/>
          <s v="abr"/>
          <s v="may"/>
          <s v="jun"/>
          <s v="jul"/>
          <s v="ago"/>
          <s v="sep"/>
          <s v="oct"/>
          <s v="nov"/>
          <s v="dic"/>
          <s v="&gt;30/04/2019"/>
        </groupItems>
      </fieldGroup>
    </cacheField>
    <cacheField name="LIBERACIÓN" numFmtId="0">
      <sharedItems containsBlank="1" containsMixedTypes="1" containsNumber="1" containsInteger="1" minValue="0" maxValue="396"/>
    </cacheField>
    <cacheField name="PROCESO" numFmtId="0">
      <sharedItems containsBlank="1" containsMixedTypes="1" containsNumber="1" containsInteger="1" minValue="3" maxValue="175"/>
    </cacheField>
    <cacheField name="MTTO OTROS " numFmtId="0">
      <sharedItems containsString="0" containsBlank="1" containsNumber="1" minValue="5" maxValue="525"/>
    </cacheField>
    <cacheField name="TIEMPO EXTRA " numFmtId="0">
      <sharedItems containsBlank="1" containsMixedTypes="1" containsNumber="1" minValue="0" maxValue="320"/>
    </cacheField>
    <cacheField name="TIEMPO CALCULADO" numFmtId="0">
      <sharedItems containsString="0" containsBlank="1" containsNumber="1" containsInteger="1" minValue="0" maxValue="530"/>
    </cacheField>
    <cacheField name="TIEMPO PLANIFICADO" numFmtId="0">
      <sharedItems containsString="0" containsBlank="1" containsNumber="1" minValue="0" maxValue="750"/>
    </cacheField>
    <cacheField name="TIEMPO OPERATIVO" numFmtId="0">
      <sharedItems containsString="0" containsBlank="1" containsNumber="1" minValue="0" maxValue="610"/>
    </cacheField>
    <cacheField name="RESULTADO DISPONIBILIDAD" numFmtId="10">
      <sharedItems containsBlank="1" containsMixedTypes="1" containsNumber="1" minValue="0" maxValue="1.0054644808743169"/>
    </cacheField>
    <cacheField name="PIEZAS PRODUCIDAS" numFmtId="0">
      <sharedItems containsString="0" containsBlank="1" containsNumber="1" containsInteger="1" minValue="0" maxValue="3459"/>
    </cacheField>
    <cacheField name="ESTANDAR" numFmtId="0">
      <sharedItems containsString="0" containsBlank="1" containsNumber="1" containsInteger="1" minValue="0" maxValue="330"/>
    </cacheField>
    <cacheField name="MIN X HORAS" numFmtId="0">
      <sharedItems containsString="0" containsBlank="1" containsNumber="1" containsInteger="1" minValue="0" maxValue="60"/>
    </cacheField>
    <cacheField name="RESULTADO RENDIMIENTO" numFmtId="10">
      <sharedItems containsString="0" containsBlank="1" containsNumber="1" minValue="0" maxValue="1.286659700452804"/>
    </cacheField>
    <cacheField name="PIEZAS BUENAS " numFmtId="0">
      <sharedItems containsString="0" containsBlank="1" containsNumber="1" containsInteger="1" minValue="0" maxValue="3317"/>
    </cacheField>
    <cacheField name="PIEZAS PRODUCIDAS2" numFmtId="0">
      <sharedItems containsString="0" containsBlank="1" containsNumber="1" containsInteger="1" minValue="0" maxValue="3459"/>
    </cacheField>
    <cacheField name="Scrap de arranque" numFmtId="0">
      <sharedItems containsBlank="1" containsMixedTypes="1" containsNumber="1" containsInteger="1" minValue="1" maxValue="144"/>
    </cacheField>
    <cacheField name="Scrap de cambio de bobina" numFmtId="0">
      <sharedItems containsString="0" containsBlank="1" containsNumber="1" containsInteger="1" minValue="20" maxValue="187"/>
    </cacheField>
    <cacheField name="Estampado" numFmtId="0">
      <sharedItems containsString="0" containsBlank="1" containsNumber="1" containsInteger="1" minValue="66" maxValue="66"/>
    </cacheField>
    <cacheField name="Formado" numFmtId="0">
      <sharedItems containsString="0" containsBlank="1" containsNumber="1" containsInteger="1" minValue="1" maxValue="138"/>
    </cacheField>
    <cacheField name="Condición de ondulación" numFmtId="0">
      <sharedItems containsString="0" containsBlank="1" containsNumber="1" containsInteger="1" minValue="1" maxValue="82"/>
    </cacheField>
    <cacheField name="Scrap de corte" numFmtId="0">
      <sharedItems containsString="0" containsBlank="1" containsNumber="1" containsInteger="1" minValue="1" maxValue="62"/>
    </cacheField>
    <cacheField name="Falla de soldadura" numFmtId="0">
      <sharedItems containsString="0" containsBlank="1" containsNumber="1" containsInteger="1" minValue="1" maxValue="120"/>
    </cacheField>
    <cacheField name="Longitud del tubo" numFmtId="0">
      <sharedItems containsString="0" containsBlank="1" containsNumber="1" containsInteger="1" minValue="7" maxValue="22"/>
    </cacheField>
    <cacheField name="Corona" numFmtId="0">
      <sharedItems containsString="0" containsBlank="1" containsNumber="1" containsInteger="1" minValue="2" maxValue="14"/>
    </cacheField>
    <cacheField name="DC01" numFmtId="0">
      <sharedItems containsNonDate="0" containsString="0" containsBlank="1"/>
    </cacheField>
    <cacheField name="DC03" numFmtId="0">
      <sharedItems containsString="0" containsBlank="1" containsNumber="1" containsInteger="1" minValue="16" maxValue="16"/>
    </cacheField>
    <cacheField name="True position" numFmtId="0">
      <sharedItems containsString="0" containsBlank="1" containsNumber="1" containsInteger="1" minValue="19" maxValue="19"/>
    </cacheField>
    <cacheField name="Rechazo de maquina" numFmtId="0">
      <sharedItems containsNonDate="0" containsString="0" containsBlank="1"/>
    </cacheField>
    <cacheField name="Peso de scrap de la maquina (kg)" numFmtId="0">
      <sharedItems containsString="0" containsBlank="1" containsNumber="1" minValue="3.55" maxValue="71"/>
    </cacheField>
    <cacheField name="Scrap de empaque" numFmtId="0">
      <sharedItems containsString="0" containsBlank="1" containsNumber="1" containsInteger="1" minValue="0" maxValue="79"/>
    </cacheField>
    <cacheField name="Limado manual" numFmtId="0">
      <sharedItems containsString="0" containsBlank="1" containsNumber="1" containsInteger="1" minValue="3" maxValue="9"/>
    </cacheField>
    <cacheField name="Rodillo" numFmtId="0">
      <sharedItems containsString="0" containsBlank="1" containsNumber="1" containsInteger="1" minValue="1" maxValue="47"/>
    </cacheField>
    <cacheField name="Labio levantado" numFmtId="0">
      <sharedItems containsString="0" containsBlank="1" containsNumber="1" containsInteger="1" minValue="1" maxValue="110"/>
    </cacheField>
    <cacheField name="Pieza con Fuga" numFmtId="0">
      <sharedItems containsString="0" containsBlank="1" containsNumber="1" containsInteger="1" minValue="1" maxValue="8"/>
    </cacheField>
    <cacheField name="Rebaba de ventana" numFmtId="0">
      <sharedItems containsString="0" containsBlank="1" containsNumber="1" containsInteger="1" minValue="1" maxValue="83"/>
    </cacheField>
    <cacheField name="Washer" numFmtId="0">
      <sharedItems containsNonDate="0" containsString="0" containsBlank="1"/>
    </cacheField>
    <cacheField name="Prensa" numFmtId="0">
      <sharedItems containsString="0" containsBlank="1" containsNumber="1" containsInteger="1" minValue="1" maxValue="92"/>
    </cacheField>
    <cacheField name="Diimples marcados" numFmtId="0">
      <sharedItems containsString="0" containsBlank="1" containsNumber="1" containsInteger="1" minValue="8" maxValue="151"/>
    </cacheField>
    <cacheField name="PUNTO" numFmtId="0">
      <sharedItems containsString="0" containsBlank="1" containsNumber="1" containsInteger="1" minValue="16" maxValue="19"/>
    </cacheField>
    <cacheField name="Couples" numFmtId="0">
      <sharedItems containsString="0" containsBlank="1" containsNumber="1" containsInteger="1" minValue="12" maxValue="12"/>
    </cacheField>
    <cacheField name="Doble grabado" numFmtId="0">
      <sharedItems containsString="0" containsBlank="1" containsNumber="1" containsInteger="1" minValue="1" maxValue="7"/>
    </cacheField>
    <cacheField name="Pieza larga" numFmtId="0">
      <sharedItems containsString="0" containsBlank="1" containsNumber="1" containsInteger="1" minValue="1" maxValue="17"/>
    </cacheField>
    <cacheField name="Pieza corta" numFmtId="0">
      <sharedItems containsString="0" containsBlank="1" containsNumber="1" containsInteger="1" minValue="1" maxValue="154"/>
    </cacheField>
    <cacheField name="Soldadura dañada" numFmtId="0">
      <sharedItems containsString="0" containsBlank="1" containsNumber="1" containsInteger="1" minValue="1" maxValue="94"/>
    </cacheField>
    <cacheField name="Mal limada" numFmtId="0">
      <sharedItems containsString="0" containsBlank="1" containsNumber="1" containsInteger="1" minValue="1" maxValue="38"/>
    </cacheField>
    <cacheField name="Pieza con golpes" numFmtId="0">
      <sharedItems containsString="0" containsBlank="1" containsNumber="1" containsInteger="1" minValue="1" maxValue="100"/>
    </cacheField>
    <cacheField name="Caidas al piso" numFmtId="0">
      <sharedItems containsString="0" containsBlank="1" containsNumber="1" containsInteger="1" minValue="1" maxValue="13"/>
    </cacheField>
    <cacheField name="Pieza sin soldar" numFmtId="0">
      <sharedItems containsString="0" containsBlank="1" containsNumber="1" containsInteger="1" minValue="1" maxValue="151"/>
    </cacheField>
    <cacheField name="Soldadura desaliniada" numFmtId="0">
      <sharedItems containsString="0" containsBlank="1" containsNumber="1" containsInteger="1" minValue="2" maxValue="30"/>
    </cacheField>
    <cacheField name="Otro" numFmtId="0">
      <sharedItems containsString="0" containsBlank="1" containsNumber="1" containsInteger="1" minValue="1" maxValue="151"/>
    </cacheField>
    <cacheField name="Pruebas de calidad" numFmtId="0">
      <sharedItems containsNonDate="0" containsString="0" containsBlank="1"/>
    </cacheField>
    <cacheField name="Ajsutes de Ingenieria" numFmtId="0">
      <sharedItems containsString="0" containsBlank="1" containsNumber="1" containsInteger="1" minValue="54" maxValue="322"/>
    </cacheField>
    <cacheField name="Ajustes de MTTO" numFmtId="0">
      <sharedItems containsString="0" containsBlank="1" containsNumber="1" containsInteger="1" minValue="287" maxValue="287"/>
    </cacheField>
    <cacheField name="QA TOTAL" numFmtId="0">
      <sharedItems containsString="0" containsBlank="1" containsNumber="1" containsInteger="1" minValue="0" maxValue="360"/>
    </cacheField>
    <cacheField name="Week Number" numFmtId="0">
      <sharedItems containsString="0" containsBlank="1" containsNumber="1" containsInteger="1" minValue="0" maxValue="52" count="54">
        <n v="1"/>
        <m/>
        <n v="2"/>
        <n v="3"/>
        <n v="4"/>
        <n v="5"/>
        <n v="6"/>
        <n v="7"/>
        <n v="8"/>
        <n v="9"/>
        <n v="10"/>
        <n v="11"/>
        <n v="12"/>
        <n v="13"/>
        <n v="14"/>
        <n v="15"/>
        <n v="16"/>
        <n v="17"/>
        <n v="18"/>
        <n v="0" u="1"/>
        <n v="34" u="1"/>
        <n v="36" u="1"/>
        <n v="38" u="1"/>
        <n v="40" u="1"/>
        <n v="42" u="1"/>
        <n v="44" u="1"/>
        <n v="46" u="1"/>
        <n v="48" u="1"/>
        <n v="50" u="1"/>
        <n v="52" u="1"/>
        <n v="19" u="1"/>
        <n v="20" u="1"/>
        <n v="33" u="1"/>
        <n v="21" u="1"/>
        <n v="35" u="1"/>
        <n v="22" u="1"/>
        <n v="37" u="1"/>
        <n v="23" u="1"/>
        <n v="39" u="1"/>
        <n v="24" u="1"/>
        <n v="41" u="1"/>
        <n v="25" u="1"/>
        <n v="43" u="1"/>
        <n v="26" u="1"/>
        <n v="45" u="1"/>
        <n v="27" u="1"/>
        <n v="47" u="1"/>
        <n v="28" u="1"/>
        <n v="49" u="1"/>
        <n v="29" u="1"/>
        <n v="51" u="1"/>
        <n v="30" u="1"/>
        <n v="31" u="1"/>
        <n v="32" u="1"/>
      </sharedItems>
    </cacheField>
    <cacheField name="SCRAP" numFmtId="0">
      <sharedItems containsString="0" containsBlank="1" containsNumber="1" containsInteger="1" minValue="0" maxValue="759"/>
    </cacheField>
    <cacheField name="Trimestres" numFmtId="0" databaseField="0">
      <fieldGroup base="0">
        <rangePr groupBy="quarters" startDate="2019-01-02T00:00:00" endDate="2019-04-30T00:00:00"/>
        <groupItems count="6">
          <s v="&lt;02/01/2019"/>
          <s v="Trim.1"/>
          <s v="Trim.2"/>
          <s v="Trim.3"/>
          <s v="Trim.4"/>
          <s v="&gt;30/04/2019"/>
        </groupItems>
      </fieldGroup>
    </cacheField>
    <cacheField name="Años" numFmtId="0" databaseField="0">
      <fieldGroup base="0">
        <rangePr groupBy="years" startDate="2019-01-02T00:00:00" endDate="2019-04-30T00:00:00"/>
        <groupItems count="3">
          <s v="&lt;02/01/2019"/>
          <s v="2019"/>
          <s v="&gt;30/04/2019"/>
        </groupItems>
      </fieldGroup>
    </cacheField>
    <cacheField name="PPM´s" numFmtId="0" formula="(SCRAP/'PIEZAS PRODUCIDAS')*1000000" databaseField="0"/>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co Márquez" refreshedDate="43587.330826620368" createdVersion="6" refreshedVersion="6" minRefreshableVersion="3" recordCount="130" xr:uid="{00000000-000A-0000-FFFF-FFFF06000000}">
  <cacheSource type="worksheet">
    <worksheetSource ref="D2:AM1048576" sheet="OEE REA"/>
  </cacheSource>
  <cacheFields count="41">
    <cacheField name="FECHA" numFmtId="0">
      <sharedItems containsNonDate="0" containsDate="1" containsString="0" containsBlank="1" minDate="2019-01-01T00:00:00" maxDate="2019-05-01T00:00:00" count="60">
        <d v="2019-01-01T00:00:00"/>
        <d v="2019-01-02T00:00:00"/>
        <d v="2019-01-03T00:00:00"/>
        <d v="2019-01-04T00:00:00"/>
        <d v="2019-01-05T00:00:00"/>
        <d v="2019-01-06T00:00:00"/>
        <d v="2019-01-07T00:00:00"/>
        <d v="2019-01-08T00:00:00"/>
        <d v="2019-01-09T00:00:00"/>
        <d v="2019-01-10T00:00:00"/>
        <d v="2019-01-11T00:00:00"/>
        <d v="2019-01-14T00:00:00"/>
        <d v="2019-01-15T00:00:00"/>
        <d v="2019-01-16T00:00:00"/>
        <d v="2019-01-17T00:00:00"/>
        <d v="2019-01-18T00:00:00"/>
        <d v="2019-01-21T00:00:00"/>
        <d v="2019-01-22T00:00:00"/>
        <d v="2019-01-23T00:00:00"/>
        <d v="2019-01-24T00:00:00"/>
        <d v="2019-02-11T00:00:00"/>
        <d v="2019-02-12T00:00:00"/>
        <d v="2019-02-13T00:00:00"/>
        <d v="2019-02-14T00:00:00"/>
        <d v="2019-02-15T00:00:00"/>
        <d v="2019-02-18T00:00:00"/>
        <d v="2019-02-19T00:00:00"/>
        <d v="2019-02-20T00:00:00"/>
        <d v="2019-02-21T00:00:00"/>
        <d v="2019-02-22T00:00:00"/>
        <d v="2019-02-28T00:00:00"/>
        <d v="2019-03-01T00:00:00"/>
        <d v="2019-03-04T00:00:00"/>
        <d v="2019-03-05T00:00:00"/>
        <d v="2019-03-06T00:00:00"/>
        <d v="2019-03-07T00:00:00"/>
        <d v="2019-03-08T00:00:00"/>
        <d v="2019-03-15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30T00:00:00"/>
        <m/>
      </sharedItems>
      <fieldGroup par="39" base="0">
        <rangePr groupBy="days" startDate="2019-01-01T00:00:00" endDate="2019-05-01T00:00:00"/>
        <groupItems count="368">
          <s v="(en blanco)"/>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1/05/2019"/>
        </groupItems>
      </fieldGroup>
    </cacheField>
    <cacheField name="LIBERACION SET UP" numFmtId="0">
      <sharedItems containsString="0" containsBlank="1" containsNumber="1" containsInteger="1" minValue="3" maxValue="500"/>
    </cacheField>
    <cacheField name="MTTO" numFmtId="0">
      <sharedItems containsString="0" containsBlank="1" containsNumber="1" containsInteger="1" minValue="3" maxValue="131"/>
    </cacheField>
    <cacheField name="MATERIALES  OTROS" numFmtId="0">
      <sharedItems containsString="0" containsBlank="1" containsNumber="1" containsInteger="1" minValue="0" maxValue="98"/>
    </cacheField>
    <cacheField name="TIEMPO EXTRA " numFmtId="0">
      <sharedItems containsString="0" containsBlank="1" containsNumber="1" containsInteger="1" minValue="60" maxValue="225"/>
    </cacheField>
    <cacheField name="TIEMPO CALCULADO" numFmtId="0">
      <sharedItems containsString="0" containsBlank="1" containsNumber="1" containsInteger="1" minValue="75" maxValue="486"/>
    </cacheField>
    <cacheField name="TIEMPO PLANIFICADO" numFmtId="0">
      <sharedItems containsString="0" containsBlank="1" containsNumber="1" containsInteger="1" minValue="75" maxValue="711"/>
    </cacheField>
    <cacheField name="TIEMPO OPERATIVO" numFmtId="0">
      <sharedItems containsString="0" containsBlank="1" containsNumber="1" containsInteger="1" minValue="72" maxValue="698"/>
    </cacheField>
    <cacheField name="RESULTADO" numFmtId="9">
      <sharedItems containsString="0" containsBlank="1" containsNumber="1" minValue="0" maxValue="0.98971193415637859"/>
    </cacheField>
    <cacheField name="PIEZAS PRODUCIDAS" numFmtId="0">
      <sharedItems containsString="0" containsBlank="1" containsNumber="1" containsInteger="1" minValue="47" maxValue="1330"/>
    </cacheField>
    <cacheField name="ESTANDAR" numFmtId="0">
      <sharedItems containsString="0" containsBlank="1" containsNumber="1" containsInteger="1" minValue="40" maxValue="120"/>
    </cacheField>
    <cacheField name="MIN X HORAS" numFmtId="0">
      <sharedItems containsString="0" containsBlank="1" containsNumber="1" containsInteger="1" minValue="60" maxValue="60"/>
    </cacheField>
    <cacheField name="RESULTADO2" numFmtId="9">
      <sharedItems containsString="0" containsBlank="1" containsNumber="1" minValue="0.34334763948497854" maxValue="1.237082066869301"/>
    </cacheField>
    <cacheField name="PIEZAS BUENAS " numFmtId="0">
      <sharedItems containsString="0" containsBlank="1" containsNumber="1" containsInteger="1" minValue="47" maxValue="1330"/>
    </cacheField>
    <cacheField name="PIEZAS PRODUCIDAS2" numFmtId="0">
      <sharedItems containsString="0" containsBlank="1" containsNumber="1" containsInteger="1" minValue="47" maxValue="1330"/>
    </cacheField>
    <cacheField name="Prensado no conforme Marcas Fisura" numFmtId="0">
      <sharedItems containsString="0" containsBlank="1" containsNumber="1" containsInteger="1" minValue="1" maxValue="1"/>
    </cacheField>
    <cacheField name="Sello no conforme fuga de la pieza" numFmtId="0">
      <sharedItems containsString="0" containsBlank="1" containsNumber="1" containsInteger="1" minValue="1" maxValue="9"/>
    </cacheField>
    <cacheField name="Tratamiento no conforme Pieza manchada" numFmtId="0">
      <sharedItems containsNonDate="0" containsString="0" containsBlank="1"/>
    </cacheField>
    <cacheField name="Fitting dañado Corto Suelto Tapado No soldado" numFmtId="0">
      <sharedItems containsNonDate="0" containsString="0" containsBlank="1"/>
    </cacheField>
    <cacheField name="Pieza con abolladura Rebabas Filos Marcas" numFmtId="0">
      <sharedItems containsNonDate="0" containsString="0" containsBlank="1"/>
    </cacheField>
    <cacheField name="Marcado fuera de lugar o incompleto" numFmtId="0">
      <sharedItems containsNonDate="0" containsString="0" containsBlank="1"/>
    </cacheField>
    <cacheField name="Marcado no legible Dañado" numFmtId="0">
      <sharedItems containsNonDate="0" containsString="0" containsBlank="1"/>
    </cacheField>
    <cacheField name="Remachado dañado o con fisuras" numFmtId="0">
      <sharedItems containsNonDate="0" containsString="0" containsBlank="1"/>
    </cacheField>
    <cacheField name="Remachado Deforme o con rebabas" numFmtId="0">
      <sharedItems containsNonDate="0" containsString="0" containsBlank="1"/>
    </cacheField>
    <cacheField name="Pieza faltante de resorte" numFmtId="0">
      <sharedItems containsString="0" containsBlank="1" containsNumber="1" containsInteger="1" minValue="1" maxValue="2"/>
    </cacheField>
    <cacheField name="Prueba falla de histeresis" numFmtId="0">
      <sharedItems containsNonDate="0" containsString="0" containsBlank="1"/>
    </cacheField>
    <cacheField name="Cortina interrumpida" numFmtId="0">
      <sharedItems containsNonDate="0" containsString="0" containsBlank="1"/>
    </cacheField>
    <cacheField name="Etiqueta no detecta DMC" numFmtId="0">
      <sharedItems containsNonDate="0" containsString="0" containsBlank="1"/>
    </cacheField>
    <cacheField name="Pluma de grabado se atora" numFmtId="0">
      <sharedItems containsNonDate="0" containsString="0" containsBlank="1"/>
    </cacheField>
    <cacheField name="No entra pieza en JIG FASE 45" numFmtId="0">
      <sharedItems containsNonDate="0" containsString="0" containsBlank="1"/>
    </cacheField>
    <cacheField name="Diametro no conforme" numFmtId="0">
      <sharedItems containsNonDate="0" containsString="0" containsBlank="1"/>
    </cacheField>
    <cacheField name="Altura no conforme" numFmtId="0">
      <sharedItems containsString="0" containsBlank="1" containsNumber="1" containsInteger="1" minValue="1" maxValue="1"/>
    </cacheField>
    <cacheField name="Otro" numFmtId="0">
      <sharedItems containsString="0" containsBlank="1" containsNumber="1" containsInteger="1" minValue="1" maxValue="3"/>
    </cacheField>
    <cacheField name="Ajustes de Ingenieria" numFmtId="0">
      <sharedItems containsString="0" containsBlank="1" containsNumber="1" containsInteger="1" minValue="1" maxValue="1"/>
    </cacheField>
    <cacheField name="Ajustes de MTTO" numFmtId="0">
      <sharedItems containsNonDate="0" containsString="0" containsBlank="1"/>
    </cacheField>
    <cacheField name="QA TOTAL" numFmtId="0">
      <sharedItems containsNonDate="0" containsString="0" containsBlank="1"/>
    </cacheField>
    <cacheField name="Week num" numFmtId="0">
      <sharedItems containsString="0" containsBlank="1" containsNumber="1" containsInteger="1" minValue="0" maxValue="52" count="48">
        <n v="1"/>
        <n v="2"/>
        <n v="3"/>
        <n v="4"/>
        <n v="7"/>
        <n v="8"/>
        <n v="9"/>
        <n v="10"/>
        <n v="11"/>
        <n v="12"/>
        <n v="13"/>
        <n v="14"/>
        <n v="15"/>
        <n v="16"/>
        <n v="18"/>
        <m/>
        <n v="0" u="1"/>
        <n v="34" u="1"/>
        <n v="38" u="1"/>
        <n v="5" u="1"/>
        <n v="40" u="1"/>
        <n v="42" u="1"/>
        <n v="44" u="1"/>
        <n v="46" u="1"/>
        <n v="6" u="1"/>
        <n v="48" u="1"/>
        <n v="17" u="1"/>
        <n v="50" u="1"/>
        <n v="52" u="1"/>
        <n v="19" u="1"/>
        <n v="20" u="1"/>
        <n v="33" u="1"/>
        <n v="21" u="1"/>
        <n v="35" u="1"/>
        <n v="22" u="1"/>
        <n v="39" u="1"/>
        <n v="41" u="1"/>
        <n v="43" u="1"/>
        <n v="45" u="1"/>
        <n v="27" u="1"/>
        <n v="47" u="1"/>
        <n v="28" u="1"/>
        <n v="49" u="1"/>
        <n v="29" u="1"/>
        <n v="51" u="1"/>
        <n v="30" u="1"/>
        <n v="31" u="1"/>
        <n v="32" u="1"/>
      </sharedItems>
    </cacheField>
    <cacheField name="SCRAP" numFmtId="0">
      <sharedItems containsString="0" containsBlank="1" containsNumber="1" containsInteger="1" minValue="0" maxValue="9"/>
    </cacheField>
    <cacheField name="PMM´s ACTUADORES" numFmtId="0" formula="(SCRAP/'PIEZAS PRODUCIDAS2')*1000000" databaseField="0"/>
    <cacheField name="Meses" numFmtId="0" databaseField="0">
      <fieldGroup base="0">
        <rangePr groupBy="months" startDate="2019-01-01T00:00:00" endDate="2019-05-01T00:00:00"/>
        <groupItems count="14">
          <s v="&lt;01/01/2019"/>
          <s v="ene"/>
          <s v="feb"/>
          <s v="mar"/>
          <s v="abr"/>
          <s v="may"/>
          <s v="jun"/>
          <s v="jul"/>
          <s v="ago"/>
          <s v="sep"/>
          <s v="oct"/>
          <s v="nov"/>
          <s v="dic"/>
          <s v="&gt;01/05/2019"/>
        </groupItems>
      </fieldGroup>
    </cacheField>
    <cacheField name="Año" numFmtId="0" formula="YEAR(FECHA)" databaseField="0"/>
  </cacheFields>
  <extLst>
    <ext xmlns:x14="http://schemas.microsoft.com/office/spreadsheetml/2009/9/main" uri="{725AE2AE-9491-48be-B2B4-4EB974FC3084}">
      <x14:pivotCacheDefinition pivotCacheId="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rancisco Márquez" refreshedDate="43587.330826620368" createdVersion="6" refreshedVersion="6" minRefreshableVersion="3" recordCount="132" xr:uid="{00000000-000A-0000-FFFF-FFFF07000000}">
  <cacheSource type="worksheet">
    <worksheetSource ref="A2:BI1048576" sheet="OEE FLAT TUBE " r:id="rId2"/>
  </cacheSource>
  <cacheFields count="60">
    <cacheField name="REF VLOOK UP" numFmtId="0">
      <sharedItems containsBlank="1" containsMixedTypes="1" containsNumber="1" containsInteger="1" minValue="1" maxValue="133"/>
    </cacheField>
    <cacheField name="TURNO" numFmtId="0">
      <sharedItems containsString="0" containsBlank="1" containsNumber="1" containsInteger="1" minValue="1" maxValue="2"/>
    </cacheField>
    <cacheField name="FECHA" numFmtId="0">
      <sharedItems containsNonDate="0" containsDate="1" containsString="0" containsBlank="1" minDate="2019-01-02T00:00:00" maxDate="2019-04-30T00:00:00" count="77">
        <d v="2019-01-02T00:00:00"/>
        <d v="2019-01-03T00:00:00"/>
        <d v="2019-01-04T00:00:00"/>
        <d v="2019-01-05T00:00:00"/>
        <d v="2019-01-07T00:00:00"/>
        <d v="2019-01-09T00:00:00"/>
        <d v="2019-01-10T00:00:00"/>
        <d v="2019-01-11T00:00:00"/>
        <d v="2019-01-12T00:00:00"/>
        <d v="2019-01-14T00:00:00"/>
        <d v="2019-01-15T00:00:00"/>
        <d v="2019-01-16T00:00:00"/>
        <d v="2019-01-17T00:00:00"/>
        <d v="2019-01-18T00:00:00"/>
        <d v="2019-01-19T00:00:00"/>
        <d v="2019-01-21T00:00:00"/>
        <d v="2019-01-22T00:00:00"/>
        <d v="2019-01-23T00:00:00"/>
        <d v="2019-01-24T00:00:00"/>
        <d v="2019-01-25T00:00:00"/>
        <d v="2019-01-28T00:00:00"/>
        <d v="2019-01-29T00:00:00"/>
        <d v="2019-01-30T00:00:00"/>
        <d v="2019-01-31T00:00:00"/>
        <d v="2019-02-01T00:00:00"/>
        <d v="2019-02-05T00:00:00"/>
        <d v="2019-02-11T00:00:00"/>
        <d v="2019-02-12T00:00:00"/>
        <d v="2019-02-13T00:00:00"/>
        <d v="2019-02-14T00:00:00"/>
        <d v="2019-02-15T00:00:00"/>
        <d v="2019-02-18T00:00:00"/>
        <d v="2019-02-19T00:00:00"/>
        <d v="2019-02-20T00:00:00"/>
        <d v="2019-02-21T00:00:00"/>
        <d v="2019-02-22T00:00:00"/>
        <d v="2019-02-26T00:00:00"/>
        <d v="2019-02-27T00:00:00"/>
        <d v="2019-03-06T00:00:00"/>
        <d v="2019-03-07T00:00:00"/>
        <d v="2019-03-08T00:00:00"/>
        <d v="2019-03-09T00:00:00"/>
        <d v="2019-03-11T00:00:00"/>
        <d v="2019-03-12T00:00:00"/>
        <d v="2019-03-13T00:00:00"/>
        <d v="2019-03-14T00:00:00"/>
        <d v="2019-03-15T00:00:00"/>
        <d v="2019-03-19T00:00:00"/>
        <d v="2019-03-20T00:00:00"/>
        <d v="2019-03-21T00:00:00"/>
        <d v="2019-03-22T00:00:00"/>
        <d v="2019-03-25T00:00:00"/>
        <d v="2019-03-26T00:00:00"/>
        <d v="2019-03-27T00:00:00"/>
        <d v="2019-03-28T00:00:00"/>
        <d v="2019-03-29T00:00:00"/>
        <d v="2019-04-01T00:00:00"/>
        <d v="2019-04-02T00:00:00"/>
        <d v="2019-04-03T00:00:00"/>
        <d v="2019-04-04T00:00:00"/>
        <d v="2019-04-05T00:00:00"/>
        <d v="2019-04-08T00:00:00"/>
        <d v="2019-04-09T00:00:00"/>
        <d v="2019-04-10T00:00:00"/>
        <d v="2019-04-11T00:00:00"/>
        <d v="2019-04-12T00:00:00"/>
        <d v="2019-04-15T00:00:00"/>
        <d v="2019-04-16T00:00:00"/>
        <d v="2019-04-17T00:00:00"/>
        <d v="2019-04-18T00:00:00"/>
        <d v="2019-04-22T00:00:00"/>
        <d v="2019-04-23T00:00:00"/>
        <d v="2019-04-24T00:00:00"/>
        <d v="2019-04-25T00:00:00"/>
        <d v="2019-04-26T00:00:00"/>
        <d v="2019-04-29T00:00:00"/>
        <m/>
      </sharedItems>
    </cacheField>
    <cacheField name="LIBERACIÓN" numFmtId="0">
      <sharedItems containsBlank="1" containsMixedTypes="1" containsNumber="1" containsInteger="1" minValue="0" maxValue="396"/>
    </cacheField>
    <cacheField name="PROCESO" numFmtId="0">
      <sharedItems containsBlank="1" containsMixedTypes="1" containsNumber="1" containsInteger="1" minValue="3" maxValue="175"/>
    </cacheField>
    <cacheField name="MTTO OTROS " numFmtId="0">
      <sharedItems containsString="0" containsBlank="1" containsNumber="1" minValue="5" maxValue="525"/>
    </cacheField>
    <cacheField name="TIEMPO EXTRA " numFmtId="0">
      <sharedItems containsBlank="1" containsMixedTypes="1" containsNumber="1" minValue="0" maxValue="320"/>
    </cacheField>
    <cacheField name="TIEMPO CALCULADO" numFmtId="0">
      <sharedItems containsString="0" containsBlank="1" containsNumber="1" containsInteger="1" minValue="0" maxValue="530"/>
    </cacheField>
    <cacheField name="TIEMPO PLANIFICADO" numFmtId="0">
      <sharedItems containsString="0" containsBlank="1" containsNumber="1" minValue="0" maxValue="750"/>
    </cacheField>
    <cacheField name="TIEMPO OPERATIVO" numFmtId="0">
      <sharedItems containsString="0" containsBlank="1" containsNumber="1" minValue="0" maxValue="610"/>
    </cacheField>
    <cacheField name="RESULTADO DISPONIBILIDAD" numFmtId="10">
      <sharedItems containsBlank="1" containsMixedTypes="1" containsNumber="1" minValue="0" maxValue="1.0054644808743169"/>
    </cacheField>
    <cacheField name="PIEZAS PRODUCIDAS" numFmtId="0">
      <sharedItems containsString="0" containsBlank="1" containsNumber="1" containsInteger="1" minValue="0" maxValue="3459"/>
    </cacheField>
    <cacheField name="ESTANDAR" numFmtId="0">
      <sharedItems containsString="0" containsBlank="1" containsNumber="1" containsInteger="1" minValue="0" maxValue="330"/>
    </cacheField>
    <cacheField name="MIN X HORAS" numFmtId="0">
      <sharedItems containsString="0" containsBlank="1" containsNumber="1" containsInteger="1" minValue="0" maxValue="60"/>
    </cacheField>
    <cacheField name="RESULTADO RENDIMIENTO" numFmtId="10">
      <sharedItems containsString="0" containsBlank="1" containsNumber="1" minValue="0" maxValue="1.286659700452804"/>
    </cacheField>
    <cacheField name="PIEZAS BUENAS " numFmtId="0">
      <sharedItems containsString="0" containsBlank="1" containsNumber="1" containsInteger="1" minValue="0" maxValue="3317"/>
    </cacheField>
    <cacheField name="PIEZAS PRODUCIDAS2" numFmtId="0">
      <sharedItems containsString="0" containsBlank="1" containsNumber="1" containsInteger="1" minValue="0" maxValue="3459"/>
    </cacheField>
    <cacheField name="Scrap de arranque" numFmtId="0">
      <sharedItems containsBlank="1" containsMixedTypes="1" containsNumber="1" containsInteger="1" minValue="1" maxValue="144"/>
    </cacheField>
    <cacheField name="Scrap de cambio de bobina" numFmtId="0">
      <sharedItems containsString="0" containsBlank="1" containsNumber="1" containsInteger="1" minValue="20" maxValue="187"/>
    </cacheField>
    <cacheField name="Estampado" numFmtId="0">
      <sharedItems containsString="0" containsBlank="1" containsNumber="1" containsInteger="1" minValue="66" maxValue="66"/>
    </cacheField>
    <cacheField name="Formado" numFmtId="0">
      <sharedItems containsString="0" containsBlank="1" containsNumber="1" containsInteger="1" minValue="1" maxValue="138"/>
    </cacheField>
    <cacheField name="Condición de ondulación" numFmtId="0">
      <sharedItems containsString="0" containsBlank="1" containsNumber="1" containsInteger="1" minValue="1" maxValue="82"/>
    </cacheField>
    <cacheField name="Scrap de corte" numFmtId="0">
      <sharedItems containsString="0" containsBlank="1" containsNumber="1" containsInteger="1" minValue="1" maxValue="62"/>
    </cacheField>
    <cacheField name="Falla de soldadura" numFmtId="0">
      <sharedItems containsString="0" containsBlank="1" containsNumber="1" containsInteger="1" minValue="1" maxValue="120"/>
    </cacheField>
    <cacheField name="Longitud del tubo" numFmtId="0">
      <sharedItems containsString="0" containsBlank="1" containsNumber="1" containsInteger="1" minValue="7" maxValue="22"/>
    </cacheField>
    <cacheField name="Corona" numFmtId="0">
      <sharedItems containsString="0" containsBlank="1" containsNumber="1" containsInteger="1" minValue="2" maxValue="14"/>
    </cacheField>
    <cacheField name="DC01" numFmtId="0">
      <sharedItems containsNonDate="0" containsString="0" containsBlank="1"/>
    </cacheField>
    <cacheField name="DC03" numFmtId="0">
      <sharedItems containsString="0" containsBlank="1" containsNumber="1" containsInteger="1" minValue="16" maxValue="16"/>
    </cacheField>
    <cacheField name="True position" numFmtId="0">
      <sharedItems containsString="0" containsBlank="1" containsNumber="1" containsInteger="1" minValue="19" maxValue="19"/>
    </cacheField>
    <cacheField name="Rechazo de maquina" numFmtId="0">
      <sharedItems containsNonDate="0" containsString="0" containsBlank="1"/>
    </cacheField>
    <cacheField name="Peso de scrap de la maquina (kg)" numFmtId="0">
      <sharedItems containsString="0" containsBlank="1" containsNumber="1" minValue="3.55" maxValue="71"/>
    </cacheField>
    <cacheField name="Scrap de empaque" numFmtId="0">
      <sharedItems containsString="0" containsBlank="1" containsNumber="1" containsInteger="1" minValue="0" maxValue="79"/>
    </cacheField>
    <cacheField name="Limado manual" numFmtId="0">
      <sharedItems containsString="0" containsBlank="1" containsNumber="1" containsInteger="1" minValue="3" maxValue="9"/>
    </cacheField>
    <cacheField name="Rodillo" numFmtId="0">
      <sharedItems containsString="0" containsBlank="1" containsNumber="1" containsInteger="1" minValue="1" maxValue="47"/>
    </cacheField>
    <cacheField name="Labio levantado" numFmtId="0">
      <sharedItems containsString="0" containsBlank="1" containsNumber="1" containsInteger="1" minValue="1" maxValue="110"/>
    </cacheField>
    <cacheField name="Pieza con Fuga" numFmtId="0">
      <sharedItems containsString="0" containsBlank="1" containsNumber="1" containsInteger="1" minValue="1" maxValue="8"/>
    </cacheField>
    <cacheField name="Rebaba de ventana" numFmtId="0">
      <sharedItems containsString="0" containsBlank="1" containsNumber="1" containsInteger="1" minValue="1" maxValue="83"/>
    </cacheField>
    <cacheField name="Washer" numFmtId="0">
      <sharedItems containsNonDate="0" containsString="0" containsBlank="1"/>
    </cacheField>
    <cacheField name="Prensa" numFmtId="0">
      <sharedItems containsString="0" containsBlank="1" containsNumber="1" containsInteger="1" minValue="1" maxValue="92"/>
    </cacheField>
    <cacheField name="Diimples marcados" numFmtId="0">
      <sharedItems containsString="0" containsBlank="1" containsNumber="1" containsInteger="1" minValue="8" maxValue="151"/>
    </cacheField>
    <cacheField name="PUNTO" numFmtId="0">
      <sharedItems containsString="0" containsBlank="1" containsNumber="1" containsInteger="1" minValue="16" maxValue="19"/>
    </cacheField>
    <cacheField name="Couples" numFmtId="0">
      <sharedItems containsString="0" containsBlank="1" containsNumber="1" containsInteger="1" minValue="12" maxValue="12"/>
    </cacheField>
    <cacheField name="Doble grabado" numFmtId="0">
      <sharedItems containsString="0" containsBlank="1" containsNumber="1" containsInteger="1" minValue="1" maxValue="7"/>
    </cacheField>
    <cacheField name="Pieza larga" numFmtId="0">
      <sharedItems containsString="0" containsBlank="1" containsNumber="1" containsInteger="1" minValue="1" maxValue="17"/>
    </cacheField>
    <cacheField name="Pieza corta" numFmtId="0">
      <sharedItems containsString="0" containsBlank="1" containsNumber="1" containsInteger="1" minValue="1" maxValue="154"/>
    </cacheField>
    <cacheField name="Soldadura dañada" numFmtId="0">
      <sharedItems containsString="0" containsBlank="1" containsNumber="1" containsInteger="1" minValue="1" maxValue="94"/>
    </cacheField>
    <cacheField name="Mal limada" numFmtId="0">
      <sharedItems containsString="0" containsBlank="1" containsNumber="1" containsInteger="1" minValue="1" maxValue="38"/>
    </cacheField>
    <cacheField name="Pieza con golpes" numFmtId="0">
      <sharedItems containsString="0" containsBlank="1" containsNumber="1" containsInteger="1" minValue="1" maxValue="100"/>
    </cacheField>
    <cacheField name="Caidas al piso" numFmtId="0">
      <sharedItems containsString="0" containsBlank="1" containsNumber="1" containsInteger="1" minValue="1" maxValue="13"/>
    </cacheField>
    <cacheField name="Pieza sin soldar" numFmtId="0">
      <sharedItems containsString="0" containsBlank="1" containsNumber="1" containsInteger="1" minValue="1" maxValue="151"/>
    </cacheField>
    <cacheField name="Soldadura desaliniada" numFmtId="0">
      <sharedItems containsString="0" containsBlank="1" containsNumber="1" containsInteger="1" minValue="2" maxValue="30"/>
    </cacheField>
    <cacheField name="Otro" numFmtId="0">
      <sharedItems containsString="0" containsBlank="1" containsNumber="1" containsInteger="1" minValue="1" maxValue="151"/>
    </cacheField>
    <cacheField name="Pruebas de calidad" numFmtId="0">
      <sharedItems containsNonDate="0" containsString="0" containsBlank="1"/>
    </cacheField>
    <cacheField name="Ajsutes de Ingenieria" numFmtId="0">
      <sharedItems containsString="0" containsBlank="1" containsNumber="1" containsInteger="1" minValue="54" maxValue="322"/>
    </cacheField>
    <cacheField name="Ajustes de MTTO" numFmtId="0">
      <sharedItems containsString="0" containsBlank="1" containsNumber="1" containsInteger="1" minValue="287" maxValue="287"/>
    </cacheField>
    <cacheField name="QA TOTAL" numFmtId="0">
      <sharedItems containsString="0" containsBlank="1" containsNumber="1" containsInteger="1" minValue="0" maxValue="360"/>
    </cacheField>
    <cacheField name="Week Number" numFmtId="0">
      <sharedItems containsString="0" containsBlank="1" containsNumber="1" containsInteger="1" minValue="1" maxValue="18"/>
    </cacheField>
    <cacheField name="SCRAP" numFmtId="0">
      <sharedItems containsString="0" containsBlank="1" containsNumber="1" containsInteger="1" minValue="0" maxValue="759"/>
    </cacheField>
    <cacheField name="RESULTADO CALIDAD" numFmtId="10">
      <sharedItems containsBlank="1" containsMixedTypes="1" containsNumber="1" minValue="0" maxValue="1"/>
    </cacheField>
    <cacheField name="RESULTADO OEE" numFmtId="0">
      <sharedItems containsBlank="1" containsMixedTypes="1" containsNumber="1" minValue="0" maxValue="1.073106060606060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x v="0"/>
    <n v="51"/>
    <n v="9"/>
    <m/>
    <n v="0"/>
    <n v="425"/>
    <n v="425"/>
    <n v="365"/>
    <n v="0.85882352941176465"/>
    <n v="1932"/>
    <n v="330"/>
    <n v="60"/>
    <n v="0.96239103362391032"/>
    <n v="1932"/>
    <n v="1932"/>
    <m/>
    <m/>
    <m/>
    <m/>
    <m/>
    <m/>
    <m/>
    <m/>
    <m/>
    <m/>
    <m/>
    <m/>
    <m/>
    <n v="22"/>
    <m/>
    <m/>
    <m/>
    <m/>
    <m/>
    <m/>
    <m/>
    <m/>
    <m/>
    <m/>
    <m/>
    <m/>
    <m/>
    <m/>
    <m/>
    <m/>
    <m/>
    <m/>
    <m/>
    <m/>
    <m/>
    <m/>
    <m/>
    <m/>
    <n v="0"/>
    <x v="0"/>
    <n v="0"/>
  </r>
  <r>
    <x v="1"/>
    <m/>
    <m/>
    <n v="525"/>
    <m/>
    <m/>
    <m/>
    <m/>
    <m/>
    <m/>
    <m/>
    <m/>
    <m/>
    <m/>
    <m/>
    <m/>
    <m/>
    <m/>
    <m/>
    <m/>
    <m/>
    <m/>
    <m/>
    <m/>
    <m/>
    <m/>
    <m/>
    <m/>
    <m/>
    <m/>
    <m/>
    <m/>
    <m/>
    <m/>
    <m/>
    <m/>
    <m/>
    <m/>
    <m/>
    <m/>
    <m/>
    <m/>
    <m/>
    <m/>
    <m/>
    <m/>
    <m/>
    <m/>
    <m/>
    <m/>
    <m/>
    <m/>
    <m/>
    <n v="0"/>
    <x v="1"/>
    <m/>
  </r>
  <r>
    <x v="2"/>
    <n v="81"/>
    <n v="175"/>
    <m/>
    <n v="45"/>
    <n v="425"/>
    <n v="470"/>
    <n v="214"/>
    <n v="0.4553191489361702"/>
    <n v="1190"/>
    <n v="330"/>
    <n v="60"/>
    <n v="1.0110450297366185"/>
    <n v="1070"/>
    <n v="1190"/>
    <n v="100"/>
    <m/>
    <m/>
    <m/>
    <m/>
    <m/>
    <n v="120"/>
    <m/>
    <m/>
    <m/>
    <m/>
    <m/>
    <m/>
    <n v="54"/>
    <m/>
    <m/>
    <m/>
    <m/>
    <m/>
    <m/>
    <m/>
    <m/>
    <m/>
    <m/>
    <m/>
    <m/>
    <m/>
    <m/>
    <m/>
    <m/>
    <m/>
    <m/>
    <m/>
    <m/>
    <m/>
    <m/>
    <m/>
    <m/>
    <n v="120"/>
    <x v="0"/>
    <n v="120"/>
  </r>
  <r>
    <x v="3"/>
    <n v="140"/>
    <n v="18"/>
    <n v="220"/>
    <n v="0"/>
    <n v="425"/>
    <n v="425"/>
    <n v="47"/>
    <n v="0.11058823529411765"/>
    <n v="207"/>
    <n v="330"/>
    <n v="60"/>
    <n v="0.80077369439071577"/>
    <n v="207"/>
    <n v="207"/>
    <n v="100"/>
    <n v="107"/>
    <m/>
    <m/>
    <m/>
    <m/>
    <m/>
    <m/>
    <m/>
    <m/>
    <m/>
    <m/>
    <m/>
    <n v="71"/>
    <m/>
    <m/>
    <m/>
    <m/>
    <m/>
    <m/>
    <m/>
    <m/>
    <m/>
    <m/>
    <m/>
    <m/>
    <m/>
    <m/>
    <m/>
    <m/>
    <m/>
    <m/>
    <m/>
    <m/>
    <m/>
    <m/>
    <m/>
    <m/>
    <n v="0"/>
    <x v="0"/>
    <n v="0"/>
  </r>
  <r>
    <x v="4"/>
    <n v="47"/>
    <n v="41"/>
    <n v="155"/>
    <m/>
    <n v="425"/>
    <n v="425"/>
    <n v="182"/>
    <n v="0.42823529411764705"/>
    <n v="1170"/>
    <n v="330"/>
    <n v="60"/>
    <n v="1.1688311688311688"/>
    <n v="1088"/>
    <n v="1170"/>
    <n v="100"/>
    <m/>
    <m/>
    <n v="15"/>
    <m/>
    <m/>
    <n v="33"/>
    <n v="12"/>
    <m/>
    <m/>
    <m/>
    <m/>
    <m/>
    <n v="15"/>
    <m/>
    <m/>
    <m/>
    <m/>
    <m/>
    <m/>
    <m/>
    <m/>
    <m/>
    <m/>
    <m/>
    <m/>
    <m/>
    <m/>
    <m/>
    <m/>
    <n v="37"/>
    <m/>
    <m/>
    <m/>
    <m/>
    <m/>
    <m/>
    <m/>
    <n v="82"/>
    <x v="2"/>
    <n v="82"/>
  </r>
  <r>
    <x v="4"/>
    <n v="90"/>
    <n v="10"/>
    <n v="241.76"/>
    <m/>
    <n v="425"/>
    <n v="425"/>
    <n v="83.240000000000009"/>
    <n v="0.19585882352941178"/>
    <n v="462"/>
    <n v="330"/>
    <n v="60"/>
    <n v="1.0091302258529553"/>
    <n v="396"/>
    <n v="462"/>
    <m/>
    <m/>
    <n v="66"/>
    <m/>
    <m/>
    <m/>
    <m/>
    <m/>
    <m/>
    <m/>
    <m/>
    <m/>
    <m/>
    <n v="38"/>
    <m/>
    <m/>
    <m/>
    <m/>
    <m/>
    <m/>
    <m/>
    <m/>
    <m/>
    <m/>
    <m/>
    <m/>
    <m/>
    <m/>
    <m/>
    <m/>
    <m/>
    <m/>
    <m/>
    <m/>
    <m/>
    <m/>
    <m/>
    <m/>
    <n v="66"/>
    <x v="2"/>
    <n v="66"/>
  </r>
  <r>
    <x v="5"/>
    <m/>
    <m/>
    <n v="525"/>
    <m/>
    <m/>
    <m/>
    <m/>
    <m/>
    <m/>
    <m/>
    <m/>
    <m/>
    <m/>
    <m/>
    <m/>
    <m/>
    <m/>
    <m/>
    <m/>
    <m/>
    <m/>
    <m/>
    <m/>
    <m/>
    <m/>
    <m/>
    <m/>
    <m/>
    <m/>
    <m/>
    <m/>
    <m/>
    <m/>
    <m/>
    <m/>
    <m/>
    <m/>
    <m/>
    <m/>
    <m/>
    <m/>
    <m/>
    <m/>
    <m/>
    <m/>
    <m/>
    <m/>
    <m/>
    <m/>
    <m/>
    <m/>
    <m/>
    <n v="0"/>
    <x v="2"/>
    <m/>
  </r>
  <r>
    <x v="5"/>
    <n v="161"/>
    <m/>
    <m/>
    <n v="50.769999999999982"/>
    <n v="425"/>
    <n v="475.77"/>
    <n v="314.77"/>
    <n v="0.66160119385417326"/>
    <n v="1747"/>
    <n v="330"/>
    <n v="60"/>
    <n v="1.0091062160827386"/>
    <n v="1747"/>
    <n v="1747"/>
    <n v="89"/>
    <m/>
    <m/>
    <m/>
    <m/>
    <m/>
    <m/>
    <m/>
    <m/>
    <m/>
    <m/>
    <m/>
    <m/>
    <n v="15.7"/>
    <m/>
    <m/>
    <m/>
    <m/>
    <m/>
    <m/>
    <m/>
    <m/>
    <m/>
    <m/>
    <m/>
    <m/>
    <m/>
    <m/>
    <m/>
    <m/>
    <m/>
    <m/>
    <m/>
    <m/>
    <m/>
    <m/>
    <n v="256"/>
    <m/>
    <n v="256"/>
    <x v="2"/>
    <n v="0"/>
  </r>
  <r>
    <x v="6"/>
    <n v="145"/>
    <n v="82"/>
    <m/>
    <m/>
    <n v="425"/>
    <n v="425"/>
    <n v="198"/>
    <n v="0.46588235294117647"/>
    <n v="863"/>
    <n v="330"/>
    <n v="60"/>
    <n v="0.79247015610651972"/>
    <n v="745"/>
    <n v="863"/>
    <n v="100"/>
    <m/>
    <m/>
    <m/>
    <m/>
    <m/>
    <m/>
    <m/>
    <m/>
    <m/>
    <m/>
    <m/>
    <m/>
    <n v="9.4499999999999993"/>
    <m/>
    <m/>
    <m/>
    <m/>
    <m/>
    <m/>
    <m/>
    <m/>
    <m/>
    <m/>
    <m/>
    <m/>
    <m/>
    <n v="12"/>
    <n v="23"/>
    <n v="4"/>
    <n v="69"/>
    <n v="10"/>
    <m/>
    <m/>
    <m/>
    <m/>
    <m/>
    <m/>
    <n v="118"/>
    <x v="2"/>
    <n v="118"/>
  </r>
  <r>
    <x v="6"/>
    <n v="225"/>
    <n v="11"/>
    <m/>
    <m/>
    <n v="425"/>
    <n v="425"/>
    <n v="189"/>
    <n v="0.44470588235294117"/>
    <n v="1051"/>
    <n v="330"/>
    <n v="60"/>
    <n v="1.011063011063011"/>
    <n v="883"/>
    <n v="1051"/>
    <m/>
    <n v="160"/>
    <m/>
    <n v="138"/>
    <m/>
    <m/>
    <m/>
    <n v="7"/>
    <m/>
    <m/>
    <m/>
    <m/>
    <m/>
    <n v="69"/>
    <n v="17"/>
    <n v="6"/>
    <m/>
    <m/>
    <m/>
    <m/>
    <m/>
    <m/>
    <m/>
    <m/>
    <m/>
    <m/>
    <m/>
    <m/>
    <m/>
    <m/>
    <m/>
    <m/>
    <m/>
    <m/>
    <m/>
    <m/>
    <m/>
    <m/>
    <n v="30"/>
    <x v="2"/>
    <n v="168"/>
  </r>
  <r>
    <x v="7"/>
    <n v="220"/>
    <n v="13"/>
    <m/>
    <m/>
    <n v="425"/>
    <n v="425"/>
    <n v="192"/>
    <n v="0.45176470588235296"/>
    <n v="1053"/>
    <n v="330"/>
    <n v="60"/>
    <n v="0.99715909090909094"/>
    <n v="1053"/>
    <n v="1053"/>
    <n v="1"/>
    <m/>
    <m/>
    <m/>
    <m/>
    <m/>
    <m/>
    <m/>
    <m/>
    <m/>
    <m/>
    <m/>
    <m/>
    <n v="37"/>
    <m/>
    <m/>
    <m/>
    <m/>
    <m/>
    <m/>
    <m/>
    <m/>
    <m/>
    <m/>
    <m/>
    <m/>
    <m/>
    <m/>
    <m/>
    <m/>
    <m/>
    <m/>
    <m/>
    <m/>
    <m/>
    <m/>
    <m/>
    <m/>
    <n v="0"/>
    <x v="2"/>
    <n v="0"/>
  </r>
  <r>
    <x v="7"/>
    <n v="162"/>
    <n v="3"/>
    <m/>
    <n v="320"/>
    <n v="425"/>
    <n v="745"/>
    <n v="580"/>
    <n v="0.77852348993288589"/>
    <n v="3220"/>
    <n v="330"/>
    <n v="60"/>
    <n v="1.0094043887147337"/>
    <n v="3192"/>
    <n v="3220"/>
    <n v="18"/>
    <n v="50"/>
    <m/>
    <m/>
    <m/>
    <m/>
    <m/>
    <m/>
    <m/>
    <m/>
    <m/>
    <m/>
    <m/>
    <n v="29"/>
    <m/>
    <m/>
    <m/>
    <m/>
    <m/>
    <m/>
    <m/>
    <m/>
    <m/>
    <m/>
    <m/>
    <m/>
    <m/>
    <m/>
    <n v="30"/>
    <m/>
    <m/>
    <m/>
    <m/>
    <n v="30"/>
    <m/>
    <m/>
    <m/>
    <m/>
    <n v="30"/>
    <x v="2"/>
    <n v="28"/>
  </r>
  <r>
    <x v="8"/>
    <n v="150"/>
    <n v="80"/>
    <m/>
    <m/>
    <n v="425"/>
    <n v="425"/>
    <n v="195"/>
    <n v="0.45882352941176469"/>
    <n v="1060"/>
    <n v="330"/>
    <n v="60"/>
    <n v="0.9883449883449883"/>
    <n v="902"/>
    <n v="1060"/>
    <n v="100"/>
    <n v="20"/>
    <m/>
    <m/>
    <m/>
    <n v="32"/>
    <m/>
    <m/>
    <m/>
    <m/>
    <m/>
    <m/>
    <m/>
    <n v="9.75"/>
    <m/>
    <m/>
    <m/>
    <m/>
    <m/>
    <m/>
    <m/>
    <m/>
    <m/>
    <m/>
    <m/>
    <m/>
    <m/>
    <n v="1"/>
    <n v="94"/>
    <m/>
    <n v="11"/>
    <m/>
    <m/>
    <m/>
    <m/>
    <m/>
    <m/>
    <m/>
    <n v="138"/>
    <x v="2"/>
    <n v="158"/>
  </r>
  <r>
    <x v="9"/>
    <n v="396"/>
    <n v="58"/>
    <m/>
    <m/>
    <n v="525"/>
    <n v="525"/>
    <n v="71"/>
    <n v="0.13523809523809524"/>
    <n v="327"/>
    <n v="330"/>
    <n v="60"/>
    <n v="0.83738796414852756"/>
    <n v="327"/>
    <n v="327"/>
    <m/>
    <m/>
    <m/>
    <m/>
    <m/>
    <m/>
    <m/>
    <m/>
    <m/>
    <m/>
    <m/>
    <m/>
    <m/>
    <n v="3.55"/>
    <m/>
    <m/>
    <m/>
    <m/>
    <m/>
    <m/>
    <m/>
    <m/>
    <m/>
    <m/>
    <m/>
    <m/>
    <m/>
    <m/>
    <m/>
    <m/>
    <m/>
    <m/>
    <m/>
    <m/>
    <m/>
    <m/>
    <n v="322"/>
    <m/>
    <n v="322"/>
    <x v="3"/>
    <n v="0"/>
  </r>
  <r>
    <x v="10"/>
    <n v="39"/>
    <n v="30"/>
    <n v="180"/>
    <m/>
    <n v="425"/>
    <n v="425"/>
    <n v="202"/>
    <n v="0.47529411764705881"/>
    <n v="1125"/>
    <n v="330"/>
    <n v="60"/>
    <n v="1.0126012601260126"/>
    <n v="1035"/>
    <n v="1125"/>
    <n v="100"/>
    <m/>
    <m/>
    <n v="1"/>
    <n v="75"/>
    <m/>
    <n v="9"/>
    <m/>
    <m/>
    <m/>
    <m/>
    <m/>
    <m/>
    <n v="22"/>
    <m/>
    <m/>
    <m/>
    <m/>
    <m/>
    <m/>
    <m/>
    <m/>
    <m/>
    <m/>
    <m/>
    <m/>
    <m/>
    <m/>
    <m/>
    <m/>
    <m/>
    <n v="6"/>
    <m/>
    <m/>
    <m/>
    <m/>
    <m/>
    <m/>
    <n v="90"/>
    <x v="3"/>
    <n v="90"/>
  </r>
  <r>
    <x v="11"/>
    <n v="46"/>
    <n v="54"/>
    <m/>
    <m/>
    <n v="425"/>
    <n v="425"/>
    <n v="325"/>
    <n v="0.76470588235294112"/>
    <n v="1949"/>
    <n v="330"/>
    <n v="60"/>
    <n v="1.0903496503496504"/>
    <n v="1751"/>
    <n v="1949"/>
    <n v="100"/>
    <m/>
    <m/>
    <m/>
    <n v="82"/>
    <n v="7"/>
    <m/>
    <m/>
    <m/>
    <m/>
    <m/>
    <m/>
    <m/>
    <m/>
    <m/>
    <m/>
    <m/>
    <n v="16"/>
    <m/>
    <m/>
    <m/>
    <m/>
    <m/>
    <m/>
    <m/>
    <m/>
    <m/>
    <n v="59"/>
    <m/>
    <m/>
    <n v="33"/>
    <n v="1"/>
    <m/>
    <m/>
    <m/>
    <m/>
    <m/>
    <m/>
    <n v="198"/>
    <x v="3"/>
    <n v="198"/>
  </r>
  <r>
    <x v="11"/>
    <n v="53"/>
    <n v="84"/>
    <m/>
    <m/>
    <n v="425"/>
    <n v="425"/>
    <n v="288"/>
    <n v="0.67764705882352938"/>
    <n v="1758"/>
    <n v="330"/>
    <n v="60"/>
    <n v="1.1098484848484849"/>
    <n v="1668"/>
    <n v="1758"/>
    <m/>
    <m/>
    <m/>
    <m/>
    <n v="19"/>
    <m/>
    <m/>
    <m/>
    <m/>
    <m/>
    <m/>
    <m/>
    <m/>
    <m/>
    <m/>
    <m/>
    <m/>
    <m/>
    <m/>
    <m/>
    <m/>
    <n v="4"/>
    <n v="20"/>
    <m/>
    <m/>
    <m/>
    <m/>
    <n v="5"/>
    <n v="8"/>
    <n v="24"/>
    <n v="10"/>
    <m/>
    <m/>
    <m/>
    <m/>
    <m/>
    <m/>
    <m/>
    <n v="90"/>
    <x v="3"/>
    <n v="90"/>
  </r>
  <r>
    <x v="12"/>
    <m/>
    <m/>
    <n v="124"/>
    <m/>
    <n v="425"/>
    <n v="425"/>
    <n v="301"/>
    <n v="0.70823529411764707"/>
    <n v="544"/>
    <n v="330"/>
    <n v="60"/>
    <n v="0.32860163092721234"/>
    <n v="428"/>
    <n v="544"/>
    <n v="100"/>
    <m/>
    <m/>
    <m/>
    <m/>
    <n v="3"/>
    <m/>
    <n v="22"/>
    <m/>
    <m/>
    <m/>
    <m/>
    <m/>
    <m/>
    <n v="79"/>
    <m/>
    <m/>
    <m/>
    <m/>
    <m/>
    <m/>
    <m/>
    <n v="12"/>
    <m/>
    <m/>
    <m/>
    <m/>
    <m/>
    <m/>
    <m/>
    <m/>
    <m/>
    <m/>
    <m/>
    <m/>
    <m/>
    <m/>
    <m/>
    <n v="116"/>
    <x v="3"/>
    <n v="116"/>
  </r>
  <r>
    <x v="12"/>
    <n v="2"/>
    <n v="80"/>
    <m/>
    <m/>
    <n v="425"/>
    <n v="425"/>
    <n v="343"/>
    <n v="0.80705882352941172"/>
    <n v="1923"/>
    <n v="330"/>
    <n v="60"/>
    <n v="1.0193479989398357"/>
    <n v="1709"/>
    <n v="1923"/>
    <m/>
    <n v="38"/>
    <m/>
    <m/>
    <n v="13"/>
    <n v="62"/>
    <m/>
    <m/>
    <m/>
    <m/>
    <m/>
    <m/>
    <m/>
    <m/>
    <m/>
    <m/>
    <m/>
    <n v="7"/>
    <m/>
    <m/>
    <m/>
    <m/>
    <m/>
    <m/>
    <m/>
    <m/>
    <n v="7"/>
    <m/>
    <n v="29"/>
    <n v="6"/>
    <n v="1"/>
    <n v="10"/>
    <m/>
    <m/>
    <m/>
    <m/>
    <n v="86"/>
    <m/>
    <n v="214"/>
    <x v="3"/>
    <n v="214"/>
  </r>
  <r>
    <x v="13"/>
    <m/>
    <n v="152"/>
    <m/>
    <m/>
    <n v="425"/>
    <n v="425"/>
    <n v="273"/>
    <n v="0.64235294117647057"/>
    <n v="1840"/>
    <n v="330"/>
    <n v="60"/>
    <n v="1.2254412254412255"/>
    <n v="1736"/>
    <n v="1840"/>
    <n v="100"/>
    <m/>
    <m/>
    <m/>
    <m/>
    <m/>
    <m/>
    <m/>
    <m/>
    <m/>
    <m/>
    <m/>
    <m/>
    <m/>
    <m/>
    <m/>
    <m/>
    <n v="1"/>
    <m/>
    <n v="2"/>
    <m/>
    <m/>
    <m/>
    <m/>
    <m/>
    <m/>
    <m/>
    <n v="29"/>
    <m/>
    <n v="2"/>
    <n v="58"/>
    <n v="12"/>
    <m/>
    <n v="4"/>
    <m/>
    <m/>
    <m/>
    <m/>
    <n v="104"/>
    <x v="3"/>
    <n v="104"/>
  </r>
  <r>
    <x v="13"/>
    <n v="259"/>
    <m/>
    <n v="138"/>
    <m/>
    <n v="425"/>
    <n v="425"/>
    <n v="112.61"/>
    <n v="0.26496470588235294"/>
    <n v="625"/>
    <n v="330"/>
    <n v="60"/>
    <n v="1.0091143205431456"/>
    <n v="457"/>
    <n v="625"/>
    <m/>
    <m/>
    <m/>
    <m/>
    <n v="10"/>
    <n v="23"/>
    <m/>
    <m/>
    <m/>
    <m/>
    <m/>
    <m/>
    <m/>
    <m/>
    <m/>
    <m/>
    <m/>
    <m/>
    <m/>
    <m/>
    <m/>
    <m/>
    <m/>
    <m/>
    <m/>
    <m/>
    <m/>
    <n v="4"/>
    <m/>
    <n v="6"/>
    <n v="69"/>
    <n v="2"/>
    <m/>
    <n v="7"/>
    <m/>
    <m/>
    <n v="54"/>
    <m/>
    <n v="168"/>
    <x v="3"/>
    <n v="168"/>
  </r>
  <r>
    <x v="14"/>
    <n v="163"/>
    <n v="123"/>
    <m/>
    <n v="105.69999999999999"/>
    <n v="525"/>
    <n v="630.70000000000005"/>
    <n v="344.70000000000005"/>
    <n v="0.54653559537022356"/>
    <n v="1724"/>
    <n v="330"/>
    <n v="60"/>
    <n v="0.90935464303610514"/>
    <n v="1671"/>
    <n v="1724"/>
    <n v="100"/>
    <m/>
    <m/>
    <m/>
    <n v="3"/>
    <n v="30"/>
    <n v="20"/>
    <m/>
    <m/>
    <m/>
    <m/>
    <m/>
    <m/>
    <m/>
    <m/>
    <m/>
    <m/>
    <m/>
    <m/>
    <m/>
    <m/>
    <m/>
    <m/>
    <m/>
    <m/>
    <m/>
    <m/>
    <m/>
    <m/>
    <m/>
    <m/>
    <m/>
    <m/>
    <m/>
    <m/>
    <m/>
    <m/>
    <m/>
    <n v="53"/>
    <x v="3"/>
    <n v="53"/>
  </r>
  <r>
    <x v="15"/>
    <n v="20"/>
    <m/>
    <m/>
    <m/>
    <n v="425"/>
    <n v="425"/>
    <n v="405"/>
    <n v="0.95294117647058818"/>
    <n v="2253"/>
    <n v="330"/>
    <n v="60"/>
    <n v="1.0114478114478114"/>
    <n v="2212"/>
    <n v="2253"/>
    <n v="100"/>
    <m/>
    <m/>
    <m/>
    <m/>
    <m/>
    <m/>
    <m/>
    <m/>
    <m/>
    <m/>
    <m/>
    <m/>
    <m/>
    <m/>
    <m/>
    <m/>
    <n v="11"/>
    <m/>
    <m/>
    <m/>
    <m/>
    <m/>
    <m/>
    <m/>
    <m/>
    <n v="5"/>
    <n v="3"/>
    <n v="1"/>
    <n v="13"/>
    <n v="9"/>
    <n v="4"/>
    <m/>
    <m/>
    <n v="6"/>
    <m/>
    <m/>
    <m/>
    <n v="41"/>
    <x v="4"/>
    <n v="41"/>
  </r>
  <r>
    <x v="16"/>
    <n v="166"/>
    <n v="98"/>
    <n v="80"/>
    <n v="270"/>
    <n v="425"/>
    <n v="695"/>
    <n v="351"/>
    <n v="0.50503597122302157"/>
    <n v="1910"/>
    <n v="330"/>
    <n v="60"/>
    <n v="0.98938098938098951"/>
    <n v="1910"/>
    <n v="1910"/>
    <m/>
    <n v="104"/>
    <m/>
    <m/>
    <m/>
    <m/>
    <m/>
    <m/>
    <m/>
    <m/>
    <m/>
    <m/>
    <m/>
    <m/>
    <m/>
    <m/>
    <m/>
    <m/>
    <m/>
    <m/>
    <m/>
    <m/>
    <m/>
    <m/>
    <m/>
    <m/>
    <m/>
    <m/>
    <n v="3"/>
    <n v="10"/>
    <n v="47"/>
    <n v="1"/>
    <m/>
    <m/>
    <n v="14"/>
    <m/>
    <m/>
    <m/>
    <n v="61"/>
    <x v="4"/>
    <n v="61"/>
  </r>
  <r>
    <x v="17"/>
    <n v="116"/>
    <n v="12"/>
    <n v="23"/>
    <m/>
    <n v="375"/>
    <n v="375"/>
    <n v="224"/>
    <n v="0.59733333333333338"/>
    <n v="1243"/>
    <n v="330"/>
    <n v="60"/>
    <n v="1.0089285714285714"/>
    <n v="1170"/>
    <n v="1243"/>
    <n v="72"/>
    <m/>
    <m/>
    <m/>
    <m/>
    <m/>
    <m/>
    <m/>
    <m/>
    <m/>
    <m/>
    <m/>
    <m/>
    <m/>
    <m/>
    <m/>
    <m/>
    <m/>
    <m/>
    <m/>
    <m/>
    <m/>
    <m/>
    <m/>
    <m/>
    <m/>
    <m/>
    <n v="2"/>
    <m/>
    <m/>
    <n v="66"/>
    <n v="5"/>
    <m/>
    <m/>
    <n v="3"/>
    <m/>
    <m/>
    <m/>
    <n v="73"/>
    <x v="4"/>
    <n v="73"/>
  </r>
  <r>
    <x v="18"/>
    <n v="104"/>
    <n v="25"/>
    <n v="26"/>
    <m/>
    <n v="375"/>
    <n v="375"/>
    <n v="220"/>
    <n v="0.58666666666666667"/>
    <n v="1222"/>
    <n v="330"/>
    <n v="60"/>
    <n v="1.0099173553719007"/>
    <n v="1144"/>
    <n v="1222"/>
    <n v="100"/>
    <n v="57"/>
    <m/>
    <m/>
    <m/>
    <m/>
    <m/>
    <m/>
    <m/>
    <m/>
    <m/>
    <m/>
    <m/>
    <m/>
    <m/>
    <m/>
    <m/>
    <n v="1"/>
    <m/>
    <m/>
    <m/>
    <m/>
    <m/>
    <m/>
    <m/>
    <m/>
    <n v="8"/>
    <n v="7"/>
    <m/>
    <n v="33"/>
    <n v="36"/>
    <n v="1"/>
    <m/>
    <m/>
    <n v="11"/>
    <m/>
    <m/>
    <m/>
    <n v="78"/>
    <x v="4"/>
    <n v="78"/>
  </r>
  <r>
    <x v="19"/>
    <m/>
    <m/>
    <m/>
    <n v="185"/>
    <n v="425"/>
    <n v="610"/>
    <n v="610"/>
    <n v="1"/>
    <n v="3368"/>
    <n v="330"/>
    <n v="60"/>
    <n v="1.0038748137108793"/>
    <n v="3121"/>
    <n v="3368"/>
    <n v="100"/>
    <n v="165"/>
    <m/>
    <n v="4"/>
    <m/>
    <n v="1"/>
    <n v="1"/>
    <m/>
    <m/>
    <m/>
    <m/>
    <m/>
    <m/>
    <m/>
    <m/>
    <n v="5"/>
    <n v="11"/>
    <n v="39"/>
    <m/>
    <n v="1"/>
    <m/>
    <n v="36"/>
    <m/>
    <m/>
    <m/>
    <m/>
    <n v="12"/>
    <n v="29"/>
    <m/>
    <n v="17"/>
    <n v="100"/>
    <n v="7"/>
    <m/>
    <m/>
    <n v="3"/>
    <m/>
    <m/>
    <m/>
    <n v="247"/>
    <x v="4"/>
    <n v="247"/>
  </r>
  <r>
    <x v="20"/>
    <n v="25"/>
    <m/>
    <m/>
    <m/>
    <n v="375"/>
    <n v="375"/>
    <n v="350"/>
    <n v="0.93333333333333335"/>
    <n v="1945"/>
    <n v="330"/>
    <n v="60"/>
    <n v="1.0103896103896104"/>
    <n v="1935"/>
    <n v="1945"/>
    <n v="100"/>
    <n v="75"/>
    <m/>
    <m/>
    <m/>
    <m/>
    <m/>
    <m/>
    <m/>
    <m/>
    <m/>
    <m/>
    <m/>
    <m/>
    <m/>
    <m/>
    <m/>
    <m/>
    <m/>
    <m/>
    <m/>
    <m/>
    <m/>
    <m/>
    <m/>
    <m/>
    <m/>
    <m/>
    <m/>
    <n v="2"/>
    <n v="8"/>
    <m/>
    <m/>
    <m/>
    <n v="4"/>
    <m/>
    <m/>
    <m/>
    <n v="10"/>
    <x v="5"/>
    <n v="10"/>
  </r>
  <r>
    <x v="21"/>
    <m/>
    <m/>
    <m/>
    <n v="122"/>
    <n v="375"/>
    <n v="497"/>
    <n v="497"/>
    <n v="1"/>
    <n v="2759"/>
    <n v="330"/>
    <n v="60"/>
    <n v="1.0093286994695447"/>
    <n v="2575"/>
    <n v="2759"/>
    <n v="100"/>
    <n v="84"/>
    <m/>
    <m/>
    <m/>
    <m/>
    <m/>
    <m/>
    <m/>
    <m/>
    <m/>
    <m/>
    <m/>
    <m/>
    <m/>
    <m/>
    <m/>
    <n v="2"/>
    <m/>
    <m/>
    <m/>
    <m/>
    <m/>
    <m/>
    <m/>
    <m/>
    <n v="13"/>
    <m/>
    <m/>
    <n v="11"/>
    <n v="38"/>
    <n v="1"/>
    <m/>
    <m/>
    <n v="34"/>
    <m/>
    <m/>
    <m/>
    <n v="52"/>
    <x v="5"/>
    <n v="52"/>
  </r>
  <r>
    <x v="22"/>
    <n v="230"/>
    <n v="24"/>
    <m/>
    <m/>
    <n v="375"/>
    <n v="375"/>
    <n v="121"/>
    <n v="0.32266666666666666"/>
    <n v="674"/>
    <n v="330"/>
    <n v="60"/>
    <n v="1.0127723516153269"/>
    <n v="626"/>
    <n v="674"/>
    <s v=" "/>
    <m/>
    <m/>
    <m/>
    <m/>
    <m/>
    <m/>
    <m/>
    <m/>
    <m/>
    <m/>
    <m/>
    <m/>
    <m/>
    <m/>
    <m/>
    <m/>
    <m/>
    <m/>
    <m/>
    <m/>
    <n v="12"/>
    <m/>
    <m/>
    <m/>
    <m/>
    <n v="10"/>
    <n v="2"/>
    <m/>
    <n v="11"/>
    <n v="23"/>
    <m/>
    <m/>
    <n v="2"/>
    <n v="2"/>
    <m/>
    <m/>
    <m/>
    <n v="48"/>
    <x v="5"/>
    <n v="48"/>
  </r>
  <r>
    <x v="23"/>
    <m/>
    <m/>
    <m/>
    <n v="154"/>
    <n v="375"/>
    <n v="529"/>
    <n v="529"/>
    <n v="1"/>
    <n v="2936"/>
    <n v="330"/>
    <n v="60"/>
    <n v="1.0091080941742567"/>
    <n v="2936"/>
    <n v="2936"/>
    <n v="100"/>
    <n v="98"/>
    <m/>
    <m/>
    <m/>
    <m/>
    <m/>
    <m/>
    <m/>
    <m/>
    <m/>
    <m/>
    <m/>
    <m/>
    <m/>
    <m/>
    <m/>
    <m/>
    <m/>
    <m/>
    <m/>
    <m/>
    <m/>
    <m/>
    <m/>
    <m/>
    <m/>
    <n v="59"/>
    <m/>
    <n v="38"/>
    <n v="14"/>
    <m/>
    <m/>
    <m/>
    <n v="11"/>
    <m/>
    <m/>
    <m/>
    <n v="111"/>
    <x v="5"/>
    <n v="111"/>
  </r>
  <r>
    <x v="24"/>
    <m/>
    <m/>
    <m/>
    <n v="128"/>
    <n v="375"/>
    <n v="503"/>
    <n v="503"/>
    <n v="1"/>
    <n v="2735"/>
    <n v="330"/>
    <n v="60"/>
    <n v="0.98861377191397071"/>
    <n v="2661"/>
    <n v="2735"/>
    <n v="100"/>
    <m/>
    <m/>
    <m/>
    <m/>
    <m/>
    <m/>
    <m/>
    <m/>
    <m/>
    <m/>
    <m/>
    <m/>
    <m/>
    <m/>
    <m/>
    <m/>
    <m/>
    <m/>
    <m/>
    <m/>
    <m/>
    <m/>
    <m/>
    <m/>
    <m/>
    <m/>
    <n v="8"/>
    <m/>
    <n v="16"/>
    <n v="25"/>
    <m/>
    <m/>
    <n v="15"/>
    <n v="10"/>
    <m/>
    <m/>
    <m/>
    <n v="74"/>
    <x v="5"/>
    <n v="74"/>
  </r>
  <r>
    <x v="25"/>
    <m/>
    <m/>
    <m/>
    <m/>
    <m/>
    <m/>
    <m/>
    <m/>
    <m/>
    <m/>
    <m/>
    <m/>
    <m/>
    <m/>
    <m/>
    <m/>
    <m/>
    <m/>
    <m/>
    <m/>
    <m/>
    <m/>
    <m/>
    <m/>
    <m/>
    <m/>
    <m/>
    <m/>
    <m/>
    <m/>
    <m/>
    <m/>
    <m/>
    <m/>
    <m/>
    <n v="10"/>
    <m/>
    <m/>
    <n v="12"/>
    <m/>
    <n v="2"/>
    <n v="2"/>
    <m/>
    <n v="2"/>
    <m/>
    <m/>
    <m/>
    <m/>
    <n v="39"/>
    <m/>
    <m/>
    <m/>
    <n v="67"/>
    <x v="6"/>
    <n v="67"/>
  </r>
  <r>
    <x v="26"/>
    <n v="146"/>
    <m/>
    <n v="16"/>
    <n v="180"/>
    <n v="324"/>
    <n v="504"/>
    <n v="342"/>
    <n v="0.6785714285714286"/>
    <n v="2195"/>
    <n v="330"/>
    <n v="60"/>
    <n v="1.1669324827219563"/>
    <n v="2124"/>
    <n v="2195"/>
    <n v="100"/>
    <n v="75"/>
    <m/>
    <m/>
    <m/>
    <m/>
    <m/>
    <m/>
    <m/>
    <m/>
    <m/>
    <m/>
    <m/>
    <m/>
    <m/>
    <m/>
    <m/>
    <n v="39"/>
    <m/>
    <n v="2"/>
    <m/>
    <m/>
    <m/>
    <m/>
    <m/>
    <m/>
    <m/>
    <m/>
    <m/>
    <n v="1"/>
    <n v="28"/>
    <m/>
    <m/>
    <m/>
    <n v="1"/>
    <m/>
    <m/>
    <m/>
    <n v="71"/>
    <x v="7"/>
    <n v="71"/>
  </r>
  <r>
    <x v="27"/>
    <n v="31"/>
    <m/>
    <n v="20"/>
    <n v="180"/>
    <n v="324"/>
    <n v="504"/>
    <n v="453"/>
    <n v="0.89880952380952384"/>
    <n v="2590"/>
    <n v="330"/>
    <n v="60"/>
    <n v="1.0395344170178609"/>
    <n v="2463"/>
    <n v="2590"/>
    <n v="100"/>
    <m/>
    <m/>
    <n v="2"/>
    <n v="7"/>
    <m/>
    <n v="2"/>
    <m/>
    <m/>
    <m/>
    <m/>
    <m/>
    <m/>
    <m/>
    <m/>
    <m/>
    <n v="30"/>
    <n v="17"/>
    <m/>
    <m/>
    <m/>
    <m/>
    <m/>
    <m/>
    <m/>
    <n v="7"/>
    <m/>
    <n v="18"/>
    <n v="15"/>
    <n v="11"/>
    <n v="11"/>
    <n v="1"/>
    <m/>
    <n v="8"/>
    <m/>
    <m/>
    <m/>
    <m/>
    <n v="127"/>
    <x v="7"/>
    <n v="127"/>
  </r>
  <r>
    <x v="28"/>
    <n v="64"/>
    <m/>
    <n v="167"/>
    <n v="60"/>
    <n v="286"/>
    <n v="346"/>
    <n v="115"/>
    <n v="0.33236994219653176"/>
    <n v="711"/>
    <n v="330"/>
    <n v="60"/>
    <n v="1.1241106719367591"/>
    <n v="557"/>
    <n v="711"/>
    <n v="100"/>
    <m/>
    <m/>
    <m/>
    <n v="10"/>
    <m/>
    <m/>
    <m/>
    <m/>
    <m/>
    <m/>
    <m/>
    <m/>
    <m/>
    <m/>
    <m/>
    <m/>
    <n v="14"/>
    <m/>
    <m/>
    <m/>
    <m/>
    <m/>
    <m/>
    <m/>
    <m/>
    <m/>
    <n v="2"/>
    <n v="62"/>
    <m/>
    <n v="45"/>
    <n v="1"/>
    <m/>
    <n v="20"/>
    <m/>
    <m/>
    <m/>
    <m/>
    <n v="154"/>
    <x v="7"/>
    <n v="154"/>
  </r>
  <r>
    <x v="29"/>
    <n v="18"/>
    <n v="78"/>
    <m/>
    <n v="180"/>
    <n v="375"/>
    <n v="555"/>
    <n v="459"/>
    <n v="0.82702702702702702"/>
    <n v="2553"/>
    <n v="330"/>
    <n v="60"/>
    <n v="1.0112893642305407"/>
    <n v="2520"/>
    <n v="2553"/>
    <n v="100"/>
    <m/>
    <m/>
    <m/>
    <m/>
    <m/>
    <m/>
    <m/>
    <m/>
    <m/>
    <m/>
    <m/>
    <m/>
    <m/>
    <m/>
    <m/>
    <m/>
    <m/>
    <m/>
    <m/>
    <m/>
    <n v="5"/>
    <m/>
    <m/>
    <m/>
    <m/>
    <m/>
    <n v="6"/>
    <m/>
    <n v="8"/>
    <n v="2"/>
    <n v="3"/>
    <m/>
    <m/>
    <n v="9"/>
    <m/>
    <m/>
    <m/>
    <n v="33"/>
    <x v="7"/>
    <n v="33"/>
  </r>
  <r>
    <x v="30"/>
    <m/>
    <m/>
    <m/>
    <m/>
    <n v="465"/>
    <n v="465"/>
    <n v="465"/>
    <n v="1"/>
    <n v="2444"/>
    <n v="330"/>
    <n v="60"/>
    <n v="0.95562072336265891"/>
    <n v="2279"/>
    <n v="2444"/>
    <n v="100"/>
    <m/>
    <m/>
    <m/>
    <m/>
    <m/>
    <m/>
    <m/>
    <m/>
    <m/>
    <m/>
    <m/>
    <m/>
    <m/>
    <m/>
    <m/>
    <m/>
    <n v="11"/>
    <m/>
    <n v="39"/>
    <m/>
    <n v="28"/>
    <m/>
    <m/>
    <m/>
    <n v="3"/>
    <n v="10"/>
    <n v="1"/>
    <n v="2"/>
    <n v="9"/>
    <n v="63"/>
    <m/>
    <m/>
    <m/>
    <n v="9"/>
    <m/>
    <m/>
    <m/>
    <n v="165"/>
    <x v="7"/>
    <n v="165"/>
  </r>
  <r>
    <x v="31"/>
    <n v="60"/>
    <n v="18"/>
    <n v="230"/>
    <n v="145"/>
    <n v="416"/>
    <n v="561"/>
    <n v="483"/>
    <n v="0.86096256684491979"/>
    <n v="2814"/>
    <n v="330"/>
    <n v="60"/>
    <n v="1.059288537549407"/>
    <n v="2777"/>
    <n v="2814"/>
    <n v="100"/>
    <m/>
    <m/>
    <m/>
    <m/>
    <m/>
    <m/>
    <m/>
    <m/>
    <m/>
    <m/>
    <m/>
    <m/>
    <m/>
    <m/>
    <m/>
    <m/>
    <m/>
    <m/>
    <m/>
    <m/>
    <n v="6"/>
    <m/>
    <m/>
    <m/>
    <n v="1"/>
    <m/>
    <m/>
    <n v="22"/>
    <n v="3"/>
    <m/>
    <n v="1"/>
    <m/>
    <m/>
    <n v="4"/>
    <m/>
    <n v="145"/>
    <m/>
    <n v="37"/>
    <x v="8"/>
    <n v="37"/>
  </r>
  <r>
    <x v="32"/>
    <m/>
    <m/>
    <n v="108"/>
    <m/>
    <n v="375"/>
    <n v="375"/>
    <n v="267"/>
    <n v="0.71199999999999997"/>
    <n v="1558"/>
    <n v="330"/>
    <n v="60"/>
    <n v="1.0609465440926116"/>
    <n v="1337"/>
    <n v="1558"/>
    <n v="115"/>
    <m/>
    <m/>
    <m/>
    <m/>
    <m/>
    <m/>
    <m/>
    <m/>
    <m/>
    <m/>
    <m/>
    <m/>
    <m/>
    <m/>
    <m/>
    <m/>
    <m/>
    <m/>
    <m/>
    <m/>
    <n v="8"/>
    <n v="151"/>
    <m/>
    <m/>
    <n v="6"/>
    <m/>
    <n v="3"/>
    <n v="9"/>
    <n v="11"/>
    <n v="11"/>
    <n v="1"/>
    <m/>
    <n v="2"/>
    <n v="19"/>
    <m/>
    <m/>
    <m/>
    <n v="221"/>
    <x v="8"/>
    <n v="221"/>
  </r>
  <r>
    <x v="33"/>
    <m/>
    <m/>
    <m/>
    <m/>
    <n v="495"/>
    <n v="495"/>
    <n v="495"/>
    <n v="1"/>
    <n v="2464"/>
    <n v="330"/>
    <n v="60"/>
    <n v="0.90505050505050511"/>
    <n v="2438"/>
    <n v="2464"/>
    <n v="100"/>
    <n v="138"/>
    <m/>
    <m/>
    <m/>
    <m/>
    <m/>
    <m/>
    <m/>
    <m/>
    <m/>
    <m/>
    <m/>
    <m/>
    <m/>
    <m/>
    <m/>
    <m/>
    <m/>
    <m/>
    <m/>
    <n v="4"/>
    <m/>
    <m/>
    <m/>
    <n v="2"/>
    <m/>
    <m/>
    <m/>
    <m/>
    <n v="11"/>
    <n v="9"/>
    <m/>
    <m/>
    <m/>
    <m/>
    <m/>
    <m/>
    <n v="26"/>
    <x v="8"/>
    <n v="26"/>
  </r>
  <r>
    <x v="34"/>
    <n v="28"/>
    <m/>
    <n v="80"/>
    <n v="180"/>
    <n v="495"/>
    <n v="675"/>
    <n v="567"/>
    <n v="0.84"/>
    <n v="3149"/>
    <n v="330"/>
    <n v="60"/>
    <n v="1.0097803431136765"/>
    <n v="3088"/>
    <n v="3149"/>
    <n v="100"/>
    <n v="88"/>
    <m/>
    <m/>
    <m/>
    <m/>
    <m/>
    <m/>
    <m/>
    <m/>
    <m/>
    <m/>
    <m/>
    <m/>
    <m/>
    <m/>
    <m/>
    <n v="7"/>
    <m/>
    <m/>
    <m/>
    <m/>
    <m/>
    <m/>
    <m/>
    <m/>
    <m/>
    <n v="2"/>
    <m/>
    <m/>
    <n v="4"/>
    <n v="13"/>
    <m/>
    <m/>
    <n v="35"/>
    <m/>
    <m/>
    <m/>
    <n v="61"/>
    <x v="8"/>
    <n v="61"/>
  </r>
  <r>
    <x v="35"/>
    <m/>
    <n v="25"/>
    <m/>
    <n v="147"/>
    <n v="465"/>
    <n v="612"/>
    <n v="587"/>
    <n v="0.95915032679738566"/>
    <n v="3341"/>
    <n v="330"/>
    <n v="60"/>
    <n v="1.0348459036704352"/>
    <n v="3229"/>
    <n v="3341"/>
    <n v="100"/>
    <m/>
    <m/>
    <m/>
    <m/>
    <m/>
    <m/>
    <m/>
    <m/>
    <m/>
    <m/>
    <m/>
    <m/>
    <m/>
    <m/>
    <m/>
    <m/>
    <m/>
    <m/>
    <m/>
    <m/>
    <m/>
    <m/>
    <m/>
    <m/>
    <m/>
    <m/>
    <n v="7"/>
    <n v="14"/>
    <n v="9"/>
    <n v="26"/>
    <m/>
    <m/>
    <n v="24"/>
    <n v="32"/>
    <m/>
    <m/>
    <m/>
    <n v="112"/>
    <x v="8"/>
    <n v="112"/>
  </r>
  <r>
    <x v="36"/>
    <n v="68"/>
    <m/>
    <n v="72"/>
    <m/>
    <n v="400"/>
    <n v="400"/>
    <n v="261"/>
    <n v="0.65249999999999997"/>
    <n v="1847"/>
    <n v="330"/>
    <n v="60"/>
    <n v="1.286659700452804"/>
    <n v="1789"/>
    <n v="1847"/>
    <n v="100"/>
    <n v="83"/>
    <m/>
    <m/>
    <m/>
    <m/>
    <m/>
    <m/>
    <m/>
    <m/>
    <m/>
    <m/>
    <m/>
    <m/>
    <m/>
    <m/>
    <m/>
    <m/>
    <m/>
    <n v="4"/>
    <m/>
    <n v="4"/>
    <m/>
    <m/>
    <m/>
    <m/>
    <m/>
    <n v="4"/>
    <n v="12"/>
    <n v="10"/>
    <n v="24"/>
    <m/>
    <m/>
    <m/>
    <m/>
    <m/>
    <m/>
    <m/>
    <n v="58"/>
    <x v="9"/>
    <n v="58"/>
  </r>
  <r>
    <x v="37"/>
    <n v="49"/>
    <n v="8"/>
    <m/>
    <m/>
    <n v="446"/>
    <n v="446"/>
    <n v="389"/>
    <n v="0.87219730941704032"/>
    <n v="2268"/>
    <n v="330"/>
    <n v="60"/>
    <n v="1.0600607618602478"/>
    <n v="2223"/>
    <n v="2268"/>
    <n v="100"/>
    <m/>
    <m/>
    <m/>
    <m/>
    <n v="1"/>
    <m/>
    <m/>
    <m/>
    <m/>
    <m/>
    <m/>
    <m/>
    <m/>
    <m/>
    <m/>
    <m/>
    <m/>
    <m/>
    <m/>
    <m/>
    <m/>
    <m/>
    <m/>
    <m/>
    <n v="2"/>
    <m/>
    <n v="14"/>
    <n v="9"/>
    <m/>
    <n v="7"/>
    <n v="1"/>
    <m/>
    <m/>
    <n v="11"/>
    <m/>
    <m/>
    <m/>
    <n v="45"/>
    <x v="9"/>
    <n v="45"/>
  </r>
  <r>
    <x v="38"/>
    <n v="55"/>
    <m/>
    <n v="146"/>
    <n v="100"/>
    <n v="480"/>
    <n v="580"/>
    <n v="379"/>
    <n v="0.65344827586206899"/>
    <n v="1923"/>
    <n v="330"/>
    <n v="60"/>
    <n v="0.92252338690333413"/>
    <n v="1841"/>
    <n v="1923"/>
    <n v="100"/>
    <n v="160"/>
    <m/>
    <m/>
    <m/>
    <m/>
    <m/>
    <m/>
    <m/>
    <m/>
    <m/>
    <m/>
    <m/>
    <m/>
    <m/>
    <m/>
    <m/>
    <n v="11"/>
    <m/>
    <n v="1"/>
    <m/>
    <m/>
    <m/>
    <m/>
    <m/>
    <n v="4"/>
    <m/>
    <n v="25"/>
    <n v="3"/>
    <m/>
    <n v="18"/>
    <n v="3"/>
    <m/>
    <m/>
    <n v="17"/>
    <m/>
    <m/>
    <m/>
    <n v="82"/>
    <x v="10"/>
    <n v="82"/>
  </r>
  <r>
    <x v="39"/>
    <n v="61"/>
    <m/>
    <n v="81"/>
    <n v="270"/>
    <n v="480"/>
    <n v="750"/>
    <n v="608"/>
    <n v="0.81066666666666665"/>
    <n v="3459"/>
    <n v="330"/>
    <n v="60"/>
    <n v="1.0343899521531101"/>
    <n v="3268"/>
    <n v="3459"/>
    <n v="144"/>
    <m/>
    <m/>
    <m/>
    <m/>
    <m/>
    <m/>
    <m/>
    <m/>
    <m/>
    <m/>
    <m/>
    <m/>
    <m/>
    <m/>
    <m/>
    <n v="22"/>
    <n v="110"/>
    <m/>
    <m/>
    <m/>
    <n v="14"/>
    <m/>
    <m/>
    <m/>
    <m/>
    <n v="3"/>
    <n v="17"/>
    <n v="8"/>
    <n v="2"/>
    <n v="4"/>
    <n v="5"/>
    <m/>
    <m/>
    <n v="6"/>
    <m/>
    <m/>
    <m/>
    <n v="191"/>
    <x v="10"/>
    <n v="191"/>
  </r>
  <r>
    <x v="40"/>
    <n v="40"/>
    <m/>
    <n v="165"/>
    <n v="270"/>
    <n v="480"/>
    <n v="750"/>
    <n v="545"/>
    <n v="0.72666666666666668"/>
    <n v="3387"/>
    <n v="330"/>
    <n v="60"/>
    <n v="1.1299416180150126"/>
    <n v="3317"/>
    <n v="3387"/>
    <n v="125"/>
    <m/>
    <m/>
    <m/>
    <n v="3"/>
    <n v="2"/>
    <m/>
    <m/>
    <m/>
    <m/>
    <m/>
    <m/>
    <m/>
    <m/>
    <m/>
    <m/>
    <m/>
    <m/>
    <n v="5"/>
    <m/>
    <m/>
    <n v="6"/>
    <m/>
    <m/>
    <m/>
    <m/>
    <m/>
    <m/>
    <m/>
    <n v="3"/>
    <n v="6"/>
    <n v="13"/>
    <n v="32"/>
    <m/>
    <m/>
    <m/>
    <m/>
    <m/>
    <n v="70"/>
    <x v="10"/>
    <n v="70"/>
  </r>
  <r>
    <x v="41"/>
    <m/>
    <m/>
    <n v="29"/>
    <m/>
    <n v="530"/>
    <n v="530"/>
    <n v="501"/>
    <n v="0.94528301886792454"/>
    <n v="2816"/>
    <n v="330"/>
    <n v="60"/>
    <n v="1.0219560878243512"/>
    <n v="2807"/>
    <n v="2816"/>
    <n v="100"/>
    <m/>
    <m/>
    <m/>
    <m/>
    <n v="1"/>
    <m/>
    <m/>
    <m/>
    <m/>
    <m/>
    <m/>
    <m/>
    <m/>
    <m/>
    <m/>
    <m/>
    <n v="1"/>
    <m/>
    <m/>
    <m/>
    <m/>
    <m/>
    <m/>
    <m/>
    <m/>
    <m/>
    <m/>
    <m/>
    <n v="1"/>
    <n v="5"/>
    <n v="1"/>
    <m/>
    <m/>
    <m/>
    <m/>
    <m/>
    <m/>
    <n v="9"/>
    <x v="10"/>
    <n v="9"/>
  </r>
  <r>
    <x v="42"/>
    <m/>
    <m/>
    <n v="44"/>
    <m/>
    <n v="480"/>
    <n v="480"/>
    <n v="436"/>
    <n v="0.90833333333333333"/>
    <n v="2140"/>
    <n v="330"/>
    <n v="60"/>
    <n v="0.89241034195162627"/>
    <n v="2120"/>
    <n v="2140"/>
    <n v="80"/>
    <m/>
    <m/>
    <m/>
    <m/>
    <m/>
    <m/>
    <m/>
    <m/>
    <m/>
    <m/>
    <m/>
    <m/>
    <m/>
    <m/>
    <m/>
    <m/>
    <m/>
    <n v="2"/>
    <m/>
    <m/>
    <m/>
    <m/>
    <m/>
    <m/>
    <n v="1"/>
    <m/>
    <m/>
    <m/>
    <n v="5"/>
    <n v="10"/>
    <n v="1"/>
    <m/>
    <m/>
    <n v="1"/>
    <m/>
    <m/>
    <m/>
    <n v="20"/>
    <x v="11"/>
    <n v="20"/>
  </r>
  <r>
    <x v="43"/>
    <m/>
    <m/>
    <n v="67"/>
    <m/>
    <n v="480"/>
    <n v="480"/>
    <n v="413"/>
    <n v="0.86041666666666672"/>
    <n v="2417"/>
    <n v="330"/>
    <n v="60"/>
    <n v="1.0640545894783182"/>
    <n v="2362"/>
    <n v="2417"/>
    <n v="100"/>
    <n v="76"/>
    <m/>
    <m/>
    <m/>
    <m/>
    <m/>
    <m/>
    <m/>
    <m/>
    <m/>
    <m/>
    <m/>
    <m/>
    <n v="5"/>
    <m/>
    <m/>
    <m/>
    <n v="2"/>
    <m/>
    <m/>
    <m/>
    <m/>
    <m/>
    <m/>
    <m/>
    <m/>
    <m/>
    <m/>
    <m/>
    <n v="8"/>
    <n v="2"/>
    <n v="30"/>
    <m/>
    <n v="8"/>
    <m/>
    <m/>
    <m/>
    <n v="55"/>
    <x v="11"/>
    <n v="55"/>
  </r>
  <r>
    <x v="44"/>
    <n v="20"/>
    <m/>
    <n v="11"/>
    <n v="10"/>
    <n v="480"/>
    <n v="490"/>
    <n v="459"/>
    <n v="0.93673469387755104"/>
    <n v="2666"/>
    <n v="330"/>
    <n v="60"/>
    <n v="1.0560507031095265"/>
    <n v="2628"/>
    <n v="2666"/>
    <n v="68"/>
    <m/>
    <m/>
    <m/>
    <m/>
    <m/>
    <m/>
    <m/>
    <m/>
    <m/>
    <m/>
    <m/>
    <m/>
    <m/>
    <m/>
    <m/>
    <m/>
    <m/>
    <n v="5"/>
    <n v="1"/>
    <m/>
    <n v="21"/>
    <m/>
    <m/>
    <m/>
    <m/>
    <m/>
    <m/>
    <m/>
    <n v="3"/>
    <n v="3"/>
    <n v="5"/>
    <m/>
    <m/>
    <m/>
    <m/>
    <m/>
    <m/>
    <n v="38"/>
    <x v="11"/>
    <n v="38"/>
  </r>
  <r>
    <x v="45"/>
    <n v="30"/>
    <m/>
    <n v="30"/>
    <n v="60"/>
    <n v="480"/>
    <n v="540"/>
    <n v="480"/>
    <n v="0.88888888888888884"/>
    <n v="2723"/>
    <n v="330"/>
    <n v="60"/>
    <n v="1.031439393939394"/>
    <n v="2681"/>
    <n v="2723"/>
    <n v="100"/>
    <n v="115"/>
    <m/>
    <m/>
    <m/>
    <m/>
    <m/>
    <m/>
    <m/>
    <m/>
    <m/>
    <m/>
    <m/>
    <m/>
    <m/>
    <m/>
    <m/>
    <m/>
    <n v="3"/>
    <n v="2"/>
    <m/>
    <n v="17"/>
    <m/>
    <m/>
    <m/>
    <m/>
    <m/>
    <n v="2"/>
    <m/>
    <n v="2"/>
    <n v="9"/>
    <n v="7"/>
    <m/>
    <m/>
    <m/>
    <m/>
    <m/>
    <m/>
    <n v="42"/>
    <x v="11"/>
    <n v="42"/>
  </r>
  <r>
    <x v="46"/>
    <n v="27"/>
    <n v="14"/>
    <m/>
    <n v="0"/>
    <n v="400"/>
    <n v="400"/>
    <n v="359"/>
    <n v="0.89749999999999996"/>
    <n v="2024"/>
    <n v="330"/>
    <n v="60"/>
    <n v="1.0250696378830084"/>
    <n v="1959"/>
    <n v="2024"/>
    <n v="97"/>
    <m/>
    <m/>
    <m/>
    <m/>
    <m/>
    <m/>
    <m/>
    <m/>
    <m/>
    <m/>
    <m/>
    <m/>
    <m/>
    <m/>
    <m/>
    <m/>
    <m/>
    <m/>
    <m/>
    <m/>
    <n v="46"/>
    <m/>
    <m/>
    <m/>
    <m/>
    <n v="2"/>
    <n v="2"/>
    <n v="1"/>
    <n v="7"/>
    <n v="1"/>
    <n v="6"/>
    <m/>
    <m/>
    <m/>
    <m/>
    <m/>
    <m/>
    <n v="65"/>
    <x v="11"/>
    <n v="65"/>
  </r>
  <r>
    <x v="47"/>
    <m/>
    <m/>
    <n v="90"/>
    <n v="20"/>
    <n v="325"/>
    <n v="345"/>
    <n v="255"/>
    <n v="0.73913043478260865"/>
    <n v="1501"/>
    <n v="330"/>
    <n v="60"/>
    <n v="1.0702317290552585"/>
    <n v="1409"/>
    <n v="1501"/>
    <n v="100"/>
    <m/>
    <m/>
    <m/>
    <m/>
    <m/>
    <m/>
    <m/>
    <m/>
    <m/>
    <m/>
    <m/>
    <m/>
    <m/>
    <m/>
    <m/>
    <m/>
    <m/>
    <m/>
    <m/>
    <m/>
    <n v="92"/>
    <m/>
    <m/>
    <m/>
    <m/>
    <m/>
    <m/>
    <m/>
    <m/>
    <m/>
    <m/>
    <m/>
    <m/>
    <m/>
    <m/>
    <m/>
    <m/>
    <n v="92"/>
    <x v="12"/>
    <n v="92"/>
  </r>
  <r>
    <x v="48"/>
    <n v="36"/>
    <m/>
    <m/>
    <n v="51"/>
    <n v="480"/>
    <n v="531"/>
    <n v="495"/>
    <n v="0.93220338983050843"/>
    <n v="2780"/>
    <n v="330"/>
    <n v="60"/>
    <n v="1.0211202938475665"/>
    <n v="2746"/>
    <n v="2780"/>
    <n v="100"/>
    <m/>
    <m/>
    <m/>
    <m/>
    <m/>
    <m/>
    <m/>
    <m/>
    <m/>
    <m/>
    <m/>
    <m/>
    <m/>
    <m/>
    <m/>
    <m/>
    <m/>
    <n v="5"/>
    <n v="1"/>
    <m/>
    <m/>
    <m/>
    <m/>
    <m/>
    <m/>
    <m/>
    <n v="5"/>
    <n v="4"/>
    <n v="2"/>
    <n v="16"/>
    <n v="1"/>
    <m/>
    <m/>
    <m/>
    <m/>
    <m/>
    <m/>
    <n v="34"/>
    <x v="12"/>
    <n v="34"/>
  </r>
  <r>
    <x v="49"/>
    <m/>
    <n v="52"/>
    <m/>
    <n v="0"/>
    <n v="480"/>
    <n v="480"/>
    <n v="428"/>
    <n v="0.89166666666666672"/>
    <n v="2519"/>
    <n v="330"/>
    <n v="60"/>
    <n v="1.0700934579439252"/>
    <n v="2496"/>
    <n v="2519"/>
    <n v="100"/>
    <m/>
    <m/>
    <m/>
    <m/>
    <n v="8"/>
    <m/>
    <m/>
    <m/>
    <m/>
    <m/>
    <m/>
    <m/>
    <m/>
    <m/>
    <m/>
    <m/>
    <m/>
    <m/>
    <n v="3"/>
    <m/>
    <m/>
    <m/>
    <m/>
    <m/>
    <m/>
    <n v="2"/>
    <m/>
    <m/>
    <m/>
    <n v="5"/>
    <n v="5"/>
    <m/>
    <m/>
    <m/>
    <m/>
    <m/>
    <m/>
    <n v="23"/>
    <x v="12"/>
    <n v="23"/>
  </r>
  <r>
    <x v="50"/>
    <m/>
    <n v="23"/>
    <m/>
    <n v="15"/>
    <n v="480"/>
    <n v="495"/>
    <n v="472"/>
    <n v="0.95353535353535357"/>
    <n v="2857"/>
    <n v="330"/>
    <n v="60"/>
    <n v="1.1005392912172574"/>
    <n v="2814"/>
    <n v="2857"/>
    <n v="100"/>
    <n v="125"/>
    <m/>
    <m/>
    <m/>
    <m/>
    <m/>
    <m/>
    <m/>
    <m/>
    <m/>
    <m/>
    <m/>
    <m/>
    <m/>
    <m/>
    <m/>
    <n v="1"/>
    <n v="7"/>
    <m/>
    <m/>
    <n v="9"/>
    <m/>
    <m/>
    <m/>
    <m/>
    <m/>
    <n v="10"/>
    <m/>
    <n v="7"/>
    <n v="3"/>
    <n v="6"/>
    <m/>
    <m/>
    <m/>
    <m/>
    <m/>
    <m/>
    <n v="43"/>
    <x v="12"/>
    <n v="43"/>
  </r>
  <r>
    <x v="51"/>
    <n v="8"/>
    <m/>
    <n v="60"/>
    <m/>
    <n v="480"/>
    <n v="480"/>
    <n v="412"/>
    <n v="0.85833333333333328"/>
    <n v="2589"/>
    <n v="330"/>
    <n v="60"/>
    <n v="1.1425419240953223"/>
    <n v="2524"/>
    <n v="2589"/>
    <n v="100"/>
    <m/>
    <m/>
    <m/>
    <m/>
    <m/>
    <n v="20"/>
    <m/>
    <m/>
    <m/>
    <m/>
    <m/>
    <m/>
    <m/>
    <m/>
    <m/>
    <m/>
    <n v="19"/>
    <n v="5"/>
    <m/>
    <m/>
    <m/>
    <m/>
    <m/>
    <m/>
    <m/>
    <m/>
    <n v="5"/>
    <n v="5"/>
    <n v="2"/>
    <n v="8"/>
    <n v="1"/>
    <m/>
    <m/>
    <m/>
    <m/>
    <m/>
    <m/>
    <n v="65"/>
    <x v="13"/>
    <n v="65"/>
  </r>
  <r>
    <x v="52"/>
    <n v="101"/>
    <m/>
    <n v="124"/>
    <n v="105"/>
    <n v="444"/>
    <n v="549"/>
    <n v="324"/>
    <n v="0.5901639344262295"/>
    <n v="1400"/>
    <n v="330"/>
    <n v="60"/>
    <n v="0.78563411896745228"/>
    <n v="1334"/>
    <n v="1400"/>
    <n v="100"/>
    <n v="160"/>
    <m/>
    <m/>
    <m/>
    <m/>
    <m/>
    <m/>
    <m/>
    <m/>
    <m/>
    <m/>
    <m/>
    <m/>
    <m/>
    <m/>
    <m/>
    <n v="3"/>
    <m/>
    <n v="6"/>
    <m/>
    <m/>
    <m/>
    <m/>
    <m/>
    <m/>
    <n v="12"/>
    <m/>
    <m/>
    <n v="21"/>
    <n v="5"/>
    <n v="3"/>
    <n v="12"/>
    <m/>
    <n v="4"/>
    <m/>
    <n v="180"/>
    <n v="287"/>
    <n v="66"/>
    <x v="13"/>
    <n v="66"/>
  </r>
  <r>
    <x v="53"/>
    <m/>
    <n v="5"/>
    <m/>
    <m/>
    <n v="480"/>
    <n v="480"/>
    <n v="475"/>
    <n v="0.98958333333333337"/>
    <n v="2746"/>
    <n v="330"/>
    <n v="60"/>
    <n v="1.0511004784688995"/>
    <n v="2592"/>
    <n v="2746"/>
    <n v="100"/>
    <m/>
    <m/>
    <m/>
    <m/>
    <n v="4"/>
    <m/>
    <m/>
    <m/>
    <m/>
    <m/>
    <m/>
    <m/>
    <m/>
    <m/>
    <m/>
    <m/>
    <n v="22"/>
    <n v="8"/>
    <n v="7"/>
    <m/>
    <m/>
    <m/>
    <m/>
    <m/>
    <m/>
    <n v="17"/>
    <n v="15"/>
    <n v="31"/>
    <n v="11"/>
    <n v="3"/>
    <n v="3"/>
    <n v="27"/>
    <m/>
    <n v="6"/>
    <m/>
    <m/>
    <m/>
    <n v="154"/>
    <x v="13"/>
    <n v="154"/>
  </r>
  <r>
    <x v="54"/>
    <n v="0"/>
    <s v=" "/>
    <n v="26"/>
    <n v="48"/>
    <n v="371"/>
    <n v="419"/>
    <n v="371"/>
    <n v="0.88544152744630067"/>
    <n v="2366"/>
    <n v="330"/>
    <n v="60"/>
    <n v="1.1595197255574614"/>
    <n v="2182"/>
    <n v="2366"/>
    <n v="100"/>
    <n v="160"/>
    <m/>
    <m/>
    <n v="42"/>
    <n v="12"/>
    <m/>
    <m/>
    <m/>
    <m/>
    <m/>
    <m/>
    <m/>
    <m/>
    <m/>
    <m/>
    <m/>
    <n v="1"/>
    <n v="3"/>
    <n v="1"/>
    <m/>
    <m/>
    <n v="8"/>
    <m/>
    <m/>
    <m/>
    <n v="1"/>
    <m/>
    <n v="82"/>
    <n v="6"/>
    <n v="2"/>
    <m/>
    <n v="17"/>
    <n v="6"/>
    <n v="3"/>
    <m/>
    <m/>
    <m/>
    <n v="184"/>
    <x v="13"/>
    <n v="184"/>
  </r>
  <r>
    <x v="55"/>
    <n v="1"/>
    <m/>
    <n v="16"/>
    <m/>
    <n v="480"/>
    <n v="480"/>
    <n v="463"/>
    <n v="0.96458333333333335"/>
    <n v="2885"/>
    <n v="330"/>
    <n v="60"/>
    <n v="1.1329275476143725"/>
    <n v="2833"/>
    <n v="2885"/>
    <n v="100"/>
    <m/>
    <m/>
    <m/>
    <n v="11"/>
    <n v="16"/>
    <n v="9"/>
    <m/>
    <m/>
    <m/>
    <m/>
    <m/>
    <m/>
    <m/>
    <m/>
    <m/>
    <m/>
    <m/>
    <m/>
    <m/>
    <m/>
    <m/>
    <m/>
    <m/>
    <m/>
    <m/>
    <m/>
    <n v="1"/>
    <n v="4"/>
    <n v="1"/>
    <n v="3"/>
    <n v="7"/>
    <m/>
    <m/>
    <m/>
    <m/>
    <m/>
    <m/>
    <n v="52"/>
    <x v="13"/>
    <n v="52"/>
  </r>
  <r>
    <x v="56"/>
    <m/>
    <m/>
    <n v="7"/>
    <m/>
    <n v="300"/>
    <n v="300"/>
    <n v="293"/>
    <n v="0.97666666666666668"/>
    <n v="1550"/>
    <n v="330"/>
    <n v="60"/>
    <n v="0.96183679801427235"/>
    <n v="1532"/>
    <n v="1550"/>
    <n v="100"/>
    <m/>
    <m/>
    <m/>
    <m/>
    <m/>
    <m/>
    <m/>
    <m/>
    <m/>
    <m/>
    <m/>
    <m/>
    <m/>
    <m/>
    <m/>
    <m/>
    <m/>
    <m/>
    <m/>
    <m/>
    <m/>
    <m/>
    <m/>
    <m/>
    <m/>
    <m/>
    <m/>
    <m/>
    <n v="7"/>
    <n v="8"/>
    <n v="3"/>
    <m/>
    <m/>
    <m/>
    <m/>
    <m/>
    <m/>
    <n v="18"/>
    <x v="14"/>
    <n v="18"/>
  </r>
  <r>
    <x v="57"/>
    <n v="15"/>
    <m/>
    <n v="100"/>
    <m/>
    <n v="366"/>
    <n v="366"/>
    <n v="251"/>
    <n v="0.68579234972677594"/>
    <n v="1375"/>
    <n v="330"/>
    <n v="60"/>
    <n v="0.99601593625498019"/>
    <n v="1358"/>
    <n v="1375"/>
    <n v="100"/>
    <n v="141"/>
    <m/>
    <m/>
    <m/>
    <m/>
    <m/>
    <m/>
    <m/>
    <m/>
    <m/>
    <m/>
    <m/>
    <m/>
    <m/>
    <m/>
    <m/>
    <m/>
    <m/>
    <m/>
    <m/>
    <m/>
    <m/>
    <m/>
    <m/>
    <m/>
    <m/>
    <m/>
    <m/>
    <n v="3"/>
    <n v="10"/>
    <n v="4"/>
    <m/>
    <m/>
    <m/>
    <m/>
    <m/>
    <m/>
    <n v="17"/>
    <x v="14"/>
    <n v="17"/>
  </r>
  <r>
    <x v="58"/>
    <n v="15"/>
    <m/>
    <n v="5"/>
    <m/>
    <n v="366"/>
    <n v="366"/>
    <n v="346"/>
    <n v="0.94535519125683065"/>
    <n v="2030"/>
    <n v="330"/>
    <n v="60"/>
    <n v="1.0667367314766159"/>
    <n v="1761"/>
    <n v="2030"/>
    <n v="100"/>
    <m/>
    <m/>
    <m/>
    <n v="67"/>
    <m/>
    <m/>
    <m/>
    <m/>
    <m/>
    <m/>
    <m/>
    <m/>
    <m/>
    <m/>
    <m/>
    <n v="1"/>
    <n v="95"/>
    <m/>
    <m/>
    <m/>
    <n v="6"/>
    <m/>
    <m/>
    <m/>
    <m/>
    <n v="1"/>
    <n v="6"/>
    <n v="1"/>
    <n v="16"/>
    <n v="36"/>
    <n v="2"/>
    <n v="3"/>
    <m/>
    <n v="35"/>
    <m/>
    <m/>
    <m/>
    <n v="269"/>
    <x v="14"/>
    <n v="269"/>
  </r>
  <r>
    <x v="59"/>
    <n v="101"/>
    <m/>
    <n v="10"/>
    <m/>
    <n v="366"/>
    <n v="366"/>
    <n v="255"/>
    <n v="0.69672131147540983"/>
    <n v="1454"/>
    <n v="330"/>
    <n v="60"/>
    <n v="1.0367201426024957"/>
    <n v="1133"/>
    <n v="1454"/>
    <n v="100"/>
    <m/>
    <m/>
    <m/>
    <m/>
    <m/>
    <m/>
    <m/>
    <m/>
    <m/>
    <m/>
    <m/>
    <m/>
    <m/>
    <m/>
    <m/>
    <n v="47"/>
    <n v="11"/>
    <m/>
    <n v="34"/>
    <m/>
    <n v="5"/>
    <m/>
    <m/>
    <m/>
    <m/>
    <m/>
    <m/>
    <m/>
    <n v="14"/>
    <n v="51"/>
    <n v="8"/>
    <n v="151"/>
    <m/>
    <m/>
    <m/>
    <m/>
    <m/>
    <n v="321"/>
    <x v="14"/>
    <n v="321"/>
  </r>
  <r>
    <x v="60"/>
    <s v="MANTENIMENTO PREVENTIVO"/>
    <m/>
    <m/>
    <m/>
    <n v="0"/>
    <n v="0"/>
    <n v="0"/>
    <n v="0"/>
    <n v="0"/>
    <n v="0"/>
    <n v="0"/>
    <n v="0"/>
    <n v="0"/>
    <n v="0"/>
    <m/>
    <m/>
    <m/>
    <m/>
    <m/>
    <m/>
    <m/>
    <m/>
    <m/>
    <m/>
    <m/>
    <m/>
    <m/>
    <m/>
    <m/>
    <m/>
    <m/>
    <m/>
    <m/>
    <m/>
    <m/>
    <m/>
    <m/>
    <m/>
    <m/>
    <m/>
    <m/>
    <m/>
    <m/>
    <m/>
    <m/>
    <m/>
    <m/>
    <m/>
    <m/>
    <m/>
    <m/>
    <m/>
    <m/>
    <x v="14"/>
    <n v="0"/>
  </r>
  <r>
    <x v="61"/>
    <n v="70"/>
    <m/>
    <n v="338"/>
    <m/>
    <n v="480"/>
    <n v="480"/>
    <n v="72"/>
    <n v="0.15"/>
    <n v="38"/>
    <n v="330"/>
    <n v="60"/>
    <n v="9.5959595959595967E-2"/>
    <n v="38"/>
    <n v="38"/>
    <m/>
    <m/>
    <m/>
    <m/>
    <m/>
    <m/>
    <m/>
    <m/>
    <m/>
    <m/>
    <m/>
    <m/>
    <m/>
    <m/>
    <m/>
    <m/>
    <m/>
    <m/>
    <m/>
    <m/>
    <m/>
    <m/>
    <m/>
    <m/>
    <m/>
    <m/>
    <m/>
    <m/>
    <m/>
    <m/>
    <m/>
    <m/>
    <m/>
    <m/>
    <m/>
    <m/>
    <m/>
    <m/>
    <m/>
    <x v="15"/>
    <m/>
  </r>
  <r>
    <x v="62"/>
    <s v="MAQUINA CAIDA"/>
    <m/>
    <m/>
    <m/>
    <n v="0"/>
    <n v="0"/>
    <n v="0"/>
    <n v="0"/>
    <n v="0"/>
    <n v="0"/>
    <n v="0"/>
    <n v="0"/>
    <n v="0"/>
    <n v="0"/>
    <m/>
    <m/>
    <m/>
    <m/>
    <m/>
    <m/>
    <m/>
    <m/>
    <m/>
    <m/>
    <m/>
    <m/>
    <m/>
    <m/>
    <m/>
    <m/>
    <m/>
    <m/>
    <m/>
    <m/>
    <m/>
    <m/>
    <m/>
    <m/>
    <m/>
    <m/>
    <m/>
    <m/>
    <m/>
    <m/>
    <m/>
    <m/>
    <m/>
    <m/>
    <m/>
    <m/>
    <m/>
    <m/>
    <m/>
    <x v="15"/>
    <n v="759"/>
  </r>
  <r>
    <x v="63"/>
    <m/>
    <m/>
    <n v="275"/>
    <m/>
    <n v="400"/>
    <n v="400"/>
    <n v="366"/>
    <n v="0.91500000000000004"/>
    <n v="1431"/>
    <n v="330"/>
    <n v="60"/>
    <n v="0.71087928464977634"/>
    <n v="1227"/>
    <n v="1431"/>
    <n v="100"/>
    <m/>
    <m/>
    <m/>
    <n v="35"/>
    <m/>
    <m/>
    <m/>
    <m/>
    <m/>
    <m/>
    <m/>
    <m/>
    <m/>
    <m/>
    <m/>
    <m/>
    <n v="15"/>
    <m/>
    <n v="50"/>
    <m/>
    <m/>
    <m/>
    <m/>
    <m/>
    <m/>
    <n v="5"/>
    <n v="4"/>
    <n v="27"/>
    <n v="1"/>
    <n v="59"/>
    <n v="1"/>
    <n v="2"/>
    <m/>
    <n v="5"/>
    <m/>
    <n v="242"/>
    <m/>
    <n v="204"/>
    <x v="15"/>
    <n v="204"/>
  </r>
  <r>
    <x v="64"/>
    <m/>
    <m/>
    <n v="78"/>
    <m/>
    <n v="480"/>
    <n v="480"/>
    <n v="402"/>
    <n v="0.83750000000000002"/>
    <n v="2495"/>
    <n v="330"/>
    <n v="60"/>
    <n v="1.1284486657620987"/>
    <n v="2312"/>
    <n v="2495"/>
    <n v="132"/>
    <m/>
    <m/>
    <m/>
    <n v="29"/>
    <n v="3"/>
    <m/>
    <m/>
    <m/>
    <m/>
    <m/>
    <m/>
    <m/>
    <m/>
    <m/>
    <m/>
    <n v="1"/>
    <m/>
    <n v="2"/>
    <n v="38"/>
    <m/>
    <n v="13"/>
    <m/>
    <m/>
    <m/>
    <m/>
    <n v="2"/>
    <m/>
    <n v="18"/>
    <n v="7"/>
    <n v="68"/>
    <n v="1"/>
    <n v="1"/>
    <m/>
    <m/>
    <m/>
    <n v="152"/>
    <m/>
    <n v="183"/>
    <x v="15"/>
    <n v="183"/>
  </r>
  <r>
    <x v="65"/>
    <m/>
    <n v="89"/>
    <m/>
    <m/>
    <n v="480"/>
    <n v="480"/>
    <n v="391"/>
    <n v="0.81458333333333333"/>
    <n v="2431"/>
    <n v="330"/>
    <n v="60"/>
    <n v="1.1304347826086956"/>
    <n v="2151"/>
    <n v="2431"/>
    <n v="100"/>
    <m/>
    <m/>
    <m/>
    <n v="14"/>
    <n v="14"/>
    <m/>
    <m/>
    <m/>
    <m/>
    <m/>
    <m/>
    <m/>
    <m/>
    <m/>
    <m/>
    <n v="18"/>
    <n v="21"/>
    <m/>
    <n v="10"/>
    <m/>
    <m/>
    <m/>
    <m/>
    <m/>
    <m/>
    <n v="1"/>
    <n v="3"/>
    <m/>
    <n v="4"/>
    <n v="11"/>
    <n v="7"/>
    <n v="26"/>
    <m/>
    <n v="151"/>
    <m/>
    <m/>
    <m/>
    <n v="280"/>
    <x v="15"/>
    <n v="280"/>
  </r>
  <r>
    <x v="66"/>
    <m/>
    <n v="36"/>
    <m/>
    <m/>
    <n v="480"/>
    <n v="480"/>
    <n v="444"/>
    <n v="0.92500000000000004"/>
    <n v="2689"/>
    <n v="330"/>
    <n v="60"/>
    <n v="1.1011466011466011"/>
    <n v="2460"/>
    <n v="2689"/>
    <n v="100"/>
    <m/>
    <m/>
    <m/>
    <n v="11"/>
    <m/>
    <m/>
    <m/>
    <m/>
    <m/>
    <m/>
    <m/>
    <m/>
    <m/>
    <m/>
    <m/>
    <n v="9"/>
    <m/>
    <n v="3"/>
    <n v="20"/>
    <m/>
    <n v="1"/>
    <m/>
    <m/>
    <m/>
    <m/>
    <m/>
    <n v="154"/>
    <n v="3"/>
    <n v="4"/>
    <n v="6"/>
    <n v="8"/>
    <m/>
    <m/>
    <n v="10"/>
    <m/>
    <m/>
    <m/>
    <n v="229"/>
    <x v="16"/>
    <n v="229"/>
  </r>
  <r>
    <x v="67"/>
    <n v="18"/>
    <m/>
    <m/>
    <n v="41"/>
    <n v="359"/>
    <n v="400"/>
    <n v="382"/>
    <n v="0.95499999999999996"/>
    <n v="2250"/>
    <n v="330"/>
    <n v="60"/>
    <n v="1.0709186101856261"/>
    <n v="2046"/>
    <n v="2250"/>
    <n v="100"/>
    <n v="160"/>
    <m/>
    <m/>
    <n v="31"/>
    <n v="14"/>
    <m/>
    <m/>
    <n v="14"/>
    <m/>
    <m/>
    <m/>
    <m/>
    <m/>
    <m/>
    <m/>
    <n v="2"/>
    <n v="17"/>
    <n v="3"/>
    <m/>
    <m/>
    <n v="19"/>
    <m/>
    <m/>
    <m/>
    <m/>
    <n v="1"/>
    <n v="18"/>
    <m/>
    <n v="38"/>
    <n v="30"/>
    <m/>
    <n v="7"/>
    <m/>
    <n v="10"/>
    <m/>
    <m/>
    <m/>
    <n v="204"/>
    <x v="16"/>
    <n v="204"/>
  </r>
  <r>
    <x v="68"/>
    <m/>
    <m/>
    <m/>
    <s v="  "/>
    <n v="366"/>
    <n v="366"/>
    <n v="368"/>
    <n v="1.0054644808743169"/>
    <n v="2067"/>
    <n v="330"/>
    <n v="60"/>
    <n v="1.0212450592885376"/>
    <n v="1707"/>
    <n v="2067"/>
    <n v="100"/>
    <m/>
    <m/>
    <m/>
    <n v="62"/>
    <m/>
    <m/>
    <m/>
    <n v="2"/>
    <m/>
    <m/>
    <m/>
    <m/>
    <m/>
    <n v="0"/>
    <n v="9"/>
    <n v="1"/>
    <n v="96"/>
    <m/>
    <n v="18"/>
    <m/>
    <n v="3"/>
    <m/>
    <n v="19"/>
    <m/>
    <n v="1"/>
    <m/>
    <n v="7"/>
    <n v="58"/>
    <n v="3"/>
    <n v="7"/>
    <n v="1"/>
    <m/>
    <m/>
    <n v="73"/>
    <m/>
    <m/>
    <m/>
    <n v="360"/>
    <x v="16"/>
    <n v="360"/>
  </r>
  <r>
    <x v="69"/>
    <n v="0"/>
    <n v="30"/>
    <m/>
    <n v="60"/>
    <n v="330"/>
    <n v="390"/>
    <n v="360"/>
    <n v="0.92307692307692313"/>
    <n v="2118"/>
    <n v="330"/>
    <n v="60"/>
    <n v="1.0696969696969696"/>
    <n v="1926"/>
    <n v="2118"/>
    <n v="15"/>
    <n v="89"/>
    <m/>
    <m/>
    <n v="32"/>
    <n v="1"/>
    <m/>
    <m/>
    <m/>
    <m/>
    <m/>
    <m/>
    <m/>
    <m/>
    <m/>
    <m/>
    <n v="17"/>
    <m/>
    <m/>
    <n v="7"/>
    <m/>
    <m/>
    <m/>
    <m/>
    <m/>
    <m/>
    <m/>
    <n v="3"/>
    <n v="42"/>
    <n v="5"/>
    <n v="14"/>
    <n v="1"/>
    <m/>
    <m/>
    <n v="70"/>
    <m/>
    <m/>
    <m/>
    <n v="192"/>
    <x v="16"/>
    <n v="192"/>
  </r>
  <r>
    <x v="70"/>
    <n v="21"/>
    <n v="50"/>
    <m/>
    <m/>
    <n v="480"/>
    <n v="480"/>
    <n v="409"/>
    <n v="0.8520833333333333"/>
    <n v="2541"/>
    <n v="330"/>
    <n v="60"/>
    <n v="1.1295843520782396"/>
    <n v="2408"/>
    <n v="2541"/>
    <n v="100"/>
    <m/>
    <m/>
    <m/>
    <n v="8"/>
    <m/>
    <m/>
    <m/>
    <m/>
    <m/>
    <n v="16"/>
    <m/>
    <m/>
    <m/>
    <m/>
    <m/>
    <n v="1"/>
    <m/>
    <m/>
    <n v="83"/>
    <m/>
    <m/>
    <m/>
    <m/>
    <m/>
    <n v="4"/>
    <m/>
    <n v="2"/>
    <m/>
    <n v="6"/>
    <n v="5"/>
    <n v="4"/>
    <m/>
    <m/>
    <n v="4"/>
    <m/>
    <m/>
    <m/>
    <n v="133"/>
    <x v="17"/>
    <n v="133"/>
  </r>
  <r>
    <x v="71"/>
    <m/>
    <n v="40"/>
    <m/>
    <n v="0"/>
    <n v="420"/>
    <n v="420"/>
    <n v="380"/>
    <n v="0.90476190476190477"/>
    <n v="2222"/>
    <n v="330"/>
    <n v="60"/>
    <n v="1.0631578947368421"/>
    <n v="2143"/>
    <n v="2222"/>
    <n v="50"/>
    <m/>
    <m/>
    <m/>
    <n v="1"/>
    <n v="4"/>
    <m/>
    <m/>
    <m/>
    <m/>
    <m/>
    <n v="19"/>
    <m/>
    <m/>
    <m/>
    <n v="3"/>
    <n v="3"/>
    <n v="14"/>
    <m/>
    <n v="26"/>
    <m/>
    <n v="1"/>
    <m/>
    <m/>
    <m/>
    <n v="3"/>
    <m/>
    <n v="3"/>
    <n v="17"/>
    <m/>
    <n v="8"/>
    <n v="2"/>
    <n v="25"/>
    <m/>
    <m/>
    <m/>
    <m/>
    <m/>
    <n v="129"/>
    <x v="17"/>
    <n v="79"/>
  </r>
  <r>
    <x v="72"/>
    <m/>
    <n v="8"/>
    <m/>
    <m/>
    <n v="300"/>
    <n v="300"/>
    <n v="292"/>
    <n v="0.97333333333333338"/>
    <n v="1581"/>
    <n v="330"/>
    <n v="60"/>
    <n v="0.98443337484433369"/>
    <n v="1560"/>
    <n v="1581"/>
    <n v="100"/>
    <n v="187"/>
    <m/>
    <m/>
    <m/>
    <m/>
    <m/>
    <m/>
    <m/>
    <m/>
    <m/>
    <m/>
    <m/>
    <m/>
    <m/>
    <m/>
    <m/>
    <m/>
    <n v="1"/>
    <n v="3"/>
    <m/>
    <m/>
    <m/>
    <m/>
    <m/>
    <n v="1"/>
    <m/>
    <n v="3"/>
    <m/>
    <n v="4"/>
    <n v="3"/>
    <m/>
    <m/>
    <m/>
    <n v="6"/>
    <m/>
    <m/>
    <m/>
    <n v="21"/>
    <x v="17"/>
    <n v="21"/>
  </r>
  <r>
    <x v="73"/>
    <n v="61"/>
    <m/>
    <m/>
    <m/>
    <n v="430"/>
    <n v="430"/>
    <n v="369"/>
    <n v="0.85813953488372097"/>
    <n v="2192"/>
    <n v="330"/>
    <n v="60"/>
    <n v="1.080068982508007"/>
    <n v="2129"/>
    <n v="2192"/>
    <n v="20"/>
    <m/>
    <m/>
    <m/>
    <n v="9"/>
    <n v="2"/>
    <m/>
    <m/>
    <m/>
    <m/>
    <m/>
    <m/>
    <m/>
    <m/>
    <m/>
    <m/>
    <m/>
    <m/>
    <m/>
    <m/>
    <m/>
    <n v="1"/>
    <m/>
    <n v="16"/>
    <m/>
    <m/>
    <m/>
    <n v="4"/>
    <n v="1"/>
    <n v="3"/>
    <m/>
    <n v="2"/>
    <n v="15"/>
    <m/>
    <n v="10"/>
    <m/>
    <m/>
    <m/>
    <n v="63"/>
    <x v="17"/>
    <n v="63"/>
  </r>
  <r>
    <x v="74"/>
    <n v="33"/>
    <m/>
    <m/>
    <m/>
    <n v="420"/>
    <n v="420"/>
    <n v="387"/>
    <n v="0.92142857142857137"/>
    <n v="2218"/>
    <n v="330"/>
    <n v="60"/>
    <n v="1.0420483908856002"/>
    <n v="2169"/>
    <n v="2218"/>
    <n v="29"/>
    <m/>
    <m/>
    <m/>
    <n v="5"/>
    <m/>
    <m/>
    <m/>
    <m/>
    <m/>
    <m/>
    <m/>
    <m/>
    <m/>
    <m/>
    <n v="5"/>
    <m/>
    <m/>
    <m/>
    <n v="14"/>
    <m/>
    <n v="1"/>
    <m/>
    <m/>
    <m/>
    <m/>
    <m/>
    <n v="5"/>
    <n v="26"/>
    <n v="3"/>
    <n v="11"/>
    <n v="1"/>
    <n v="25"/>
    <m/>
    <n v="24"/>
    <m/>
    <m/>
    <m/>
    <n v="120"/>
    <x v="17"/>
    <n v="49"/>
  </r>
  <r>
    <x v="75"/>
    <n v="10"/>
    <n v="49"/>
    <m/>
    <m/>
    <n v="440"/>
    <n v="440"/>
    <n v="381"/>
    <n v="0.86590909090909096"/>
    <n v="2221"/>
    <n v="300"/>
    <n v="60"/>
    <n v="1.1658792650918635"/>
    <n v="2214"/>
    <n v="2221"/>
    <n v="21"/>
    <m/>
    <m/>
    <m/>
    <n v="3"/>
    <m/>
    <m/>
    <m/>
    <m/>
    <m/>
    <m/>
    <m/>
    <m/>
    <m/>
    <m/>
    <m/>
    <n v="3"/>
    <m/>
    <m/>
    <n v="28"/>
    <m/>
    <n v="1"/>
    <m/>
    <m/>
    <m/>
    <m/>
    <m/>
    <n v="2"/>
    <m/>
    <n v="1"/>
    <n v="21"/>
    <m/>
    <n v="21"/>
    <m/>
    <n v="6"/>
    <m/>
    <m/>
    <m/>
    <n v="86"/>
    <x v="18"/>
    <n v="7"/>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s v="-"/>
    <m/>
    <m/>
    <m/>
    <m/>
    <m/>
    <m/>
    <m/>
    <m/>
    <m/>
    <m/>
    <m/>
    <m/>
    <m/>
    <m/>
    <m/>
    <m/>
    <m/>
    <m/>
    <m/>
    <m/>
    <m/>
    <m/>
    <m/>
    <m/>
    <m/>
    <m/>
    <m/>
    <m/>
    <m/>
    <m/>
    <m/>
    <m/>
    <m/>
    <m/>
    <m/>
    <m/>
    <m/>
    <m/>
    <m/>
    <m/>
    <m/>
    <m/>
    <m/>
    <m/>
    <m/>
    <x v="1"/>
    <m/>
  </r>
  <r>
    <x v="76"/>
    <m/>
    <m/>
    <m/>
    <m/>
    <m/>
    <m/>
    <m/>
    <m/>
    <m/>
    <m/>
    <m/>
    <m/>
    <m/>
    <m/>
    <m/>
    <m/>
    <m/>
    <m/>
    <m/>
    <m/>
    <m/>
    <m/>
    <m/>
    <m/>
    <m/>
    <m/>
    <m/>
    <m/>
    <m/>
    <m/>
    <m/>
    <m/>
    <m/>
    <m/>
    <m/>
    <m/>
    <m/>
    <m/>
    <m/>
    <m/>
    <m/>
    <m/>
    <m/>
    <m/>
    <m/>
    <m/>
    <m/>
    <m/>
    <m/>
    <m/>
    <m/>
    <m/>
    <m/>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
  <r>
    <x v="0"/>
    <m/>
    <m/>
    <m/>
    <m/>
    <n v="486"/>
    <n v="486"/>
    <m/>
    <m/>
    <m/>
    <m/>
    <m/>
    <m/>
    <m/>
    <m/>
    <m/>
    <m/>
    <m/>
    <m/>
    <m/>
    <m/>
    <m/>
    <m/>
    <m/>
    <m/>
    <m/>
    <m/>
    <m/>
    <m/>
    <m/>
    <m/>
    <m/>
    <m/>
    <m/>
    <m/>
    <m/>
    <x v="0"/>
    <m/>
  </r>
  <r>
    <x v="1"/>
    <m/>
    <m/>
    <m/>
    <m/>
    <n v="486"/>
    <n v="486"/>
    <m/>
    <m/>
    <m/>
    <m/>
    <m/>
    <m/>
    <m/>
    <m/>
    <m/>
    <m/>
    <m/>
    <m/>
    <m/>
    <m/>
    <m/>
    <m/>
    <m/>
    <m/>
    <m/>
    <m/>
    <m/>
    <m/>
    <m/>
    <m/>
    <m/>
    <m/>
    <m/>
    <m/>
    <m/>
    <x v="0"/>
    <m/>
  </r>
  <r>
    <x v="2"/>
    <n v="500"/>
    <m/>
    <m/>
    <m/>
    <n v="486"/>
    <n v="486"/>
    <m/>
    <m/>
    <m/>
    <m/>
    <m/>
    <m/>
    <m/>
    <m/>
    <m/>
    <m/>
    <m/>
    <m/>
    <m/>
    <m/>
    <m/>
    <m/>
    <m/>
    <m/>
    <m/>
    <m/>
    <m/>
    <m/>
    <m/>
    <m/>
    <m/>
    <m/>
    <m/>
    <m/>
    <m/>
    <x v="0"/>
    <m/>
  </r>
  <r>
    <x v="3"/>
    <n v="17"/>
    <m/>
    <n v="10"/>
    <m/>
    <n v="486"/>
    <n v="486"/>
    <n v="459"/>
    <n v="0.94444444444444442"/>
    <n v="850"/>
    <n v="120"/>
    <n v="60"/>
    <n v="0.92592592592592593"/>
    <n v="850"/>
    <n v="850"/>
    <m/>
    <m/>
    <m/>
    <m/>
    <m/>
    <m/>
    <m/>
    <m/>
    <m/>
    <m/>
    <m/>
    <m/>
    <m/>
    <m/>
    <m/>
    <m/>
    <m/>
    <m/>
    <m/>
    <m/>
    <m/>
    <x v="0"/>
    <n v="0"/>
  </r>
  <r>
    <x v="4"/>
    <n v="14"/>
    <m/>
    <n v="12"/>
    <m/>
    <n v="486"/>
    <n v="486"/>
    <n v="460"/>
    <n v="0.94650205761316875"/>
    <n v="794"/>
    <n v="90"/>
    <n v="60"/>
    <n v="1.1507246376811595"/>
    <n v="794"/>
    <n v="794"/>
    <m/>
    <m/>
    <m/>
    <m/>
    <m/>
    <m/>
    <m/>
    <m/>
    <m/>
    <m/>
    <m/>
    <m/>
    <m/>
    <m/>
    <m/>
    <m/>
    <m/>
    <m/>
    <m/>
    <m/>
    <m/>
    <x v="0"/>
    <n v="0"/>
  </r>
  <r>
    <x v="5"/>
    <m/>
    <m/>
    <m/>
    <m/>
    <n v="486"/>
    <n v="486"/>
    <m/>
    <n v="0"/>
    <m/>
    <m/>
    <m/>
    <m/>
    <m/>
    <m/>
    <m/>
    <m/>
    <m/>
    <m/>
    <m/>
    <m/>
    <m/>
    <m/>
    <m/>
    <m/>
    <m/>
    <m/>
    <m/>
    <m/>
    <m/>
    <m/>
    <m/>
    <m/>
    <m/>
    <m/>
    <m/>
    <x v="1"/>
    <m/>
  </r>
  <r>
    <x v="6"/>
    <n v="21"/>
    <m/>
    <n v="10"/>
    <m/>
    <n v="486"/>
    <n v="486"/>
    <n v="455"/>
    <n v="0.93621399176954734"/>
    <n v="788"/>
    <n v="90"/>
    <n v="60"/>
    <n v="1.1545787545787547"/>
    <n v="788"/>
    <n v="788"/>
    <m/>
    <m/>
    <m/>
    <m/>
    <m/>
    <m/>
    <m/>
    <m/>
    <m/>
    <m/>
    <m/>
    <m/>
    <m/>
    <m/>
    <m/>
    <m/>
    <m/>
    <m/>
    <m/>
    <m/>
    <m/>
    <x v="1"/>
    <n v="0"/>
  </r>
  <r>
    <x v="7"/>
    <n v="12"/>
    <m/>
    <n v="98"/>
    <m/>
    <n v="486"/>
    <n v="486"/>
    <n v="376"/>
    <n v="0.77366255144032925"/>
    <n v="745"/>
    <n v="105"/>
    <n v="60"/>
    <n v="1.1322188449848023"/>
    <n v="745"/>
    <n v="745"/>
    <m/>
    <m/>
    <m/>
    <m/>
    <m/>
    <m/>
    <m/>
    <m/>
    <m/>
    <m/>
    <m/>
    <m/>
    <m/>
    <m/>
    <m/>
    <m/>
    <m/>
    <m/>
    <m/>
    <m/>
    <m/>
    <x v="1"/>
    <n v="0"/>
  </r>
  <r>
    <x v="8"/>
    <n v="16"/>
    <m/>
    <n v="94"/>
    <m/>
    <n v="486"/>
    <n v="486"/>
    <n v="376"/>
    <n v="0.77366255144032925"/>
    <n v="814"/>
    <n v="105"/>
    <n v="60"/>
    <n v="1.237082066869301"/>
    <n v="814"/>
    <n v="814"/>
    <m/>
    <m/>
    <m/>
    <m/>
    <m/>
    <m/>
    <m/>
    <m/>
    <m/>
    <m/>
    <m/>
    <m/>
    <m/>
    <m/>
    <m/>
    <m/>
    <m/>
    <m/>
    <m/>
    <m/>
    <m/>
    <x v="1"/>
    <n v="0"/>
  </r>
  <r>
    <x v="9"/>
    <n v="22"/>
    <m/>
    <m/>
    <m/>
    <n v="486"/>
    <n v="486"/>
    <n v="464"/>
    <n v="0.95473251028806583"/>
    <n v="908"/>
    <n v="105"/>
    <n v="60"/>
    <n v="1.1182266009852215"/>
    <n v="907"/>
    <n v="908"/>
    <m/>
    <m/>
    <m/>
    <m/>
    <m/>
    <m/>
    <m/>
    <m/>
    <m/>
    <m/>
    <m/>
    <m/>
    <m/>
    <m/>
    <m/>
    <m/>
    <m/>
    <m/>
    <m/>
    <m/>
    <m/>
    <x v="1"/>
    <n v="1"/>
  </r>
  <r>
    <x v="10"/>
    <n v="26"/>
    <m/>
    <m/>
    <m/>
    <n v="486"/>
    <n v="486"/>
    <n v="460"/>
    <n v="0.94650205761316875"/>
    <n v="981"/>
    <n v="105"/>
    <n v="60"/>
    <n v="1.2186335403726707"/>
    <n v="981"/>
    <n v="981"/>
    <m/>
    <m/>
    <m/>
    <m/>
    <m/>
    <m/>
    <m/>
    <m/>
    <m/>
    <m/>
    <m/>
    <m/>
    <m/>
    <m/>
    <m/>
    <m/>
    <m/>
    <m/>
    <m/>
    <m/>
    <m/>
    <x v="1"/>
    <n v="0"/>
  </r>
  <r>
    <x v="11"/>
    <n v="20"/>
    <m/>
    <m/>
    <m/>
    <n v="486"/>
    <n v="486"/>
    <n v="466"/>
    <n v="0.95884773662551437"/>
    <n v="997"/>
    <n v="105"/>
    <n v="60"/>
    <n v="1.2225628448804413"/>
    <n v="996"/>
    <n v="997"/>
    <n v="1"/>
    <m/>
    <m/>
    <m/>
    <m/>
    <m/>
    <m/>
    <m/>
    <m/>
    <m/>
    <m/>
    <m/>
    <m/>
    <m/>
    <m/>
    <m/>
    <m/>
    <m/>
    <m/>
    <m/>
    <m/>
    <x v="2"/>
    <n v="1"/>
  </r>
  <r>
    <x v="12"/>
    <n v="23"/>
    <m/>
    <n v="4"/>
    <m/>
    <n v="486"/>
    <n v="486"/>
    <n v="459"/>
    <n v="0.94444444444444442"/>
    <n v="969"/>
    <n v="105"/>
    <n v="60"/>
    <n v="1.2063492063492063"/>
    <n v="969"/>
    <n v="969"/>
    <m/>
    <m/>
    <m/>
    <m/>
    <m/>
    <m/>
    <m/>
    <m/>
    <m/>
    <m/>
    <m/>
    <m/>
    <m/>
    <m/>
    <m/>
    <m/>
    <m/>
    <m/>
    <m/>
    <m/>
    <m/>
    <x v="2"/>
    <n v="0"/>
  </r>
  <r>
    <x v="13"/>
    <n v="25"/>
    <n v="5"/>
    <m/>
    <m/>
    <n v="486"/>
    <n v="486"/>
    <n v="456"/>
    <n v="0.93827160493827155"/>
    <n v="683"/>
    <n v="90"/>
    <n v="60"/>
    <n v="0.99853801169590639"/>
    <n v="683"/>
    <n v="683"/>
    <m/>
    <m/>
    <m/>
    <m/>
    <m/>
    <m/>
    <m/>
    <m/>
    <m/>
    <m/>
    <m/>
    <m/>
    <m/>
    <m/>
    <m/>
    <m/>
    <m/>
    <m/>
    <m/>
    <m/>
    <m/>
    <x v="2"/>
    <n v="0"/>
  </r>
  <r>
    <x v="14"/>
    <n v="9"/>
    <n v="3"/>
    <m/>
    <m/>
    <n v="486"/>
    <n v="486"/>
    <n v="474"/>
    <n v="0.97530864197530864"/>
    <n v="664"/>
    <n v="90"/>
    <n v="60"/>
    <n v="0.93389592123769338"/>
    <n v="664"/>
    <n v="664"/>
    <m/>
    <m/>
    <m/>
    <m/>
    <m/>
    <m/>
    <m/>
    <m/>
    <m/>
    <m/>
    <m/>
    <m/>
    <m/>
    <m/>
    <m/>
    <m/>
    <m/>
    <m/>
    <m/>
    <m/>
    <m/>
    <x v="2"/>
    <n v="0"/>
  </r>
  <r>
    <x v="15"/>
    <n v="18"/>
    <n v="89"/>
    <m/>
    <m/>
    <n v="486"/>
    <n v="486"/>
    <n v="379"/>
    <n v="0.77983539094650201"/>
    <n v="581"/>
    <n v="90"/>
    <n v="60"/>
    <n v="1.0219876868953388"/>
    <n v="581"/>
    <n v="581"/>
    <m/>
    <m/>
    <m/>
    <m/>
    <m/>
    <m/>
    <m/>
    <m/>
    <m/>
    <m/>
    <m/>
    <m/>
    <m/>
    <m/>
    <m/>
    <m/>
    <m/>
    <m/>
    <m/>
    <m/>
    <m/>
    <x v="2"/>
    <n v="0"/>
  </r>
  <r>
    <x v="16"/>
    <n v="24"/>
    <n v="62"/>
    <m/>
    <m/>
    <n v="486"/>
    <n v="486"/>
    <n v="400"/>
    <n v="0.82304526748971196"/>
    <n v="615"/>
    <n v="90"/>
    <n v="60"/>
    <n v="1.0249999999999999"/>
    <n v="615"/>
    <n v="615"/>
    <m/>
    <m/>
    <m/>
    <m/>
    <m/>
    <m/>
    <m/>
    <m/>
    <m/>
    <m/>
    <m/>
    <m/>
    <m/>
    <m/>
    <m/>
    <m/>
    <m/>
    <m/>
    <m/>
    <m/>
    <m/>
    <x v="3"/>
    <n v="0"/>
  </r>
  <r>
    <x v="17"/>
    <n v="22"/>
    <n v="5"/>
    <m/>
    <m/>
    <n v="486"/>
    <n v="486"/>
    <n v="459"/>
    <n v="0.94444444444444442"/>
    <n v="607"/>
    <n v="90"/>
    <n v="60"/>
    <n v="0.88162672476397974"/>
    <n v="607"/>
    <n v="607"/>
    <m/>
    <m/>
    <m/>
    <m/>
    <m/>
    <m/>
    <m/>
    <m/>
    <m/>
    <m/>
    <m/>
    <m/>
    <m/>
    <m/>
    <m/>
    <m/>
    <m/>
    <m/>
    <m/>
    <m/>
    <m/>
    <x v="3"/>
    <n v="0"/>
  </r>
  <r>
    <x v="18"/>
    <n v="16"/>
    <n v="11"/>
    <m/>
    <m/>
    <n v="486"/>
    <n v="486"/>
    <n v="459"/>
    <n v="0.94444444444444442"/>
    <n v="572"/>
    <n v="90"/>
    <n v="60"/>
    <n v="0.83079157588961505"/>
    <n v="571"/>
    <n v="572"/>
    <m/>
    <n v="1"/>
    <m/>
    <m/>
    <m/>
    <m/>
    <m/>
    <m/>
    <m/>
    <m/>
    <m/>
    <m/>
    <m/>
    <m/>
    <m/>
    <m/>
    <m/>
    <m/>
    <m/>
    <m/>
    <m/>
    <x v="3"/>
    <n v="1"/>
  </r>
  <r>
    <x v="19"/>
    <n v="20"/>
    <m/>
    <m/>
    <m/>
    <n v="486"/>
    <n v="486"/>
    <n v="466"/>
    <n v="0.95884773662551437"/>
    <n v="240"/>
    <n v="90"/>
    <n v="60"/>
    <n v="0.34334763948497854"/>
    <n v="240"/>
    <n v="240"/>
    <m/>
    <m/>
    <m/>
    <m/>
    <m/>
    <m/>
    <m/>
    <m/>
    <m/>
    <m/>
    <m/>
    <m/>
    <m/>
    <m/>
    <m/>
    <m/>
    <m/>
    <m/>
    <m/>
    <m/>
    <m/>
    <x v="3"/>
    <n v="0"/>
  </r>
  <r>
    <x v="20"/>
    <n v="12"/>
    <n v="110"/>
    <m/>
    <m/>
    <n v="486"/>
    <n v="486"/>
    <n v="364"/>
    <n v="0.74897119341563789"/>
    <n v="816"/>
    <n v="120"/>
    <n v="60"/>
    <n v="1.1208791208791209"/>
    <n v="814"/>
    <n v="816"/>
    <m/>
    <m/>
    <m/>
    <m/>
    <m/>
    <m/>
    <m/>
    <m/>
    <m/>
    <m/>
    <m/>
    <m/>
    <m/>
    <m/>
    <m/>
    <m/>
    <m/>
    <n v="2"/>
    <m/>
    <m/>
    <m/>
    <x v="4"/>
    <n v="2"/>
  </r>
  <r>
    <x v="21"/>
    <n v="21"/>
    <n v="39"/>
    <m/>
    <m/>
    <n v="486"/>
    <n v="486"/>
    <n v="426"/>
    <n v="0.87654320987654322"/>
    <n v="835"/>
    <n v="105"/>
    <n v="60"/>
    <n v="1.120053655264923"/>
    <n v="835"/>
    <n v="835"/>
    <m/>
    <m/>
    <m/>
    <m/>
    <m/>
    <m/>
    <m/>
    <m/>
    <m/>
    <m/>
    <m/>
    <m/>
    <m/>
    <m/>
    <m/>
    <m/>
    <m/>
    <m/>
    <m/>
    <m/>
    <m/>
    <x v="4"/>
    <m/>
  </r>
  <r>
    <x v="22"/>
    <n v="10"/>
    <n v="10"/>
    <m/>
    <m/>
    <n v="486"/>
    <n v="486"/>
    <n v="466"/>
    <n v="0.95884773662551437"/>
    <n v="1011"/>
    <n v="120"/>
    <n v="60"/>
    <n v="1.0847639484978542"/>
    <n v="1010"/>
    <n v="1011"/>
    <m/>
    <m/>
    <m/>
    <m/>
    <m/>
    <m/>
    <m/>
    <m/>
    <m/>
    <m/>
    <m/>
    <m/>
    <m/>
    <m/>
    <m/>
    <m/>
    <n v="1"/>
    <m/>
    <m/>
    <m/>
    <m/>
    <x v="4"/>
    <n v="1"/>
  </r>
  <r>
    <x v="23"/>
    <n v="13"/>
    <m/>
    <m/>
    <m/>
    <n v="486"/>
    <n v="486"/>
    <n v="473"/>
    <n v="0.97325102880658432"/>
    <n v="772"/>
    <n v="90"/>
    <n v="60"/>
    <n v="1.088090204369274"/>
    <n v="772"/>
    <n v="772"/>
    <m/>
    <m/>
    <m/>
    <m/>
    <m/>
    <m/>
    <m/>
    <m/>
    <m/>
    <m/>
    <m/>
    <m/>
    <m/>
    <m/>
    <m/>
    <m/>
    <m/>
    <m/>
    <m/>
    <m/>
    <m/>
    <x v="4"/>
    <n v="0"/>
  </r>
  <r>
    <x v="24"/>
    <n v="13"/>
    <m/>
    <m/>
    <m/>
    <n v="486"/>
    <n v="486"/>
    <n v="473"/>
    <n v="0.97325102880658432"/>
    <n v="1003"/>
    <n v="120"/>
    <n v="60"/>
    <n v="1.0602536997885834"/>
    <n v="1002"/>
    <n v="1003"/>
    <m/>
    <m/>
    <m/>
    <m/>
    <m/>
    <m/>
    <m/>
    <m/>
    <m/>
    <m/>
    <m/>
    <m/>
    <m/>
    <m/>
    <m/>
    <m/>
    <m/>
    <n v="1"/>
    <m/>
    <m/>
    <m/>
    <x v="4"/>
    <n v="1"/>
  </r>
  <r>
    <x v="25"/>
    <n v="12"/>
    <m/>
    <m/>
    <m/>
    <n v="486"/>
    <n v="486"/>
    <n v="474"/>
    <n v="0.97530864197530864"/>
    <n v="1014"/>
    <n v="120"/>
    <n v="60"/>
    <n v="1.0696202531645569"/>
    <n v="1014"/>
    <n v="1014"/>
    <m/>
    <m/>
    <m/>
    <m/>
    <m/>
    <m/>
    <m/>
    <m/>
    <m/>
    <m/>
    <m/>
    <m/>
    <m/>
    <m/>
    <m/>
    <m/>
    <m/>
    <m/>
    <m/>
    <m/>
    <m/>
    <x v="5"/>
    <n v="0"/>
  </r>
  <r>
    <x v="26"/>
    <n v="17"/>
    <m/>
    <m/>
    <m/>
    <n v="486"/>
    <n v="486"/>
    <n v="469"/>
    <n v="0.96502057613168724"/>
    <n v="1015"/>
    <n v="120"/>
    <n v="60"/>
    <n v="1.0820895522388061"/>
    <n v="1015"/>
    <n v="1015"/>
    <m/>
    <m/>
    <m/>
    <m/>
    <m/>
    <m/>
    <m/>
    <m/>
    <m/>
    <m/>
    <m/>
    <m/>
    <m/>
    <m/>
    <m/>
    <m/>
    <m/>
    <m/>
    <m/>
    <m/>
    <m/>
    <x v="5"/>
    <n v="0"/>
  </r>
  <r>
    <x v="27"/>
    <n v="15"/>
    <m/>
    <n v="23"/>
    <n v="225"/>
    <n v="486"/>
    <n v="711"/>
    <n v="673"/>
    <n v="0.9465541490857946"/>
    <n v="1279"/>
    <n v="120"/>
    <n v="60"/>
    <n v="0.95022288261515597"/>
    <n v="1277"/>
    <n v="1279"/>
    <n v="1"/>
    <m/>
    <m/>
    <m/>
    <m/>
    <m/>
    <m/>
    <m/>
    <m/>
    <m/>
    <m/>
    <m/>
    <m/>
    <m/>
    <m/>
    <m/>
    <m/>
    <n v="1"/>
    <m/>
    <m/>
    <m/>
    <x v="5"/>
    <n v="2"/>
  </r>
  <r>
    <x v="28"/>
    <n v="34"/>
    <n v="131"/>
    <m/>
    <n v="225"/>
    <n v="486"/>
    <n v="711"/>
    <n v="546"/>
    <n v="0.76793248945147674"/>
    <n v="1220"/>
    <n v="120"/>
    <n v="60"/>
    <n v="1.1172161172161172"/>
    <n v="1217"/>
    <n v="1220"/>
    <m/>
    <m/>
    <m/>
    <m/>
    <m/>
    <m/>
    <m/>
    <m/>
    <m/>
    <n v="1"/>
    <m/>
    <m/>
    <m/>
    <m/>
    <m/>
    <m/>
    <m/>
    <n v="1"/>
    <n v="1"/>
    <m/>
    <m/>
    <x v="5"/>
    <n v="3"/>
  </r>
  <r>
    <x v="29"/>
    <n v="33"/>
    <n v="23"/>
    <n v="10"/>
    <n v="225"/>
    <n v="486"/>
    <n v="711"/>
    <n v="645"/>
    <n v="0.90717299578059074"/>
    <n v="1307"/>
    <n v="120"/>
    <n v="60"/>
    <n v="1.0131782945736434"/>
    <n v="1304"/>
    <n v="1307"/>
    <m/>
    <m/>
    <m/>
    <m/>
    <m/>
    <m/>
    <m/>
    <m/>
    <m/>
    <m/>
    <m/>
    <m/>
    <m/>
    <m/>
    <m/>
    <m/>
    <m/>
    <n v="3"/>
    <m/>
    <m/>
    <m/>
    <x v="5"/>
    <n v="3"/>
  </r>
  <r>
    <x v="30"/>
    <n v="23"/>
    <m/>
    <n v="23"/>
    <n v="225"/>
    <n v="151"/>
    <n v="376"/>
    <n v="330"/>
    <n v="0.87765957446808507"/>
    <n v="533"/>
    <n v="90"/>
    <n v="60"/>
    <n v="1.0767676767676768"/>
    <n v="531"/>
    <n v="533"/>
    <n v="1"/>
    <n v="1"/>
    <m/>
    <m/>
    <m/>
    <m/>
    <m/>
    <m/>
    <m/>
    <m/>
    <m/>
    <m/>
    <m/>
    <m/>
    <m/>
    <m/>
    <m/>
    <m/>
    <m/>
    <m/>
    <m/>
    <x v="6"/>
    <n v="2"/>
  </r>
  <r>
    <x v="31"/>
    <n v="17"/>
    <m/>
    <n v="39"/>
    <n v="225"/>
    <n v="486"/>
    <n v="711"/>
    <n v="655"/>
    <n v="0.92123769338959216"/>
    <n v="1233"/>
    <n v="120"/>
    <n v="60"/>
    <n v="0.94122137404580153"/>
    <n v="1224"/>
    <n v="1233"/>
    <m/>
    <n v="9"/>
    <m/>
    <m/>
    <m/>
    <m/>
    <m/>
    <m/>
    <m/>
    <m/>
    <m/>
    <m/>
    <m/>
    <m/>
    <m/>
    <m/>
    <m/>
    <m/>
    <m/>
    <m/>
    <m/>
    <x v="6"/>
    <n v="9"/>
  </r>
  <r>
    <x v="32"/>
    <n v="27"/>
    <n v="15"/>
    <m/>
    <n v="225"/>
    <n v="486"/>
    <n v="711"/>
    <n v="669"/>
    <n v="0.94092827004219415"/>
    <n v="1291"/>
    <n v="120"/>
    <n v="60"/>
    <n v="0.96487294469357254"/>
    <n v="1291"/>
    <n v="1291"/>
    <m/>
    <m/>
    <m/>
    <m/>
    <m/>
    <m/>
    <m/>
    <m/>
    <m/>
    <m/>
    <m/>
    <m/>
    <m/>
    <m/>
    <m/>
    <m/>
    <m/>
    <m/>
    <m/>
    <m/>
    <m/>
    <x v="7"/>
    <n v="0"/>
  </r>
  <r>
    <x v="33"/>
    <n v="28"/>
    <m/>
    <m/>
    <n v="225"/>
    <n v="486"/>
    <n v="711"/>
    <n v="683"/>
    <n v="0.96061884669479602"/>
    <n v="1321"/>
    <n v="120"/>
    <n v="60"/>
    <n v="0.96705710102489018"/>
    <n v="1319"/>
    <n v="1321"/>
    <m/>
    <m/>
    <m/>
    <m/>
    <m/>
    <m/>
    <m/>
    <m/>
    <m/>
    <n v="2"/>
    <m/>
    <m/>
    <m/>
    <m/>
    <m/>
    <m/>
    <m/>
    <m/>
    <m/>
    <m/>
    <m/>
    <x v="7"/>
    <n v="2"/>
  </r>
  <r>
    <x v="34"/>
    <n v="20"/>
    <m/>
    <n v="5"/>
    <n v="225"/>
    <n v="486"/>
    <n v="711"/>
    <n v="686"/>
    <n v="0.96483825597749651"/>
    <n v="1306"/>
    <n v="120"/>
    <n v="60"/>
    <n v="0.95189504373177847"/>
    <n v="1306"/>
    <n v="1306"/>
    <m/>
    <m/>
    <m/>
    <m/>
    <m/>
    <m/>
    <m/>
    <m/>
    <m/>
    <m/>
    <m/>
    <m/>
    <m/>
    <m/>
    <m/>
    <m/>
    <m/>
    <m/>
    <m/>
    <m/>
    <m/>
    <x v="7"/>
    <n v="0"/>
  </r>
  <r>
    <x v="35"/>
    <n v="13"/>
    <m/>
    <m/>
    <n v="225"/>
    <n v="486"/>
    <n v="711"/>
    <n v="698"/>
    <n v="0.98171589310829821"/>
    <n v="1330"/>
    <n v="120"/>
    <n v="60"/>
    <n v="0.95272206303724927"/>
    <n v="1330"/>
    <n v="1330"/>
    <m/>
    <m/>
    <m/>
    <m/>
    <m/>
    <m/>
    <m/>
    <m/>
    <m/>
    <m/>
    <m/>
    <m/>
    <m/>
    <m/>
    <m/>
    <m/>
    <m/>
    <m/>
    <m/>
    <m/>
    <m/>
    <x v="7"/>
    <n v="0"/>
  </r>
  <r>
    <x v="36"/>
    <n v="16"/>
    <m/>
    <n v="6"/>
    <n v="225"/>
    <n v="486"/>
    <n v="711"/>
    <n v="689"/>
    <n v="0.96905766526019688"/>
    <n v="1272"/>
    <n v="120"/>
    <n v="60"/>
    <n v="0.92307692307692313"/>
    <n v="1271"/>
    <n v="1272"/>
    <m/>
    <n v="1"/>
    <m/>
    <m/>
    <m/>
    <m/>
    <m/>
    <m/>
    <m/>
    <m/>
    <m/>
    <m/>
    <m/>
    <m/>
    <m/>
    <m/>
    <m/>
    <m/>
    <m/>
    <m/>
    <m/>
    <x v="7"/>
    <n v="1"/>
  </r>
  <r>
    <x v="37"/>
    <n v="5"/>
    <m/>
    <n v="0"/>
    <m/>
    <n v="486"/>
    <n v="486"/>
    <n v="481"/>
    <n v="0.98971193415637859"/>
    <n v="959"/>
    <n v="120"/>
    <n v="60"/>
    <n v="0.99688149688149685"/>
    <n v="959"/>
    <n v="959"/>
    <m/>
    <m/>
    <m/>
    <m/>
    <m/>
    <m/>
    <m/>
    <m/>
    <m/>
    <m/>
    <m/>
    <m/>
    <m/>
    <m/>
    <m/>
    <m/>
    <m/>
    <m/>
    <m/>
    <m/>
    <m/>
    <x v="8"/>
    <n v="0"/>
  </r>
  <r>
    <x v="38"/>
    <n v="9"/>
    <n v="18"/>
    <m/>
    <m/>
    <n v="486"/>
    <n v="486"/>
    <n v="459"/>
    <n v="0.94444444444444442"/>
    <n v="994"/>
    <n v="120"/>
    <n v="60"/>
    <n v="1.0827886710239651"/>
    <n v="993"/>
    <n v="994"/>
    <m/>
    <m/>
    <m/>
    <m/>
    <m/>
    <m/>
    <m/>
    <m/>
    <m/>
    <m/>
    <m/>
    <m/>
    <m/>
    <m/>
    <m/>
    <m/>
    <m/>
    <m/>
    <m/>
    <m/>
    <m/>
    <x v="9"/>
    <n v="1"/>
  </r>
  <r>
    <x v="39"/>
    <n v="17"/>
    <n v="20"/>
    <m/>
    <m/>
    <n v="486"/>
    <n v="486"/>
    <n v="449"/>
    <n v="0.9238683127572016"/>
    <n v="997"/>
    <n v="120"/>
    <n v="60"/>
    <n v="1.1102449888641426"/>
    <n v="996"/>
    <n v="997"/>
    <m/>
    <m/>
    <m/>
    <m/>
    <m/>
    <m/>
    <m/>
    <m/>
    <m/>
    <m/>
    <m/>
    <m/>
    <m/>
    <m/>
    <m/>
    <m/>
    <m/>
    <n v="1"/>
    <m/>
    <m/>
    <m/>
    <x v="9"/>
    <n v="1"/>
  </r>
  <r>
    <x v="40"/>
    <n v="26"/>
    <n v="35"/>
    <m/>
    <m/>
    <n v="486"/>
    <n v="486"/>
    <n v="425"/>
    <n v="0.87448559670781889"/>
    <n v="980"/>
    <n v="120"/>
    <n v="60"/>
    <n v="1.1529411764705881"/>
    <n v="979"/>
    <n v="980"/>
    <m/>
    <n v="1"/>
    <m/>
    <m/>
    <m/>
    <m/>
    <m/>
    <m/>
    <m/>
    <m/>
    <m/>
    <m/>
    <m/>
    <m/>
    <m/>
    <m/>
    <m/>
    <m/>
    <m/>
    <m/>
    <m/>
    <x v="9"/>
    <n v="1"/>
  </r>
  <r>
    <x v="41"/>
    <n v="18"/>
    <m/>
    <m/>
    <m/>
    <n v="486"/>
    <n v="486"/>
    <n v="468"/>
    <n v="0.96296296296296291"/>
    <n v="1037"/>
    <n v="120"/>
    <n v="60"/>
    <n v="1.107905982905983"/>
    <n v="1037"/>
    <n v="1037"/>
    <m/>
    <m/>
    <m/>
    <m/>
    <m/>
    <m/>
    <m/>
    <m/>
    <m/>
    <m/>
    <m/>
    <m/>
    <m/>
    <m/>
    <m/>
    <m/>
    <m/>
    <m/>
    <m/>
    <m/>
    <m/>
    <x v="9"/>
    <n v="0"/>
  </r>
  <r>
    <x v="42"/>
    <m/>
    <m/>
    <n v="7"/>
    <m/>
    <n v="486"/>
    <n v="486"/>
    <n v="479"/>
    <n v="0.98559670781893005"/>
    <n v="1028"/>
    <n v="120"/>
    <n v="60"/>
    <n v="1.0730688935281838"/>
    <n v="1028"/>
    <n v="1028"/>
    <m/>
    <m/>
    <m/>
    <m/>
    <m/>
    <m/>
    <m/>
    <m/>
    <m/>
    <m/>
    <m/>
    <m/>
    <m/>
    <m/>
    <m/>
    <m/>
    <m/>
    <m/>
    <m/>
    <m/>
    <m/>
    <x v="10"/>
    <n v="0"/>
  </r>
  <r>
    <x v="43"/>
    <m/>
    <m/>
    <n v="16"/>
    <m/>
    <n v="486"/>
    <n v="486"/>
    <n v="470"/>
    <n v="0.96707818930041156"/>
    <n v="790"/>
    <n v="90"/>
    <n v="60"/>
    <n v="1.1205673758865249"/>
    <n v="789"/>
    <n v="790"/>
    <m/>
    <n v="1"/>
    <m/>
    <m/>
    <m/>
    <m/>
    <m/>
    <m/>
    <m/>
    <m/>
    <m/>
    <m/>
    <m/>
    <m/>
    <m/>
    <m/>
    <m/>
    <m/>
    <m/>
    <m/>
    <m/>
    <x v="10"/>
    <n v="1"/>
  </r>
  <r>
    <x v="44"/>
    <n v="7"/>
    <m/>
    <n v="5"/>
    <m/>
    <n v="486"/>
    <n v="486"/>
    <n v="474"/>
    <n v="0.97530864197530864"/>
    <n v="783"/>
    <n v="90"/>
    <n v="60"/>
    <n v="1.1012658227848102"/>
    <n v="782"/>
    <n v="783"/>
    <m/>
    <n v="1"/>
    <m/>
    <m/>
    <m/>
    <m/>
    <m/>
    <m/>
    <m/>
    <m/>
    <m/>
    <m/>
    <m/>
    <m/>
    <m/>
    <m/>
    <m/>
    <m/>
    <m/>
    <m/>
    <m/>
    <x v="10"/>
    <n v="1"/>
  </r>
  <r>
    <x v="45"/>
    <n v="29"/>
    <m/>
    <m/>
    <m/>
    <n v="486"/>
    <n v="486"/>
    <n v="457"/>
    <n v="0.94032921810699588"/>
    <n v="663"/>
    <n v="90"/>
    <n v="60"/>
    <n v="0.96717724288840268"/>
    <n v="663"/>
    <n v="663"/>
    <m/>
    <m/>
    <m/>
    <m/>
    <m/>
    <m/>
    <m/>
    <m/>
    <m/>
    <m/>
    <m/>
    <m/>
    <m/>
    <m/>
    <m/>
    <m/>
    <m/>
    <m/>
    <m/>
    <m/>
    <m/>
    <x v="10"/>
    <n v="0"/>
  </r>
  <r>
    <x v="46"/>
    <m/>
    <m/>
    <n v="5"/>
    <m/>
    <n v="486"/>
    <n v="486"/>
    <n v="481"/>
    <n v="0.98971193415637859"/>
    <n v="316"/>
    <n v="40"/>
    <n v="60"/>
    <n v="0.9854469854469855"/>
    <n v="316"/>
    <n v="316"/>
    <m/>
    <m/>
    <m/>
    <m/>
    <m/>
    <m/>
    <m/>
    <m/>
    <m/>
    <m/>
    <m/>
    <m/>
    <m/>
    <m/>
    <m/>
    <m/>
    <m/>
    <m/>
    <m/>
    <m/>
    <m/>
    <x v="10"/>
    <n v="0"/>
  </r>
  <r>
    <x v="47"/>
    <n v="10"/>
    <m/>
    <m/>
    <m/>
    <n v="486"/>
    <n v="486"/>
    <n v="476"/>
    <n v="0.97942386831275718"/>
    <n v="325"/>
    <n v="40"/>
    <n v="60"/>
    <n v="1.0241596638655461"/>
    <n v="325"/>
    <n v="325"/>
    <m/>
    <m/>
    <m/>
    <m/>
    <m/>
    <m/>
    <m/>
    <m/>
    <m/>
    <m/>
    <m/>
    <m/>
    <m/>
    <m/>
    <m/>
    <m/>
    <m/>
    <m/>
    <m/>
    <m/>
    <m/>
    <x v="11"/>
    <n v="0"/>
  </r>
  <r>
    <x v="48"/>
    <n v="17"/>
    <m/>
    <n v="23"/>
    <m/>
    <n v="486"/>
    <n v="486"/>
    <n v="446"/>
    <n v="0.91769547325102885"/>
    <n v="309"/>
    <n v="40"/>
    <n v="60"/>
    <n v="1.039237668161435"/>
    <n v="309"/>
    <n v="309"/>
    <m/>
    <m/>
    <m/>
    <m/>
    <m/>
    <m/>
    <m/>
    <m/>
    <m/>
    <m/>
    <m/>
    <m/>
    <m/>
    <m/>
    <m/>
    <m/>
    <m/>
    <m/>
    <m/>
    <m/>
    <m/>
    <x v="11"/>
    <n v="0"/>
  </r>
  <r>
    <x v="49"/>
    <n v="3"/>
    <m/>
    <m/>
    <m/>
    <n v="75"/>
    <n v="75"/>
    <n v="72"/>
    <n v="0.96"/>
    <n v="47"/>
    <n v="40"/>
    <n v="60"/>
    <n v="0.97916666666666663"/>
    <n v="47"/>
    <n v="47"/>
    <m/>
    <m/>
    <m/>
    <m/>
    <m/>
    <m/>
    <m/>
    <m/>
    <m/>
    <m/>
    <m/>
    <m/>
    <m/>
    <m/>
    <m/>
    <m/>
    <m/>
    <m/>
    <m/>
    <m/>
    <m/>
    <x v="11"/>
    <n v="0"/>
  </r>
  <r>
    <x v="50"/>
    <n v="7"/>
    <m/>
    <n v="5"/>
    <m/>
    <n v="486"/>
    <n v="486"/>
    <n v="474"/>
    <n v="0.97530864197530864"/>
    <n v="778"/>
    <n v="90"/>
    <n v="60"/>
    <n v="1.0942334739803092"/>
    <n v="778"/>
    <n v="778"/>
    <m/>
    <m/>
    <m/>
    <m/>
    <m/>
    <m/>
    <m/>
    <m/>
    <m/>
    <m/>
    <m/>
    <m/>
    <m/>
    <m/>
    <m/>
    <m/>
    <m/>
    <m/>
    <m/>
    <m/>
    <m/>
    <x v="11"/>
    <n v="0"/>
  </r>
  <r>
    <x v="51"/>
    <n v="9"/>
    <m/>
    <m/>
    <m/>
    <n v="486"/>
    <n v="486"/>
    <n v="477"/>
    <n v="0.98148148148148151"/>
    <n v="785"/>
    <n v="90"/>
    <n v="60"/>
    <n v="1.0971348707197761"/>
    <n v="785"/>
    <n v="785"/>
    <m/>
    <m/>
    <m/>
    <m/>
    <m/>
    <m/>
    <m/>
    <m/>
    <m/>
    <m/>
    <m/>
    <m/>
    <m/>
    <m/>
    <m/>
    <m/>
    <m/>
    <m/>
    <m/>
    <m/>
    <m/>
    <x v="11"/>
    <n v="0"/>
  </r>
  <r>
    <x v="52"/>
    <n v="18"/>
    <m/>
    <n v="93"/>
    <m/>
    <n v="486"/>
    <n v="486"/>
    <n v="375"/>
    <n v="0.77160493827160492"/>
    <n v="868"/>
    <n v="120"/>
    <n v="60"/>
    <n v="1.1573333333333333"/>
    <n v="868"/>
    <n v="868"/>
    <m/>
    <m/>
    <m/>
    <m/>
    <m/>
    <m/>
    <m/>
    <m/>
    <m/>
    <m/>
    <m/>
    <m/>
    <m/>
    <m/>
    <m/>
    <m/>
    <m/>
    <m/>
    <m/>
    <m/>
    <m/>
    <x v="12"/>
    <n v="0"/>
  </r>
  <r>
    <x v="53"/>
    <n v="7"/>
    <n v="5"/>
    <n v="51"/>
    <m/>
    <n v="486"/>
    <n v="486"/>
    <n v="423"/>
    <n v="0.87037037037037035"/>
    <n v="964"/>
    <n v="120"/>
    <n v="60"/>
    <n v="1.1394799054373523"/>
    <n v="962"/>
    <n v="964"/>
    <m/>
    <n v="2"/>
    <m/>
    <m/>
    <m/>
    <m/>
    <m/>
    <m/>
    <m/>
    <m/>
    <m/>
    <m/>
    <m/>
    <m/>
    <m/>
    <m/>
    <m/>
    <m/>
    <m/>
    <m/>
    <m/>
    <x v="12"/>
    <n v="2"/>
  </r>
  <r>
    <x v="54"/>
    <n v="6"/>
    <n v="3"/>
    <m/>
    <n v="60"/>
    <n v="486"/>
    <n v="546"/>
    <n v="537"/>
    <n v="0.98351648351648346"/>
    <n v="1158"/>
    <n v="120"/>
    <n v="60"/>
    <n v="1.0782122905027933"/>
    <n v="1156"/>
    <n v="1158"/>
    <m/>
    <n v="2"/>
    <m/>
    <m/>
    <m/>
    <m/>
    <m/>
    <m/>
    <m/>
    <m/>
    <m/>
    <m/>
    <m/>
    <m/>
    <m/>
    <m/>
    <m/>
    <m/>
    <m/>
    <m/>
    <m/>
    <x v="12"/>
    <n v="2"/>
  </r>
  <r>
    <x v="55"/>
    <n v="6"/>
    <m/>
    <n v="29"/>
    <n v="60"/>
    <n v="486"/>
    <n v="546"/>
    <n v="511"/>
    <n v="0.9358974358974359"/>
    <n v="1049"/>
    <n v="120"/>
    <n v="60"/>
    <n v="1.0264187866927592"/>
    <n v="1047"/>
    <n v="1049"/>
    <m/>
    <n v="2"/>
    <m/>
    <m/>
    <m/>
    <m/>
    <m/>
    <m/>
    <m/>
    <m/>
    <m/>
    <m/>
    <m/>
    <m/>
    <m/>
    <m/>
    <m/>
    <m/>
    <m/>
    <m/>
    <m/>
    <x v="12"/>
    <n v="2"/>
  </r>
  <r>
    <x v="56"/>
    <n v="11"/>
    <m/>
    <m/>
    <n v="60"/>
    <n v="486"/>
    <n v="546"/>
    <n v="535"/>
    <n v="0.97985347985347981"/>
    <n v="1071"/>
    <n v="120"/>
    <n v="60"/>
    <n v="1.0009345794392523"/>
    <n v="1071"/>
    <n v="1071"/>
    <m/>
    <m/>
    <m/>
    <m/>
    <m/>
    <m/>
    <m/>
    <m/>
    <m/>
    <m/>
    <m/>
    <m/>
    <m/>
    <m/>
    <m/>
    <m/>
    <m/>
    <m/>
    <m/>
    <m/>
    <m/>
    <x v="12"/>
    <n v="0"/>
  </r>
  <r>
    <x v="57"/>
    <m/>
    <n v="17"/>
    <m/>
    <n v="60"/>
    <n v="402"/>
    <n v="462"/>
    <n v="445"/>
    <n v="0.96320346320346317"/>
    <n v="923"/>
    <n v="120"/>
    <n v="60"/>
    <n v="1.0370786516853931"/>
    <n v="922"/>
    <n v="923"/>
    <m/>
    <n v="1"/>
    <m/>
    <m/>
    <m/>
    <m/>
    <m/>
    <m/>
    <m/>
    <m/>
    <m/>
    <m/>
    <m/>
    <m/>
    <m/>
    <m/>
    <m/>
    <m/>
    <m/>
    <m/>
    <m/>
    <x v="13"/>
    <n v="1"/>
  </r>
  <r>
    <x v="58"/>
    <n v="24"/>
    <n v="3"/>
    <m/>
    <m/>
    <n v="486"/>
    <n v="486"/>
    <n v="459"/>
    <n v="0.94444444444444442"/>
    <n v="710"/>
    <n v="90"/>
    <n v="60"/>
    <n v="1.0312273057371097"/>
    <n v="710"/>
    <n v="710"/>
    <m/>
    <m/>
    <m/>
    <m/>
    <m/>
    <m/>
    <m/>
    <m/>
    <m/>
    <m/>
    <m/>
    <m/>
    <m/>
    <m/>
    <m/>
    <m/>
    <m/>
    <m/>
    <m/>
    <m/>
    <m/>
    <x v="14"/>
    <n v="0"/>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r>
    <x v="59"/>
    <m/>
    <m/>
    <m/>
    <m/>
    <m/>
    <m/>
    <m/>
    <m/>
    <m/>
    <m/>
    <m/>
    <m/>
    <m/>
    <m/>
    <m/>
    <m/>
    <m/>
    <m/>
    <m/>
    <m/>
    <m/>
    <m/>
    <m/>
    <m/>
    <m/>
    <m/>
    <m/>
    <m/>
    <m/>
    <m/>
    <m/>
    <m/>
    <m/>
    <m/>
    <m/>
    <x v="15"/>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n v="1"/>
    <n v="1"/>
    <x v="0"/>
    <n v="51"/>
    <n v="9"/>
    <m/>
    <n v="0"/>
    <n v="425"/>
    <n v="425"/>
    <n v="365"/>
    <n v="0.85882352941176465"/>
    <n v="1932"/>
    <n v="330"/>
    <n v="60"/>
    <n v="0.96239103362391032"/>
    <n v="1932"/>
    <n v="1932"/>
    <m/>
    <m/>
    <m/>
    <m/>
    <m/>
    <m/>
    <m/>
    <m/>
    <m/>
    <m/>
    <m/>
    <m/>
    <m/>
    <n v="22"/>
    <m/>
    <m/>
    <m/>
    <m/>
    <m/>
    <m/>
    <m/>
    <m/>
    <m/>
    <m/>
    <m/>
    <m/>
    <m/>
    <m/>
    <m/>
    <m/>
    <m/>
    <m/>
    <m/>
    <m/>
    <m/>
    <m/>
    <m/>
    <m/>
    <n v="0"/>
    <n v="1"/>
    <n v="0"/>
    <n v="1"/>
    <n v="0.8265240641711229"/>
  </r>
  <r>
    <n v="2"/>
    <n v="1"/>
    <x v="1"/>
    <m/>
    <m/>
    <n v="525"/>
    <m/>
    <m/>
    <m/>
    <m/>
    <m/>
    <m/>
    <m/>
    <m/>
    <m/>
    <m/>
    <m/>
    <m/>
    <m/>
    <m/>
    <m/>
    <m/>
    <m/>
    <m/>
    <m/>
    <m/>
    <m/>
    <m/>
    <m/>
    <m/>
    <m/>
    <m/>
    <m/>
    <m/>
    <m/>
    <m/>
    <m/>
    <m/>
    <m/>
    <m/>
    <m/>
    <m/>
    <m/>
    <m/>
    <m/>
    <m/>
    <m/>
    <m/>
    <m/>
    <m/>
    <m/>
    <m/>
    <m/>
    <m/>
    <m/>
    <n v="0"/>
    <m/>
    <m/>
    <m/>
    <m/>
  </r>
  <r>
    <n v="3"/>
    <n v="1"/>
    <x v="2"/>
    <n v="81"/>
    <n v="175"/>
    <m/>
    <n v="45"/>
    <n v="425"/>
    <n v="470"/>
    <n v="214"/>
    <n v="0.4553191489361702"/>
    <n v="1190"/>
    <n v="330"/>
    <n v="60"/>
    <n v="1.0110450297366185"/>
    <n v="1070"/>
    <n v="1190"/>
    <n v="100"/>
    <m/>
    <m/>
    <m/>
    <m/>
    <m/>
    <n v="120"/>
    <m/>
    <m/>
    <m/>
    <m/>
    <m/>
    <m/>
    <n v="54"/>
    <m/>
    <m/>
    <m/>
    <m/>
    <m/>
    <m/>
    <m/>
    <m/>
    <m/>
    <m/>
    <m/>
    <m/>
    <m/>
    <m/>
    <m/>
    <m/>
    <m/>
    <m/>
    <m/>
    <m/>
    <m/>
    <m/>
    <m/>
    <m/>
    <n v="120"/>
    <n v="1"/>
    <n v="120"/>
    <n v="0.89915966386554624"/>
    <n v="0.41392649903288198"/>
  </r>
  <r>
    <n v="4"/>
    <n v="1"/>
    <x v="3"/>
    <n v="140"/>
    <n v="18"/>
    <n v="220"/>
    <n v="0"/>
    <n v="425"/>
    <n v="425"/>
    <n v="47"/>
    <n v="0.11058823529411765"/>
    <n v="207"/>
    <n v="330"/>
    <n v="60"/>
    <n v="0.80077369439071577"/>
    <n v="207"/>
    <n v="207"/>
    <n v="100"/>
    <n v="107"/>
    <m/>
    <m/>
    <m/>
    <m/>
    <m/>
    <m/>
    <m/>
    <m/>
    <m/>
    <m/>
    <m/>
    <n v="71"/>
    <m/>
    <m/>
    <m/>
    <m/>
    <m/>
    <m/>
    <m/>
    <m/>
    <m/>
    <m/>
    <m/>
    <m/>
    <m/>
    <m/>
    <m/>
    <m/>
    <m/>
    <m/>
    <m/>
    <m/>
    <m/>
    <m/>
    <m/>
    <m/>
    <n v="0"/>
    <n v="1"/>
    <n v="0"/>
    <n v="1"/>
    <n v="8.855614973262034E-2"/>
  </r>
  <r>
    <n v="5"/>
    <n v="1"/>
    <x v="4"/>
    <n v="47"/>
    <n v="41"/>
    <n v="155"/>
    <m/>
    <n v="425"/>
    <n v="425"/>
    <n v="182"/>
    <n v="0.42823529411764705"/>
    <n v="1170"/>
    <n v="330"/>
    <n v="60"/>
    <n v="1.1688311688311688"/>
    <n v="1088"/>
    <n v="1170"/>
    <n v="100"/>
    <m/>
    <m/>
    <n v="15"/>
    <m/>
    <m/>
    <n v="33"/>
    <n v="12"/>
    <m/>
    <m/>
    <m/>
    <m/>
    <m/>
    <n v="15"/>
    <m/>
    <m/>
    <m/>
    <m/>
    <m/>
    <m/>
    <m/>
    <m/>
    <m/>
    <m/>
    <m/>
    <m/>
    <m/>
    <m/>
    <m/>
    <m/>
    <n v="37"/>
    <m/>
    <m/>
    <m/>
    <m/>
    <m/>
    <m/>
    <m/>
    <n v="82"/>
    <n v="2"/>
    <n v="82"/>
    <n v="0.92991452991452994"/>
    <n v="0.46545454545454545"/>
  </r>
  <r>
    <n v="6"/>
    <n v="2"/>
    <x v="4"/>
    <n v="90"/>
    <n v="10"/>
    <n v="241.76"/>
    <m/>
    <n v="425"/>
    <n v="425"/>
    <n v="83.240000000000009"/>
    <n v="0.19585882352941178"/>
    <n v="462"/>
    <n v="330"/>
    <n v="60"/>
    <n v="1.0091302258529553"/>
    <n v="396"/>
    <n v="462"/>
    <m/>
    <m/>
    <n v="66"/>
    <m/>
    <m/>
    <m/>
    <m/>
    <m/>
    <m/>
    <m/>
    <m/>
    <m/>
    <m/>
    <n v="38"/>
    <m/>
    <m/>
    <m/>
    <m/>
    <m/>
    <m/>
    <m/>
    <m/>
    <m/>
    <m/>
    <m/>
    <m/>
    <m/>
    <m/>
    <m/>
    <m/>
    <m/>
    <m/>
    <m/>
    <m/>
    <m/>
    <m/>
    <m/>
    <m/>
    <n v="66"/>
    <n v="2"/>
    <n v="66"/>
    <n v="0.8571428571428571"/>
    <n v="0.16941176470588235"/>
  </r>
  <r>
    <n v="7"/>
    <n v="1"/>
    <x v="5"/>
    <m/>
    <m/>
    <n v="525"/>
    <m/>
    <m/>
    <m/>
    <m/>
    <m/>
    <m/>
    <m/>
    <m/>
    <m/>
    <m/>
    <m/>
    <m/>
    <m/>
    <m/>
    <m/>
    <m/>
    <m/>
    <m/>
    <m/>
    <m/>
    <m/>
    <m/>
    <m/>
    <m/>
    <m/>
    <m/>
    <m/>
    <m/>
    <m/>
    <m/>
    <m/>
    <m/>
    <m/>
    <m/>
    <m/>
    <m/>
    <m/>
    <m/>
    <m/>
    <m/>
    <m/>
    <m/>
    <m/>
    <m/>
    <m/>
    <m/>
    <m/>
    <m/>
    <m/>
    <n v="0"/>
    <n v="2"/>
    <m/>
    <m/>
    <m/>
  </r>
  <r>
    <n v="8"/>
    <n v="2"/>
    <x v="5"/>
    <n v="161"/>
    <m/>
    <m/>
    <n v="50.769999999999982"/>
    <n v="425"/>
    <n v="475.77"/>
    <n v="314.77"/>
    <n v="0.66160119385417326"/>
    <n v="1747"/>
    <n v="330"/>
    <n v="60"/>
    <n v="1.0091062160827386"/>
    <n v="1747"/>
    <n v="1747"/>
    <n v="89"/>
    <m/>
    <m/>
    <m/>
    <m/>
    <m/>
    <m/>
    <m/>
    <m/>
    <m/>
    <m/>
    <m/>
    <m/>
    <n v="15.7"/>
    <m/>
    <m/>
    <m/>
    <m/>
    <m/>
    <m/>
    <m/>
    <m/>
    <m/>
    <m/>
    <m/>
    <m/>
    <m/>
    <m/>
    <m/>
    <m/>
    <m/>
    <m/>
    <m/>
    <m/>
    <m/>
    <m/>
    <n v="256"/>
    <m/>
    <n v="256"/>
    <n v="2"/>
    <n v="0"/>
    <n v="1"/>
    <n v="0.6676258772860072"/>
  </r>
  <r>
    <n v="9"/>
    <n v="1"/>
    <x v="6"/>
    <n v="145"/>
    <n v="82"/>
    <m/>
    <m/>
    <n v="425"/>
    <n v="425"/>
    <n v="198"/>
    <n v="0.46588235294117647"/>
    <n v="863"/>
    <n v="330"/>
    <n v="60"/>
    <n v="0.79247015610651972"/>
    <n v="745"/>
    <n v="863"/>
    <n v="100"/>
    <m/>
    <m/>
    <m/>
    <m/>
    <m/>
    <m/>
    <m/>
    <m/>
    <m/>
    <m/>
    <m/>
    <m/>
    <n v="9.4499999999999993"/>
    <m/>
    <m/>
    <m/>
    <m/>
    <m/>
    <m/>
    <m/>
    <m/>
    <m/>
    <m/>
    <m/>
    <m/>
    <m/>
    <n v="12"/>
    <n v="23"/>
    <n v="4"/>
    <n v="69"/>
    <n v="10"/>
    <m/>
    <m/>
    <m/>
    <m/>
    <m/>
    <m/>
    <n v="118"/>
    <n v="2"/>
    <n v="118"/>
    <n v="0.86326767091541134"/>
    <n v="0.31871657754010696"/>
  </r>
  <r>
    <n v="10"/>
    <n v="2"/>
    <x v="6"/>
    <n v="225"/>
    <n v="11"/>
    <m/>
    <m/>
    <n v="425"/>
    <n v="425"/>
    <n v="189"/>
    <n v="0.44470588235294117"/>
    <n v="1051"/>
    <n v="330"/>
    <n v="60"/>
    <n v="1.011063011063011"/>
    <n v="883"/>
    <n v="1051"/>
    <m/>
    <n v="160"/>
    <m/>
    <n v="138"/>
    <m/>
    <m/>
    <m/>
    <n v="7"/>
    <m/>
    <m/>
    <m/>
    <m/>
    <m/>
    <n v="69"/>
    <n v="17"/>
    <n v="6"/>
    <m/>
    <m/>
    <m/>
    <m/>
    <m/>
    <m/>
    <m/>
    <m/>
    <m/>
    <m/>
    <m/>
    <m/>
    <m/>
    <m/>
    <m/>
    <m/>
    <m/>
    <m/>
    <m/>
    <m/>
    <m/>
    <m/>
    <n v="30"/>
    <n v="2"/>
    <n v="168"/>
    <n v="0.84015223596574695"/>
    <n v="0.37775401069518716"/>
  </r>
  <r>
    <n v="11"/>
    <n v="1"/>
    <x v="7"/>
    <n v="220"/>
    <n v="13"/>
    <m/>
    <m/>
    <n v="425"/>
    <n v="425"/>
    <n v="192"/>
    <n v="0.45176470588235296"/>
    <n v="1053"/>
    <n v="330"/>
    <n v="60"/>
    <n v="0.99715909090909094"/>
    <n v="1053"/>
    <n v="1053"/>
    <n v="1"/>
    <m/>
    <m/>
    <m/>
    <m/>
    <m/>
    <m/>
    <m/>
    <m/>
    <m/>
    <m/>
    <m/>
    <m/>
    <n v="37"/>
    <m/>
    <m/>
    <m/>
    <m/>
    <m/>
    <m/>
    <m/>
    <m/>
    <m/>
    <m/>
    <m/>
    <m/>
    <m/>
    <m/>
    <m/>
    <m/>
    <m/>
    <m/>
    <m/>
    <m/>
    <m/>
    <m/>
    <m/>
    <m/>
    <n v="0"/>
    <n v="2"/>
    <n v="0"/>
    <n v="1"/>
    <n v="0.45048128342245991"/>
  </r>
  <r>
    <n v="12"/>
    <n v="2"/>
    <x v="7"/>
    <n v="162"/>
    <n v="3"/>
    <m/>
    <n v="320"/>
    <n v="425"/>
    <n v="745"/>
    <n v="580"/>
    <n v="0.77852348993288589"/>
    <n v="3220"/>
    <n v="330"/>
    <n v="60"/>
    <n v="1.0094043887147337"/>
    <n v="3192"/>
    <n v="3220"/>
    <n v="18"/>
    <n v="50"/>
    <m/>
    <m/>
    <m/>
    <m/>
    <m/>
    <m/>
    <m/>
    <m/>
    <m/>
    <m/>
    <m/>
    <n v="29"/>
    <m/>
    <m/>
    <m/>
    <m/>
    <m/>
    <m/>
    <m/>
    <m/>
    <m/>
    <m/>
    <m/>
    <m/>
    <m/>
    <m/>
    <n v="30"/>
    <m/>
    <m/>
    <m/>
    <m/>
    <n v="30"/>
    <m/>
    <m/>
    <m/>
    <m/>
    <n v="30"/>
    <n v="2"/>
    <n v="28"/>
    <n v="0.99130434782608701"/>
    <n v="0.77901159243441132"/>
  </r>
  <r>
    <n v="13"/>
    <n v="1"/>
    <x v="8"/>
    <n v="150"/>
    <n v="80"/>
    <m/>
    <m/>
    <n v="425"/>
    <n v="425"/>
    <n v="195"/>
    <n v="0.45882352941176469"/>
    <n v="1060"/>
    <n v="330"/>
    <n v="60"/>
    <n v="0.9883449883449883"/>
    <n v="902"/>
    <n v="1060"/>
    <n v="100"/>
    <n v="20"/>
    <m/>
    <m/>
    <m/>
    <n v="32"/>
    <m/>
    <m/>
    <m/>
    <m/>
    <m/>
    <m/>
    <m/>
    <n v="9.75"/>
    <m/>
    <m/>
    <m/>
    <m/>
    <m/>
    <m/>
    <m/>
    <m/>
    <m/>
    <m/>
    <m/>
    <m/>
    <m/>
    <n v="1"/>
    <n v="94"/>
    <m/>
    <n v="11"/>
    <m/>
    <m/>
    <m/>
    <m/>
    <m/>
    <m/>
    <m/>
    <n v="138"/>
    <n v="2"/>
    <n v="158"/>
    <n v="0.85094339622641513"/>
    <n v="0.38588235294117645"/>
  </r>
  <r>
    <n v="14"/>
    <n v="1"/>
    <x v="9"/>
    <n v="396"/>
    <n v="58"/>
    <m/>
    <m/>
    <n v="525"/>
    <n v="525"/>
    <n v="71"/>
    <n v="0.13523809523809524"/>
    <n v="327"/>
    <n v="330"/>
    <n v="60"/>
    <n v="0.83738796414852756"/>
    <n v="327"/>
    <n v="327"/>
    <m/>
    <m/>
    <m/>
    <m/>
    <m/>
    <m/>
    <m/>
    <m/>
    <m/>
    <m/>
    <m/>
    <m/>
    <m/>
    <n v="3.55"/>
    <m/>
    <m/>
    <m/>
    <m/>
    <m/>
    <m/>
    <m/>
    <m/>
    <m/>
    <m/>
    <m/>
    <m/>
    <m/>
    <m/>
    <m/>
    <m/>
    <m/>
    <m/>
    <m/>
    <m/>
    <m/>
    <m/>
    <n v="322"/>
    <m/>
    <n v="322"/>
    <n v="3"/>
    <n v="0"/>
    <n v="1"/>
    <n v="0.11324675324675325"/>
  </r>
  <r>
    <n v="15"/>
    <n v="2"/>
    <x v="10"/>
    <n v="39"/>
    <n v="30"/>
    <n v="180"/>
    <m/>
    <n v="425"/>
    <n v="425"/>
    <n v="202"/>
    <n v="0.47529411764705881"/>
    <n v="1125"/>
    <n v="330"/>
    <n v="60"/>
    <n v="1.0126012601260126"/>
    <n v="1035"/>
    <n v="1125"/>
    <n v="100"/>
    <m/>
    <m/>
    <n v="1"/>
    <n v="75"/>
    <m/>
    <n v="9"/>
    <m/>
    <m/>
    <m/>
    <m/>
    <m/>
    <m/>
    <n v="22"/>
    <m/>
    <m/>
    <m/>
    <m/>
    <m/>
    <m/>
    <m/>
    <m/>
    <m/>
    <m/>
    <m/>
    <m/>
    <m/>
    <m/>
    <m/>
    <m/>
    <m/>
    <n v="6"/>
    <m/>
    <m/>
    <m/>
    <m/>
    <m/>
    <m/>
    <n v="90"/>
    <n v="3"/>
    <n v="90"/>
    <n v="0.92"/>
    <n v="0.44278074866310163"/>
  </r>
  <r>
    <n v="16"/>
    <n v="1"/>
    <x v="11"/>
    <n v="46"/>
    <n v="54"/>
    <m/>
    <m/>
    <n v="425"/>
    <n v="425"/>
    <n v="325"/>
    <n v="0.76470588235294112"/>
    <n v="1949"/>
    <n v="330"/>
    <n v="60"/>
    <n v="1.0903496503496504"/>
    <n v="1751"/>
    <n v="1949"/>
    <n v="100"/>
    <m/>
    <m/>
    <m/>
    <n v="82"/>
    <n v="7"/>
    <m/>
    <m/>
    <m/>
    <m/>
    <m/>
    <m/>
    <m/>
    <m/>
    <m/>
    <m/>
    <m/>
    <n v="16"/>
    <m/>
    <m/>
    <m/>
    <m/>
    <m/>
    <m/>
    <m/>
    <m/>
    <m/>
    <n v="59"/>
    <m/>
    <m/>
    <n v="33"/>
    <n v="1"/>
    <m/>
    <m/>
    <m/>
    <m/>
    <m/>
    <m/>
    <n v="198"/>
    <n v="3"/>
    <n v="198"/>
    <n v="0.89840944073884044"/>
    <n v="0.74909090909090903"/>
  </r>
  <r>
    <n v="17"/>
    <n v="2"/>
    <x v="11"/>
    <n v="53"/>
    <n v="84"/>
    <m/>
    <m/>
    <n v="425"/>
    <n v="425"/>
    <n v="288"/>
    <n v="0.67764705882352938"/>
    <n v="1758"/>
    <n v="330"/>
    <n v="60"/>
    <n v="1.1098484848484849"/>
    <n v="1668"/>
    <n v="1758"/>
    <m/>
    <m/>
    <m/>
    <m/>
    <n v="19"/>
    <m/>
    <m/>
    <m/>
    <m/>
    <m/>
    <m/>
    <m/>
    <m/>
    <m/>
    <m/>
    <m/>
    <m/>
    <m/>
    <m/>
    <m/>
    <m/>
    <n v="4"/>
    <n v="20"/>
    <m/>
    <m/>
    <m/>
    <m/>
    <n v="5"/>
    <n v="8"/>
    <n v="24"/>
    <n v="10"/>
    <m/>
    <m/>
    <m/>
    <m/>
    <m/>
    <m/>
    <m/>
    <n v="90"/>
    <n v="3"/>
    <n v="90"/>
    <n v="0.94880546075085326"/>
    <n v="0.7135828877005348"/>
  </r>
  <r>
    <n v="18"/>
    <n v="1"/>
    <x v="12"/>
    <m/>
    <m/>
    <n v="124"/>
    <m/>
    <n v="425"/>
    <n v="425"/>
    <n v="301"/>
    <n v="0.70823529411764707"/>
    <n v="544"/>
    <n v="330"/>
    <n v="60"/>
    <n v="0.32860163092721234"/>
    <n v="428"/>
    <n v="544"/>
    <n v="100"/>
    <m/>
    <m/>
    <m/>
    <m/>
    <n v="3"/>
    <m/>
    <n v="22"/>
    <m/>
    <m/>
    <m/>
    <m/>
    <m/>
    <m/>
    <n v="79"/>
    <m/>
    <m/>
    <m/>
    <m/>
    <m/>
    <m/>
    <m/>
    <n v="12"/>
    <m/>
    <m/>
    <m/>
    <m/>
    <m/>
    <m/>
    <m/>
    <m/>
    <m/>
    <m/>
    <m/>
    <m/>
    <m/>
    <m/>
    <m/>
    <n v="116"/>
    <n v="3"/>
    <n v="116"/>
    <n v="0.78676470588235292"/>
    <n v="0.18310160427807487"/>
  </r>
  <r>
    <n v="19"/>
    <n v="2"/>
    <x v="12"/>
    <n v="2"/>
    <n v="80"/>
    <m/>
    <m/>
    <n v="425"/>
    <n v="425"/>
    <n v="343"/>
    <n v="0.80705882352941172"/>
    <n v="1923"/>
    <n v="330"/>
    <n v="60"/>
    <n v="1.0193479989398357"/>
    <n v="1709"/>
    <n v="1923"/>
    <m/>
    <n v="38"/>
    <m/>
    <m/>
    <n v="13"/>
    <n v="62"/>
    <m/>
    <m/>
    <m/>
    <m/>
    <m/>
    <m/>
    <m/>
    <m/>
    <m/>
    <m/>
    <m/>
    <n v="7"/>
    <m/>
    <m/>
    <m/>
    <m/>
    <m/>
    <m/>
    <m/>
    <m/>
    <n v="7"/>
    <m/>
    <n v="29"/>
    <n v="6"/>
    <n v="1"/>
    <n v="10"/>
    <m/>
    <m/>
    <m/>
    <m/>
    <n v="86"/>
    <m/>
    <n v="214"/>
    <n v="3"/>
    <n v="214"/>
    <n v="0.88871554862194491"/>
    <n v="0.73112299465240638"/>
  </r>
  <r>
    <n v="20"/>
    <n v="1"/>
    <x v="13"/>
    <m/>
    <n v="152"/>
    <m/>
    <m/>
    <n v="425"/>
    <n v="425"/>
    <n v="273"/>
    <n v="0.64235294117647057"/>
    <n v="1840"/>
    <n v="330"/>
    <n v="60"/>
    <n v="1.2254412254412255"/>
    <n v="1736"/>
    <n v="1840"/>
    <n v="100"/>
    <m/>
    <m/>
    <m/>
    <m/>
    <m/>
    <m/>
    <m/>
    <m/>
    <m/>
    <m/>
    <m/>
    <m/>
    <m/>
    <m/>
    <m/>
    <m/>
    <n v="1"/>
    <m/>
    <n v="2"/>
    <m/>
    <m/>
    <m/>
    <m/>
    <m/>
    <m/>
    <m/>
    <n v="29"/>
    <m/>
    <n v="2"/>
    <n v="58"/>
    <n v="12"/>
    <m/>
    <n v="4"/>
    <m/>
    <m/>
    <m/>
    <m/>
    <n v="104"/>
    <n v="3"/>
    <n v="104"/>
    <n v="0.94347826086956521"/>
    <n v="0.74267379679144385"/>
  </r>
  <r>
    <n v="21"/>
    <n v="2"/>
    <x v="13"/>
    <n v="259"/>
    <m/>
    <n v="138"/>
    <m/>
    <n v="425"/>
    <n v="425"/>
    <n v="112.61"/>
    <n v="0.26496470588235294"/>
    <n v="625"/>
    <n v="330"/>
    <n v="60"/>
    <n v="1.0091143205431456"/>
    <n v="457"/>
    <n v="625"/>
    <m/>
    <m/>
    <m/>
    <m/>
    <n v="10"/>
    <n v="23"/>
    <m/>
    <m/>
    <m/>
    <m/>
    <m/>
    <m/>
    <m/>
    <m/>
    <m/>
    <m/>
    <m/>
    <m/>
    <m/>
    <m/>
    <m/>
    <m/>
    <m/>
    <m/>
    <m/>
    <m/>
    <m/>
    <n v="4"/>
    <m/>
    <n v="6"/>
    <n v="69"/>
    <n v="2"/>
    <m/>
    <n v="7"/>
    <m/>
    <m/>
    <n v="54"/>
    <m/>
    <n v="168"/>
    <n v="3"/>
    <n v="168"/>
    <n v="0.73119999999999996"/>
    <n v="0.19550802139037429"/>
  </r>
  <r>
    <n v="22"/>
    <n v="2"/>
    <x v="14"/>
    <n v="163"/>
    <n v="123"/>
    <m/>
    <n v="105.69999999999999"/>
    <n v="525"/>
    <n v="630.70000000000005"/>
    <n v="344.70000000000005"/>
    <n v="0.54653559537022356"/>
    <n v="1724"/>
    <n v="330"/>
    <n v="60"/>
    <n v="0.90935464303610514"/>
    <n v="1671"/>
    <n v="1724"/>
    <n v="100"/>
    <m/>
    <m/>
    <m/>
    <n v="3"/>
    <n v="30"/>
    <n v="20"/>
    <m/>
    <m/>
    <m/>
    <m/>
    <m/>
    <m/>
    <m/>
    <m/>
    <m/>
    <m/>
    <m/>
    <m/>
    <m/>
    <m/>
    <m/>
    <m/>
    <m/>
    <m/>
    <m/>
    <m/>
    <m/>
    <m/>
    <m/>
    <m/>
    <m/>
    <m/>
    <m/>
    <m/>
    <m/>
    <m/>
    <m/>
    <n v="53"/>
    <n v="3"/>
    <n v="53"/>
    <n v="0.96925754060324831"/>
    <n v="0.48171584242616428"/>
  </r>
  <r>
    <n v="23"/>
    <n v="2"/>
    <x v="15"/>
    <n v="20"/>
    <m/>
    <m/>
    <m/>
    <n v="425"/>
    <n v="425"/>
    <n v="405"/>
    <n v="0.95294117647058818"/>
    <n v="2253"/>
    <n v="330"/>
    <n v="60"/>
    <n v="1.0114478114478114"/>
    <n v="2212"/>
    <n v="2253"/>
    <n v="100"/>
    <m/>
    <m/>
    <m/>
    <m/>
    <m/>
    <m/>
    <m/>
    <m/>
    <m/>
    <m/>
    <m/>
    <m/>
    <m/>
    <m/>
    <m/>
    <m/>
    <n v="11"/>
    <m/>
    <m/>
    <m/>
    <m/>
    <m/>
    <m/>
    <m/>
    <m/>
    <n v="5"/>
    <n v="3"/>
    <n v="1"/>
    <n v="13"/>
    <n v="9"/>
    <n v="4"/>
    <m/>
    <m/>
    <n v="6"/>
    <m/>
    <m/>
    <m/>
    <n v="41"/>
    <n v="4"/>
    <n v="41"/>
    <n v="0.98180204172214824"/>
    <n v="0.94631016042780736"/>
  </r>
  <r>
    <n v="24"/>
    <n v="2"/>
    <x v="16"/>
    <n v="166"/>
    <n v="98"/>
    <n v="80"/>
    <n v="270"/>
    <n v="425"/>
    <n v="695"/>
    <n v="351"/>
    <n v="0.50503597122302157"/>
    <n v="1910"/>
    <n v="330"/>
    <n v="60"/>
    <n v="0.98938098938098951"/>
    <n v="1910"/>
    <n v="1910"/>
    <m/>
    <n v="104"/>
    <m/>
    <m/>
    <m/>
    <m/>
    <m/>
    <m/>
    <m/>
    <m/>
    <m/>
    <m/>
    <m/>
    <m/>
    <m/>
    <m/>
    <m/>
    <m/>
    <m/>
    <m/>
    <m/>
    <m/>
    <m/>
    <m/>
    <m/>
    <m/>
    <m/>
    <m/>
    <n v="3"/>
    <n v="10"/>
    <n v="47"/>
    <n v="1"/>
    <m/>
    <m/>
    <n v="14"/>
    <m/>
    <m/>
    <m/>
    <n v="61"/>
    <n v="4"/>
    <n v="61"/>
    <n v="1"/>
    <n v="0.49967298888162204"/>
  </r>
  <r>
    <n v="25"/>
    <n v="2"/>
    <x v="17"/>
    <n v="116"/>
    <n v="12"/>
    <n v="23"/>
    <m/>
    <n v="375"/>
    <n v="375"/>
    <n v="224"/>
    <n v="0.59733333333333338"/>
    <n v="1243"/>
    <n v="330"/>
    <n v="60"/>
    <n v="1.0089285714285714"/>
    <n v="1170"/>
    <n v="1243"/>
    <n v="72"/>
    <m/>
    <m/>
    <m/>
    <m/>
    <m/>
    <m/>
    <m/>
    <m/>
    <m/>
    <m/>
    <m/>
    <m/>
    <m/>
    <m/>
    <m/>
    <m/>
    <m/>
    <m/>
    <m/>
    <m/>
    <m/>
    <m/>
    <m/>
    <m/>
    <m/>
    <m/>
    <n v="2"/>
    <m/>
    <m/>
    <n v="66"/>
    <n v="5"/>
    <m/>
    <m/>
    <n v="3"/>
    <m/>
    <m/>
    <m/>
    <n v="73"/>
    <n v="4"/>
    <n v="73"/>
    <n v="0.94127111826226872"/>
    <n v="0.56727272727272726"/>
  </r>
  <r>
    <n v="26"/>
    <n v="2"/>
    <x v="18"/>
    <n v="104"/>
    <n v="25"/>
    <n v="26"/>
    <m/>
    <n v="375"/>
    <n v="375"/>
    <n v="220"/>
    <n v="0.58666666666666667"/>
    <n v="1222"/>
    <n v="330"/>
    <n v="60"/>
    <n v="1.0099173553719007"/>
    <n v="1144"/>
    <n v="1222"/>
    <n v="100"/>
    <n v="57"/>
    <m/>
    <m/>
    <m/>
    <m/>
    <m/>
    <m/>
    <m/>
    <m/>
    <m/>
    <m/>
    <m/>
    <m/>
    <m/>
    <m/>
    <m/>
    <n v="1"/>
    <m/>
    <m/>
    <m/>
    <m/>
    <m/>
    <m/>
    <m/>
    <m/>
    <n v="8"/>
    <n v="7"/>
    <m/>
    <n v="33"/>
    <n v="36"/>
    <n v="1"/>
    <m/>
    <m/>
    <n v="11"/>
    <m/>
    <m/>
    <m/>
    <n v="78"/>
    <n v="4"/>
    <n v="78"/>
    <n v="0.93617021276595747"/>
    <n v="0.55466666666666664"/>
  </r>
  <r>
    <n v="27"/>
    <n v="2"/>
    <x v="19"/>
    <m/>
    <m/>
    <m/>
    <n v="185"/>
    <n v="425"/>
    <n v="610"/>
    <n v="610"/>
    <n v="1"/>
    <n v="3368"/>
    <n v="330"/>
    <n v="60"/>
    <n v="1.0038748137108793"/>
    <n v="3121"/>
    <n v="3368"/>
    <n v="100"/>
    <n v="165"/>
    <m/>
    <n v="4"/>
    <m/>
    <n v="1"/>
    <n v="1"/>
    <m/>
    <m/>
    <m/>
    <m/>
    <m/>
    <m/>
    <m/>
    <m/>
    <n v="5"/>
    <n v="11"/>
    <n v="39"/>
    <m/>
    <n v="1"/>
    <m/>
    <n v="36"/>
    <m/>
    <m/>
    <m/>
    <m/>
    <n v="12"/>
    <n v="29"/>
    <m/>
    <n v="17"/>
    <n v="100"/>
    <n v="7"/>
    <m/>
    <m/>
    <n v="3"/>
    <m/>
    <m/>
    <m/>
    <n v="247"/>
    <n v="4"/>
    <n v="247"/>
    <n v="0.92666270783847982"/>
    <n v="0.93025335320417291"/>
  </r>
  <r>
    <n v="28"/>
    <n v="2"/>
    <x v="20"/>
    <n v="25"/>
    <m/>
    <m/>
    <m/>
    <n v="375"/>
    <n v="375"/>
    <n v="350"/>
    <n v="0.93333333333333335"/>
    <n v="1945"/>
    <n v="330"/>
    <n v="60"/>
    <n v="1.0103896103896104"/>
    <n v="1935"/>
    <n v="1945"/>
    <n v="100"/>
    <n v="75"/>
    <m/>
    <m/>
    <m/>
    <m/>
    <m/>
    <m/>
    <m/>
    <m/>
    <m/>
    <m/>
    <m/>
    <m/>
    <m/>
    <m/>
    <m/>
    <m/>
    <m/>
    <m/>
    <m/>
    <m/>
    <m/>
    <m/>
    <m/>
    <m/>
    <m/>
    <m/>
    <m/>
    <n v="2"/>
    <n v="8"/>
    <m/>
    <m/>
    <m/>
    <n v="4"/>
    <m/>
    <m/>
    <m/>
    <n v="10"/>
    <n v="5"/>
    <n v="10"/>
    <n v="0.99485861182519275"/>
    <n v="0.93818181818181812"/>
  </r>
  <r>
    <n v="29"/>
    <n v="2"/>
    <x v="21"/>
    <m/>
    <m/>
    <m/>
    <n v="122"/>
    <n v="375"/>
    <n v="497"/>
    <n v="497"/>
    <n v="1"/>
    <n v="2759"/>
    <n v="330"/>
    <n v="60"/>
    <n v="1.0093286994695447"/>
    <n v="2575"/>
    <n v="2759"/>
    <n v="100"/>
    <n v="84"/>
    <m/>
    <m/>
    <m/>
    <m/>
    <m/>
    <m/>
    <m/>
    <m/>
    <m/>
    <m/>
    <m/>
    <m/>
    <m/>
    <m/>
    <m/>
    <n v="2"/>
    <m/>
    <m/>
    <m/>
    <m/>
    <m/>
    <m/>
    <m/>
    <m/>
    <n v="13"/>
    <m/>
    <m/>
    <n v="11"/>
    <n v="38"/>
    <n v="1"/>
    <m/>
    <m/>
    <n v="34"/>
    <m/>
    <m/>
    <m/>
    <n v="52"/>
    <n v="5"/>
    <n v="52"/>
    <n v="0.9333091699891265"/>
    <n v="0.94201573074812528"/>
  </r>
  <r>
    <n v="30"/>
    <n v="2"/>
    <x v="22"/>
    <n v="230"/>
    <n v="24"/>
    <m/>
    <m/>
    <n v="375"/>
    <n v="375"/>
    <n v="121"/>
    <n v="0.32266666666666666"/>
    <n v="674"/>
    <n v="330"/>
    <n v="60"/>
    <n v="1.0127723516153269"/>
    <n v="626"/>
    <n v="674"/>
    <s v=" "/>
    <m/>
    <m/>
    <m/>
    <m/>
    <m/>
    <m/>
    <m/>
    <m/>
    <m/>
    <m/>
    <m/>
    <m/>
    <m/>
    <m/>
    <m/>
    <m/>
    <m/>
    <m/>
    <m/>
    <m/>
    <n v="12"/>
    <m/>
    <m/>
    <m/>
    <m/>
    <n v="10"/>
    <n v="2"/>
    <m/>
    <n v="11"/>
    <n v="23"/>
    <m/>
    <m/>
    <n v="2"/>
    <n v="2"/>
    <m/>
    <m/>
    <m/>
    <n v="48"/>
    <n v="5"/>
    <n v="48"/>
    <n v="0.92878338278931749"/>
    <n v="0.30351515151515152"/>
  </r>
  <r>
    <n v="31"/>
    <n v="2"/>
    <x v="23"/>
    <m/>
    <m/>
    <m/>
    <n v="154"/>
    <n v="375"/>
    <n v="529"/>
    <n v="529"/>
    <n v="1"/>
    <n v="2936"/>
    <n v="330"/>
    <n v="60"/>
    <n v="1.0091080941742567"/>
    <n v="2936"/>
    <n v="2936"/>
    <n v="100"/>
    <n v="98"/>
    <m/>
    <m/>
    <m/>
    <m/>
    <m/>
    <m/>
    <m/>
    <m/>
    <m/>
    <m/>
    <m/>
    <m/>
    <m/>
    <m/>
    <m/>
    <m/>
    <m/>
    <m/>
    <m/>
    <m/>
    <m/>
    <m/>
    <m/>
    <m/>
    <m/>
    <n v="59"/>
    <m/>
    <n v="38"/>
    <n v="14"/>
    <m/>
    <m/>
    <m/>
    <n v="11"/>
    <m/>
    <m/>
    <m/>
    <n v="111"/>
    <n v="5"/>
    <n v="111"/>
    <n v="1"/>
    <n v="1.0091080941742567"/>
  </r>
  <r>
    <n v="33"/>
    <n v="1"/>
    <x v="24"/>
    <m/>
    <m/>
    <m/>
    <n v="128"/>
    <n v="375"/>
    <n v="503"/>
    <n v="503"/>
    <n v="1"/>
    <n v="2735"/>
    <n v="330"/>
    <n v="60"/>
    <n v="0.98861377191397071"/>
    <n v="2661"/>
    <n v="2735"/>
    <n v="100"/>
    <m/>
    <m/>
    <m/>
    <m/>
    <m/>
    <m/>
    <m/>
    <m/>
    <m/>
    <m/>
    <m/>
    <m/>
    <m/>
    <m/>
    <m/>
    <m/>
    <m/>
    <m/>
    <m/>
    <m/>
    <m/>
    <m/>
    <m/>
    <m/>
    <m/>
    <m/>
    <n v="8"/>
    <m/>
    <n v="16"/>
    <n v="25"/>
    <m/>
    <m/>
    <n v="15"/>
    <n v="10"/>
    <m/>
    <m/>
    <m/>
    <n v="74"/>
    <n v="5"/>
    <n v="74"/>
    <n v="0.97294332723948806"/>
    <n v="0.96186517260075899"/>
  </r>
  <r>
    <n v="34"/>
    <n v="1"/>
    <x v="25"/>
    <m/>
    <m/>
    <m/>
    <m/>
    <m/>
    <m/>
    <m/>
    <m/>
    <m/>
    <m/>
    <m/>
    <m/>
    <m/>
    <m/>
    <m/>
    <m/>
    <m/>
    <m/>
    <m/>
    <m/>
    <m/>
    <m/>
    <m/>
    <m/>
    <m/>
    <m/>
    <m/>
    <m/>
    <m/>
    <m/>
    <m/>
    <m/>
    <m/>
    <m/>
    <m/>
    <n v="10"/>
    <m/>
    <m/>
    <n v="12"/>
    <m/>
    <n v="2"/>
    <n v="2"/>
    <m/>
    <n v="2"/>
    <m/>
    <m/>
    <m/>
    <m/>
    <n v="39"/>
    <m/>
    <m/>
    <m/>
    <n v="67"/>
    <n v="6"/>
    <n v="67"/>
    <s v="-"/>
    <s v="-"/>
  </r>
  <r>
    <n v="35"/>
    <n v="2"/>
    <x v="26"/>
    <n v="146"/>
    <m/>
    <n v="16"/>
    <n v="180"/>
    <n v="324"/>
    <n v="504"/>
    <n v="342"/>
    <n v="0.6785714285714286"/>
    <n v="2195"/>
    <n v="330"/>
    <n v="60"/>
    <n v="1.1669324827219563"/>
    <n v="2124"/>
    <n v="2195"/>
    <n v="100"/>
    <n v="75"/>
    <m/>
    <m/>
    <m/>
    <m/>
    <m/>
    <m/>
    <m/>
    <m/>
    <m/>
    <m/>
    <m/>
    <m/>
    <m/>
    <m/>
    <m/>
    <n v="39"/>
    <m/>
    <n v="2"/>
    <m/>
    <m/>
    <m/>
    <m/>
    <m/>
    <m/>
    <m/>
    <m/>
    <m/>
    <n v="1"/>
    <n v="28"/>
    <m/>
    <m/>
    <m/>
    <n v="1"/>
    <m/>
    <m/>
    <m/>
    <n v="71"/>
    <n v="7"/>
    <n v="71"/>
    <n v="0.9676537585421412"/>
    <n v="0.76623376623376616"/>
  </r>
  <r>
    <n v="36"/>
    <n v="2"/>
    <x v="27"/>
    <n v="31"/>
    <m/>
    <n v="20"/>
    <n v="180"/>
    <n v="324"/>
    <n v="504"/>
    <n v="453"/>
    <n v="0.89880952380952384"/>
    <n v="2590"/>
    <n v="330"/>
    <n v="60"/>
    <n v="1.0395344170178609"/>
    <n v="2463"/>
    <n v="2590"/>
    <n v="100"/>
    <m/>
    <m/>
    <n v="2"/>
    <n v="7"/>
    <m/>
    <n v="2"/>
    <m/>
    <m/>
    <m/>
    <m/>
    <m/>
    <m/>
    <m/>
    <m/>
    <m/>
    <n v="30"/>
    <n v="17"/>
    <m/>
    <m/>
    <m/>
    <m/>
    <m/>
    <m/>
    <m/>
    <n v="7"/>
    <m/>
    <n v="18"/>
    <n v="15"/>
    <n v="11"/>
    <n v="11"/>
    <n v="1"/>
    <m/>
    <n v="8"/>
    <m/>
    <m/>
    <m/>
    <m/>
    <n v="127"/>
    <n v="7"/>
    <n v="127"/>
    <n v="0.95096525096525097"/>
    <n v="0.88852813852813861"/>
  </r>
  <r>
    <n v="37"/>
    <n v="2"/>
    <x v="28"/>
    <n v="64"/>
    <m/>
    <n v="167"/>
    <n v="60"/>
    <n v="286"/>
    <n v="346"/>
    <n v="115"/>
    <n v="0.33236994219653176"/>
    <n v="711"/>
    <n v="330"/>
    <n v="60"/>
    <n v="1.1241106719367591"/>
    <n v="557"/>
    <n v="711"/>
    <n v="100"/>
    <m/>
    <m/>
    <m/>
    <n v="10"/>
    <m/>
    <m/>
    <m/>
    <m/>
    <m/>
    <m/>
    <m/>
    <m/>
    <m/>
    <m/>
    <m/>
    <m/>
    <n v="14"/>
    <m/>
    <m/>
    <m/>
    <m/>
    <m/>
    <m/>
    <m/>
    <m/>
    <m/>
    <n v="2"/>
    <n v="62"/>
    <m/>
    <n v="45"/>
    <n v="1"/>
    <m/>
    <n v="20"/>
    <m/>
    <m/>
    <m/>
    <m/>
    <n v="154"/>
    <n v="7"/>
    <n v="154"/>
    <n v="0.78340365682137836"/>
    <n v="0.2926957435627956"/>
  </r>
  <r>
    <n v="38"/>
    <n v="2"/>
    <x v="29"/>
    <n v="18"/>
    <n v="78"/>
    <m/>
    <n v="180"/>
    <n v="375"/>
    <n v="555"/>
    <n v="459"/>
    <n v="0.82702702702702702"/>
    <n v="2553"/>
    <n v="330"/>
    <n v="60"/>
    <n v="1.0112893642305407"/>
    <n v="2520"/>
    <n v="2553"/>
    <n v="100"/>
    <m/>
    <m/>
    <m/>
    <m/>
    <m/>
    <m/>
    <m/>
    <m/>
    <m/>
    <m/>
    <m/>
    <m/>
    <m/>
    <m/>
    <m/>
    <m/>
    <m/>
    <m/>
    <m/>
    <m/>
    <n v="5"/>
    <m/>
    <m/>
    <m/>
    <m/>
    <m/>
    <n v="6"/>
    <m/>
    <n v="8"/>
    <n v="2"/>
    <n v="3"/>
    <m/>
    <m/>
    <n v="9"/>
    <m/>
    <m/>
    <m/>
    <n v="33"/>
    <n v="7"/>
    <n v="33"/>
    <n v="0.98707403055229137"/>
    <n v="0.82555282555282561"/>
  </r>
  <r>
    <n v="39"/>
    <n v="2"/>
    <x v="30"/>
    <m/>
    <m/>
    <m/>
    <m/>
    <n v="465"/>
    <n v="465"/>
    <n v="465"/>
    <n v="1"/>
    <n v="2444"/>
    <n v="330"/>
    <n v="60"/>
    <n v="0.95562072336265891"/>
    <n v="2279"/>
    <n v="2444"/>
    <n v="100"/>
    <m/>
    <m/>
    <m/>
    <m/>
    <m/>
    <m/>
    <m/>
    <m/>
    <m/>
    <m/>
    <m/>
    <m/>
    <m/>
    <m/>
    <m/>
    <m/>
    <n v="11"/>
    <m/>
    <n v="39"/>
    <m/>
    <n v="28"/>
    <m/>
    <m/>
    <m/>
    <n v="3"/>
    <n v="10"/>
    <n v="1"/>
    <n v="2"/>
    <n v="9"/>
    <n v="63"/>
    <m/>
    <m/>
    <m/>
    <n v="9"/>
    <m/>
    <m/>
    <m/>
    <n v="165"/>
    <n v="7"/>
    <n v="165"/>
    <n v="0.93248772504091648"/>
    <n v="0.89110459433040079"/>
  </r>
  <r>
    <n v="40"/>
    <n v="1"/>
    <x v="31"/>
    <n v="60"/>
    <n v="18"/>
    <n v="230"/>
    <n v="145"/>
    <n v="416"/>
    <n v="561"/>
    <n v="483"/>
    <n v="0.86096256684491979"/>
    <n v="2814"/>
    <n v="330"/>
    <n v="60"/>
    <n v="1.059288537549407"/>
    <n v="2777"/>
    <n v="2814"/>
    <n v="100"/>
    <m/>
    <m/>
    <m/>
    <m/>
    <m/>
    <m/>
    <m/>
    <m/>
    <m/>
    <m/>
    <m/>
    <m/>
    <m/>
    <m/>
    <m/>
    <m/>
    <m/>
    <m/>
    <m/>
    <m/>
    <n v="6"/>
    <m/>
    <m/>
    <m/>
    <n v="1"/>
    <m/>
    <m/>
    <n v="22"/>
    <n v="3"/>
    <m/>
    <n v="1"/>
    <m/>
    <m/>
    <n v="4"/>
    <m/>
    <n v="145"/>
    <m/>
    <n v="37"/>
    <n v="8"/>
    <n v="37"/>
    <n v="0.98685145700071075"/>
    <n v="0.90001620482903899"/>
  </r>
  <r>
    <n v="41"/>
    <n v="2"/>
    <x v="32"/>
    <m/>
    <m/>
    <n v="108"/>
    <m/>
    <n v="375"/>
    <n v="375"/>
    <n v="267"/>
    <n v="0.71199999999999997"/>
    <n v="1558"/>
    <n v="330"/>
    <n v="60"/>
    <n v="1.0609465440926116"/>
    <n v="1337"/>
    <n v="1558"/>
    <n v="115"/>
    <m/>
    <m/>
    <m/>
    <m/>
    <m/>
    <m/>
    <m/>
    <m/>
    <m/>
    <m/>
    <m/>
    <m/>
    <m/>
    <m/>
    <m/>
    <m/>
    <m/>
    <m/>
    <m/>
    <m/>
    <n v="8"/>
    <n v="151"/>
    <m/>
    <m/>
    <n v="6"/>
    <m/>
    <n v="3"/>
    <n v="9"/>
    <n v="11"/>
    <n v="11"/>
    <n v="1"/>
    <m/>
    <n v="2"/>
    <n v="19"/>
    <m/>
    <m/>
    <m/>
    <n v="221"/>
    <n v="8"/>
    <n v="221"/>
    <n v="0.85815147625160459"/>
    <n v="0.64824242424242418"/>
  </r>
  <r>
    <n v="42"/>
    <n v="2"/>
    <x v="33"/>
    <m/>
    <m/>
    <m/>
    <m/>
    <n v="495"/>
    <n v="495"/>
    <n v="495"/>
    <n v="1"/>
    <n v="2464"/>
    <n v="330"/>
    <n v="60"/>
    <n v="0.90505050505050511"/>
    <n v="2438"/>
    <n v="2464"/>
    <n v="100"/>
    <n v="138"/>
    <m/>
    <m/>
    <m/>
    <m/>
    <m/>
    <m/>
    <m/>
    <m/>
    <m/>
    <m/>
    <m/>
    <m/>
    <m/>
    <m/>
    <m/>
    <m/>
    <m/>
    <m/>
    <m/>
    <n v="4"/>
    <m/>
    <m/>
    <m/>
    <n v="2"/>
    <m/>
    <m/>
    <m/>
    <m/>
    <n v="11"/>
    <n v="9"/>
    <m/>
    <m/>
    <m/>
    <m/>
    <m/>
    <m/>
    <n v="26"/>
    <n v="8"/>
    <n v="26"/>
    <n v="0.98944805194805197"/>
    <n v="0.89550045913682286"/>
  </r>
  <r>
    <n v="43"/>
    <n v="1"/>
    <x v="34"/>
    <n v="28"/>
    <m/>
    <n v="80"/>
    <n v="180"/>
    <n v="495"/>
    <n v="675"/>
    <n v="567"/>
    <n v="0.84"/>
    <n v="3149"/>
    <n v="330"/>
    <n v="60"/>
    <n v="1.0097803431136765"/>
    <n v="3088"/>
    <n v="3149"/>
    <n v="100"/>
    <n v="88"/>
    <m/>
    <m/>
    <m/>
    <m/>
    <m/>
    <m/>
    <m/>
    <m/>
    <m/>
    <m/>
    <m/>
    <m/>
    <m/>
    <m/>
    <m/>
    <n v="7"/>
    <m/>
    <m/>
    <m/>
    <m/>
    <m/>
    <m/>
    <m/>
    <m/>
    <m/>
    <n v="2"/>
    <m/>
    <m/>
    <n v="4"/>
    <n v="13"/>
    <m/>
    <m/>
    <n v="35"/>
    <m/>
    <m/>
    <m/>
    <n v="61"/>
    <n v="8"/>
    <n v="61"/>
    <n v="0.98062877103842494"/>
    <n v="0.83178451178451185"/>
  </r>
  <r>
    <n v="44"/>
    <n v="1"/>
    <x v="35"/>
    <m/>
    <n v="25"/>
    <m/>
    <n v="147"/>
    <n v="465"/>
    <n v="612"/>
    <n v="587"/>
    <n v="0.95915032679738566"/>
    <n v="3341"/>
    <n v="330"/>
    <n v="60"/>
    <n v="1.0348459036704352"/>
    <n v="3229"/>
    <n v="3341"/>
    <n v="100"/>
    <m/>
    <m/>
    <m/>
    <m/>
    <m/>
    <m/>
    <m/>
    <m/>
    <m/>
    <m/>
    <m/>
    <m/>
    <m/>
    <m/>
    <m/>
    <m/>
    <m/>
    <m/>
    <m/>
    <m/>
    <m/>
    <m/>
    <m/>
    <m/>
    <m/>
    <m/>
    <n v="7"/>
    <n v="14"/>
    <n v="9"/>
    <n v="26"/>
    <m/>
    <m/>
    <n v="24"/>
    <n v="32"/>
    <m/>
    <m/>
    <m/>
    <n v="112"/>
    <n v="8"/>
    <n v="112"/>
    <n v="0.9664771026638731"/>
    <n v="0.95929887106357703"/>
  </r>
  <r>
    <n v="46"/>
    <n v="2"/>
    <x v="36"/>
    <n v="68"/>
    <m/>
    <n v="72"/>
    <m/>
    <n v="400"/>
    <n v="400"/>
    <n v="261"/>
    <n v="0.65249999999999997"/>
    <n v="1847"/>
    <n v="330"/>
    <n v="60"/>
    <n v="1.286659700452804"/>
    <n v="1789"/>
    <n v="1847"/>
    <n v="100"/>
    <n v="83"/>
    <m/>
    <m/>
    <m/>
    <m/>
    <m/>
    <m/>
    <m/>
    <m/>
    <m/>
    <m/>
    <m/>
    <m/>
    <m/>
    <m/>
    <m/>
    <m/>
    <m/>
    <n v="4"/>
    <m/>
    <n v="4"/>
    <m/>
    <m/>
    <m/>
    <m/>
    <m/>
    <n v="4"/>
    <n v="12"/>
    <n v="10"/>
    <n v="24"/>
    <m/>
    <m/>
    <m/>
    <m/>
    <m/>
    <m/>
    <m/>
    <n v="58"/>
    <n v="9"/>
    <n v="58"/>
    <n v="0.9685977260422306"/>
    <n v="0.81318181818181823"/>
  </r>
  <r>
    <n v="47"/>
    <n v="1"/>
    <x v="37"/>
    <n v="49"/>
    <n v="8"/>
    <m/>
    <m/>
    <n v="446"/>
    <n v="446"/>
    <n v="389"/>
    <n v="0.87219730941704032"/>
    <n v="2268"/>
    <n v="330"/>
    <n v="60"/>
    <n v="1.0600607618602478"/>
    <n v="2223"/>
    <n v="2268"/>
    <n v="100"/>
    <m/>
    <m/>
    <m/>
    <m/>
    <n v="1"/>
    <m/>
    <m/>
    <m/>
    <m/>
    <m/>
    <m/>
    <m/>
    <m/>
    <m/>
    <m/>
    <m/>
    <m/>
    <m/>
    <m/>
    <m/>
    <m/>
    <m/>
    <m/>
    <m/>
    <n v="2"/>
    <m/>
    <n v="14"/>
    <n v="9"/>
    <m/>
    <n v="7"/>
    <n v="1"/>
    <m/>
    <m/>
    <n v="11"/>
    <m/>
    <m/>
    <m/>
    <n v="45"/>
    <n v="9"/>
    <n v="45"/>
    <n v="0.98015873015873012"/>
    <n v="0.90623726049735021"/>
  </r>
  <r>
    <n v="48"/>
    <n v="1"/>
    <x v="38"/>
    <n v="55"/>
    <m/>
    <n v="146"/>
    <n v="100"/>
    <n v="480"/>
    <n v="580"/>
    <n v="379"/>
    <n v="0.65344827586206899"/>
    <n v="1923"/>
    <n v="330"/>
    <n v="60"/>
    <n v="0.92252338690333413"/>
    <n v="1841"/>
    <n v="1923"/>
    <n v="100"/>
    <n v="160"/>
    <m/>
    <m/>
    <m/>
    <m/>
    <m/>
    <m/>
    <m/>
    <m/>
    <m/>
    <m/>
    <m/>
    <m/>
    <m/>
    <m/>
    <m/>
    <n v="11"/>
    <m/>
    <n v="1"/>
    <m/>
    <m/>
    <m/>
    <m/>
    <m/>
    <n v="4"/>
    <m/>
    <n v="25"/>
    <n v="3"/>
    <m/>
    <n v="18"/>
    <n v="3"/>
    <m/>
    <m/>
    <n v="17"/>
    <m/>
    <m/>
    <m/>
    <n v="82"/>
    <n v="10"/>
    <n v="82"/>
    <n v="0.95735829433177322"/>
    <n v="0.57711598746081505"/>
  </r>
  <r>
    <n v="49"/>
    <n v="1"/>
    <x v="39"/>
    <n v="61"/>
    <m/>
    <n v="81"/>
    <n v="270"/>
    <n v="480"/>
    <n v="750"/>
    <n v="608"/>
    <n v="0.81066666666666665"/>
    <n v="3459"/>
    <n v="330"/>
    <n v="60"/>
    <n v="1.0343899521531101"/>
    <n v="3268"/>
    <n v="3459"/>
    <n v="144"/>
    <m/>
    <m/>
    <m/>
    <m/>
    <m/>
    <m/>
    <m/>
    <m/>
    <m/>
    <m/>
    <m/>
    <m/>
    <m/>
    <m/>
    <m/>
    <n v="22"/>
    <n v="110"/>
    <m/>
    <m/>
    <m/>
    <n v="14"/>
    <m/>
    <m/>
    <m/>
    <m/>
    <n v="3"/>
    <n v="17"/>
    <n v="8"/>
    <n v="2"/>
    <n v="4"/>
    <n v="5"/>
    <m/>
    <m/>
    <n v="6"/>
    <m/>
    <m/>
    <m/>
    <n v="191"/>
    <n v="10"/>
    <n v="191"/>
    <n v="0.94478172882335931"/>
    <n v="0.7922424242424243"/>
  </r>
  <r>
    <n v="50"/>
    <n v="1"/>
    <x v="40"/>
    <n v="40"/>
    <m/>
    <n v="165"/>
    <n v="270"/>
    <n v="480"/>
    <n v="750"/>
    <n v="545"/>
    <n v="0.72666666666666668"/>
    <n v="3387"/>
    <n v="330"/>
    <n v="60"/>
    <n v="1.1299416180150126"/>
    <n v="3317"/>
    <n v="3387"/>
    <n v="125"/>
    <m/>
    <m/>
    <m/>
    <n v="3"/>
    <n v="2"/>
    <m/>
    <m/>
    <m/>
    <m/>
    <m/>
    <m/>
    <m/>
    <m/>
    <m/>
    <m/>
    <m/>
    <m/>
    <n v="5"/>
    <m/>
    <m/>
    <n v="6"/>
    <m/>
    <m/>
    <m/>
    <m/>
    <m/>
    <m/>
    <m/>
    <n v="3"/>
    <n v="6"/>
    <n v="13"/>
    <n v="32"/>
    <m/>
    <m/>
    <m/>
    <m/>
    <m/>
    <n v="70"/>
    <n v="10"/>
    <n v="70"/>
    <n v="0.97933274284027161"/>
    <n v="0.80412121212121224"/>
  </r>
  <r>
    <s v="   "/>
    <n v="1"/>
    <x v="41"/>
    <m/>
    <m/>
    <n v="29"/>
    <m/>
    <n v="530"/>
    <n v="530"/>
    <n v="501"/>
    <n v="0.94528301886792454"/>
    <n v="2816"/>
    <n v="330"/>
    <n v="60"/>
    <n v="1.0219560878243512"/>
    <n v="2807"/>
    <n v="2816"/>
    <n v="100"/>
    <m/>
    <m/>
    <m/>
    <m/>
    <n v="1"/>
    <m/>
    <m/>
    <m/>
    <m/>
    <m/>
    <m/>
    <m/>
    <m/>
    <m/>
    <m/>
    <m/>
    <n v="1"/>
    <m/>
    <m/>
    <m/>
    <m/>
    <m/>
    <m/>
    <m/>
    <m/>
    <m/>
    <m/>
    <m/>
    <n v="1"/>
    <n v="5"/>
    <n v="1"/>
    <m/>
    <m/>
    <m/>
    <m/>
    <m/>
    <m/>
    <n v="9"/>
    <n v="10"/>
    <n v="9"/>
    <n v="0.99680397727272729"/>
    <n v="0.96295025728987982"/>
  </r>
  <r>
    <n v="52"/>
    <n v="1"/>
    <x v="42"/>
    <m/>
    <m/>
    <n v="44"/>
    <m/>
    <n v="480"/>
    <n v="480"/>
    <n v="436"/>
    <n v="0.90833333333333333"/>
    <n v="2140"/>
    <n v="330"/>
    <n v="60"/>
    <n v="0.89241034195162627"/>
    <n v="2120"/>
    <n v="2140"/>
    <n v="80"/>
    <m/>
    <m/>
    <m/>
    <m/>
    <m/>
    <m/>
    <m/>
    <m/>
    <m/>
    <m/>
    <m/>
    <m/>
    <m/>
    <m/>
    <m/>
    <m/>
    <m/>
    <n v="2"/>
    <m/>
    <m/>
    <m/>
    <m/>
    <m/>
    <m/>
    <n v="1"/>
    <m/>
    <m/>
    <m/>
    <n v="5"/>
    <n v="10"/>
    <n v="1"/>
    <m/>
    <m/>
    <n v="1"/>
    <m/>
    <m/>
    <m/>
    <n v="20"/>
    <n v="11"/>
    <n v="20"/>
    <n v="0.99065420560747663"/>
    <n v="0.80303030303030298"/>
  </r>
  <r>
    <n v="53"/>
    <n v="1"/>
    <x v="43"/>
    <m/>
    <m/>
    <n v="67"/>
    <m/>
    <n v="480"/>
    <n v="480"/>
    <n v="413"/>
    <n v="0.86041666666666672"/>
    <n v="2417"/>
    <n v="330"/>
    <n v="60"/>
    <n v="1.0640545894783182"/>
    <n v="2362"/>
    <n v="2417"/>
    <n v="100"/>
    <n v="76"/>
    <m/>
    <m/>
    <m/>
    <m/>
    <m/>
    <m/>
    <m/>
    <m/>
    <m/>
    <m/>
    <m/>
    <m/>
    <n v="5"/>
    <m/>
    <m/>
    <m/>
    <n v="2"/>
    <m/>
    <m/>
    <m/>
    <m/>
    <m/>
    <m/>
    <m/>
    <m/>
    <m/>
    <m/>
    <m/>
    <n v="8"/>
    <n v="2"/>
    <n v="30"/>
    <m/>
    <n v="8"/>
    <m/>
    <m/>
    <m/>
    <n v="55"/>
    <n v="11"/>
    <n v="55"/>
    <n v="0.97724451799751755"/>
    <n v="0.89469696969696966"/>
  </r>
  <r>
    <n v="54"/>
    <n v="1"/>
    <x v="44"/>
    <n v="20"/>
    <m/>
    <n v="11"/>
    <n v="10"/>
    <n v="480"/>
    <n v="490"/>
    <n v="459"/>
    <n v="0.93673469387755104"/>
    <n v="2666"/>
    <n v="330"/>
    <n v="60"/>
    <n v="1.0560507031095265"/>
    <n v="2628"/>
    <n v="2666"/>
    <n v="68"/>
    <m/>
    <m/>
    <m/>
    <m/>
    <m/>
    <m/>
    <m/>
    <m/>
    <m/>
    <m/>
    <m/>
    <m/>
    <m/>
    <m/>
    <m/>
    <m/>
    <m/>
    <n v="5"/>
    <n v="1"/>
    <m/>
    <n v="21"/>
    <m/>
    <m/>
    <m/>
    <m/>
    <m/>
    <m/>
    <m/>
    <n v="3"/>
    <n v="3"/>
    <n v="5"/>
    <m/>
    <m/>
    <m/>
    <m/>
    <m/>
    <m/>
    <n v="38"/>
    <n v="11"/>
    <n v="38"/>
    <n v="0.98574643660915229"/>
    <n v="0.97513914656771794"/>
  </r>
  <r>
    <n v="55"/>
    <n v="1"/>
    <x v="45"/>
    <n v="30"/>
    <m/>
    <n v="30"/>
    <n v="60"/>
    <n v="480"/>
    <n v="540"/>
    <n v="480"/>
    <n v="0.88888888888888884"/>
    <n v="2723"/>
    <n v="330"/>
    <n v="60"/>
    <n v="1.031439393939394"/>
    <n v="2681"/>
    <n v="2723"/>
    <n v="100"/>
    <n v="115"/>
    <m/>
    <m/>
    <m/>
    <m/>
    <m/>
    <m/>
    <m/>
    <m/>
    <m/>
    <m/>
    <m/>
    <m/>
    <m/>
    <m/>
    <m/>
    <m/>
    <n v="3"/>
    <n v="2"/>
    <m/>
    <n v="17"/>
    <m/>
    <m/>
    <m/>
    <m/>
    <m/>
    <n v="2"/>
    <m/>
    <n v="2"/>
    <n v="9"/>
    <n v="7"/>
    <m/>
    <m/>
    <m/>
    <m/>
    <m/>
    <m/>
    <n v="42"/>
    <n v="11"/>
    <n v="42"/>
    <n v="0.98457583547557836"/>
    <n v="0.90269360269360255"/>
  </r>
  <r>
    <n v="56"/>
    <n v="1"/>
    <x v="46"/>
    <n v="27"/>
    <n v="14"/>
    <m/>
    <n v="0"/>
    <n v="400"/>
    <n v="400"/>
    <n v="359"/>
    <n v="0.89749999999999996"/>
    <n v="2024"/>
    <n v="330"/>
    <n v="60"/>
    <n v="1.0250696378830084"/>
    <n v="1959"/>
    <n v="2024"/>
    <n v="97"/>
    <m/>
    <m/>
    <m/>
    <m/>
    <m/>
    <m/>
    <m/>
    <m/>
    <m/>
    <m/>
    <m/>
    <m/>
    <m/>
    <m/>
    <m/>
    <m/>
    <m/>
    <m/>
    <m/>
    <m/>
    <n v="46"/>
    <m/>
    <m/>
    <m/>
    <m/>
    <n v="2"/>
    <n v="2"/>
    <n v="1"/>
    <n v="7"/>
    <n v="1"/>
    <n v="6"/>
    <m/>
    <m/>
    <m/>
    <m/>
    <m/>
    <m/>
    <n v="65"/>
    <n v="11"/>
    <n v="65"/>
    <n v="0.96788537549407117"/>
    <n v="0.8904545454545455"/>
  </r>
  <r>
    <n v="57"/>
    <n v="1"/>
    <x v="47"/>
    <m/>
    <m/>
    <n v="90"/>
    <n v="20"/>
    <n v="325"/>
    <n v="345"/>
    <n v="255"/>
    <n v="0.73913043478260865"/>
    <n v="1501"/>
    <n v="330"/>
    <n v="60"/>
    <n v="1.0702317290552585"/>
    <n v="1409"/>
    <n v="1501"/>
    <n v="100"/>
    <m/>
    <m/>
    <m/>
    <m/>
    <m/>
    <m/>
    <m/>
    <m/>
    <m/>
    <m/>
    <m/>
    <m/>
    <m/>
    <m/>
    <m/>
    <m/>
    <m/>
    <m/>
    <m/>
    <m/>
    <n v="92"/>
    <m/>
    <m/>
    <m/>
    <m/>
    <m/>
    <m/>
    <m/>
    <m/>
    <m/>
    <m/>
    <m/>
    <m/>
    <m/>
    <m/>
    <m/>
    <m/>
    <n v="92"/>
    <n v="12"/>
    <n v="92"/>
    <n v="0.93870752831445703"/>
    <n v="0.74255599472990774"/>
  </r>
  <r>
    <n v="58"/>
    <n v="1"/>
    <x v="48"/>
    <n v="36"/>
    <m/>
    <m/>
    <n v="51"/>
    <n v="480"/>
    <n v="531"/>
    <n v="495"/>
    <n v="0.93220338983050843"/>
    <n v="2780"/>
    <n v="330"/>
    <n v="60"/>
    <n v="1.0211202938475665"/>
    <n v="2746"/>
    <n v="2780"/>
    <n v="100"/>
    <m/>
    <m/>
    <m/>
    <m/>
    <m/>
    <m/>
    <m/>
    <m/>
    <m/>
    <m/>
    <m/>
    <m/>
    <m/>
    <m/>
    <m/>
    <m/>
    <m/>
    <n v="5"/>
    <n v="1"/>
    <m/>
    <m/>
    <m/>
    <m/>
    <m/>
    <m/>
    <m/>
    <n v="5"/>
    <n v="4"/>
    <n v="2"/>
    <n v="16"/>
    <n v="1"/>
    <m/>
    <m/>
    <m/>
    <m/>
    <m/>
    <m/>
    <n v="34"/>
    <n v="12"/>
    <n v="34"/>
    <n v="0.98776978417266192"/>
    <n v="0.94024995719910964"/>
  </r>
  <r>
    <n v="59"/>
    <n v="1"/>
    <x v="49"/>
    <m/>
    <n v="52"/>
    <m/>
    <n v="0"/>
    <n v="480"/>
    <n v="480"/>
    <n v="428"/>
    <n v="0.89166666666666672"/>
    <n v="2519"/>
    <n v="330"/>
    <n v="60"/>
    <n v="1.0700934579439252"/>
    <n v="2496"/>
    <n v="2519"/>
    <n v="100"/>
    <m/>
    <m/>
    <m/>
    <m/>
    <n v="8"/>
    <m/>
    <m/>
    <m/>
    <m/>
    <m/>
    <m/>
    <m/>
    <m/>
    <m/>
    <m/>
    <m/>
    <m/>
    <m/>
    <n v="3"/>
    <m/>
    <m/>
    <m/>
    <m/>
    <m/>
    <m/>
    <n v="2"/>
    <m/>
    <m/>
    <m/>
    <n v="5"/>
    <n v="5"/>
    <m/>
    <m/>
    <m/>
    <m/>
    <m/>
    <m/>
    <n v="23"/>
    <n v="12"/>
    <n v="23"/>
    <n v="0.99086939261611751"/>
    <n v="0.94545454545454555"/>
  </r>
  <r>
    <n v="60"/>
    <n v="1"/>
    <x v="50"/>
    <m/>
    <n v="23"/>
    <m/>
    <n v="15"/>
    <n v="480"/>
    <n v="495"/>
    <n v="472"/>
    <n v="0.95353535353535357"/>
    <n v="2857"/>
    <n v="330"/>
    <n v="60"/>
    <n v="1.1005392912172574"/>
    <n v="2814"/>
    <n v="2857"/>
    <n v="100"/>
    <n v="125"/>
    <m/>
    <m/>
    <m/>
    <m/>
    <m/>
    <m/>
    <m/>
    <m/>
    <m/>
    <m/>
    <m/>
    <m/>
    <m/>
    <m/>
    <m/>
    <n v="1"/>
    <n v="7"/>
    <m/>
    <m/>
    <n v="9"/>
    <m/>
    <m/>
    <m/>
    <m/>
    <m/>
    <n v="10"/>
    <m/>
    <n v="7"/>
    <n v="3"/>
    <n v="6"/>
    <m/>
    <m/>
    <m/>
    <m/>
    <m/>
    <m/>
    <n v="43"/>
    <n v="12"/>
    <n v="43"/>
    <n v="0.98494924746237311"/>
    <n v="1.0336088154269973"/>
  </r>
  <r>
    <n v="61"/>
    <n v="1"/>
    <x v="51"/>
    <n v="8"/>
    <m/>
    <n v="60"/>
    <m/>
    <n v="480"/>
    <n v="480"/>
    <n v="412"/>
    <n v="0.85833333333333328"/>
    <n v="2589"/>
    <n v="330"/>
    <n v="60"/>
    <n v="1.1425419240953223"/>
    <n v="2524"/>
    <n v="2589"/>
    <n v="100"/>
    <m/>
    <m/>
    <m/>
    <m/>
    <m/>
    <n v="20"/>
    <m/>
    <m/>
    <m/>
    <m/>
    <m/>
    <m/>
    <m/>
    <m/>
    <m/>
    <m/>
    <n v="19"/>
    <n v="5"/>
    <m/>
    <m/>
    <m/>
    <m/>
    <m/>
    <m/>
    <m/>
    <m/>
    <n v="5"/>
    <n v="5"/>
    <n v="2"/>
    <n v="8"/>
    <n v="1"/>
    <m/>
    <m/>
    <m/>
    <m/>
    <m/>
    <m/>
    <n v="65"/>
    <n v="13"/>
    <n v="65"/>
    <n v="0.97489378138277327"/>
    <n v="0.95606060606060606"/>
  </r>
  <r>
    <n v="62"/>
    <n v="1"/>
    <x v="52"/>
    <n v="101"/>
    <m/>
    <n v="124"/>
    <n v="105"/>
    <n v="444"/>
    <n v="549"/>
    <n v="324"/>
    <n v="0.5901639344262295"/>
    <n v="1400"/>
    <n v="330"/>
    <n v="60"/>
    <n v="0.78563411896745228"/>
    <n v="1334"/>
    <n v="1400"/>
    <n v="100"/>
    <n v="160"/>
    <m/>
    <m/>
    <m/>
    <m/>
    <m/>
    <m/>
    <m/>
    <m/>
    <m/>
    <m/>
    <m/>
    <m/>
    <m/>
    <m/>
    <m/>
    <n v="3"/>
    <m/>
    <n v="6"/>
    <m/>
    <m/>
    <m/>
    <m/>
    <m/>
    <m/>
    <n v="12"/>
    <m/>
    <m/>
    <n v="21"/>
    <n v="5"/>
    <n v="3"/>
    <n v="12"/>
    <m/>
    <n v="4"/>
    <m/>
    <n v="180"/>
    <n v="287"/>
    <n v="66"/>
    <n v="13"/>
    <n v="66"/>
    <n v="0.95285714285714285"/>
    <n v="0.44179499917204829"/>
  </r>
  <r>
    <n v="63"/>
    <n v="1"/>
    <x v="53"/>
    <m/>
    <n v="5"/>
    <m/>
    <m/>
    <n v="480"/>
    <n v="480"/>
    <n v="475"/>
    <n v="0.98958333333333337"/>
    <n v="2746"/>
    <n v="330"/>
    <n v="60"/>
    <n v="1.0511004784688995"/>
    <n v="2592"/>
    <n v="2746"/>
    <n v="100"/>
    <m/>
    <m/>
    <m/>
    <m/>
    <n v="4"/>
    <m/>
    <m/>
    <m/>
    <m/>
    <m/>
    <m/>
    <m/>
    <m/>
    <m/>
    <m/>
    <m/>
    <n v="22"/>
    <n v="8"/>
    <n v="7"/>
    <m/>
    <m/>
    <m/>
    <m/>
    <m/>
    <m/>
    <n v="17"/>
    <n v="15"/>
    <n v="31"/>
    <n v="11"/>
    <n v="3"/>
    <n v="3"/>
    <n v="27"/>
    <m/>
    <n v="6"/>
    <m/>
    <m/>
    <m/>
    <n v="154"/>
    <n v="13"/>
    <n v="154"/>
    <n v="0.94391842680262195"/>
    <n v="0.98181818181818192"/>
  </r>
  <r>
    <n v="64"/>
    <n v="1"/>
    <x v="54"/>
    <n v="0"/>
    <s v=" "/>
    <n v="26"/>
    <n v="48"/>
    <n v="371"/>
    <n v="419"/>
    <n v="371"/>
    <n v="0.88544152744630067"/>
    <n v="2366"/>
    <n v="330"/>
    <n v="60"/>
    <n v="1.1595197255574614"/>
    <n v="2182"/>
    <n v="2366"/>
    <n v="100"/>
    <n v="160"/>
    <m/>
    <m/>
    <n v="42"/>
    <n v="12"/>
    <m/>
    <m/>
    <m/>
    <m/>
    <m/>
    <m/>
    <m/>
    <m/>
    <m/>
    <m/>
    <m/>
    <n v="1"/>
    <n v="3"/>
    <n v="1"/>
    <m/>
    <m/>
    <n v="8"/>
    <m/>
    <m/>
    <m/>
    <n v="1"/>
    <m/>
    <n v="82"/>
    <n v="6"/>
    <n v="2"/>
    <m/>
    <n v="17"/>
    <n v="6"/>
    <n v="3"/>
    <m/>
    <m/>
    <m/>
    <n v="184"/>
    <n v="13"/>
    <n v="184"/>
    <n v="0.9222316145393068"/>
    <n v="0.94684313300065093"/>
  </r>
  <r>
    <n v="65"/>
    <n v="1"/>
    <x v="55"/>
    <n v="1"/>
    <m/>
    <n v="16"/>
    <m/>
    <n v="480"/>
    <n v="480"/>
    <n v="463"/>
    <n v="0.96458333333333335"/>
    <n v="2885"/>
    <n v="330"/>
    <n v="60"/>
    <n v="1.1329275476143725"/>
    <n v="2833"/>
    <n v="2885"/>
    <n v="100"/>
    <m/>
    <m/>
    <m/>
    <n v="11"/>
    <n v="16"/>
    <n v="9"/>
    <m/>
    <m/>
    <m/>
    <m/>
    <m/>
    <m/>
    <m/>
    <m/>
    <m/>
    <m/>
    <m/>
    <m/>
    <m/>
    <m/>
    <m/>
    <m/>
    <m/>
    <m/>
    <m/>
    <m/>
    <n v="1"/>
    <n v="4"/>
    <n v="1"/>
    <n v="3"/>
    <n v="7"/>
    <m/>
    <m/>
    <m/>
    <m/>
    <m/>
    <m/>
    <n v="52"/>
    <n v="13"/>
    <n v="52"/>
    <n v="0.98197573656845749"/>
    <n v="1.0731060606060605"/>
  </r>
  <r>
    <n v="66"/>
    <n v="1"/>
    <x v="56"/>
    <m/>
    <m/>
    <n v="7"/>
    <m/>
    <n v="300"/>
    <n v="300"/>
    <n v="293"/>
    <n v="0.97666666666666668"/>
    <n v="1550"/>
    <n v="330"/>
    <n v="60"/>
    <n v="0.96183679801427235"/>
    <n v="1532"/>
    <n v="1550"/>
    <n v="100"/>
    <m/>
    <m/>
    <m/>
    <m/>
    <m/>
    <m/>
    <m/>
    <m/>
    <m/>
    <m/>
    <m/>
    <m/>
    <m/>
    <m/>
    <m/>
    <m/>
    <m/>
    <m/>
    <m/>
    <m/>
    <m/>
    <m/>
    <m/>
    <m/>
    <m/>
    <m/>
    <m/>
    <m/>
    <n v="7"/>
    <n v="8"/>
    <n v="3"/>
    <m/>
    <m/>
    <m/>
    <m/>
    <m/>
    <m/>
    <n v="18"/>
    <n v="14"/>
    <n v="18"/>
    <n v="0.98838709677419356"/>
    <n v="0.92848484848484847"/>
  </r>
  <r>
    <n v="67"/>
    <n v="1"/>
    <x v="57"/>
    <n v="15"/>
    <m/>
    <n v="100"/>
    <m/>
    <n v="366"/>
    <n v="366"/>
    <n v="251"/>
    <n v="0.68579234972677594"/>
    <n v="1375"/>
    <n v="330"/>
    <n v="60"/>
    <n v="0.99601593625498019"/>
    <n v="1358"/>
    <n v="1375"/>
    <n v="100"/>
    <n v="141"/>
    <m/>
    <m/>
    <m/>
    <m/>
    <m/>
    <m/>
    <m/>
    <m/>
    <m/>
    <m/>
    <m/>
    <m/>
    <m/>
    <m/>
    <m/>
    <m/>
    <m/>
    <m/>
    <m/>
    <m/>
    <m/>
    <m/>
    <m/>
    <m/>
    <m/>
    <m/>
    <m/>
    <n v="3"/>
    <n v="10"/>
    <n v="4"/>
    <m/>
    <m/>
    <m/>
    <m/>
    <m/>
    <m/>
    <n v="17"/>
    <n v="14"/>
    <n v="17"/>
    <n v="0.98763636363636365"/>
    <n v="0.67461500248385509"/>
  </r>
  <r>
    <n v="68"/>
    <n v="1"/>
    <x v="58"/>
    <n v="15"/>
    <m/>
    <n v="5"/>
    <m/>
    <n v="366"/>
    <n v="366"/>
    <n v="346"/>
    <n v="0.94535519125683065"/>
    <n v="2030"/>
    <n v="330"/>
    <n v="60"/>
    <n v="1.0667367314766159"/>
    <n v="1761"/>
    <n v="2030"/>
    <n v="100"/>
    <m/>
    <m/>
    <m/>
    <n v="67"/>
    <m/>
    <m/>
    <m/>
    <m/>
    <m/>
    <m/>
    <m/>
    <m/>
    <m/>
    <m/>
    <m/>
    <n v="1"/>
    <n v="95"/>
    <m/>
    <m/>
    <m/>
    <n v="6"/>
    <m/>
    <m/>
    <m/>
    <m/>
    <n v="1"/>
    <n v="6"/>
    <n v="1"/>
    <n v="16"/>
    <n v="36"/>
    <n v="2"/>
    <n v="3"/>
    <m/>
    <n v="35"/>
    <m/>
    <m/>
    <m/>
    <n v="269"/>
    <n v="14"/>
    <n v="269"/>
    <n v="0.86748768472906401"/>
    <n v="0.87481371087928461"/>
  </r>
  <r>
    <n v="69"/>
    <n v="1"/>
    <x v="59"/>
    <n v="101"/>
    <m/>
    <n v="10"/>
    <m/>
    <n v="366"/>
    <n v="366"/>
    <n v="255"/>
    <n v="0.69672131147540983"/>
    <n v="1454"/>
    <n v="330"/>
    <n v="60"/>
    <n v="1.0367201426024957"/>
    <n v="1133"/>
    <n v="1454"/>
    <n v="100"/>
    <m/>
    <m/>
    <m/>
    <m/>
    <m/>
    <m/>
    <m/>
    <m/>
    <m/>
    <m/>
    <m/>
    <m/>
    <m/>
    <m/>
    <m/>
    <n v="47"/>
    <n v="11"/>
    <m/>
    <n v="34"/>
    <m/>
    <n v="5"/>
    <m/>
    <m/>
    <m/>
    <m/>
    <m/>
    <m/>
    <m/>
    <n v="14"/>
    <n v="51"/>
    <n v="8"/>
    <n v="151"/>
    <m/>
    <m/>
    <m/>
    <m/>
    <m/>
    <n v="321"/>
    <n v="14"/>
    <n v="321"/>
    <n v="0.77922971114167816"/>
    <n v="0.56284153005464488"/>
  </r>
  <r>
    <n v="70"/>
    <n v="1"/>
    <x v="60"/>
    <s v="MANTENIMENTO PREVENTIVO"/>
    <m/>
    <m/>
    <m/>
    <n v="0"/>
    <n v="0"/>
    <n v="0"/>
    <n v="0"/>
    <n v="0"/>
    <n v="0"/>
    <n v="0"/>
    <n v="0"/>
    <n v="0"/>
    <n v="0"/>
    <m/>
    <m/>
    <m/>
    <m/>
    <m/>
    <m/>
    <m/>
    <m/>
    <m/>
    <m/>
    <m/>
    <m/>
    <m/>
    <m/>
    <m/>
    <m/>
    <m/>
    <m/>
    <m/>
    <m/>
    <m/>
    <m/>
    <m/>
    <m/>
    <m/>
    <m/>
    <m/>
    <m/>
    <m/>
    <m/>
    <m/>
    <m/>
    <m/>
    <m/>
    <m/>
    <m/>
    <m/>
    <m/>
    <m/>
    <n v="14"/>
    <n v="0"/>
    <n v="0"/>
    <n v="0"/>
  </r>
  <r>
    <n v="71"/>
    <n v="1"/>
    <x v="61"/>
    <n v="70"/>
    <m/>
    <n v="338"/>
    <m/>
    <n v="480"/>
    <n v="480"/>
    <n v="72"/>
    <n v="0.15"/>
    <n v="38"/>
    <n v="330"/>
    <n v="60"/>
    <n v="9.5959595959595967E-2"/>
    <n v="38"/>
    <n v="38"/>
    <m/>
    <m/>
    <m/>
    <m/>
    <m/>
    <m/>
    <m/>
    <m/>
    <m/>
    <m/>
    <m/>
    <m/>
    <m/>
    <m/>
    <m/>
    <m/>
    <m/>
    <m/>
    <m/>
    <m/>
    <m/>
    <m/>
    <m/>
    <m/>
    <m/>
    <m/>
    <m/>
    <m/>
    <m/>
    <m/>
    <m/>
    <m/>
    <m/>
    <m/>
    <m/>
    <m/>
    <m/>
    <m/>
    <m/>
    <n v="15"/>
    <m/>
    <n v="1"/>
    <n v="1.4393939393939395E-2"/>
  </r>
  <r>
    <n v="72"/>
    <n v="1"/>
    <x v="62"/>
    <s v="MAQUINA CAIDA"/>
    <m/>
    <m/>
    <m/>
    <n v="0"/>
    <n v="0"/>
    <n v="0"/>
    <n v="0"/>
    <n v="0"/>
    <n v="0"/>
    <n v="0"/>
    <n v="0"/>
    <n v="0"/>
    <n v="0"/>
    <m/>
    <m/>
    <m/>
    <m/>
    <m/>
    <m/>
    <m/>
    <m/>
    <m/>
    <m/>
    <m/>
    <m/>
    <m/>
    <m/>
    <m/>
    <m/>
    <m/>
    <m/>
    <m/>
    <m/>
    <m/>
    <m/>
    <m/>
    <m/>
    <m/>
    <m/>
    <m/>
    <m/>
    <m/>
    <m/>
    <m/>
    <m/>
    <m/>
    <m/>
    <m/>
    <m/>
    <m/>
    <m/>
    <m/>
    <n v="15"/>
    <n v="759"/>
    <n v="0"/>
    <n v="0"/>
  </r>
  <r>
    <n v="73"/>
    <n v="1"/>
    <x v="63"/>
    <m/>
    <m/>
    <n v="275"/>
    <m/>
    <n v="400"/>
    <n v="400"/>
    <n v="366"/>
    <n v="0.91500000000000004"/>
    <n v="1431"/>
    <n v="330"/>
    <n v="60"/>
    <n v="0.71087928464977634"/>
    <n v="1227"/>
    <n v="1431"/>
    <n v="100"/>
    <m/>
    <m/>
    <m/>
    <n v="35"/>
    <m/>
    <m/>
    <m/>
    <m/>
    <m/>
    <m/>
    <m/>
    <m/>
    <m/>
    <m/>
    <m/>
    <m/>
    <n v="15"/>
    <m/>
    <n v="50"/>
    <m/>
    <m/>
    <m/>
    <m/>
    <m/>
    <m/>
    <n v="5"/>
    <n v="4"/>
    <n v="27"/>
    <n v="1"/>
    <n v="59"/>
    <n v="1"/>
    <n v="2"/>
    <m/>
    <n v="5"/>
    <m/>
    <n v="242"/>
    <m/>
    <n v="204"/>
    <n v="15"/>
    <n v="204"/>
    <n v="0.8574423480083857"/>
    <n v="0.55772727272727263"/>
  </r>
  <r>
    <n v="74"/>
    <n v="1"/>
    <x v="64"/>
    <m/>
    <m/>
    <n v="78"/>
    <m/>
    <n v="480"/>
    <n v="480"/>
    <n v="402"/>
    <n v="0.83750000000000002"/>
    <n v="2495"/>
    <n v="330"/>
    <n v="60"/>
    <n v="1.1284486657620987"/>
    <n v="2312"/>
    <n v="2495"/>
    <n v="132"/>
    <m/>
    <m/>
    <m/>
    <n v="29"/>
    <n v="3"/>
    <m/>
    <m/>
    <m/>
    <m/>
    <m/>
    <m/>
    <m/>
    <m/>
    <m/>
    <m/>
    <n v="1"/>
    <m/>
    <n v="2"/>
    <n v="38"/>
    <m/>
    <n v="13"/>
    <m/>
    <m/>
    <m/>
    <m/>
    <n v="2"/>
    <m/>
    <n v="18"/>
    <n v="7"/>
    <n v="68"/>
    <n v="1"/>
    <n v="1"/>
    <m/>
    <m/>
    <m/>
    <n v="152"/>
    <m/>
    <n v="183"/>
    <n v="15"/>
    <n v="183"/>
    <n v="0.92665330661322642"/>
    <n v="0.87575757575757585"/>
  </r>
  <r>
    <n v="75"/>
    <n v="1"/>
    <x v="65"/>
    <m/>
    <n v="89"/>
    <m/>
    <m/>
    <n v="480"/>
    <n v="480"/>
    <n v="391"/>
    <n v="0.81458333333333333"/>
    <n v="2431"/>
    <n v="330"/>
    <n v="60"/>
    <n v="1.1304347826086956"/>
    <n v="2151"/>
    <n v="2431"/>
    <n v="100"/>
    <m/>
    <m/>
    <m/>
    <n v="14"/>
    <n v="14"/>
    <m/>
    <m/>
    <m/>
    <m/>
    <m/>
    <m/>
    <m/>
    <m/>
    <m/>
    <m/>
    <n v="18"/>
    <n v="21"/>
    <m/>
    <n v="10"/>
    <m/>
    <m/>
    <m/>
    <m/>
    <m/>
    <m/>
    <n v="1"/>
    <n v="3"/>
    <m/>
    <n v="4"/>
    <n v="11"/>
    <n v="7"/>
    <n v="26"/>
    <m/>
    <n v="151"/>
    <m/>
    <m/>
    <m/>
    <n v="280"/>
    <n v="15"/>
    <n v="280"/>
    <n v="0.8848210612916495"/>
    <n v="0.8147727272727272"/>
  </r>
  <r>
    <n v="76"/>
    <n v="1"/>
    <x v="66"/>
    <m/>
    <n v="36"/>
    <m/>
    <m/>
    <n v="480"/>
    <n v="480"/>
    <n v="444"/>
    <n v="0.92500000000000004"/>
    <n v="2689"/>
    <n v="330"/>
    <n v="60"/>
    <n v="1.1011466011466011"/>
    <n v="2460"/>
    <n v="2689"/>
    <n v="100"/>
    <m/>
    <m/>
    <m/>
    <n v="11"/>
    <m/>
    <m/>
    <m/>
    <m/>
    <m/>
    <m/>
    <m/>
    <m/>
    <m/>
    <m/>
    <m/>
    <n v="9"/>
    <m/>
    <n v="3"/>
    <n v="20"/>
    <m/>
    <n v="1"/>
    <m/>
    <m/>
    <m/>
    <m/>
    <m/>
    <n v="154"/>
    <n v="3"/>
    <n v="4"/>
    <n v="6"/>
    <n v="8"/>
    <m/>
    <m/>
    <n v="10"/>
    <m/>
    <m/>
    <m/>
    <n v="229"/>
    <n v="16"/>
    <n v="229"/>
    <n v="0.91483822982521379"/>
    <n v="0.93181818181818177"/>
  </r>
  <r>
    <n v="77"/>
    <n v="1"/>
    <x v="67"/>
    <n v="18"/>
    <m/>
    <m/>
    <n v="41"/>
    <n v="359"/>
    <n v="400"/>
    <n v="382"/>
    <n v="0.95499999999999996"/>
    <n v="2250"/>
    <n v="330"/>
    <n v="60"/>
    <n v="1.0709186101856261"/>
    <n v="2046"/>
    <n v="2250"/>
    <n v="100"/>
    <n v="160"/>
    <m/>
    <m/>
    <n v="31"/>
    <n v="14"/>
    <m/>
    <m/>
    <n v="14"/>
    <m/>
    <m/>
    <m/>
    <m/>
    <m/>
    <m/>
    <m/>
    <n v="2"/>
    <n v="17"/>
    <n v="3"/>
    <m/>
    <m/>
    <n v="19"/>
    <m/>
    <m/>
    <m/>
    <m/>
    <n v="1"/>
    <n v="18"/>
    <m/>
    <n v="38"/>
    <n v="30"/>
    <m/>
    <n v="7"/>
    <m/>
    <n v="10"/>
    <m/>
    <m/>
    <m/>
    <n v="204"/>
    <n v="16"/>
    <n v="204"/>
    <n v="0.90933333333333333"/>
    <n v="0.93000000000000016"/>
  </r>
  <r>
    <n v="78"/>
    <n v="1"/>
    <x v="68"/>
    <m/>
    <m/>
    <m/>
    <s v="  "/>
    <n v="366"/>
    <n v="366"/>
    <n v="368"/>
    <n v="1.0054644808743169"/>
    <n v="2067"/>
    <n v="330"/>
    <n v="60"/>
    <n v="1.0212450592885376"/>
    <n v="1707"/>
    <n v="2067"/>
    <n v="100"/>
    <m/>
    <m/>
    <m/>
    <n v="62"/>
    <m/>
    <m/>
    <m/>
    <n v="2"/>
    <m/>
    <m/>
    <m/>
    <m/>
    <m/>
    <n v="0"/>
    <n v="9"/>
    <n v="1"/>
    <n v="96"/>
    <m/>
    <n v="18"/>
    <m/>
    <n v="3"/>
    <m/>
    <n v="19"/>
    <m/>
    <n v="1"/>
    <m/>
    <n v="7"/>
    <n v="58"/>
    <n v="3"/>
    <n v="7"/>
    <n v="1"/>
    <m/>
    <m/>
    <n v="73"/>
    <m/>
    <m/>
    <m/>
    <n v="360"/>
    <n v="16"/>
    <n v="360"/>
    <n v="0.82583454281567492"/>
    <n v="0.84798807749627436"/>
  </r>
  <r>
    <n v="79"/>
    <n v="1"/>
    <x v="69"/>
    <n v="0"/>
    <n v="30"/>
    <m/>
    <n v="60"/>
    <n v="330"/>
    <n v="390"/>
    <n v="360"/>
    <n v="0.92307692307692313"/>
    <n v="2118"/>
    <n v="330"/>
    <n v="60"/>
    <n v="1.0696969696969696"/>
    <n v="1926"/>
    <n v="2118"/>
    <n v="15"/>
    <n v="89"/>
    <m/>
    <m/>
    <n v="32"/>
    <n v="1"/>
    <m/>
    <m/>
    <m/>
    <m/>
    <m/>
    <m/>
    <m/>
    <m/>
    <m/>
    <m/>
    <n v="17"/>
    <m/>
    <m/>
    <n v="7"/>
    <m/>
    <m/>
    <m/>
    <m/>
    <m/>
    <m/>
    <m/>
    <n v="3"/>
    <n v="42"/>
    <n v="5"/>
    <n v="14"/>
    <n v="1"/>
    <m/>
    <m/>
    <n v="70"/>
    <m/>
    <m/>
    <m/>
    <n v="192"/>
    <n v="16"/>
    <n v="192"/>
    <n v="0.90934844192634556"/>
    <n v="0.89790209790209785"/>
  </r>
  <r>
    <n v="80"/>
    <n v="1"/>
    <x v="70"/>
    <n v="21"/>
    <n v="50"/>
    <m/>
    <m/>
    <n v="480"/>
    <n v="480"/>
    <n v="409"/>
    <n v="0.8520833333333333"/>
    <n v="2541"/>
    <n v="330"/>
    <n v="60"/>
    <n v="1.1295843520782396"/>
    <n v="2408"/>
    <n v="2541"/>
    <n v="100"/>
    <m/>
    <m/>
    <m/>
    <n v="8"/>
    <m/>
    <m/>
    <m/>
    <m/>
    <m/>
    <n v="16"/>
    <m/>
    <m/>
    <m/>
    <m/>
    <m/>
    <n v="1"/>
    <m/>
    <m/>
    <n v="83"/>
    <m/>
    <m/>
    <m/>
    <m/>
    <m/>
    <n v="4"/>
    <m/>
    <n v="2"/>
    <m/>
    <n v="6"/>
    <n v="5"/>
    <n v="4"/>
    <m/>
    <m/>
    <n v="4"/>
    <m/>
    <m/>
    <m/>
    <n v="133"/>
    <n v="17"/>
    <n v="133"/>
    <n v="0.94765840220385678"/>
    <n v="0.91212121212121211"/>
  </r>
  <r>
    <n v="81"/>
    <n v="1"/>
    <x v="71"/>
    <m/>
    <n v="40"/>
    <m/>
    <n v="0"/>
    <n v="420"/>
    <n v="420"/>
    <n v="380"/>
    <n v="0.90476190476190477"/>
    <n v="2222"/>
    <n v="330"/>
    <n v="60"/>
    <n v="1.0631578947368421"/>
    <n v="2143"/>
    <n v="2222"/>
    <n v="50"/>
    <m/>
    <m/>
    <m/>
    <n v="1"/>
    <n v="4"/>
    <m/>
    <m/>
    <m/>
    <m/>
    <m/>
    <n v="19"/>
    <m/>
    <m/>
    <m/>
    <n v="3"/>
    <n v="3"/>
    <n v="14"/>
    <m/>
    <n v="26"/>
    <m/>
    <n v="1"/>
    <m/>
    <m/>
    <m/>
    <n v="3"/>
    <m/>
    <n v="3"/>
    <n v="17"/>
    <m/>
    <n v="8"/>
    <n v="2"/>
    <n v="25"/>
    <m/>
    <m/>
    <m/>
    <m/>
    <m/>
    <n v="129"/>
    <n v="17"/>
    <n v="79"/>
    <n v="0.9644464446444645"/>
    <n v="0.92770562770562781"/>
  </r>
  <r>
    <n v="82"/>
    <n v="1"/>
    <x v="72"/>
    <m/>
    <n v="8"/>
    <m/>
    <m/>
    <n v="300"/>
    <n v="300"/>
    <n v="292"/>
    <n v="0.97333333333333338"/>
    <n v="1581"/>
    <n v="330"/>
    <n v="60"/>
    <n v="0.98443337484433369"/>
    <n v="1560"/>
    <n v="1581"/>
    <n v="100"/>
    <n v="187"/>
    <m/>
    <m/>
    <m/>
    <m/>
    <m/>
    <m/>
    <m/>
    <m/>
    <m/>
    <m/>
    <m/>
    <m/>
    <m/>
    <m/>
    <m/>
    <m/>
    <n v="1"/>
    <n v="3"/>
    <m/>
    <m/>
    <m/>
    <m/>
    <m/>
    <n v="1"/>
    <m/>
    <n v="3"/>
    <m/>
    <n v="4"/>
    <n v="3"/>
    <m/>
    <m/>
    <m/>
    <n v="6"/>
    <m/>
    <m/>
    <m/>
    <n v="21"/>
    <n v="17"/>
    <n v="21"/>
    <n v="0.98671726755218214"/>
    <n v="0.94545454545454544"/>
  </r>
  <r>
    <n v="83"/>
    <n v="1"/>
    <x v="73"/>
    <n v="61"/>
    <m/>
    <m/>
    <m/>
    <n v="430"/>
    <n v="430"/>
    <n v="369"/>
    <n v="0.85813953488372097"/>
    <n v="2192"/>
    <n v="330"/>
    <n v="60"/>
    <n v="1.080068982508007"/>
    <n v="2129"/>
    <n v="2192"/>
    <n v="20"/>
    <m/>
    <m/>
    <m/>
    <n v="9"/>
    <n v="2"/>
    <m/>
    <m/>
    <m/>
    <m/>
    <m/>
    <m/>
    <m/>
    <m/>
    <m/>
    <m/>
    <m/>
    <m/>
    <m/>
    <m/>
    <m/>
    <n v="1"/>
    <m/>
    <n v="16"/>
    <m/>
    <m/>
    <m/>
    <n v="4"/>
    <n v="1"/>
    <n v="3"/>
    <m/>
    <n v="2"/>
    <n v="15"/>
    <m/>
    <n v="10"/>
    <m/>
    <m/>
    <m/>
    <n v="63"/>
    <n v="17"/>
    <n v="63"/>
    <n v="0.97125912408759119"/>
    <n v="0.9002114164904863"/>
  </r>
  <r>
    <n v="84"/>
    <n v="1"/>
    <x v="74"/>
    <n v="33"/>
    <m/>
    <m/>
    <m/>
    <n v="420"/>
    <n v="420"/>
    <n v="387"/>
    <n v="0.92142857142857137"/>
    <n v="2218"/>
    <n v="330"/>
    <n v="60"/>
    <n v="1.0420483908856002"/>
    <n v="2169"/>
    <n v="2218"/>
    <n v="29"/>
    <m/>
    <m/>
    <m/>
    <n v="5"/>
    <m/>
    <m/>
    <m/>
    <m/>
    <m/>
    <m/>
    <m/>
    <m/>
    <m/>
    <m/>
    <n v="5"/>
    <m/>
    <m/>
    <m/>
    <n v="14"/>
    <m/>
    <n v="1"/>
    <m/>
    <m/>
    <m/>
    <m/>
    <m/>
    <n v="5"/>
    <n v="26"/>
    <n v="3"/>
    <n v="11"/>
    <n v="1"/>
    <n v="25"/>
    <m/>
    <n v="24"/>
    <m/>
    <m/>
    <m/>
    <n v="120"/>
    <n v="17"/>
    <n v="49"/>
    <n v="0.97790802524797116"/>
    <n v="0.93896103896103889"/>
  </r>
  <r>
    <n v="85"/>
    <n v="1"/>
    <x v="75"/>
    <n v="10"/>
    <n v="49"/>
    <m/>
    <m/>
    <n v="440"/>
    <n v="440"/>
    <n v="381"/>
    <n v="0.86590909090909096"/>
    <n v="2221"/>
    <n v="300"/>
    <n v="60"/>
    <n v="1.1658792650918635"/>
    <n v="2214"/>
    <n v="2221"/>
    <n v="21"/>
    <m/>
    <m/>
    <m/>
    <n v="3"/>
    <m/>
    <m/>
    <m/>
    <m/>
    <m/>
    <m/>
    <m/>
    <m/>
    <m/>
    <m/>
    <m/>
    <n v="3"/>
    <m/>
    <m/>
    <n v="28"/>
    <m/>
    <n v="1"/>
    <m/>
    <m/>
    <m/>
    <m/>
    <m/>
    <n v="2"/>
    <m/>
    <n v="1"/>
    <n v="21"/>
    <m/>
    <n v="21"/>
    <m/>
    <n v="6"/>
    <m/>
    <m/>
    <m/>
    <n v="86"/>
    <n v="18"/>
    <n v="7"/>
    <n v="0.99684826654660064"/>
    <n v="1.0063636363636363"/>
  </r>
  <r>
    <n v="86"/>
    <m/>
    <x v="76"/>
    <m/>
    <m/>
    <m/>
    <m/>
    <m/>
    <m/>
    <m/>
    <s v="-"/>
    <m/>
    <m/>
    <m/>
    <m/>
    <m/>
    <m/>
    <m/>
    <m/>
    <m/>
    <m/>
    <m/>
    <m/>
    <m/>
    <m/>
    <m/>
    <m/>
    <m/>
    <m/>
    <m/>
    <m/>
    <m/>
    <m/>
    <m/>
    <m/>
    <m/>
    <m/>
    <m/>
    <m/>
    <m/>
    <m/>
    <m/>
    <m/>
    <m/>
    <m/>
    <m/>
    <m/>
    <m/>
    <m/>
    <m/>
    <m/>
    <m/>
    <m/>
    <m/>
    <m/>
    <m/>
    <m/>
    <m/>
    <m/>
    <m/>
  </r>
  <r>
    <n v="87"/>
    <m/>
    <x v="76"/>
    <m/>
    <m/>
    <m/>
    <m/>
    <m/>
    <m/>
    <m/>
    <s v="-"/>
    <m/>
    <m/>
    <m/>
    <m/>
    <m/>
    <m/>
    <m/>
    <m/>
    <m/>
    <m/>
    <m/>
    <m/>
    <m/>
    <m/>
    <m/>
    <m/>
    <m/>
    <m/>
    <m/>
    <m/>
    <m/>
    <m/>
    <m/>
    <m/>
    <m/>
    <m/>
    <m/>
    <m/>
    <m/>
    <m/>
    <m/>
    <m/>
    <m/>
    <m/>
    <m/>
    <m/>
    <m/>
    <m/>
    <m/>
    <m/>
    <m/>
    <m/>
    <m/>
    <m/>
    <m/>
    <m/>
    <m/>
    <m/>
    <m/>
  </r>
  <r>
    <n v="88"/>
    <m/>
    <x v="76"/>
    <m/>
    <m/>
    <m/>
    <m/>
    <m/>
    <m/>
    <m/>
    <s v="-"/>
    <m/>
    <m/>
    <m/>
    <m/>
    <m/>
    <m/>
    <m/>
    <m/>
    <m/>
    <m/>
    <m/>
    <m/>
    <m/>
    <m/>
    <m/>
    <m/>
    <m/>
    <m/>
    <m/>
    <m/>
    <m/>
    <m/>
    <m/>
    <m/>
    <m/>
    <m/>
    <m/>
    <m/>
    <m/>
    <m/>
    <m/>
    <m/>
    <m/>
    <m/>
    <m/>
    <m/>
    <m/>
    <m/>
    <m/>
    <m/>
    <m/>
    <m/>
    <m/>
    <m/>
    <m/>
    <m/>
    <m/>
    <m/>
    <m/>
  </r>
  <r>
    <n v="89"/>
    <m/>
    <x v="76"/>
    <m/>
    <m/>
    <m/>
    <m/>
    <m/>
    <m/>
    <m/>
    <s v="-"/>
    <m/>
    <m/>
    <m/>
    <m/>
    <m/>
    <m/>
    <m/>
    <m/>
    <m/>
    <m/>
    <m/>
    <m/>
    <m/>
    <m/>
    <m/>
    <m/>
    <m/>
    <m/>
    <m/>
    <m/>
    <m/>
    <m/>
    <m/>
    <m/>
    <m/>
    <m/>
    <m/>
    <m/>
    <m/>
    <m/>
    <m/>
    <m/>
    <m/>
    <m/>
    <m/>
    <m/>
    <m/>
    <m/>
    <m/>
    <m/>
    <m/>
    <m/>
    <m/>
    <m/>
    <m/>
    <m/>
    <m/>
    <m/>
    <m/>
  </r>
  <r>
    <n v="90"/>
    <m/>
    <x v="76"/>
    <m/>
    <m/>
    <m/>
    <m/>
    <m/>
    <m/>
    <m/>
    <s v="-"/>
    <m/>
    <m/>
    <m/>
    <m/>
    <m/>
    <m/>
    <m/>
    <m/>
    <m/>
    <m/>
    <m/>
    <m/>
    <m/>
    <m/>
    <m/>
    <m/>
    <m/>
    <m/>
    <m/>
    <m/>
    <m/>
    <m/>
    <m/>
    <m/>
    <m/>
    <m/>
    <m/>
    <m/>
    <m/>
    <m/>
    <m/>
    <m/>
    <m/>
    <m/>
    <m/>
    <m/>
    <m/>
    <m/>
    <m/>
    <m/>
    <m/>
    <m/>
    <m/>
    <m/>
    <m/>
    <m/>
    <m/>
    <m/>
    <m/>
  </r>
  <r>
    <n v="91"/>
    <m/>
    <x v="76"/>
    <m/>
    <m/>
    <m/>
    <m/>
    <m/>
    <m/>
    <m/>
    <s v="-"/>
    <m/>
    <m/>
    <m/>
    <m/>
    <m/>
    <m/>
    <m/>
    <m/>
    <m/>
    <m/>
    <m/>
    <m/>
    <m/>
    <m/>
    <m/>
    <m/>
    <m/>
    <m/>
    <m/>
    <m/>
    <m/>
    <m/>
    <m/>
    <m/>
    <m/>
    <m/>
    <m/>
    <m/>
    <m/>
    <m/>
    <m/>
    <m/>
    <m/>
    <m/>
    <m/>
    <m/>
    <m/>
    <m/>
    <m/>
    <m/>
    <m/>
    <m/>
    <m/>
    <m/>
    <m/>
    <m/>
    <m/>
    <m/>
    <m/>
  </r>
  <r>
    <n v="92"/>
    <m/>
    <x v="76"/>
    <m/>
    <m/>
    <m/>
    <m/>
    <m/>
    <m/>
    <m/>
    <s v="-"/>
    <m/>
    <m/>
    <m/>
    <m/>
    <m/>
    <m/>
    <m/>
    <m/>
    <m/>
    <m/>
    <m/>
    <m/>
    <m/>
    <m/>
    <m/>
    <m/>
    <m/>
    <m/>
    <m/>
    <m/>
    <m/>
    <m/>
    <m/>
    <m/>
    <m/>
    <m/>
    <m/>
    <m/>
    <m/>
    <m/>
    <m/>
    <m/>
    <m/>
    <m/>
    <m/>
    <m/>
    <m/>
    <m/>
    <m/>
    <m/>
    <m/>
    <m/>
    <m/>
    <m/>
    <m/>
    <m/>
    <m/>
    <m/>
    <m/>
  </r>
  <r>
    <n v="93"/>
    <m/>
    <x v="76"/>
    <m/>
    <m/>
    <m/>
    <m/>
    <m/>
    <m/>
    <m/>
    <s v="-"/>
    <m/>
    <m/>
    <m/>
    <m/>
    <m/>
    <m/>
    <m/>
    <m/>
    <m/>
    <m/>
    <m/>
    <m/>
    <m/>
    <m/>
    <m/>
    <m/>
    <m/>
    <m/>
    <m/>
    <m/>
    <m/>
    <m/>
    <m/>
    <m/>
    <m/>
    <m/>
    <m/>
    <m/>
    <m/>
    <m/>
    <m/>
    <m/>
    <m/>
    <m/>
    <m/>
    <m/>
    <m/>
    <m/>
    <m/>
    <m/>
    <m/>
    <m/>
    <m/>
    <m/>
    <m/>
    <m/>
    <m/>
    <m/>
    <m/>
  </r>
  <r>
    <n v="94"/>
    <m/>
    <x v="76"/>
    <m/>
    <m/>
    <m/>
    <m/>
    <m/>
    <m/>
    <m/>
    <s v="-"/>
    <m/>
    <m/>
    <m/>
    <m/>
    <m/>
    <m/>
    <m/>
    <m/>
    <m/>
    <m/>
    <m/>
    <m/>
    <m/>
    <m/>
    <m/>
    <m/>
    <m/>
    <m/>
    <m/>
    <m/>
    <m/>
    <m/>
    <m/>
    <m/>
    <m/>
    <m/>
    <m/>
    <m/>
    <m/>
    <m/>
    <m/>
    <m/>
    <m/>
    <m/>
    <m/>
    <m/>
    <m/>
    <m/>
    <m/>
    <m/>
    <m/>
    <m/>
    <m/>
    <m/>
    <m/>
    <m/>
    <m/>
    <m/>
    <m/>
  </r>
  <r>
    <n v="95"/>
    <m/>
    <x v="76"/>
    <m/>
    <m/>
    <m/>
    <m/>
    <m/>
    <m/>
    <m/>
    <s v="-"/>
    <m/>
    <m/>
    <m/>
    <m/>
    <m/>
    <m/>
    <m/>
    <m/>
    <m/>
    <m/>
    <m/>
    <m/>
    <m/>
    <m/>
    <m/>
    <m/>
    <m/>
    <m/>
    <m/>
    <m/>
    <m/>
    <m/>
    <m/>
    <m/>
    <m/>
    <m/>
    <m/>
    <m/>
    <m/>
    <m/>
    <m/>
    <m/>
    <m/>
    <m/>
    <m/>
    <m/>
    <m/>
    <m/>
    <m/>
    <m/>
    <m/>
    <m/>
    <m/>
    <m/>
    <m/>
    <m/>
    <m/>
    <m/>
    <m/>
  </r>
  <r>
    <n v="96"/>
    <m/>
    <x v="76"/>
    <m/>
    <m/>
    <m/>
    <m/>
    <m/>
    <m/>
    <m/>
    <s v="-"/>
    <m/>
    <m/>
    <m/>
    <m/>
    <m/>
    <m/>
    <m/>
    <m/>
    <m/>
    <m/>
    <m/>
    <m/>
    <m/>
    <m/>
    <m/>
    <m/>
    <m/>
    <m/>
    <m/>
    <m/>
    <m/>
    <m/>
    <m/>
    <m/>
    <m/>
    <m/>
    <m/>
    <m/>
    <m/>
    <m/>
    <m/>
    <m/>
    <m/>
    <m/>
    <m/>
    <m/>
    <m/>
    <m/>
    <m/>
    <m/>
    <m/>
    <m/>
    <m/>
    <m/>
    <m/>
    <m/>
    <m/>
    <m/>
    <m/>
  </r>
  <r>
    <n v="97"/>
    <m/>
    <x v="76"/>
    <m/>
    <m/>
    <m/>
    <m/>
    <m/>
    <m/>
    <m/>
    <s v="-"/>
    <m/>
    <m/>
    <m/>
    <m/>
    <m/>
    <m/>
    <m/>
    <m/>
    <m/>
    <m/>
    <m/>
    <m/>
    <m/>
    <m/>
    <m/>
    <m/>
    <m/>
    <m/>
    <m/>
    <m/>
    <m/>
    <m/>
    <m/>
    <m/>
    <m/>
    <m/>
    <m/>
    <m/>
    <m/>
    <m/>
    <m/>
    <m/>
    <m/>
    <m/>
    <m/>
    <m/>
    <m/>
    <m/>
    <m/>
    <m/>
    <m/>
    <m/>
    <m/>
    <m/>
    <m/>
    <m/>
    <m/>
    <m/>
    <m/>
  </r>
  <r>
    <n v="98"/>
    <m/>
    <x v="76"/>
    <m/>
    <m/>
    <m/>
    <m/>
    <m/>
    <m/>
    <m/>
    <s v="-"/>
    <m/>
    <m/>
    <m/>
    <m/>
    <m/>
    <m/>
    <m/>
    <m/>
    <m/>
    <m/>
    <m/>
    <m/>
    <m/>
    <m/>
    <m/>
    <m/>
    <m/>
    <m/>
    <m/>
    <m/>
    <m/>
    <m/>
    <m/>
    <m/>
    <m/>
    <m/>
    <m/>
    <m/>
    <m/>
    <m/>
    <m/>
    <m/>
    <m/>
    <m/>
    <m/>
    <m/>
    <m/>
    <m/>
    <m/>
    <m/>
    <m/>
    <m/>
    <m/>
    <m/>
    <m/>
    <m/>
    <m/>
    <m/>
    <m/>
  </r>
  <r>
    <n v="99"/>
    <m/>
    <x v="76"/>
    <m/>
    <m/>
    <m/>
    <m/>
    <m/>
    <m/>
    <m/>
    <s v="-"/>
    <m/>
    <m/>
    <m/>
    <m/>
    <m/>
    <m/>
    <m/>
    <m/>
    <m/>
    <m/>
    <m/>
    <m/>
    <m/>
    <m/>
    <m/>
    <m/>
    <m/>
    <m/>
    <m/>
    <m/>
    <m/>
    <m/>
    <m/>
    <m/>
    <m/>
    <m/>
    <m/>
    <m/>
    <m/>
    <m/>
    <m/>
    <m/>
    <m/>
    <m/>
    <m/>
    <m/>
    <m/>
    <m/>
    <m/>
    <m/>
    <m/>
    <m/>
    <m/>
    <m/>
    <m/>
    <m/>
    <m/>
    <m/>
    <m/>
  </r>
  <r>
    <n v="100"/>
    <m/>
    <x v="76"/>
    <m/>
    <m/>
    <m/>
    <m/>
    <m/>
    <m/>
    <m/>
    <s v="-"/>
    <m/>
    <m/>
    <m/>
    <m/>
    <m/>
    <m/>
    <m/>
    <m/>
    <m/>
    <m/>
    <m/>
    <m/>
    <m/>
    <m/>
    <m/>
    <m/>
    <m/>
    <m/>
    <m/>
    <m/>
    <m/>
    <m/>
    <m/>
    <m/>
    <m/>
    <m/>
    <m/>
    <m/>
    <m/>
    <m/>
    <m/>
    <m/>
    <m/>
    <m/>
    <m/>
    <m/>
    <m/>
    <m/>
    <m/>
    <m/>
    <m/>
    <m/>
    <m/>
    <m/>
    <m/>
    <m/>
    <m/>
    <m/>
    <m/>
  </r>
  <r>
    <n v="101"/>
    <m/>
    <x v="76"/>
    <m/>
    <m/>
    <m/>
    <m/>
    <m/>
    <m/>
    <m/>
    <s v="-"/>
    <m/>
    <m/>
    <m/>
    <m/>
    <m/>
    <m/>
    <m/>
    <m/>
    <m/>
    <m/>
    <m/>
    <m/>
    <m/>
    <m/>
    <m/>
    <m/>
    <m/>
    <m/>
    <m/>
    <m/>
    <m/>
    <m/>
    <m/>
    <m/>
    <m/>
    <m/>
    <m/>
    <m/>
    <m/>
    <m/>
    <m/>
    <m/>
    <m/>
    <m/>
    <m/>
    <m/>
    <m/>
    <m/>
    <m/>
    <m/>
    <m/>
    <m/>
    <m/>
    <m/>
    <m/>
    <m/>
    <m/>
    <m/>
    <m/>
  </r>
  <r>
    <n v="102"/>
    <m/>
    <x v="76"/>
    <m/>
    <m/>
    <m/>
    <m/>
    <m/>
    <m/>
    <m/>
    <s v="-"/>
    <m/>
    <m/>
    <m/>
    <m/>
    <m/>
    <m/>
    <m/>
    <m/>
    <m/>
    <m/>
    <m/>
    <m/>
    <m/>
    <m/>
    <m/>
    <m/>
    <m/>
    <m/>
    <m/>
    <m/>
    <m/>
    <m/>
    <m/>
    <m/>
    <m/>
    <m/>
    <m/>
    <m/>
    <m/>
    <m/>
    <m/>
    <m/>
    <m/>
    <m/>
    <m/>
    <m/>
    <m/>
    <m/>
    <m/>
    <m/>
    <m/>
    <m/>
    <m/>
    <m/>
    <m/>
    <m/>
    <m/>
    <m/>
    <m/>
  </r>
  <r>
    <n v="103"/>
    <m/>
    <x v="76"/>
    <m/>
    <m/>
    <m/>
    <m/>
    <m/>
    <m/>
    <m/>
    <s v="-"/>
    <m/>
    <m/>
    <m/>
    <m/>
    <m/>
    <m/>
    <m/>
    <m/>
    <m/>
    <m/>
    <m/>
    <m/>
    <m/>
    <m/>
    <m/>
    <m/>
    <m/>
    <m/>
    <m/>
    <m/>
    <m/>
    <m/>
    <m/>
    <m/>
    <m/>
    <m/>
    <m/>
    <m/>
    <m/>
    <m/>
    <m/>
    <m/>
    <m/>
    <m/>
    <m/>
    <m/>
    <m/>
    <m/>
    <m/>
    <m/>
    <m/>
    <m/>
    <m/>
    <m/>
    <m/>
    <m/>
    <m/>
    <m/>
    <m/>
  </r>
  <r>
    <n v="104"/>
    <m/>
    <x v="76"/>
    <m/>
    <m/>
    <m/>
    <m/>
    <m/>
    <m/>
    <m/>
    <s v="-"/>
    <m/>
    <m/>
    <m/>
    <m/>
    <m/>
    <m/>
    <m/>
    <m/>
    <m/>
    <m/>
    <m/>
    <m/>
    <m/>
    <m/>
    <m/>
    <m/>
    <m/>
    <m/>
    <m/>
    <m/>
    <m/>
    <m/>
    <m/>
    <m/>
    <m/>
    <m/>
    <m/>
    <m/>
    <m/>
    <m/>
    <m/>
    <m/>
    <m/>
    <m/>
    <m/>
    <m/>
    <m/>
    <m/>
    <m/>
    <m/>
    <m/>
    <m/>
    <m/>
    <m/>
    <m/>
    <m/>
    <m/>
    <m/>
    <m/>
  </r>
  <r>
    <n v="105"/>
    <m/>
    <x v="76"/>
    <m/>
    <m/>
    <m/>
    <m/>
    <m/>
    <m/>
    <m/>
    <s v="-"/>
    <m/>
    <m/>
    <m/>
    <m/>
    <m/>
    <m/>
    <m/>
    <m/>
    <m/>
    <m/>
    <m/>
    <m/>
    <m/>
    <m/>
    <m/>
    <m/>
    <m/>
    <m/>
    <m/>
    <m/>
    <m/>
    <m/>
    <m/>
    <m/>
    <m/>
    <m/>
    <m/>
    <m/>
    <m/>
    <m/>
    <m/>
    <m/>
    <m/>
    <m/>
    <m/>
    <m/>
    <m/>
    <m/>
    <m/>
    <m/>
    <m/>
    <m/>
    <m/>
    <m/>
    <m/>
    <m/>
    <m/>
    <m/>
    <m/>
  </r>
  <r>
    <n v="106"/>
    <m/>
    <x v="76"/>
    <m/>
    <m/>
    <m/>
    <m/>
    <m/>
    <m/>
    <m/>
    <s v="-"/>
    <m/>
    <m/>
    <m/>
    <m/>
    <m/>
    <m/>
    <m/>
    <m/>
    <m/>
    <m/>
    <m/>
    <m/>
    <m/>
    <m/>
    <m/>
    <m/>
    <m/>
    <m/>
    <m/>
    <m/>
    <m/>
    <m/>
    <m/>
    <m/>
    <m/>
    <m/>
    <m/>
    <m/>
    <m/>
    <m/>
    <m/>
    <m/>
    <m/>
    <m/>
    <m/>
    <m/>
    <m/>
    <m/>
    <m/>
    <m/>
    <m/>
    <m/>
    <m/>
    <m/>
    <m/>
    <m/>
    <m/>
    <m/>
    <m/>
  </r>
  <r>
    <n v="107"/>
    <m/>
    <x v="76"/>
    <m/>
    <m/>
    <m/>
    <m/>
    <m/>
    <m/>
    <m/>
    <s v="-"/>
    <m/>
    <m/>
    <m/>
    <m/>
    <m/>
    <m/>
    <m/>
    <m/>
    <m/>
    <m/>
    <m/>
    <m/>
    <m/>
    <m/>
    <m/>
    <m/>
    <m/>
    <m/>
    <m/>
    <m/>
    <m/>
    <m/>
    <m/>
    <m/>
    <m/>
    <m/>
    <m/>
    <m/>
    <m/>
    <m/>
    <m/>
    <m/>
    <m/>
    <m/>
    <m/>
    <m/>
    <m/>
    <m/>
    <m/>
    <m/>
    <m/>
    <m/>
    <m/>
    <m/>
    <m/>
    <m/>
    <m/>
    <m/>
    <m/>
  </r>
  <r>
    <n v="108"/>
    <m/>
    <x v="76"/>
    <m/>
    <m/>
    <m/>
    <m/>
    <m/>
    <m/>
    <m/>
    <s v="-"/>
    <m/>
    <m/>
    <m/>
    <m/>
    <m/>
    <m/>
    <m/>
    <m/>
    <m/>
    <m/>
    <m/>
    <m/>
    <m/>
    <m/>
    <m/>
    <m/>
    <m/>
    <m/>
    <m/>
    <m/>
    <m/>
    <m/>
    <m/>
    <m/>
    <m/>
    <m/>
    <m/>
    <m/>
    <m/>
    <m/>
    <m/>
    <m/>
    <m/>
    <m/>
    <m/>
    <m/>
    <m/>
    <m/>
    <m/>
    <m/>
    <m/>
    <m/>
    <m/>
    <m/>
    <m/>
    <m/>
    <m/>
    <m/>
    <m/>
  </r>
  <r>
    <n v="109"/>
    <m/>
    <x v="76"/>
    <m/>
    <m/>
    <m/>
    <m/>
    <m/>
    <m/>
    <m/>
    <s v="-"/>
    <m/>
    <m/>
    <m/>
    <m/>
    <m/>
    <m/>
    <m/>
    <m/>
    <m/>
    <m/>
    <m/>
    <m/>
    <m/>
    <m/>
    <m/>
    <m/>
    <m/>
    <m/>
    <m/>
    <m/>
    <m/>
    <m/>
    <m/>
    <m/>
    <m/>
    <m/>
    <m/>
    <m/>
    <m/>
    <m/>
    <m/>
    <m/>
    <m/>
    <m/>
    <m/>
    <m/>
    <m/>
    <m/>
    <m/>
    <m/>
    <m/>
    <m/>
    <m/>
    <m/>
    <m/>
    <m/>
    <m/>
    <m/>
    <m/>
  </r>
  <r>
    <n v="110"/>
    <m/>
    <x v="76"/>
    <m/>
    <m/>
    <m/>
    <m/>
    <m/>
    <m/>
    <m/>
    <s v="-"/>
    <m/>
    <m/>
    <m/>
    <m/>
    <m/>
    <m/>
    <m/>
    <m/>
    <m/>
    <m/>
    <m/>
    <m/>
    <m/>
    <m/>
    <m/>
    <m/>
    <m/>
    <m/>
    <m/>
    <m/>
    <m/>
    <m/>
    <m/>
    <m/>
    <m/>
    <m/>
    <m/>
    <m/>
    <m/>
    <m/>
    <m/>
    <m/>
    <m/>
    <m/>
    <m/>
    <m/>
    <m/>
    <m/>
    <m/>
    <m/>
    <m/>
    <m/>
    <m/>
    <m/>
    <m/>
    <m/>
    <m/>
    <m/>
    <m/>
  </r>
  <r>
    <n v="111"/>
    <m/>
    <x v="76"/>
    <m/>
    <m/>
    <m/>
    <m/>
    <m/>
    <m/>
    <m/>
    <s v="-"/>
    <m/>
    <m/>
    <m/>
    <m/>
    <m/>
    <m/>
    <m/>
    <m/>
    <m/>
    <m/>
    <m/>
    <m/>
    <m/>
    <m/>
    <m/>
    <m/>
    <m/>
    <m/>
    <m/>
    <m/>
    <m/>
    <m/>
    <m/>
    <m/>
    <m/>
    <m/>
    <m/>
    <m/>
    <m/>
    <m/>
    <m/>
    <m/>
    <m/>
    <m/>
    <m/>
    <m/>
    <m/>
    <m/>
    <m/>
    <m/>
    <m/>
    <m/>
    <m/>
    <m/>
    <m/>
    <m/>
    <m/>
    <m/>
    <m/>
  </r>
  <r>
    <n v="112"/>
    <m/>
    <x v="76"/>
    <m/>
    <m/>
    <m/>
    <m/>
    <m/>
    <m/>
    <m/>
    <s v="-"/>
    <m/>
    <m/>
    <m/>
    <m/>
    <m/>
    <m/>
    <m/>
    <m/>
    <m/>
    <m/>
    <m/>
    <m/>
    <m/>
    <m/>
    <m/>
    <m/>
    <m/>
    <m/>
    <m/>
    <m/>
    <m/>
    <m/>
    <m/>
    <m/>
    <m/>
    <m/>
    <m/>
    <m/>
    <m/>
    <m/>
    <m/>
    <m/>
    <m/>
    <m/>
    <m/>
    <m/>
    <m/>
    <m/>
    <m/>
    <m/>
    <m/>
    <m/>
    <m/>
    <m/>
    <m/>
    <m/>
    <m/>
    <m/>
    <m/>
  </r>
  <r>
    <n v="113"/>
    <m/>
    <x v="76"/>
    <m/>
    <m/>
    <m/>
    <m/>
    <m/>
    <m/>
    <m/>
    <s v="-"/>
    <m/>
    <m/>
    <m/>
    <m/>
    <m/>
    <m/>
    <m/>
    <m/>
    <m/>
    <m/>
    <m/>
    <m/>
    <m/>
    <m/>
    <m/>
    <m/>
    <m/>
    <m/>
    <m/>
    <m/>
    <m/>
    <m/>
    <m/>
    <m/>
    <m/>
    <m/>
    <m/>
    <m/>
    <m/>
    <m/>
    <m/>
    <m/>
    <m/>
    <m/>
    <m/>
    <m/>
    <m/>
    <m/>
    <m/>
    <m/>
    <m/>
    <m/>
    <m/>
    <m/>
    <m/>
    <m/>
    <m/>
    <m/>
    <m/>
  </r>
  <r>
    <n v="114"/>
    <m/>
    <x v="76"/>
    <m/>
    <m/>
    <m/>
    <m/>
    <m/>
    <m/>
    <m/>
    <s v="-"/>
    <m/>
    <m/>
    <m/>
    <m/>
    <m/>
    <m/>
    <m/>
    <m/>
    <m/>
    <m/>
    <m/>
    <m/>
    <m/>
    <m/>
    <m/>
    <m/>
    <m/>
    <m/>
    <m/>
    <m/>
    <m/>
    <m/>
    <m/>
    <m/>
    <m/>
    <m/>
    <m/>
    <m/>
    <m/>
    <m/>
    <m/>
    <m/>
    <m/>
    <m/>
    <m/>
    <m/>
    <m/>
    <m/>
    <m/>
    <m/>
    <m/>
    <m/>
    <m/>
    <m/>
    <m/>
    <m/>
    <m/>
    <m/>
    <m/>
  </r>
  <r>
    <n v="115"/>
    <m/>
    <x v="76"/>
    <m/>
    <m/>
    <m/>
    <m/>
    <m/>
    <m/>
    <m/>
    <s v="-"/>
    <m/>
    <m/>
    <m/>
    <m/>
    <m/>
    <m/>
    <m/>
    <m/>
    <m/>
    <m/>
    <m/>
    <m/>
    <m/>
    <m/>
    <m/>
    <m/>
    <m/>
    <m/>
    <m/>
    <m/>
    <m/>
    <m/>
    <m/>
    <m/>
    <m/>
    <m/>
    <m/>
    <m/>
    <m/>
    <m/>
    <m/>
    <m/>
    <m/>
    <m/>
    <m/>
    <m/>
    <m/>
    <m/>
    <m/>
    <m/>
    <m/>
    <m/>
    <m/>
    <m/>
    <m/>
    <m/>
    <m/>
    <m/>
    <m/>
  </r>
  <r>
    <n v="116"/>
    <m/>
    <x v="76"/>
    <m/>
    <m/>
    <m/>
    <m/>
    <m/>
    <m/>
    <m/>
    <s v="-"/>
    <m/>
    <m/>
    <m/>
    <m/>
    <m/>
    <m/>
    <m/>
    <m/>
    <m/>
    <m/>
    <m/>
    <m/>
    <m/>
    <m/>
    <m/>
    <m/>
    <m/>
    <m/>
    <m/>
    <m/>
    <m/>
    <m/>
    <m/>
    <m/>
    <m/>
    <m/>
    <m/>
    <m/>
    <m/>
    <m/>
    <m/>
    <m/>
    <m/>
    <m/>
    <m/>
    <m/>
    <m/>
    <m/>
    <m/>
    <m/>
    <m/>
    <m/>
    <m/>
    <m/>
    <m/>
    <m/>
    <m/>
    <m/>
    <m/>
  </r>
  <r>
    <n v="117"/>
    <m/>
    <x v="76"/>
    <m/>
    <m/>
    <m/>
    <m/>
    <m/>
    <m/>
    <m/>
    <s v="-"/>
    <m/>
    <m/>
    <m/>
    <m/>
    <m/>
    <m/>
    <m/>
    <m/>
    <m/>
    <m/>
    <m/>
    <m/>
    <m/>
    <m/>
    <m/>
    <m/>
    <m/>
    <m/>
    <m/>
    <m/>
    <m/>
    <m/>
    <m/>
    <m/>
    <m/>
    <m/>
    <m/>
    <m/>
    <m/>
    <m/>
    <m/>
    <m/>
    <m/>
    <m/>
    <m/>
    <m/>
    <m/>
    <m/>
    <m/>
    <m/>
    <m/>
    <m/>
    <m/>
    <m/>
    <m/>
    <m/>
    <m/>
    <m/>
    <m/>
  </r>
  <r>
    <n v="118"/>
    <m/>
    <x v="76"/>
    <m/>
    <m/>
    <m/>
    <m/>
    <m/>
    <m/>
    <m/>
    <s v="-"/>
    <m/>
    <m/>
    <m/>
    <m/>
    <m/>
    <m/>
    <m/>
    <m/>
    <m/>
    <m/>
    <m/>
    <m/>
    <m/>
    <m/>
    <m/>
    <m/>
    <m/>
    <m/>
    <m/>
    <m/>
    <m/>
    <m/>
    <m/>
    <m/>
    <m/>
    <m/>
    <m/>
    <m/>
    <m/>
    <m/>
    <m/>
    <m/>
    <m/>
    <m/>
    <m/>
    <m/>
    <m/>
    <m/>
    <m/>
    <m/>
    <m/>
    <m/>
    <m/>
    <m/>
    <m/>
    <m/>
    <m/>
    <m/>
    <m/>
  </r>
  <r>
    <n v="119"/>
    <m/>
    <x v="76"/>
    <m/>
    <m/>
    <m/>
    <m/>
    <m/>
    <m/>
    <m/>
    <s v="-"/>
    <m/>
    <m/>
    <m/>
    <m/>
    <m/>
    <m/>
    <m/>
    <m/>
    <m/>
    <m/>
    <m/>
    <m/>
    <m/>
    <m/>
    <m/>
    <m/>
    <m/>
    <m/>
    <m/>
    <m/>
    <m/>
    <m/>
    <m/>
    <m/>
    <m/>
    <m/>
    <m/>
    <m/>
    <m/>
    <m/>
    <m/>
    <m/>
    <m/>
    <m/>
    <m/>
    <m/>
    <m/>
    <m/>
    <m/>
    <m/>
    <m/>
    <m/>
    <m/>
    <m/>
    <m/>
    <m/>
    <m/>
    <m/>
    <m/>
  </r>
  <r>
    <n v="120"/>
    <m/>
    <x v="76"/>
    <m/>
    <m/>
    <m/>
    <m/>
    <m/>
    <m/>
    <m/>
    <s v="-"/>
    <m/>
    <m/>
    <m/>
    <m/>
    <m/>
    <m/>
    <m/>
    <m/>
    <m/>
    <m/>
    <m/>
    <m/>
    <m/>
    <m/>
    <m/>
    <m/>
    <m/>
    <m/>
    <m/>
    <m/>
    <m/>
    <m/>
    <m/>
    <m/>
    <m/>
    <m/>
    <m/>
    <m/>
    <m/>
    <m/>
    <m/>
    <m/>
    <m/>
    <m/>
    <m/>
    <m/>
    <m/>
    <m/>
    <m/>
    <m/>
    <m/>
    <m/>
    <m/>
    <m/>
    <m/>
    <m/>
    <m/>
    <m/>
    <m/>
  </r>
  <r>
    <n v="121"/>
    <m/>
    <x v="76"/>
    <m/>
    <m/>
    <m/>
    <m/>
    <m/>
    <m/>
    <m/>
    <s v="-"/>
    <m/>
    <m/>
    <m/>
    <m/>
    <m/>
    <m/>
    <m/>
    <m/>
    <m/>
    <m/>
    <m/>
    <m/>
    <m/>
    <m/>
    <m/>
    <m/>
    <m/>
    <m/>
    <m/>
    <m/>
    <m/>
    <m/>
    <m/>
    <m/>
    <m/>
    <m/>
    <m/>
    <m/>
    <m/>
    <m/>
    <m/>
    <m/>
    <m/>
    <m/>
    <m/>
    <m/>
    <m/>
    <m/>
    <m/>
    <m/>
    <m/>
    <m/>
    <m/>
    <m/>
    <m/>
    <m/>
    <m/>
    <m/>
    <m/>
  </r>
  <r>
    <n v="122"/>
    <m/>
    <x v="76"/>
    <m/>
    <m/>
    <m/>
    <m/>
    <m/>
    <m/>
    <m/>
    <s v="-"/>
    <m/>
    <m/>
    <m/>
    <m/>
    <m/>
    <m/>
    <m/>
    <m/>
    <m/>
    <m/>
    <m/>
    <m/>
    <m/>
    <m/>
    <m/>
    <m/>
    <m/>
    <m/>
    <m/>
    <m/>
    <m/>
    <m/>
    <m/>
    <m/>
    <m/>
    <m/>
    <m/>
    <m/>
    <m/>
    <m/>
    <m/>
    <m/>
    <m/>
    <m/>
    <m/>
    <m/>
    <m/>
    <m/>
    <m/>
    <m/>
    <m/>
    <m/>
    <m/>
    <m/>
    <m/>
    <m/>
    <m/>
    <m/>
    <m/>
  </r>
  <r>
    <n v="123"/>
    <m/>
    <x v="76"/>
    <m/>
    <m/>
    <m/>
    <m/>
    <m/>
    <m/>
    <m/>
    <s v="-"/>
    <m/>
    <m/>
    <m/>
    <m/>
    <m/>
    <m/>
    <m/>
    <m/>
    <m/>
    <m/>
    <m/>
    <m/>
    <m/>
    <m/>
    <m/>
    <m/>
    <m/>
    <m/>
    <m/>
    <m/>
    <m/>
    <m/>
    <m/>
    <m/>
    <m/>
    <m/>
    <m/>
    <m/>
    <m/>
    <m/>
    <m/>
    <m/>
    <m/>
    <m/>
    <m/>
    <m/>
    <m/>
    <m/>
    <m/>
    <m/>
    <m/>
    <m/>
    <m/>
    <m/>
    <m/>
    <m/>
    <m/>
    <m/>
    <m/>
  </r>
  <r>
    <n v="124"/>
    <m/>
    <x v="76"/>
    <m/>
    <m/>
    <m/>
    <m/>
    <m/>
    <m/>
    <m/>
    <s v="-"/>
    <m/>
    <m/>
    <m/>
    <m/>
    <m/>
    <m/>
    <m/>
    <m/>
    <m/>
    <m/>
    <m/>
    <m/>
    <m/>
    <m/>
    <m/>
    <m/>
    <m/>
    <m/>
    <m/>
    <m/>
    <m/>
    <m/>
    <m/>
    <m/>
    <m/>
    <m/>
    <m/>
    <m/>
    <m/>
    <m/>
    <m/>
    <m/>
    <m/>
    <m/>
    <m/>
    <m/>
    <m/>
    <m/>
    <m/>
    <m/>
    <m/>
    <m/>
    <m/>
    <m/>
    <m/>
    <m/>
    <m/>
    <m/>
    <m/>
  </r>
  <r>
    <n v="125"/>
    <m/>
    <x v="76"/>
    <m/>
    <m/>
    <m/>
    <m/>
    <m/>
    <m/>
    <m/>
    <s v="-"/>
    <m/>
    <m/>
    <m/>
    <m/>
    <m/>
    <m/>
    <m/>
    <m/>
    <m/>
    <m/>
    <m/>
    <m/>
    <m/>
    <m/>
    <m/>
    <m/>
    <m/>
    <m/>
    <m/>
    <m/>
    <m/>
    <m/>
    <m/>
    <m/>
    <m/>
    <m/>
    <m/>
    <m/>
    <m/>
    <m/>
    <m/>
    <m/>
    <m/>
    <m/>
    <m/>
    <m/>
    <m/>
    <m/>
    <m/>
    <m/>
    <m/>
    <m/>
    <m/>
    <m/>
    <m/>
    <m/>
    <m/>
    <m/>
    <m/>
  </r>
  <r>
    <n v="126"/>
    <m/>
    <x v="76"/>
    <m/>
    <m/>
    <m/>
    <m/>
    <m/>
    <m/>
    <m/>
    <s v="-"/>
    <m/>
    <m/>
    <m/>
    <m/>
    <m/>
    <m/>
    <m/>
    <m/>
    <m/>
    <m/>
    <m/>
    <m/>
    <m/>
    <m/>
    <m/>
    <m/>
    <m/>
    <m/>
    <m/>
    <m/>
    <m/>
    <m/>
    <m/>
    <m/>
    <m/>
    <m/>
    <m/>
    <m/>
    <m/>
    <m/>
    <m/>
    <m/>
    <m/>
    <m/>
    <m/>
    <m/>
    <m/>
    <m/>
    <m/>
    <m/>
    <m/>
    <m/>
    <m/>
    <m/>
    <m/>
    <m/>
    <m/>
    <m/>
    <m/>
  </r>
  <r>
    <n v="127"/>
    <m/>
    <x v="76"/>
    <m/>
    <m/>
    <m/>
    <m/>
    <m/>
    <m/>
    <m/>
    <s v="-"/>
    <m/>
    <m/>
    <m/>
    <m/>
    <m/>
    <m/>
    <m/>
    <m/>
    <m/>
    <m/>
    <m/>
    <m/>
    <m/>
    <m/>
    <m/>
    <m/>
    <m/>
    <m/>
    <m/>
    <m/>
    <m/>
    <m/>
    <m/>
    <m/>
    <m/>
    <m/>
    <m/>
    <m/>
    <m/>
    <m/>
    <m/>
    <m/>
    <m/>
    <m/>
    <m/>
    <m/>
    <m/>
    <m/>
    <m/>
    <m/>
    <m/>
    <m/>
    <m/>
    <m/>
    <m/>
    <m/>
    <m/>
    <m/>
    <m/>
  </r>
  <r>
    <n v="128"/>
    <m/>
    <x v="76"/>
    <m/>
    <m/>
    <m/>
    <m/>
    <m/>
    <m/>
    <m/>
    <s v="-"/>
    <m/>
    <m/>
    <m/>
    <m/>
    <m/>
    <m/>
    <m/>
    <m/>
    <m/>
    <m/>
    <m/>
    <m/>
    <m/>
    <m/>
    <m/>
    <m/>
    <m/>
    <m/>
    <m/>
    <m/>
    <m/>
    <m/>
    <m/>
    <m/>
    <m/>
    <m/>
    <m/>
    <m/>
    <m/>
    <m/>
    <m/>
    <m/>
    <m/>
    <m/>
    <m/>
    <m/>
    <m/>
    <m/>
    <m/>
    <m/>
    <m/>
    <m/>
    <m/>
    <m/>
    <m/>
    <m/>
    <m/>
    <m/>
    <m/>
  </r>
  <r>
    <n v="129"/>
    <m/>
    <x v="76"/>
    <m/>
    <m/>
    <m/>
    <m/>
    <m/>
    <m/>
    <m/>
    <s v="-"/>
    <m/>
    <m/>
    <m/>
    <m/>
    <m/>
    <m/>
    <m/>
    <m/>
    <m/>
    <m/>
    <m/>
    <m/>
    <m/>
    <m/>
    <m/>
    <m/>
    <m/>
    <m/>
    <m/>
    <m/>
    <m/>
    <m/>
    <m/>
    <m/>
    <m/>
    <m/>
    <m/>
    <m/>
    <m/>
    <m/>
    <m/>
    <m/>
    <m/>
    <m/>
    <m/>
    <m/>
    <m/>
    <m/>
    <m/>
    <m/>
    <m/>
    <m/>
    <m/>
    <m/>
    <m/>
    <m/>
    <m/>
    <m/>
    <m/>
  </r>
  <r>
    <n v="130"/>
    <m/>
    <x v="76"/>
    <m/>
    <m/>
    <m/>
    <m/>
    <m/>
    <m/>
    <m/>
    <s v="-"/>
    <m/>
    <m/>
    <m/>
    <m/>
    <m/>
    <m/>
    <m/>
    <m/>
    <m/>
    <m/>
    <m/>
    <m/>
    <m/>
    <m/>
    <m/>
    <m/>
    <m/>
    <m/>
    <m/>
    <m/>
    <m/>
    <m/>
    <m/>
    <m/>
    <m/>
    <m/>
    <m/>
    <m/>
    <m/>
    <m/>
    <m/>
    <m/>
    <m/>
    <m/>
    <m/>
    <m/>
    <m/>
    <m/>
    <m/>
    <m/>
    <m/>
    <m/>
    <m/>
    <m/>
    <m/>
    <m/>
    <m/>
    <m/>
    <m/>
  </r>
  <r>
    <n v="131"/>
    <m/>
    <x v="76"/>
    <m/>
    <m/>
    <m/>
    <m/>
    <m/>
    <m/>
    <m/>
    <s v="-"/>
    <m/>
    <m/>
    <m/>
    <m/>
    <m/>
    <m/>
    <m/>
    <m/>
    <m/>
    <m/>
    <m/>
    <m/>
    <m/>
    <m/>
    <m/>
    <m/>
    <m/>
    <m/>
    <m/>
    <m/>
    <m/>
    <m/>
    <m/>
    <m/>
    <m/>
    <m/>
    <m/>
    <m/>
    <m/>
    <m/>
    <m/>
    <m/>
    <m/>
    <m/>
    <m/>
    <m/>
    <m/>
    <m/>
    <m/>
    <m/>
    <m/>
    <m/>
    <m/>
    <m/>
    <m/>
    <m/>
    <m/>
    <m/>
    <m/>
  </r>
  <r>
    <n v="132"/>
    <m/>
    <x v="76"/>
    <m/>
    <m/>
    <m/>
    <m/>
    <m/>
    <m/>
    <m/>
    <s v="-"/>
    <m/>
    <m/>
    <m/>
    <m/>
    <m/>
    <m/>
    <m/>
    <m/>
    <m/>
    <m/>
    <m/>
    <m/>
    <m/>
    <m/>
    <m/>
    <m/>
    <m/>
    <m/>
    <m/>
    <m/>
    <m/>
    <m/>
    <m/>
    <m/>
    <m/>
    <m/>
    <m/>
    <m/>
    <m/>
    <m/>
    <m/>
    <m/>
    <m/>
    <m/>
    <m/>
    <m/>
    <m/>
    <m/>
    <m/>
    <m/>
    <m/>
    <m/>
    <m/>
    <m/>
    <m/>
    <m/>
    <m/>
    <m/>
    <m/>
  </r>
  <r>
    <n v="133"/>
    <m/>
    <x v="76"/>
    <m/>
    <m/>
    <m/>
    <m/>
    <m/>
    <m/>
    <m/>
    <s v="-"/>
    <m/>
    <m/>
    <m/>
    <m/>
    <m/>
    <m/>
    <m/>
    <m/>
    <m/>
    <m/>
    <m/>
    <m/>
    <m/>
    <m/>
    <m/>
    <m/>
    <m/>
    <m/>
    <m/>
    <m/>
    <m/>
    <m/>
    <m/>
    <m/>
    <m/>
    <m/>
    <m/>
    <m/>
    <m/>
    <m/>
    <m/>
    <m/>
    <m/>
    <m/>
    <m/>
    <m/>
    <m/>
    <m/>
    <m/>
    <m/>
    <m/>
    <m/>
    <m/>
    <m/>
    <m/>
    <m/>
    <m/>
    <m/>
    <m/>
  </r>
  <r>
    <m/>
    <m/>
    <x v="76"/>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400-000000000000}" name="TablaDinámica1" cacheId="24"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1">
  <location ref="A1:D18" firstHeaderRow="0" firstDataRow="1" firstDataCol="1"/>
  <pivotFields count="60">
    <pivotField showAll="0"/>
    <pivotField showAll="0"/>
    <pivotField axis="axisRow" showAll="0">
      <items count="78">
        <item x="0"/>
        <item x="1"/>
        <item x="2"/>
        <item x="3"/>
        <item x="4"/>
        <item x="5"/>
        <item x="6"/>
        <item x="7"/>
        <item x="8"/>
        <item x="9"/>
        <item x="10"/>
        <item x="11"/>
        <item x="12"/>
        <item x="13"/>
        <item x="14"/>
        <item x="15"/>
        <item h="1" x="76"/>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s>
  <rowFields count="1">
    <field x="2"/>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a de RESULTADO DISPONIBILIDAD" fld="10" baseField="0" baseItem="0"/>
    <dataField name="Suma de RESULTADO RENDIMIENTO" fld="14" baseField="0" baseItem="0"/>
    <dataField name="Suma de RESULTADO CALIDAD" fld="58" baseField="2" baseItem="0"/>
  </dataFields>
  <chartFormats count="3">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0"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1400-000003000000}" name="TablaDinámica5" cacheId="23" applyNumberFormats="0" applyBorderFormats="0" applyFontFormats="0" applyPatternFormats="0" applyAlignmentFormats="0" applyWidthHeightFormats="1" dataCaption="Valores" errorCaption=" " showError="1" updatedVersion="6" minRefreshableVersion="3" useAutoFormatting="1" itemPrintTitles="1" createdVersion="6" indent="0" outline="1" outlineData="1" multipleFieldFilters="0" chartFormat="3">
  <location ref="AA20:AB25" firstHeaderRow="1" firstDataRow="1" firstDataCol="1"/>
  <pivotFields count="41">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axis="axisRow" showAll="0">
      <items count="15">
        <item h="1"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39"/>
  </rowFields>
  <rowItems count="5">
    <i>
      <x v="1"/>
    </i>
    <i>
      <x v="2"/>
    </i>
    <i>
      <x v="3"/>
    </i>
    <i>
      <x v="4"/>
    </i>
    <i t="grand">
      <x/>
    </i>
  </rowItems>
  <colItems count="1">
    <i/>
  </colItems>
  <dataFields count="1">
    <dataField name="Suma de PMM´s ACTUADORES" fld="38" baseField="39" baseItem="0" numFmtId="166"/>
  </dataFields>
  <formats count="1">
    <format dxfId="33">
      <pivotArea outline="0" collapsedLevelsAreSubtotals="1" fieldPosition="0"/>
    </format>
  </formats>
  <chartFormats count="5">
    <chartFormat chart="0" format="1"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39" count="1" selected="0">
            <x v="1"/>
          </reference>
        </references>
      </pivotArea>
    </chartFormat>
    <chartFormat chart="0" format="17">
      <pivotArea type="data" outline="0" fieldPosition="0">
        <references count="2">
          <reference field="4294967294" count="1" selected="0">
            <x v="0"/>
          </reference>
          <reference field="39" count="1" selected="0">
            <x v="3"/>
          </reference>
        </references>
      </pivotArea>
    </chartFormat>
    <chartFormat chart="0" format="18">
      <pivotArea type="data" outline="0" fieldPosition="0">
        <references count="2">
          <reference field="4294967294" count="1" selected="0">
            <x v="0"/>
          </reference>
          <reference field="39" count="1" selected="0">
            <x v="2"/>
          </reference>
        </references>
      </pivotArea>
    </chartFormat>
    <chartFormat chart="0" format="19">
      <pivotArea type="data" outline="0" fieldPosition="0">
        <references count="2">
          <reference field="4294967294" count="1" selected="0">
            <x v="0"/>
          </reference>
          <reference field="3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1400-000002000000}" name="TablaDinámica8" cacheId="23" dataOnRows="1" applyNumberFormats="0" applyBorderFormats="0" applyFontFormats="0" applyPatternFormats="0" applyAlignmentFormats="0" applyWidthHeightFormats="1" dataCaption="Valores" updatedVersion="6" minRefreshableVersion="5" useAutoFormatting="1" itemPrintTitles="1" createdVersion="6" indent="0" outline="1" outlineData="1" multipleFieldFilters="0" chartFormat="6">
  <location ref="BO20:BP38" firstHeaderRow="1" firstDataRow="1" firstDataCol="1" rowPageCount="2" colPageCount="1"/>
  <pivotFields count="41">
    <pivotField axis="axisPage"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dragToRow="0" dragToCol="0" dragToPage="0" showAll="0" defaultSubtotal="0"/>
    <pivotField axis="axisPage" multipleItemSelectionAllowed="1" showAll="0" defaultSubtotal="0">
      <items count="14">
        <item h="1" sd="0" x="0"/>
        <item sd="0" x="1"/>
        <item sd="0" x="2"/>
        <item sd="0" x="3"/>
        <item sd="0" x="4"/>
        <item sd="0" x="5"/>
        <item sd="0" x="6"/>
        <item sd="0" x="7"/>
        <item sd="0" x="8"/>
        <item sd="0" x="9"/>
        <item sd="0" x="10"/>
        <item sd="0" x="11"/>
        <item sd="0" x="12"/>
        <item h="1" sd="0" x="13"/>
      </items>
    </pivotField>
    <pivotField dragToRow="0" dragToCol="0" dragToPage="0" showAll="0" defaultSubtotal="0"/>
  </pivotFields>
  <rowFields count="1">
    <field x="-2"/>
  </rowFields>
  <rowItems count="18">
    <i>
      <x/>
    </i>
    <i i="1">
      <x v="1"/>
    </i>
    <i i="2">
      <x v="2"/>
    </i>
    <i i="3">
      <x v="3"/>
    </i>
    <i i="4">
      <x v="4"/>
    </i>
    <i i="5">
      <x v="5"/>
    </i>
    <i i="6">
      <x v="6"/>
    </i>
    <i i="7">
      <x v="7"/>
    </i>
    <i i="8">
      <x v="8"/>
    </i>
    <i i="9">
      <x v="9"/>
    </i>
    <i i="10">
      <x v="10"/>
    </i>
    <i i="11">
      <x v="11"/>
    </i>
    <i i="12">
      <x v="12"/>
    </i>
    <i i="13">
      <x v="13"/>
    </i>
    <i i="14">
      <x v="14"/>
    </i>
    <i i="15">
      <x v="15"/>
    </i>
    <i i="16">
      <x v="16"/>
    </i>
    <i i="17">
      <x v="17"/>
    </i>
  </rowItems>
  <colItems count="1">
    <i/>
  </colItems>
  <pageFields count="2">
    <pageField fld="39" hier="-1"/>
    <pageField fld="0" hier="-1"/>
  </pageFields>
  <dataFields count="18">
    <dataField name="Other" fld="32" baseField="0" baseItem="0"/>
    <dataField name="Sum of Prensado no conforme Marcas Fisura" fld="15" baseField="1" baseItem="232860928"/>
    <dataField name="Seal leak" fld="16" baseField="0" baseItem="0"/>
    <dataField name="Engraving Missing Position Incomplete" fld="20" baseField="0" baseItem="0"/>
    <dataField name="Missing spring" fld="24" baseField="0" baseItem="0"/>
    <dataField name="Surface treatment" fld="17" baseField="0" baseItem="4123488"/>
    <dataField name="Burrs Dents Damage Marks Sharp-edges" fld="19" baseField="0" baseItem="0"/>
    <dataField name="Crimping NOK Damaged" fld="22" baseField="0" baseItem="38"/>
    <dataField name="Diameter NOK" fld="30" baseField="39" baseItem="1"/>
    <dataField name="Height NOK" fld="31" baseField="39" baseItem="1"/>
    <dataField name="Interrupted Process by safety sensor" fld="26" baseField="39" baseItem="1"/>
    <dataField name="Crimping NOK deformed " fld="23" baseField="0" baseItem="38"/>
    <dataField name="JIG FASE 45 Failure" fld="29" baseField="0" baseItem="38"/>
    <dataField name="DMC code not correct" fld="27" baseField="39" baseItem="1"/>
    <dataField name="Hysteresis failure" fld="25" baseField="39" baseItem="1"/>
    <dataField name="Engraving malfunction" fld="28" baseField="39" baseItem="1"/>
    <dataField name="Engraving not readable " fld="21" baseField="39" baseItem="1"/>
    <dataField name="Fitting Short Loose Capping Not weld" fld="18" baseField="0" baseItem="38"/>
  </dataFields>
  <chartFormats count="56">
    <chartFormat chart="0" format="1" series="1">
      <pivotArea type="data" outline="0" fieldPosition="0">
        <references count="1">
          <reference field="4294967294" count="1" selected="0">
            <x v="3"/>
          </reference>
        </references>
      </pivotArea>
    </chartFormat>
    <chartFormat chart="0" format="2">
      <pivotArea type="data" outline="0" fieldPosition="0">
        <references count="1">
          <reference field="4294967294" count="1" selected="0">
            <x v="3"/>
          </reference>
        </references>
      </pivotArea>
    </chartFormat>
    <chartFormat chart="0" format="3">
      <pivotArea type="data" outline="0" fieldPosition="0">
        <references count="1">
          <reference field="4294967294" count="1" selected="0">
            <x v="0"/>
          </reference>
        </references>
      </pivotArea>
    </chartFormat>
    <chartFormat chart="0" format="4">
      <pivotArea type="data" outline="0" fieldPosition="0">
        <references count="1">
          <reference field="4294967294" count="1" selected="0">
            <x v="4"/>
          </reference>
        </references>
      </pivotArea>
    </chartFormat>
    <chartFormat chart="0" format="5">
      <pivotArea type="data" outline="0" fieldPosition="0">
        <references count="1">
          <reference field="4294967294" count="1" selected="0">
            <x v="2"/>
          </reference>
        </references>
      </pivotArea>
    </chartFormat>
    <chartFormat chart="0" format="6">
      <pivotArea type="data" outline="0" fieldPosition="0">
        <references count="1">
          <reference field="4294967294" count="1" selected="0">
            <x v="5"/>
          </reference>
        </references>
      </pivotArea>
    </chartFormat>
    <chartFormat chart="0" format="7">
      <pivotArea type="data" outline="0" fieldPosition="0">
        <references count="1">
          <reference field="4294967294" count="1" selected="0">
            <x v="6"/>
          </reference>
        </references>
      </pivotArea>
    </chartFormat>
    <chartFormat chart="0" format="8">
      <pivotArea type="data" outline="0" fieldPosition="0">
        <references count="1">
          <reference field="4294967294" count="1" selected="0">
            <x v="7"/>
          </reference>
        </references>
      </pivotArea>
    </chartFormat>
    <chartFormat chart="0" format="9">
      <pivotArea type="data" outline="0" fieldPosition="0">
        <references count="1">
          <reference field="4294967294" count="1" selected="0">
            <x v="8"/>
          </reference>
        </references>
      </pivotArea>
    </chartFormat>
    <chartFormat chart="0" format="10">
      <pivotArea type="data" outline="0" fieldPosition="0">
        <references count="1">
          <reference field="4294967294" count="1" selected="0">
            <x v="9"/>
          </reference>
        </references>
      </pivotArea>
    </chartFormat>
    <chartFormat chart="0" format="11">
      <pivotArea type="data" outline="0" fieldPosition="0">
        <references count="1">
          <reference field="4294967294" count="1" selected="0">
            <x v="10"/>
          </reference>
        </references>
      </pivotArea>
    </chartFormat>
    <chartFormat chart="0" format="12">
      <pivotArea type="data" outline="0" fieldPosition="0">
        <references count="1">
          <reference field="4294967294" count="1" selected="0">
            <x v="11"/>
          </reference>
        </references>
      </pivotArea>
    </chartFormat>
    <chartFormat chart="0" format="13">
      <pivotArea type="data" outline="0" fieldPosition="0">
        <references count="1">
          <reference field="4294967294" count="1" selected="0">
            <x v="12"/>
          </reference>
        </references>
      </pivotArea>
    </chartFormat>
    <chartFormat chart="0" format="14">
      <pivotArea type="data" outline="0" fieldPosition="0">
        <references count="1">
          <reference field="4294967294" count="1" selected="0">
            <x v="13"/>
          </reference>
        </references>
      </pivotArea>
    </chartFormat>
    <chartFormat chart="0" format="15">
      <pivotArea type="data" outline="0" fieldPosition="0">
        <references count="1">
          <reference field="4294967294" count="1" selected="0">
            <x v="14"/>
          </reference>
        </references>
      </pivotArea>
    </chartFormat>
    <chartFormat chart="0" format="16">
      <pivotArea type="data" outline="0" fieldPosition="0">
        <references count="1">
          <reference field="4294967294" count="1" selected="0">
            <x v="15"/>
          </reference>
        </references>
      </pivotArea>
    </chartFormat>
    <chartFormat chart="0" format="18">
      <pivotArea type="data" outline="0" fieldPosition="0">
        <references count="1">
          <reference field="4294967294" count="1" selected="0">
            <x v="16"/>
          </reference>
        </references>
      </pivotArea>
    </chartFormat>
    <chartFormat chart="0" format="19">
      <pivotArea type="data" outline="0" fieldPosition="0">
        <references count="1">
          <reference field="4294967294" count="1" selected="0">
            <x v="17"/>
          </reference>
        </references>
      </pivotArea>
    </chartFormat>
    <chartFormat chart="2" format="20" series="1">
      <pivotArea type="data" outline="0" fieldPosition="0">
        <references count="1">
          <reference field="4294967294" count="1" selected="0">
            <x v="3"/>
          </reference>
        </references>
      </pivotArea>
    </chartFormat>
    <chartFormat chart="2" format="21">
      <pivotArea type="data" outline="0" fieldPosition="0">
        <references count="1">
          <reference field="4294967294" count="1" selected="0">
            <x v="3"/>
          </reference>
        </references>
      </pivotArea>
    </chartFormat>
    <chartFormat chart="2" format="22">
      <pivotArea type="data" outline="0" fieldPosition="0">
        <references count="1">
          <reference field="4294967294" count="1" selected="0">
            <x v="0"/>
          </reference>
        </references>
      </pivotArea>
    </chartFormat>
    <chartFormat chart="2" format="23">
      <pivotArea type="data" outline="0" fieldPosition="0">
        <references count="1">
          <reference field="4294967294" count="1" selected="0">
            <x v="4"/>
          </reference>
        </references>
      </pivotArea>
    </chartFormat>
    <chartFormat chart="2" format="24">
      <pivotArea type="data" outline="0" fieldPosition="0">
        <references count="1">
          <reference field="4294967294" count="1" selected="0">
            <x v="2"/>
          </reference>
        </references>
      </pivotArea>
    </chartFormat>
    <chartFormat chart="2" format="25">
      <pivotArea type="data" outline="0" fieldPosition="0">
        <references count="1">
          <reference field="4294967294" count="1" selected="0">
            <x v="5"/>
          </reference>
        </references>
      </pivotArea>
    </chartFormat>
    <chartFormat chart="2" format="26">
      <pivotArea type="data" outline="0" fieldPosition="0">
        <references count="1">
          <reference field="4294967294" count="1" selected="0">
            <x v="6"/>
          </reference>
        </references>
      </pivotArea>
    </chartFormat>
    <chartFormat chart="2" format="27">
      <pivotArea type="data" outline="0" fieldPosition="0">
        <references count="1">
          <reference field="4294967294" count="1" selected="0">
            <x v="7"/>
          </reference>
        </references>
      </pivotArea>
    </chartFormat>
    <chartFormat chart="2" format="28">
      <pivotArea type="data" outline="0" fieldPosition="0">
        <references count="1">
          <reference field="4294967294" count="1" selected="0">
            <x v="8"/>
          </reference>
        </references>
      </pivotArea>
    </chartFormat>
    <chartFormat chart="2" format="29">
      <pivotArea type="data" outline="0" fieldPosition="0">
        <references count="1">
          <reference field="4294967294" count="1" selected="0">
            <x v="9"/>
          </reference>
        </references>
      </pivotArea>
    </chartFormat>
    <chartFormat chart="2" format="30">
      <pivotArea type="data" outline="0" fieldPosition="0">
        <references count="1">
          <reference field="4294967294" count="1" selected="0">
            <x v="10"/>
          </reference>
        </references>
      </pivotArea>
    </chartFormat>
    <chartFormat chart="2" format="31">
      <pivotArea type="data" outline="0" fieldPosition="0">
        <references count="1">
          <reference field="4294967294" count="1" selected="0">
            <x v="11"/>
          </reference>
        </references>
      </pivotArea>
    </chartFormat>
    <chartFormat chart="2" format="32">
      <pivotArea type="data" outline="0" fieldPosition="0">
        <references count="1">
          <reference field="4294967294" count="1" selected="0">
            <x v="12"/>
          </reference>
        </references>
      </pivotArea>
    </chartFormat>
    <chartFormat chart="2" format="33">
      <pivotArea type="data" outline="0" fieldPosition="0">
        <references count="1">
          <reference field="4294967294" count="1" selected="0">
            <x v="13"/>
          </reference>
        </references>
      </pivotArea>
    </chartFormat>
    <chartFormat chart="2" format="34">
      <pivotArea type="data" outline="0" fieldPosition="0">
        <references count="1">
          <reference field="4294967294" count="1" selected="0">
            <x v="14"/>
          </reference>
        </references>
      </pivotArea>
    </chartFormat>
    <chartFormat chart="2" format="35">
      <pivotArea type="data" outline="0" fieldPosition="0">
        <references count="1">
          <reference field="4294967294" count="1" selected="0">
            <x v="15"/>
          </reference>
        </references>
      </pivotArea>
    </chartFormat>
    <chartFormat chart="2" format="37">
      <pivotArea type="data" outline="0" fieldPosition="0">
        <references count="1">
          <reference field="4294967294" count="1" selected="0">
            <x v="16"/>
          </reference>
        </references>
      </pivotArea>
    </chartFormat>
    <chartFormat chart="2" format="38">
      <pivotArea type="data" outline="0" fieldPosition="0">
        <references count="1">
          <reference field="4294967294" count="1" selected="0">
            <x v="17"/>
          </reference>
        </references>
      </pivotArea>
    </chartFormat>
    <chartFormat chart="3" format="39" series="1">
      <pivotArea type="data" outline="0" fieldPosition="0">
        <references count="1">
          <reference field="4294967294" count="1" selected="0">
            <x v="3"/>
          </reference>
        </references>
      </pivotArea>
    </chartFormat>
    <chartFormat chart="3" format="40">
      <pivotArea type="data" outline="0" fieldPosition="0">
        <references count="1">
          <reference field="4294967294" count="1" selected="0">
            <x v="3"/>
          </reference>
        </references>
      </pivotArea>
    </chartFormat>
    <chartFormat chart="3" format="41">
      <pivotArea type="data" outline="0" fieldPosition="0">
        <references count="1">
          <reference field="4294967294" count="1" selected="0">
            <x v="0"/>
          </reference>
        </references>
      </pivotArea>
    </chartFormat>
    <chartFormat chart="3" format="42">
      <pivotArea type="data" outline="0" fieldPosition="0">
        <references count="1">
          <reference field="4294967294" count="1" selected="0">
            <x v="4"/>
          </reference>
        </references>
      </pivotArea>
    </chartFormat>
    <chartFormat chart="3" format="43">
      <pivotArea type="data" outline="0" fieldPosition="0">
        <references count="1">
          <reference field="4294967294" count="1" selected="0">
            <x v="2"/>
          </reference>
        </references>
      </pivotArea>
    </chartFormat>
    <chartFormat chart="3" format="44">
      <pivotArea type="data" outline="0" fieldPosition="0">
        <references count="1">
          <reference field="4294967294" count="1" selected="0">
            <x v="5"/>
          </reference>
        </references>
      </pivotArea>
    </chartFormat>
    <chartFormat chart="3" format="45">
      <pivotArea type="data" outline="0" fieldPosition="0">
        <references count="1">
          <reference field="4294967294" count="1" selected="0">
            <x v="6"/>
          </reference>
        </references>
      </pivotArea>
    </chartFormat>
    <chartFormat chart="3" format="46">
      <pivotArea type="data" outline="0" fieldPosition="0">
        <references count="1">
          <reference field="4294967294" count="1" selected="0">
            <x v="7"/>
          </reference>
        </references>
      </pivotArea>
    </chartFormat>
    <chartFormat chart="3" format="47">
      <pivotArea type="data" outline="0" fieldPosition="0">
        <references count="1">
          <reference field="4294967294" count="1" selected="0">
            <x v="8"/>
          </reference>
        </references>
      </pivotArea>
    </chartFormat>
    <chartFormat chart="3" format="48">
      <pivotArea type="data" outline="0" fieldPosition="0">
        <references count="1">
          <reference field="4294967294" count="1" selected="0">
            <x v="9"/>
          </reference>
        </references>
      </pivotArea>
    </chartFormat>
    <chartFormat chart="3" format="49">
      <pivotArea type="data" outline="0" fieldPosition="0">
        <references count="1">
          <reference field="4294967294" count="1" selected="0">
            <x v="10"/>
          </reference>
        </references>
      </pivotArea>
    </chartFormat>
    <chartFormat chart="3" format="50">
      <pivotArea type="data" outline="0" fieldPosition="0">
        <references count="1">
          <reference field="4294967294" count="1" selected="0">
            <x v="11"/>
          </reference>
        </references>
      </pivotArea>
    </chartFormat>
    <chartFormat chart="3" format="51">
      <pivotArea type="data" outline="0" fieldPosition="0">
        <references count="1">
          <reference field="4294967294" count="1" selected="0">
            <x v="12"/>
          </reference>
        </references>
      </pivotArea>
    </chartFormat>
    <chartFormat chart="3" format="52">
      <pivotArea type="data" outline="0" fieldPosition="0">
        <references count="1">
          <reference field="4294967294" count="1" selected="0">
            <x v="13"/>
          </reference>
        </references>
      </pivotArea>
    </chartFormat>
    <chartFormat chart="3" format="53">
      <pivotArea type="data" outline="0" fieldPosition="0">
        <references count="1">
          <reference field="4294967294" count="1" selected="0">
            <x v="14"/>
          </reference>
        </references>
      </pivotArea>
    </chartFormat>
    <chartFormat chart="3" format="54">
      <pivotArea type="data" outline="0" fieldPosition="0">
        <references count="1">
          <reference field="4294967294" count="1" selected="0">
            <x v="15"/>
          </reference>
        </references>
      </pivotArea>
    </chartFormat>
    <chartFormat chart="3" format="56">
      <pivotArea type="data" outline="0" fieldPosition="0">
        <references count="1">
          <reference field="4294967294" count="1" selected="0">
            <x v="16"/>
          </reference>
        </references>
      </pivotArea>
    </chartFormat>
    <chartFormat chart="3" format="57">
      <pivotArea type="data" outline="0" fieldPosition="0">
        <references count="1">
          <reference field="4294967294" count="1" selected="0">
            <x v="17"/>
          </reference>
        </references>
      </pivotArea>
    </chartFormat>
    <chartFormat chart="0" format="20" series="1">
      <pivotArea type="data" outline="0" fieldPosition="0">
        <references count="1">
          <reference field="4294967294" count="1" selected="0">
            <x v="0"/>
          </reference>
        </references>
      </pivotArea>
    </chartFormat>
    <chartFormat chart="0" format="2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1400-000001000000}" name="FLAT TUBE 7914992007 MONTHLY PARETO  2018" cacheId="22" dataOnRows="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chartFormat="40">
  <location ref="G22:H48" firstHeaderRow="1" firstDataRow="1" firstDataCol="1" rowPageCount="1" colPageCount="1"/>
  <pivotFields count="59">
    <pivotField axis="axisPage" multipleItemSelectionAllowed="1" showAll="0">
      <items count="15">
        <item h="1" x="0"/>
        <item x="1"/>
        <item x="2"/>
        <item h="1" x="3"/>
        <item h="1" x="4"/>
        <item h="1" x="5"/>
        <item h="1" x="6"/>
        <item h="1" x="7"/>
        <item h="1" x="8"/>
        <item h="1" x="9"/>
        <item h="1" x="10"/>
        <item h="1" x="11"/>
        <item h="1" x="12"/>
        <item h="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dataField="1" showAll="0"/>
    <pivotField dataField="1" showAll="0"/>
    <pivotField dataField="1" showAll="0"/>
    <pivotField showAll="0"/>
    <pivotField dataField="1" showAll="0"/>
    <pivotField dataField="1" showAll="0"/>
    <pivotField dataField="1" showAll="0"/>
    <pivotField dataField="1"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defaultSubtotal="0">
      <items count="6">
        <item x="1"/>
        <item x="2"/>
        <item x="3"/>
        <item x="4"/>
        <item x="0"/>
        <item x="5"/>
      </items>
    </pivotField>
    <pivotField showAll="0" defaultSubtotal="0">
      <items count="3">
        <item x="1"/>
        <item h="1" x="0"/>
        <item h="1" x="2"/>
      </items>
    </pivotField>
    <pivotField dragToRow="0" dragToCol="0" dragToPage="0" showAll="0" defaultSubtotal="0"/>
  </pivotFields>
  <rowFields count="1">
    <field x="-2"/>
  </rowFields>
  <rowItems count="26">
    <i>
      <x/>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rowItems>
  <colItems count="1">
    <i/>
  </colItems>
  <pageFields count="1">
    <pageField fld="0" hier="-1"/>
  </pageFields>
  <dataFields count="26">
    <dataField name="Pieces with hits" fld="45" baseField="1" baseItem="141618384"/>
    <dataField name="Short piece" fld="42" baseField="40" baseItem="0"/>
    <dataField name="Suma de Condición de ondulación" fld="19" baseField="1" baseItem="141618384"/>
    <dataField name="Welding Failure" fld="21" baseField="1" baseItem="141618384"/>
    <dataField name="Badly filed piece" fld="44" baseField="40" baseItem="0"/>
    <dataField name="Bad welding" fld="43" baseField="40" baseItem="0"/>
    <dataField name="Sum of Formado" fld="18" baseField="1" baseItem="232860928"/>
    <dataField name="Cutter" fld="20" baseField="0" baseItem="12269754"/>
    <dataField name="Sum of Otro" fld="49" baseField="1" baseItem="232860928"/>
    <dataField name="Suma de Labio levantado" fld="32" baseField="1" baseItem="141618384"/>
    <dataField name="Tube Length" fld="22" baseField="0" baseItem="12269754"/>
    <dataField name="Stamp" fld="17" baseField="0" baseItem="12269754"/>
    <dataField name="Misaligned welding" fld="48" baseField="40" baseItem="0"/>
    <dataField name="Suma de Prensa" fld="36" baseField="1" baseItem="141618384"/>
    <dataField name="Falls to the floor" fld="46" baseField="40" baseItem="0"/>
    <dataField name="Suma de Pieza larga" fld="41" baseField="1" baseItem="141618384"/>
    <dataField name="Suma de Rodillo" fld="31" baseField="1" baseItem="141618384"/>
    <dataField name="Suma de Diimples marcados" fld="37" baseField="1" baseItem="141618384"/>
    <dataField name="Manual filing" fld="30" baseField="40" baseItem="0"/>
    <dataField name="Suma de Couples" fld="39" baseField="1" baseItem="141618384"/>
    <dataField name="Sum of Doble grabado" fld="40" baseField="1" baseItem="232860928"/>
    <dataField name="Suma de Rebaba de ventana" fld="34" baseField="1" baseItem="141618384"/>
    <dataField name="Sum of Washer" fld="35" baseField="1" baseItem="232860928"/>
    <dataField name="Sum of DC03" fld="25" baseField="1" baseItem="232860928"/>
    <dataField name="Sum of DC01" fld="24" baseField="1" baseItem="232860928"/>
    <dataField name="Sum of Corona" fld="23" baseField="1" baseItem="232860928"/>
  </dataFields>
  <chartFormats count="63">
    <chartFormat chart="0" format="0" series="1">
      <pivotArea type="data" outline="0" fieldPosition="0">
        <references count="1">
          <reference field="4294967294" count="1" selected="0">
            <x v="11"/>
          </reference>
        </references>
      </pivotArea>
    </chartFormat>
    <chartFormat chart="0" format="3" series="1">
      <pivotArea type="data" outline="0" fieldPosition="0">
        <references count="1">
          <reference field="4294967294" count="1" selected="0">
            <x v="7"/>
          </reference>
        </references>
      </pivotArea>
    </chartFormat>
    <chartFormat chart="0" format="5" series="1">
      <pivotArea type="data" outline="0" fieldPosition="0">
        <references count="1">
          <reference field="4294967294" count="1" selected="0">
            <x v="10"/>
          </reference>
        </references>
      </pivotArea>
    </chartFormat>
    <chartFormat chart="0" format="15">
      <pivotArea type="data" outline="0" fieldPosition="0">
        <references count="1">
          <reference field="4294967294" count="1" selected="0">
            <x v="10"/>
          </reference>
        </references>
      </pivotArea>
    </chartFormat>
    <chartFormat chart="0" format="16">
      <pivotArea type="data" outline="0" fieldPosition="0">
        <references count="1">
          <reference field="4294967294" count="1" selected="0">
            <x v="11"/>
          </reference>
        </references>
      </pivotArea>
    </chartFormat>
    <chartFormat chart="0" format="18">
      <pivotArea type="data" outline="0" fieldPosition="0">
        <references count="1">
          <reference field="4294967294" count="1" selected="0">
            <x v="7"/>
          </reference>
        </references>
      </pivotArea>
    </chartFormat>
    <chartFormat chart="0" format="22">
      <pivotArea type="data" outline="0" fieldPosition="0">
        <references count="1">
          <reference field="4294967294" count="1" selected="0">
            <x v="3"/>
          </reference>
        </references>
      </pivotArea>
    </chartFormat>
    <chartFormat chart="0" format="23" series="1">
      <pivotArea type="data" outline="0" fieldPosition="0">
        <references count="1">
          <reference field="4294967294" count="1" selected="0">
            <x v="5"/>
          </reference>
        </references>
      </pivotArea>
    </chartFormat>
    <chartFormat chart="0" format="24" series="1">
      <pivotArea type="data" outline="0" fieldPosition="0">
        <references count="1">
          <reference field="4294967294" count="1" selected="0">
            <x v="3"/>
          </reference>
        </references>
      </pivotArea>
    </chartFormat>
    <chartFormat chart="0" format="25">
      <pivotArea type="data" outline="0" fieldPosition="0">
        <references count="1">
          <reference field="4294967294" count="1" selected="0">
            <x v="5"/>
          </reference>
        </references>
      </pivotArea>
    </chartFormat>
    <chartFormat chart="0" format="26">
      <pivotArea type="data" outline="0" fieldPosition="0">
        <references count="1">
          <reference field="4294967294" count="1" selected="0">
            <x v="0"/>
          </reference>
        </references>
      </pivotArea>
    </chartFormat>
    <chartFormat chart="0" format="28">
      <pivotArea type="data" outline="0" fieldPosition="0">
        <references count="1">
          <reference field="4294967294" count="1" selected="0">
            <x v="12"/>
          </reference>
        </references>
      </pivotArea>
    </chartFormat>
    <chartFormat chart="0" format="29">
      <pivotArea type="data" outline="0" fieldPosition="0">
        <references count="1">
          <reference field="4294967294" count="1" selected="0">
            <x v="1"/>
          </reference>
        </references>
      </pivotArea>
    </chartFormat>
    <chartFormat chart="0" format="30">
      <pivotArea type="data" outline="0" fieldPosition="0">
        <references count="1">
          <reference field="4294967294" count="1" selected="0">
            <x v="14"/>
          </reference>
        </references>
      </pivotArea>
    </chartFormat>
    <chartFormat chart="0" format="31">
      <pivotArea type="data" outline="0" fieldPosition="0">
        <references count="1">
          <reference field="4294967294" count="1" selected="0">
            <x v="18"/>
          </reference>
        </references>
      </pivotArea>
    </chartFormat>
    <chartFormat chart="0" format="32">
      <pivotArea type="data" outline="0" fieldPosition="0">
        <references count="1">
          <reference field="4294967294" count="1" selected="0">
            <x v="4"/>
          </reference>
        </references>
      </pivotArea>
    </chartFormat>
    <chartFormat chart="0" format="33" series="1">
      <pivotArea type="data" outline="0" fieldPosition="0">
        <references count="1">
          <reference field="4294967294" count="1" selected="0">
            <x v="0"/>
          </reference>
        </references>
      </pivotArea>
    </chartFormat>
    <chartFormat chart="0" format="34" series="1">
      <pivotArea type="data" outline="0" fieldPosition="0">
        <references count="1">
          <reference field="4294967294" count="1" selected="0">
            <x v="9"/>
          </reference>
        </references>
      </pivotArea>
    </chartFormat>
    <chartFormat chart="0" format="35" series="1">
      <pivotArea type="data" outline="0" fieldPosition="0">
        <references count="1">
          <reference field="4294967294" count="1" selected="0">
            <x v="16"/>
          </reference>
        </references>
      </pivotArea>
    </chartFormat>
    <chartFormat chart="0" format="39" series="1">
      <pivotArea type="data" outline="0" fieldPosition="0">
        <references count="1">
          <reference field="4294967294" count="1" selected="0">
            <x v="2"/>
          </reference>
        </references>
      </pivotArea>
    </chartFormat>
    <chartFormat chart="0" format="41">
      <pivotArea type="data" outline="0" fieldPosition="0">
        <references count="1">
          <reference field="4294967294" count="1" selected="0">
            <x v="2"/>
          </reference>
        </references>
      </pivotArea>
    </chartFormat>
    <chartFormat chart="0" format="42">
      <pivotArea type="data" outline="0" fieldPosition="0">
        <references count="1">
          <reference field="4294967294" count="1" selected="0">
            <x v="9"/>
          </reference>
        </references>
      </pivotArea>
    </chartFormat>
    <chartFormat chart="0" format="43">
      <pivotArea type="data" outline="0" fieldPosition="0">
        <references count="1">
          <reference field="4294967294" count="1" selected="0">
            <x v="13"/>
          </reference>
        </references>
      </pivotArea>
    </chartFormat>
    <chartFormat chart="0" format="44">
      <pivotArea type="data" outline="0" fieldPosition="0">
        <references count="1">
          <reference field="4294967294" count="1" selected="0">
            <x v="15"/>
          </reference>
        </references>
      </pivotArea>
    </chartFormat>
    <chartFormat chart="0" format="45">
      <pivotArea type="data" outline="0" fieldPosition="0">
        <references count="1">
          <reference field="4294967294" count="1" selected="0">
            <x v="17"/>
          </reference>
        </references>
      </pivotArea>
    </chartFormat>
    <chartFormat chart="0" format="46">
      <pivotArea type="data" outline="0" fieldPosition="0">
        <references count="1">
          <reference field="4294967294" count="1" selected="0">
            <x v="19"/>
          </reference>
        </references>
      </pivotArea>
    </chartFormat>
    <chartFormat chart="0" format="47">
      <pivotArea type="data" outline="0" fieldPosition="0">
        <references count="1">
          <reference field="4294967294" count="1" selected="0">
            <x v="16"/>
          </reference>
        </references>
      </pivotArea>
    </chartFormat>
    <chartFormat chart="0" format="48">
      <pivotArea type="data" outline="0" fieldPosition="0">
        <references count="1">
          <reference field="4294967294" count="1" selected="0">
            <x v="21"/>
          </reference>
        </references>
      </pivotArea>
    </chartFormat>
    <chartFormat chart="0" format="49" series="1">
      <pivotArea type="data" outline="0" fieldPosition="0">
        <references count="1">
          <reference field="4294967294" count="1" selected="0">
            <x v="6"/>
          </reference>
        </references>
      </pivotArea>
    </chartFormat>
    <chartFormat chart="39" format="50" series="1">
      <pivotArea type="data" outline="0" fieldPosition="0">
        <references count="1">
          <reference field="4294967294" count="1" selected="0">
            <x v="0"/>
          </reference>
        </references>
      </pivotArea>
    </chartFormat>
    <chartFormat chart="39" format="51">
      <pivotArea type="data" outline="0" fieldPosition="0">
        <references count="1">
          <reference field="4294967294" count="1" selected="0">
            <x v="0"/>
          </reference>
        </references>
      </pivotArea>
    </chartFormat>
    <chartFormat chart="39" format="52">
      <pivotArea type="data" outline="0" fieldPosition="0">
        <references count="1">
          <reference field="4294967294" count="1" selected="0">
            <x v="1"/>
          </reference>
        </references>
      </pivotArea>
    </chartFormat>
    <chartFormat chart="39" format="53">
      <pivotArea type="data" outline="0" fieldPosition="0">
        <references count="1">
          <reference field="4294967294" count="1" selected="0">
            <x v="2"/>
          </reference>
        </references>
      </pivotArea>
    </chartFormat>
    <chartFormat chart="39" format="54">
      <pivotArea type="data" outline="0" fieldPosition="0">
        <references count="1">
          <reference field="4294967294" count="1" selected="0">
            <x v="3"/>
          </reference>
        </references>
      </pivotArea>
    </chartFormat>
    <chartFormat chart="39" format="55">
      <pivotArea type="data" outline="0" fieldPosition="0">
        <references count="1">
          <reference field="4294967294" count="1" selected="0">
            <x v="4"/>
          </reference>
        </references>
      </pivotArea>
    </chartFormat>
    <chartFormat chart="39" format="56">
      <pivotArea type="data" outline="0" fieldPosition="0">
        <references count="1">
          <reference field="4294967294" count="1" selected="0">
            <x v="5"/>
          </reference>
        </references>
      </pivotArea>
    </chartFormat>
    <chartFormat chart="39" format="57">
      <pivotArea type="data" outline="0" fieldPosition="0">
        <references count="1">
          <reference field="4294967294" count="1" selected="0">
            <x v="6"/>
          </reference>
        </references>
      </pivotArea>
    </chartFormat>
    <chartFormat chart="39" format="58">
      <pivotArea type="data" outline="0" fieldPosition="0">
        <references count="1">
          <reference field="4294967294" count="1" selected="0">
            <x v="7"/>
          </reference>
        </references>
      </pivotArea>
    </chartFormat>
    <chartFormat chart="39" format="59">
      <pivotArea type="data" outline="0" fieldPosition="0">
        <references count="1">
          <reference field="4294967294" count="1" selected="0">
            <x v="8"/>
          </reference>
        </references>
      </pivotArea>
    </chartFormat>
    <chartFormat chart="39" format="60">
      <pivotArea type="data" outline="0" fieldPosition="0">
        <references count="1">
          <reference field="4294967294" count="1" selected="0">
            <x v="9"/>
          </reference>
        </references>
      </pivotArea>
    </chartFormat>
    <chartFormat chart="39" format="61">
      <pivotArea type="data" outline="0" fieldPosition="0">
        <references count="1">
          <reference field="4294967294" count="1" selected="0">
            <x v="10"/>
          </reference>
        </references>
      </pivotArea>
    </chartFormat>
    <chartFormat chart="39" format="62">
      <pivotArea type="data" outline="0" fieldPosition="0">
        <references count="1">
          <reference field="4294967294" count="1" selected="0">
            <x v="11"/>
          </reference>
        </references>
      </pivotArea>
    </chartFormat>
    <chartFormat chart="39" format="63">
      <pivotArea type="data" outline="0" fieldPosition="0">
        <references count="1">
          <reference field="4294967294" count="1" selected="0">
            <x v="12"/>
          </reference>
        </references>
      </pivotArea>
    </chartFormat>
    <chartFormat chart="39" format="64">
      <pivotArea type="data" outline="0" fieldPosition="0">
        <references count="1">
          <reference field="4294967294" count="1" selected="0">
            <x v="13"/>
          </reference>
        </references>
      </pivotArea>
    </chartFormat>
    <chartFormat chart="39" format="65">
      <pivotArea type="data" outline="0" fieldPosition="0">
        <references count="1">
          <reference field="4294967294" count="1" selected="0">
            <x v="14"/>
          </reference>
        </references>
      </pivotArea>
    </chartFormat>
    <chartFormat chart="39" format="66">
      <pivotArea type="data" outline="0" fieldPosition="0">
        <references count="1">
          <reference field="4294967294" count="1" selected="0">
            <x v="15"/>
          </reference>
        </references>
      </pivotArea>
    </chartFormat>
    <chartFormat chart="39" format="67">
      <pivotArea type="data" outline="0" fieldPosition="0">
        <references count="1">
          <reference field="4294967294" count="1" selected="0">
            <x v="16"/>
          </reference>
        </references>
      </pivotArea>
    </chartFormat>
    <chartFormat chart="39" format="68">
      <pivotArea type="data" outline="0" fieldPosition="0">
        <references count="1">
          <reference field="4294967294" count="1" selected="0">
            <x v="17"/>
          </reference>
        </references>
      </pivotArea>
    </chartFormat>
    <chartFormat chart="39" format="69">
      <pivotArea type="data" outline="0" fieldPosition="0">
        <references count="1">
          <reference field="4294967294" count="1" selected="0">
            <x v="18"/>
          </reference>
        </references>
      </pivotArea>
    </chartFormat>
    <chartFormat chart="39" format="70">
      <pivotArea type="data" outline="0" fieldPosition="0">
        <references count="1">
          <reference field="4294967294" count="1" selected="0">
            <x v="19"/>
          </reference>
        </references>
      </pivotArea>
    </chartFormat>
    <chartFormat chart="39" format="71">
      <pivotArea type="data" outline="0" fieldPosition="0">
        <references count="1">
          <reference field="4294967294" count="1" selected="0">
            <x v="20"/>
          </reference>
        </references>
      </pivotArea>
    </chartFormat>
    <chartFormat chart="39" format="72">
      <pivotArea type="data" outline="0" fieldPosition="0">
        <references count="1">
          <reference field="4294967294" count="1" selected="0">
            <x v="21"/>
          </reference>
        </references>
      </pivotArea>
    </chartFormat>
    <chartFormat chart="39" format="73">
      <pivotArea type="data" outline="0" fieldPosition="0">
        <references count="1">
          <reference field="4294967294" count="1" selected="0">
            <x v="22"/>
          </reference>
        </references>
      </pivotArea>
    </chartFormat>
    <chartFormat chart="39" format="74">
      <pivotArea type="data" outline="0" fieldPosition="0">
        <references count="1">
          <reference field="4294967294" count="1" selected="0">
            <x v="23"/>
          </reference>
        </references>
      </pivotArea>
    </chartFormat>
    <chartFormat chart="39" format="75">
      <pivotArea type="data" outline="0" fieldPosition="0">
        <references count="1">
          <reference field="4294967294" count="1" selected="0">
            <x v="24"/>
          </reference>
        </references>
      </pivotArea>
    </chartFormat>
    <chartFormat chart="39" format="76">
      <pivotArea type="data" outline="0" fieldPosition="0">
        <references count="1">
          <reference field="4294967294" count="1" selected="0">
            <x v="25"/>
          </reference>
        </references>
      </pivotArea>
    </chartFormat>
    <chartFormat chart="0" format="50">
      <pivotArea type="data" outline="0" fieldPosition="0">
        <references count="1">
          <reference field="4294967294" count="1" selected="0">
            <x v="6"/>
          </reference>
        </references>
      </pivotArea>
    </chartFormat>
    <chartFormat chart="0" format="51">
      <pivotArea type="data" outline="0" fieldPosition="0">
        <references count="1">
          <reference field="4294967294" count="1" selected="0">
            <x v="8"/>
          </reference>
        </references>
      </pivotArea>
    </chartFormat>
    <chartFormat chart="0" format="52">
      <pivotArea type="data" outline="0" fieldPosition="0">
        <references count="1">
          <reference field="4294967294" count="1" selected="0">
            <x v="20"/>
          </reference>
        </references>
      </pivotArea>
    </chartFormat>
    <chartFormat chart="0" format="53">
      <pivotArea type="data" outline="0" fieldPosition="0">
        <references count="1">
          <reference field="4294967294" count="1" selected="0">
            <x v="22"/>
          </reference>
        </references>
      </pivotArea>
    </chartFormat>
    <chartFormat chart="0" format="54">
      <pivotArea type="data" outline="0" fieldPosition="0">
        <references count="1">
          <reference field="4294967294" count="1" selected="0">
            <x v="23"/>
          </reference>
        </references>
      </pivotArea>
    </chartFormat>
    <chartFormat chart="0" format="55">
      <pivotArea type="data" outline="0" fieldPosition="0">
        <references count="1">
          <reference field="4294967294" count="1" selected="0">
            <x v="24"/>
          </reference>
        </references>
      </pivotArea>
    </chartFormat>
    <chartFormat chart="0" format="56">
      <pivotArea type="data" outline="0" fieldPosition="0">
        <references count="1">
          <reference field="4294967294" count="1" selected="0">
            <x v="2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1400-000006000000}" name="TablaDinámica1" cacheId="22" applyNumberFormats="0" applyBorderFormats="0" applyFontFormats="0" applyPatternFormats="0" applyAlignmentFormats="0" applyWidthHeightFormats="1" dataCaption="Valores" showError="1" updatedVersion="6" minRefreshableVersion="3" useAutoFormatting="1" itemPrintTitles="1" createdVersion="6" indent="0" outline="1" outlineData="1" multipleFieldFilters="0" chartFormat="8">
  <location ref="A20:B25" firstHeaderRow="1" firstDataRow="1" firstDataCol="1"/>
  <pivotFields count="59">
    <pivotField axis="axisRow" showAll="0">
      <items count="15">
        <item h="1" x="0"/>
        <item x="1"/>
        <item x="2"/>
        <item x="3"/>
        <item x="4"/>
        <item x="5"/>
        <item x="6"/>
        <item x="7"/>
        <item x="8"/>
        <item x="9"/>
        <item x="10"/>
        <item x="11"/>
        <item x="12"/>
        <item h="1"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1"/>
        <item x="2"/>
        <item x="3"/>
        <item x="4"/>
        <item x="0"/>
        <item x="5"/>
        <item t="default"/>
      </items>
    </pivotField>
    <pivotField showAll="0">
      <items count="4">
        <item x="1"/>
        <item h="1" x="0"/>
        <item h="1" x="2"/>
        <item t="default"/>
      </items>
    </pivotField>
    <pivotField dataField="1" dragToRow="0" dragToCol="0" dragToPage="0" showAll="0" defaultSubtotal="0"/>
  </pivotFields>
  <rowFields count="1">
    <field x="0"/>
  </rowFields>
  <rowItems count="5">
    <i>
      <x v="1"/>
    </i>
    <i>
      <x v="2"/>
    </i>
    <i>
      <x v="3"/>
    </i>
    <i>
      <x v="4"/>
    </i>
    <i t="grand">
      <x/>
    </i>
  </rowItems>
  <colItems count="1">
    <i/>
  </colItems>
  <dataFields count="1">
    <dataField name="Suma de PPM´s" fld="58" baseField="0" baseItem="0" numFmtId="166"/>
  </dataFields>
  <formats count="2">
    <format dxfId="35">
      <pivotArea outline="0" collapsedLevelsAreSubtotals="1" fieldPosition="0"/>
    </format>
    <format dxfId="34">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0" count="1" selected="0">
            <x v="1"/>
          </reference>
        </references>
      </pivotArea>
    </chartFormat>
    <chartFormat chart="0" format="14">
      <pivotArea type="data" outline="0" fieldPosition="0">
        <references count="2">
          <reference field="4294967294" count="1" selected="0">
            <x v="0"/>
          </reference>
          <reference field="0" count="1" selected="0">
            <x v="2"/>
          </reference>
        </references>
      </pivotArea>
    </chartFormat>
    <chartFormat chart="0" format="15">
      <pivotArea type="data" outline="0" fieldPosition="0">
        <references count="2">
          <reference field="4294967294" count="1" selected="0">
            <x v="0"/>
          </reference>
          <reference field="0" count="1" selected="0">
            <x v="3"/>
          </reference>
        </references>
      </pivotArea>
    </chartFormat>
    <chartFormat chart="0" format="16">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1400-000005000000}" name="TablaDinámica6" cacheId="23" applyNumberFormats="0" applyBorderFormats="0" applyFontFormats="0" applyPatternFormats="0" applyAlignmentFormats="0" applyWidthHeightFormats="1" dataCaption="Valores" showError="1" updatedVersion="6" minRefreshableVersion="5" useAutoFormatting="1" itemPrintTitles="1" createdVersion="6" indent="0" outline="1" outlineData="1" multipleFieldFilters="0" chartFormat="1">
  <location ref="AM20:AP36" firstHeaderRow="0" firstDataRow="1" firstDataCol="1"/>
  <pivotFields count="41">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9">
        <item x="0"/>
        <item x="1"/>
        <item x="2"/>
        <item x="3"/>
        <item m="1" x="19"/>
        <item m="1" x="24"/>
        <item x="4"/>
        <item x="5"/>
        <item x="6"/>
        <item x="7"/>
        <item x="8"/>
        <item x="9"/>
        <item x="10"/>
        <item x="11"/>
        <item x="12"/>
        <item x="13"/>
        <item m="1" x="26"/>
        <item x="14"/>
        <item m="1" x="29"/>
        <item m="1" x="30"/>
        <item m="1" x="32"/>
        <item m="1" x="34"/>
        <item m="1" x="39"/>
        <item m="1" x="41"/>
        <item m="1" x="43"/>
        <item m="1" x="45"/>
        <item m="1" x="46"/>
        <item m="1" x="47"/>
        <item m="1" x="31"/>
        <item m="1" x="17"/>
        <item m="1" x="33"/>
        <item m="1" x="18"/>
        <item m="1" x="35"/>
        <item m="1" x="20"/>
        <item m="1" x="36"/>
        <item m="1" x="21"/>
        <item m="1" x="37"/>
        <item m="1" x="22"/>
        <item m="1" x="38"/>
        <item m="1" x="23"/>
        <item m="1" x="40"/>
        <item m="1" x="25"/>
        <item m="1" x="42"/>
        <item m="1" x="27"/>
        <item m="1" x="44"/>
        <item m="1" x="28"/>
        <item h="1" x="15"/>
        <item h="1" m="1" x="16"/>
        <item t="default"/>
      </items>
    </pivotField>
    <pivotField dataField="1" showAll="0"/>
    <pivotField dataField="1" dragToRow="0" dragToCol="0" dragToPage="0" showAll="0" defaultSubtotal="0"/>
    <pivotField showAll="0" defaultSubtotal="0"/>
    <pivotField dragToRow="0" dragToCol="0" dragToPage="0" showAll="0" defaultSubtotal="0"/>
  </pivotFields>
  <rowFields count="1">
    <field x="36"/>
  </rowFields>
  <rowItems count="16">
    <i>
      <x/>
    </i>
    <i>
      <x v="1"/>
    </i>
    <i>
      <x v="2"/>
    </i>
    <i>
      <x v="3"/>
    </i>
    <i>
      <x v="6"/>
    </i>
    <i>
      <x v="7"/>
    </i>
    <i>
      <x v="8"/>
    </i>
    <i>
      <x v="9"/>
    </i>
    <i>
      <x v="10"/>
    </i>
    <i>
      <x v="11"/>
    </i>
    <i>
      <x v="12"/>
    </i>
    <i>
      <x v="13"/>
    </i>
    <i>
      <x v="14"/>
    </i>
    <i>
      <x v="15"/>
    </i>
    <i>
      <x v="17"/>
    </i>
    <i t="grand">
      <x/>
    </i>
  </rowItems>
  <colFields count="1">
    <field x="-2"/>
  </colFields>
  <colItems count="3">
    <i>
      <x/>
    </i>
    <i i="1">
      <x v="1"/>
    </i>
    <i i="2">
      <x v="2"/>
    </i>
  </colItems>
  <dataFields count="3">
    <dataField name="Sum of PIEZAS PRODUCIDAS" fld="9" baseField="36" baseItem="2"/>
    <dataField name="Sum of SCRAP" fld="37" baseField="36" baseItem="2"/>
    <dataField name="Suma de PMM´s ACTUADORES" fld="38" baseField="0" baseItem="0"/>
  </dataFields>
  <formats count="1">
    <format dxfId="36">
      <pivotArea collapsedLevelsAreSubtotals="1" fieldPosition="0">
        <references count="1">
          <reference field="36" count="0"/>
        </references>
      </pivotArea>
    </format>
  </formats>
  <chartFormats count="50">
    <chartFormat chart="0" format="0" series="1">
      <pivotArea type="data" outline="0" fieldPosition="0">
        <references count="1">
          <reference field="4294967294" count="1" selected="0">
            <x v="2"/>
          </reference>
        </references>
      </pivotArea>
    </chartFormat>
    <chartFormat chart="0" format="1">
      <pivotArea type="data" outline="0" fieldPosition="0">
        <references count="2">
          <reference field="4294967294" count="1" selected="0">
            <x v="2"/>
          </reference>
          <reference field="36" count="1" selected="0">
            <x v="0"/>
          </reference>
        </references>
      </pivotArea>
    </chartFormat>
    <chartFormat chart="0" format="2">
      <pivotArea type="data" outline="0" fieldPosition="0">
        <references count="2">
          <reference field="4294967294" count="1" selected="0">
            <x v="2"/>
          </reference>
          <reference field="36" count="1" selected="0">
            <x v="1"/>
          </reference>
        </references>
      </pivotArea>
    </chartFormat>
    <chartFormat chart="0" format="3">
      <pivotArea type="data" outline="0" fieldPosition="0">
        <references count="2">
          <reference field="4294967294" count="1" selected="0">
            <x v="2"/>
          </reference>
          <reference field="36" count="1" selected="0">
            <x v="2"/>
          </reference>
        </references>
      </pivotArea>
    </chartFormat>
    <chartFormat chart="0" format="4">
      <pivotArea type="data" outline="0" fieldPosition="0">
        <references count="2">
          <reference field="4294967294" count="1" selected="0">
            <x v="2"/>
          </reference>
          <reference field="36" count="1" selected="0">
            <x v="3"/>
          </reference>
        </references>
      </pivotArea>
    </chartFormat>
    <chartFormat chart="0" format="5">
      <pivotArea type="data" outline="0" fieldPosition="0">
        <references count="2">
          <reference field="4294967294" count="1" selected="0">
            <x v="2"/>
          </reference>
          <reference field="36" count="1" selected="0">
            <x v="4"/>
          </reference>
        </references>
      </pivotArea>
    </chartFormat>
    <chartFormat chart="0" format="6">
      <pivotArea type="data" outline="0" fieldPosition="0">
        <references count="2">
          <reference field="4294967294" count="1" selected="0">
            <x v="2"/>
          </reference>
          <reference field="36" count="1" selected="0">
            <x v="5"/>
          </reference>
        </references>
      </pivotArea>
    </chartFormat>
    <chartFormat chart="0" format="7">
      <pivotArea type="data" outline="0" fieldPosition="0">
        <references count="2">
          <reference field="4294967294" count="1" selected="0">
            <x v="2"/>
          </reference>
          <reference field="36" count="1" selected="0">
            <x v="6"/>
          </reference>
        </references>
      </pivotArea>
    </chartFormat>
    <chartFormat chart="0" format="8">
      <pivotArea type="data" outline="0" fieldPosition="0">
        <references count="2">
          <reference field="4294967294" count="1" selected="0">
            <x v="2"/>
          </reference>
          <reference field="36" count="1" selected="0">
            <x v="7"/>
          </reference>
        </references>
      </pivotArea>
    </chartFormat>
    <chartFormat chart="0" format="9">
      <pivotArea type="data" outline="0" fieldPosition="0">
        <references count="2">
          <reference field="4294967294" count="1" selected="0">
            <x v="2"/>
          </reference>
          <reference field="36" count="1" selected="0">
            <x v="8"/>
          </reference>
        </references>
      </pivotArea>
    </chartFormat>
    <chartFormat chart="0" format="10">
      <pivotArea type="data" outline="0" fieldPosition="0">
        <references count="2">
          <reference field="4294967294" count="1" selected="0">
            <x v="2"/>
          </reference>
          <reference field="36" count="1" selected="0">
            <x v="9"/>
          </reference>
        </references>
      </pivotArea>
    </chartFormat>
    <chartFormat chart="0" format="11">
      <pivotArea type="data" outline="0" fieldPosition="0">
        <references count="2">
          <reference field="4294967294" count="1" selected="0">
            <x v="2"/>
          </reference>
          <reference field="36" count="1" selected="0">
            <x v="10"/>
          </reference>
        </references>
      </pivotArea>
    </chartFormat>
    <chartFormat chart="0" format="12">
      <pivotArea type="data" outline="0" fieldPosition="0">
        <references count="2">
          <reference field="4294967294" count="1" selected="0">
            <x v="2"/>
          </reference>
          <reference field="36" count="1" selected="0">
            <x v="11"/>
          </reference>
        </references>
      </pivotArea>
    </chartFormat>
    <chartFormat chart="0" format="13">
      <pivotArea type="data" outline="0" fieldPosition="0">
        <references count="2">
          <reference field="4294967294" count="1" selected="0">
            <x v="2"/>
          </reference>
          <reference field="36" count="1" selected="0">
            <x v="12"/>
          </reference>
        </references>
      </pivotArea>
    </chartFormat>
    <chartFormat chart="0" format="14">
      <pivotArea type="data" outline="0" fieldPosition="0">
        <references count="2">
          <reference field="4294967294" count="1" selected="0">
            <x v="2"/>
          </reference>
          <reference field="36" count="1" selected="0">
            <x v="13"/>
          </reference>
        </references>
      </pivotArea>
    </chartFormat>
    <chartFormat chart="0" format="15">
      <pivotArea type="data" outline="0" fieldPosition="0">
        <references count="2">
          <reference field="4294967294" count="1" selected="0">
            <x v="2"/>
          </reference>
          <reference field="36" count="1" selected="0">
            <x v="14"/>
          </reference>
        </references>
      </pivotArea>
    </chartFormat>
    <chartFormat chart="0" format="16">
      <pivotArea type="data" outline="0" fieldPosition="0">
        <references count="2">
          <reference field="4294967294" count="1" selected="0">
            <x v="2"/>
          </reference>
          <reference field="36" count="1" selected="0">
            <x v="15"/>
          </reference>
        </references>
      </pivotArea>
    </chartFormat>
    <chartFormat chart="0" format="17">
      <pivotArea type="data" outline="0" fieldPosition="0">
        <references count="2">
          <reference field="4294967294" count="1" selected="0">
            <x v="2"/>
          </reference>
          <reference field="36" count="1" selected="0">
            <x v="16"/>
          </reference>
        </references>
      </pivotArea>
    </chartFormat>
    <chartFormat chart="0" format="18">
      <pivotArea type="data" outline="0" fieldPosition="0">
        <references count="2">
          <reference field="4294967294" count="1" selected="0">
            <x v="2"/>
          </reference>
          <reference field="36" count="1" selected="0">
            <x v="17"/>
          </reference>
        </references>
      </pivotArea>
    </chartFormat>
    <chartFormat chart="0" format="19">
      <pivotArea type="data" outline="0" fieldPosition="0">
        <references count="2">
          <reference field="4294967294" count="1" selected="0">
            <x v="2"/>
          </reference>
          <reference field="36" count="1" selected="0">
            <x v="18"/>
          </reference>
        </references>
      </pivotArea>
    </chartFormat>
    <chartFormat chart="0" format="20">
      <pivotArea type="data" outline="0" fieldPosition="0">
        <references count="2">
          <reference field="4294967294" count="1" selected="0">
            <x v="2"/>
          </reference>
          <reference field="36" count="1" selected="0">
            <x v="19"/>
          </reference>
        </references>
      </pivotArea>
    </chartFormat>
    <chartFormat chart="0" format="21">
      <pivotArea type="data" outline="0" fieldPosition="0">
        <references count="2">
          <reference field="4294967294" count="1" selected="0">
            <x v="2"/>
          </reference>
          <reference field="36" count="1" selected="0">
            <x v="20"/>
          </reference>
        </references>
      </pivotArea>
    </chartFormat>
    <chartFormat chart="0" format="22">
      <pivotArea type="data" outline="0" fieldPosition="0">
        <references count="2">
          <reference field="4294967294" count="1" selected="0">
            <x v="2"/>
          </reference>
          <reference field="36" count="1" selected="0">
            <x v="21"/>
          </reference>
        </references>
      </pivotArea>
    </chartFormat>
    <chartFormat chart="0" format="23">
      <pivotArea type="data" outline="0" fieldPosition="0">
        <references count="2">
          <reference field="4294967294" count="1" selected="0">
            <x v="2"/>
          </reference>
          <reference field="36" count="1" selected="0">
            <x v="22"/>
          </reference>
        </references>
      </pivotArea>
    </chartFormat>
    <chartFormat chart="0" format="24">
      <pivotArea type="data" outline="0" fieldPosition="0">
        <references count="2">
          <reference field="4294967294" count="1" selected="0">
            <x v="2"/>
          </reference>
          <reference field="36" count="1" selected="0">
            <x v="23"/>
          </reference>
        </references>
      </pivotArea>
    </chartFormat>
    <chartFormat chart="0" format="25">
      <pivotArea type="data" outline="0" fieldPosition="0">
        <references count="2">
          <reference field="4294967294" count="1" selected="0">
            <x v="2"/>
          </reference>
          <reference field="36" count="1" selected="0">
            <x v="24"/>
          </reference>
        </references>
      </pivotArea>
    </chartFormat>
    <chartFormat chart="0" format="26">
      <pivotArea type="data" outline="0" fieldPosition="0">
        <references count="2">
          <reference field="4294967294" count="1" selected="0">
            <x v="2"/>
          </reference>
          <reference field="36" count="1" selected="0">
            <x v="25"/>
          </reference>
        </references>
      </pivotArea>
    </chartFormat>
    <chartFormat chart="0" format="27">
      <pivotArea type="data" outline="0" fieldPosition="0">
        <references count="2">
          <reference field="4294967294" count="1" selected="0">
            <x v="2"/>
          </reference>
          <reference field="36" count="1" selected="0">
            <x v="26"/>
          </reference>
        </references>
      </pivotArea>
    </chartFormat>
    <chartFormat chart="0" format="28">
      <pivotArea type="data" outline="0" fieldPosition="0">
        <references count="2">
          <reference field="4294967294" count="1" selected="0">
            <x v="2"/>
          </reference>
          <reference field="36" count="1" selected="0">
            <x v="27"/>
          </reference>
        </references>
      </pivotArea>
    </chartFormat>
    <chartFormat chart="0" format="29">
      <pivotArea type="data" outline="0" fieldPosition="0">
        <references count="2">
          <reference field="4294967294" count="1" selected="0">
            <x v="2"/>
          </reference>
          <reference field="36" count="1" selected="0">
            <x v="28"/>
          </reference>
        </references>
      </pivotArea>
    </chartFormat>
    <chartFormat chart="0" format="30">
      <pivotArea type="data" outline="0" fieldPosition="0">
        <references count="2">
          <reference field="4294967294" count="1" selected="0">
            <x v="2"/>
          </reference>
          <reference field="36" count="1" selected="0">
            <x v="29"/>
          </reference>
        </references>
      </pivotArea>
    </chartFormat>
    <chartFormat chart="0" format="31">
      <pivotArea type="data" outline="0" fieldPosition="0">
        <references count="2">
          <reference field="4294967294" count="1" selected="0">
            <x v="2"/>
          </reference>
          <reference field="36" count="1" selected="0">
            <x v="30"/>
          </reference>
        </references>
      </pivotArea>
    </chartFormat>
    <chartFormat chart="0" format="32">
      <pivotArea type="data" outline="0" fieldPosition="0">
        <references count="2">
          <reference field="4294967294" count="1" selected="0">
            <x v="2"/>
          </reference>
          <reference field="36" count="1" selected="0">
            <x v="31"/>
          </reference>
        </references>
      </pivotArea>
    </chartFormat>
    <chartFormat chart="0" format="33">
      <pivotArea type="data" outline="0" fieldPosition="0">
        <references count="2">
          <reference field="4294967294" count="1" selected="0">
            <x v="2"/>
          </reference>
          <reference field="36" count="1" selected="0">
            <x v="32"/>
          </reference>
        </references>
      </pivotArea>
    </chartFormat>
    <chartFormat chart="0" format="34">
      <pivotArea type="data" outline="0" fieldPosition="0">
        <references count="2">
          <reference field="4294967294" count="1" selected="0">
            <x v="2"/>
          </reference>
          <reference field="36" count="1" selected="0">
            <x v="33"/>
          </reference>
        </references>
      </pivotArea>
    </chartFormat>
    <chartFormat chart="0" format="35">
      <pivotArea type="data" outline="0" fieldPosition="0">
        <references count="2">
          <reference field="4294967294" count="1" selected="0">
            <x v="2"/>
          </reference>
          <reference field="36" count="1" selected="0">
            <x v="34"/>
          </reference>
        </references>
      </pivotArea>
    </chartFormat>
    <chartFormat chart="0" format="36">
      <pivotArea type="data" outline="0" fieldPosition="0">
        <references count="2">
          <reference field="4294967294" count="1" selected="0">
            <x v="2"/>
          </reference>
          <reference field="36" count="1" selected="0">
            <x v="35"/>
          </reference>
        </references>
      </pivotArea>
    </chartFormat>
    <chartFormat chart="0" format="37">
      <pivotArea type="data" outline="0" fieldPosition="0">
        <references count="2">
          <reference field="4294967294" count="1" selected="0">
            <x v="2"/>
          </reference>
          <reference field="36" count="1" selected="0">
            <x v="36"/>
          </reference>
        </references>
      </pivotArea>
    </chartFormat>
    <chartFormat chart="0" format="38">
      <pivotArea type="data" outline="0" fieldPosition="0">
        <references count="2">
          <reference field="4294967294" count="1" selected="0">
            <x v="2"/>
          </reference>
          <reference field="36" count="1" selected="0">
            <x v="37"/>
          </reference>
        </references>
      </pivotArea>
    </chartFormat>
    <chartFormat chart="0" format="39">
      <pivotArea type="data" outline="0" fieldPosition="0">
        <references count="2">
          <reference field="4294967294" count="1" selected="0">
            <x v="2"/>
          </reference>
          <reference field="36" count="1" selected="0">
            <x v="38"/>
          </reference>
        </references>
      </pivotArea>
    </chartFormat>
    <chartFormat chart="0" format="40">
      <pivotArea type="data" outline="0" fieldPosition="0">
        <references count="2">
          <reference field="4294967294" count="1" selected="0">
            <x v="2"/>
          </reference>
          <reference field="36" count="1" selected="0">
            <x v="39"/>
          </reference>
        </references>
      </pivotArea>
    </chartFormat>
    <chartFormat chart="0" format="41">
      <pivotArea type="data" outline="0" fieldPosition="0">
        <references count="2">
          <reference field="4294967294" count="1" selected="0">
            <x v="2"/>
          </reference>
          <reference field="36" count="1" selected="0">
            <x v="40"/>
          </reference>
        </references>
      </pivotArea>
    </chartFormat>
    <chartFormat chart="0" format="42">
      <pivotArea type="data" outline="0" fieldPosition="0">
        <references count="2">
          <reference field="4294967294" count="1" selected="0">
            <x v="2"/>
          </reference>
          <reference field="36" count="1" selected="0">
            <x v="41"/>
          </reference>
        </references>
      </pivotArea>
    </chartFormat>
    <chartFormat chart="0" format="43">
      <pivotArea type="data" outline="0" fieldPosition="0">
        <references count="2">
          <reference field="4294967294" count="1" selected="0">
            <x v="2"/>
          </reference>
          <reference field="36" count="1" selected="0">
            <x v="42"/>
          </reference>
        </references>
      </pivotArea>
    </chartFormat>
    <chartFormat chart="0" format="44">
      <pivotArea type="data" outline="0" fieldPosition="0">
        <references count="2">
          <reference field="4294967294" count="1" selected="0">
            <x v="2"/>
          </reference>
          <reference field="36" count="1" selected="0">
            <x v="43"/>
          </reference>
        </references>
      </pivotArea>
    </chartFormat>
    <chartFormat chart="0" format="45">
      <pivotArea type="data" outline="0" fieldPosition="0">
        <references count="2">
          <reference field="4294967294" count="1" selected="0">
            <x v="2"/>
          </reference>
          <reference field="36" count="1" selected="0">
            <x v="44"/>
          </reference>
        </references>
      </pivotArea>
    </chartFormat>
    <chartFormat chart="0" format="46">
      <pivotArea type="data" outline="0" fieldPosition="0">
        <references count="2">
          <reference field="4294967294" count="1" selected="0">
            <x v="2"/>
          </reference>
          <reference field="36" count="1" selected="0">
            <x v="45"/>
          </reference>
        </references>
      </pivotArea>
    </chartFormat>
    <chartFormat chart="0" format="47">
      <pivotArea type="data" outline="0" fieldPosition="0">
        <references count="1">
          <reference field="4294967294" count="1" selected="0">
            <x v="2"/>
          </reference>
        </references>
      </pivotArea>
    </chartFormat>
    <chartFormat chart="0" format="48" series="1">
      <pivotArea type="data" outline="0" fieldPosition="0">
        <references count="1">
          <reference field="4294967294" count="1" selected="0">
            <x v="0"/>
          </reference>
        </references>
      </pivotArea>
    </chartFormat>
    <chartFormat chart="0" format="4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1400-000004000000}" name="TablaDinámica2" cacheId="22" applyNumberFormats="0" applyBorderFormats="0" applyFontFormats="0" applyPatternFormats="0" applyAlignmentFormats="0" applyWidthHeightFormats="1" dataCaption="Valores" showError="1" updatedVersion="6" minRefreshableVersion="3" useAutoFormatting="1" itemPrintTitles="1" createdVersion="6" indent="0" outline="1" outlineData="1" multipleFieldFilters="0" chartFormat="23">
  <location ref="P20:S39" firstHeaderRow="0" firstDataRow="1"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5">
        <item h="1" m="1" x="19"/>
        <item x="0"/>
        <item x="2"/>
        <item x="3"/>
        <item x="4"/>
        <item x="5"/>
        <item x="6"/>
        <item x="7"/>
        <item x="8"/>
        <item x="9"/>
        <item x="10"/>
        <item x="11"/>
        <item x="12"/>
        <item x="13"/>
        <item x="14"/>
        <item x="15"/>
        <item x="16"/>
        <item x="17"/>
        <item x="18"/>
        <item m="1" x="30"/>
        <item m="1" x="31"/>
        <item m="1" x="33"/>
        <item m="1" x="35"/>
        <item m="1" x="37"/>
        <item m="1" x="39"/>
        <item m="1" x="41"/>
        <item m="1" x="43"/>
        <item m="1" x="45"/>
        <item m="1" x="47"/>
        <item m="1" x="49"/>
        <item m="1" x="51"/>
        <item m="1" x="52"/>
        <item m="1" x="53"/>
        <item m="1" x="32"/>
        <item m="1" x="20"/>
        <item m="1" x="34"/>
        <item m="1" x="21"/>
        <item m="1" x="36"/>
        <item m="1" x="22"/>
        <item m="1" x="38"/>
        <item m="1" x="23"/>
        <item m="1" x="40"/>
        <item m="1" x="24"/>
        <item m="1" x="42"/>
        <item m="1" x="25"/>
        <item m="1" x="44"/>
        <item m="1" x="26"/>
        <item m="1" x="46"/>
        <item m="1" x="27"/>
        <item m="1" x="48"/>
        <item m="1" x="28"/>
        <item m="1" x="50"/>
        <item m="1" x="29"/>
        <item h="1" x="1"/>
        <item t="default"/>
      </items>
    </pivotField>
    <pivotField dataField="1" showAll="0"/>
    <pivotField showAll="0" defaultSubtotal="0"/>
    <pivotField showAll="0" defaultSubtotal="0">
      <items count="3">
        <item x="1"/>
        <item h="1" x="0"/>
        <item h="1" x="2"/>
      </items>
    </pivotField>
    <pivotField dataField="1" dragToRow="0" dragToCol="0" dragToPage="0" showAll="0" defaultSubtotal="0"/>
  </pivotFields>
  <rowFields count="1">
    <field x="54"/>
  </rowFields>
  <rowItems count="19">
    <i>
      <x v="1"/>
    </i>
    <i>
      <x v="2"/>
    </i>
    <i>
      <x v="3"/>
    </i>
    <i>
      <x v="4"/>
    </i>
    <i>
      <x v="5"/>
    </i>
    <i>
      <x v="6"/>
    </i>
    <i>
      <x v="7"/>
    </i>
    <i>
      <x v="8"/>
    </i>
    <i>
      <x v="9"/>
    </i>
    <i>
      <x v="10"/>
    </i>
    <i>
      <x v="11"/>
    </i>
    <i>
      <x v="12"/>
    </i>
    <i>
      <x v="13"/>
    </i>
    <i>
      <x v="14"/>
    </i>
    <i>
      <x v="15"/>
    </i>
    <i>
      <x v="16"/>
    </i>
    <i>
      <x v="17"/>
    </i>
    <i>
      <x v="18"/>
    </i>
    <i t="grand">
      <x/>
    </i>
  </rowItems>
  <colFields count="1">
    <field x="-2"/>
  </colFields>
  <colItems count="3">
    <i>
      <x/>
    </i>
    <i i="1">
      <x v="1"/>
    </i>
    <i i="2">
      <x v="2"/>
    </i>
  </colItems>
  <dataFields count="3">
    <dataField name="Sum of PIEZAS PRODUCIDAS2" fld="14" baseField="50" baseItem="1"/>
    <dataField name="Sum of SCRAP" fld="55" baseField="50" baseItem="1"/>
    <dataField name="Suma de PPM´s" fld="58" baseField="0" baseItem="0" numFmtId="166"/>
  </dataFields>
  <formats count="2">
    <format dxfId="38">
      <pivotArea outline="0" collapsedLevelsAreSubtotals="1" fieldPosition="0"/>
    </format>
    <format dxfId="37">
      <pivotArea dataOnly="0" labelOnly="1" outline="0" axis="axisValues" fieldPosition="0"/>
    </format>
  </formats>
  <chartFormats count="55">
    <chartFormat chart="0" format="0" series="1">
      <pivotArea type="data" outline="0" fieldPosition="0">
        <references count="1">
          <reference field="4294967294" count="1" selected="0">
            <x v="2"/>
          </reference>
        </references>
      </pivotArea>
    </chartFormat>
    <chartFormat chart="0" format="1">
      <pivotArea type="data" outline="0" fieldPosition="0">
        <references count="2">
          <reference field="4294967294" count="1" selected="0">
            <x v="2"/>
          </reference>
          <reference field="54" count="1" selected="0">
            <x v="1"/>
          </reference>
        </references>
      </pivotArea>
    </chartFormat>
    <chartFormat chart="0" format="2">
      <pivotArea type="data" outline="0" fieldPosition="0">
        <references count="2">
          <reference field="4294967294" count="1" selected="0">
            <x v="2"/>
          </reference>
          <reference field="54" count="1" selected="0">
            <x v="2"/>
          </reference>
        </references>
      </pivotArea>
    </chartFormat>
    <chartFormat chart="0" format="3">
      <pivotArea type="data" outline="0" fieldPosition="0">
        <references count="2">
          <reference field="4294967294" count="1" selected="0">
            <x v="2"/>
          </reference>
          <reference field="54" count="1" selected="0">
            <x v="3"/>
          </reference>
        </references>
      </pivotArea>
    </chartFormat>
    <chartFormat chart="0" format="4">
      <pivotArea type="data" outline="0" fieldPosition="0">
        <references count="2">
          <reference field="4294967294" count="1" selected="0">
            <x v="2"/>
          </reference>
          <reference field="54" count="1" selected="0">
            <x v="4"/>
          </reference>
        </references>
      </pivotArea>
    </chartFormat>
    <chartFormat chart="0" format="5">
      <pivotArea type="data" outline="0" fieldPosition="0">
        <references count="2">
          <reference field="4294967294" count="1" selected="0">
            <x v="2"/>
          </reference>
          <reference field="54" count="1" selected="0">
            <x v="5"/>
          </reference>
        </references>
      </pivotArea>
    </chartFormat>
    <chartFormat chart="0" format="6">
      <pivotArea type="data" outline="0" fieldPosition="0">
        <references count="2">
          <reference field="4294967294" count="1" selected="0">
            <x v="2"/>
          </reference>
          <reference field="54" count="1" selected="0">
            <x v="6"/>
          </reference>
        </references>
      </pivotArea>
    </chartFormat>
    <chartFormat chart="0" format="7">
      <pivotArea type="data" outline="0" fieldPosition="0">
        <references count="2">
          <reference field="4294967294" count="1" selected="0">
            <x v="2"/>
          </reference>
          <reference field="54" count="1" selected="0">
            <x v="7"/>
          </reference>
        </references>
      </pivotArea>
    </chartFormat>
    <chartFormat chart="0" format="8">
      <pivotArea type="data" outline="0" fieldPosition="0">
        <references count="2">
          <reference field="4294967294" count="1" selected="0">
            <x v="2"/>
          </reference>
          <reference field="54" count="1" selected="0">
            <x v="8"/>
          </reference>
        </references>
      </pivotArea>
    </chartFormat>
    <chartFormat chart="0" format="9">
      <pivotArea type="data" outline="0" fieldPosition="0">
        <references count="2">
          <reference field="4294967294" count="1" selected="0">
            <x v="2"/>
          </reference>
          <reference field="54" count="1" selected="0">
            <x v="9"/>
          </reference>
        </references>
      </pivotArea>
    </chartFormat>
    <chartFormat chart="0" format="10">
      <pivotArea type="data" outline="0" fieldPosition="0">
        <references count="2">
          <reference field="4294967294" count="1" selected="0">
            <x v="2"/>
          </reference>
          <reference field="54" count="1" selected="0">
            <x v="10"/>
          </reference>
        </references>
      </pivotArea>
    </chartFormat>
    <chartFormat chart="0" format="11">
      <pivotArea type="data" outline="0" fieldPosition="0">
        <references count="2">
          <reference field="4294967294" count="1" selected="0">
            <x v="2"/>
          </reference>
          <reference field="54" count="1" selected="0">
            <x v="11"/>
          </reference>
        </references>
      </pivotArea>
    </chartFormat>
    <chartFormat chart="0" format="12">
      <pivotArea type="data" outline="0" fieldPosition="0">
        <references count="2">
          <reference field="4294967294" count="1" selected="0">
            <x v="2"/>
          </reference>
          <reference field="54" count="1" selected="0">
            <x v="12"/>
          </reference>
        </references>
      </pivotArea>
    </chartFormat>
    <chartFormat chart="0" format="13">
      <pivotArea type="data" outline="0" fieldPosition="0">
        <references count="2">
          <reference field="4294967294" count="1" selected="0">
            <x v="2"/>
          </reference>
          <reference field="54" count="1" selected="0">
            <x v="13"/>
          </reference>
        </references>
      </pivotArea>
    </chartFormat>
    <chartFormat chart="0" format="14">
      <pivotArea type="data" outline="0" fieldPosition="0">
        <references count="2">
          <reference field="4294967294" count="1" selected="0">
            <x v="2"/>
          </reference>
          <reference field="54" count="1" selected="0">
            <x v="14"/>
          </reference>
        </references>
      </pivotArea>
    </chartFormat>
    <chartFormat chart="0" format="15">
      <pivotArea type="data" outline="0" fieldPosition="0">
        <references count="2">
          <reference field="4294967294" count="1" selected="0">
            <x v="2"/>
          </reference>
          <reference field="54" count="1" selected="0">
            <x v="15"/>
          </reference>
        </references>
      </pivotArea>
    </chartFormat>
    <chartFormat chart="0" format="16">
      <pivotArea type="data" outline="0" fieldPosition="0">
        <references count="2">
          <reference field="4294967294" count="1" selected="0">
            <x v="2"/>
          </reference>
          <reference field="54" count="1" selected="0">
            <x v="16"/>
          </reference>
        </references>
      </pivotArea>
    </chartFormat>
    <chartFormat chart="0" format="17">
      <pivotArea type="data" outline="0" fieldPosition="0">
        <references count="2">
          <reference field="4294967294" count="1" selected="0">
            <x v="2"/>
          </reference>
          <reference field="54" count="1" selected="0">
            <x v="17"/>
          </reference>
        </references>
      </pivotArea>
    </chartFormat>
    <chartFormat chart="0" format="18">
      <pivotArea type="data" outline="0" fieldPosition="0">
        <references count="2">
          <reference field="4294967294" count="1" selected="0">
            <x v="2"/>
          </reference>
          <reference field="54" count="1" selected="0">
            <x v="18"/>
          </reference>
        </references>
      </pivotArea>
    </chartFormat>
    <chartFormat chart="0" format="19">
      <pivotArea type="data" outline="0" fieldPosition="0">
        <references count="2">
          <reference field="4294967294" count="1" selected="0">
            <x v="2"/>
          </reference>
          <reference field="54" count="1" selected="0">
            <x v="19"/>
          </reference>
        </references>
      </pivotArea>
    </chartFormat>
    <chartFormat chart="0" format="20">
      <pivotArea type="data" outline="0" fieldPosition="0">
        <references count="2">
          <reference field="4294967294" count="1" selected="0">
            <x v="2"/>
          </reference>
          <reference field="54" count="1" selected="0">
            <x v="20"/>
          </reference>
        </references>
      </pivotArea>
    </chartFormat>
    <chartFormat chart="0" format="21">
      <pivotArea type="data" outline="0" fieldPosition="0">
        <references count="2">
          <reference field="4294967294" count="1" selected="0">
            <x v="2"/>
          </reference>
          <reference field="54" count="1" selected="0">
            <x v="21"/>
          </reference>
        </references>
      </pivotArea>
    </chartFormat>
    <chartFormat chart="0" format="22">
      <pivotArea type="data" outline="0" fieldPosition="0">
        <references count="2">
          <reference field="4294967294" count="1" selected="0">
            <x v="2"/>
          </reference>
          <reference field="54" count="1" selected="0">
            <x v="22"/>
          </reference>
        </references>
      </pivotArea>
    </chartFormat>
    <chartFormat chart="0" format="23">
      <pivotArea type="data" outline="0" fieldPosition="0">
        <references count="2">
          <reference field="4294967294" count="1" selected="0">
            <x v="2"/>
          </reference>
          <reference field="54" count="1" selected="0">
            <x v="23"/>
          </reference>
        </references>
      </pivotArea>
    </chartFormat>
    <chartFormat chart="0" format="24">
      <pivotArea type="data" outline="0" fieldPosition="0">
        <references count="2">
          <reference field="4294967294" count="1" selected="0">
            <x v="2"/>
          </reference>
          <reference field="54" count="1" selected="0">
            <x v="24"/>
          </reference>
        </references>
      </pivotArea>
    </chartFormat>
    <chartFormat chart="0" format="25">
      <pivotArea type="data" outline="0" fieldPosition="0">
        <references count="2">
          <reference field="4294967294" count="1" selected="0">
            <x v="2"/>
          </reference>
          <reference field="54" count="1" selected="0">
            <x v="25"/>
          </reference>
        </references>
      </pivotArea>
    </chartFormat>
    <chartFormat chart="0" format="26">
      <pivotArea type="data" outline="0" fieldPosition="0">
        <references count="2">
          <reference field="4294967294" count="1" selected="0">
            <x v="2"/>
          </reference>
          <reference field="54" count="1" selected="0">
            <x v="26"/>
          </reference>
        </references>
      </pivotArea>
    </chartFormat>
    <chartFormat chart="0" format="27">
      <pivotArea type="data" outline="0" fieldPosition="0">
        <references count="2">
          <reference field="4294967294" count="1" selected="0">
            <x v="2"/>
          </reference>
          <reference field="54" count="1" selected="0">
            <x v="27"/>
          </reference>
        </references>
      </pivotArea>
    </chartFormat>
    <chartFormat chart="0" format="28">
      <pivotArea type="data" outline="0" fieldPosition="0">
        <references count="2">
          <reference field="4294967294" count="1" selected="0">
            <x v="2"/>
          </reference>
          <reference field="54" count="1" selected="0">
            <x v="28"/>
          </reference>
        </references>
      </pivotArea>
    </chartFormat>
    <chartFormat chart="0" format="29">
      <pivotArea type="data" outline="0" fieldPosition="0">
        <references count="2">
          <reference field="4294967294" count="1" selected="0">
            <x v="2"/>
          </reference>
          <reference field="54" count="1" selected="0">
            <x v="29"/>
          </reference>
        </references>
      </pivotArea>
    </chartFormat>
    <chartFormat chart="0" format="30">
      <pivotArea type="data" outline="0" fieldPosition="0">
        <references count="2">
          <reference field="4294967294" count="1" selected="0">
            <x v="2"/>
          </reference>
          <reference field="54" count="1" selected="0">
            <x v="30"/>
          </reference>
        </references>
      </pivotArea>
    </chartFormat>
    <chartFormat chart="0" format="31">
      <pivotArea type="data" outline="0" fieldPosition="0">
        <references count="2">
          <reference field="4294967294" count="1" selected="0">
            <x v="2"/>
          </reference>
          <reference field="54" count="1" selected="0">
            <x v="31"/>
          </reference>
        </references>
      </pivotArea>
    </chartFormat>
    <chartFormat chart="0" format="32">
      <pivotArea type="data" outline="0" fieldPosition="0">
        <references count="2">
          <reference field="4294967294" count="1" selected="0">
            <x v="2"/>
          </reference>
          <reference field="54" count="1" selected="0">
            <x v="32"/>
          </reference>
        </references>
      </pivotArea>
    </chartFormat>
    <chartFormat chart="0" format="33">
      <pivotArea type="data" outline="0" fieldPosition="0">
        <references count="2">
          <reference field="4294967294" count="1" selected="0">
            <x v="2"/>
          </reference>
          <reference field="54" count="1" selected="0">
            <x v="33"/>
          </reference>
        </references>
      </pivotArea>
    </chartFormat>
    <chartFormat chart="0" format="34">
      <pivotArea type="data" outline="0" fieldPosition="0">
        <references count="2">
          <reference field="4294967294" count="1" selected="0">
            <x v="2"/>
          </reference>
          <reference field="54" count="1" selected="0">
            <x v="34"/>
          </reference>
        </references>
      </pivotArea>
    </chartFormat>
    <chartFormat chart="0" format="35">
      <pivotArea type="data" outline="0" fieldPosition="0">
        <references count="2">
          <reference field="4294967294" count="1" selected="0">
            <x v="2"/>
          </reference>
          <reference field="54" count="1" selected="0">
            <x v="35"/>
          </reference>
        </references>
      </pivotArea>
    </chartFormat>
    <chartFormat chart="0" format="36">
      <pivotArea type="data" outline="0" fieldPosition="0">
        <references count="2">
          <reference field="4294967294" count="1" selected="0">
            <x v="2"/>
          </reference>
          <reference field="54" count="1" selected="0">
            <x v="36"/>
          </reference>
        </references>
      </pivotArea>
    </chartFormat>
    <chartFormat chart="0" format="37">
      <pivotArea type="data" outline="0" fieldPosition="0">
        <references count="2">
          <reference field="4294967294" count="1" selected="0">
            <x v="2"/>
          </reference>
          <reference field="54" count="1" selected="0">
            <x v="37"/>
          </reference>
        </references>
      </pivotArea>
    </chartFormat>
    <chartFormat chart="0" format="38">
      <pivotArea type="data" outline="0" fieldPosition="0">
        <references count="2">
          <reference field="4294967294" count="1" selected="0">
            <x v="2"/>
          </reference>
          <reference field="54" count="1" selected="0">
            <x v="38"/>
          </reference>
        </references>
      </pivotArea>
    </chartFormat>
    <chartFormat chart="0" format="39">
      <pivotArea type="data" outline="0" fieldPosition="0">
        <references count="2">
          <reference field="4294967294" count="1" selected="0">
            <x v="2"/>
          </reference>
          <reference field="54" count="1" selected="0">
            <x v="39"/>
          </reference>
        </references>
      </pivotArea>
    </chartFormat>
    <chartFormat chart="0" format="40">
      <pivotArea type="data" outline="0" fieldPosition="0">
        <references count="2">
          <reference field="4294967294" count="1" selected="0">
            <x v="2"/>
          </reference>
          <reference field="54" count="1" selected="0">
            <x v="40"/>
          </reference>
        </references>
      </pivotArea>
    </chartFormat>
    <chartFormat chart="0" format="41">
      <pivotArea type="data" outline="0" fieldPosition="0">
        <references count="2">
          <reference field="4294967294" count="1" selected="0">
            <x v="2"/>
          </reference>
          <reference field="54" count="1" selected="0">
            <x v="41"/>
          </reference>
        </references>
      </pivotArea>
    </chartFormat>
    <chartFormat chart="0" format="42">
      <pivotArea type="data" outline="0" fieldPosition="0">
        <references count="2">
          <reference field="4294967294" count="1" selected="0">
            <x v="2"/>
          </reference>
          <reference field="54" count="1" selected="0">
            <x v="42"/>
          </reference>
        </references>
      </pivotArea>
    </chartFormat>
    <chartFormat chart="0" format="43">
      <pivotArea type="data" outline="0" fieldPosition="0">
        <references count="2">
          <reference field="4294967294" count="1" selected="0">
            <x v="2"/>
          </reference>
          <reference field="54" count="1" selected="0">
            <x v="43"/>
          </reference>
        </references>
      </pivotArea>
    </chartFormat>
    <chartFormat chart="0" format="44">
      <pivotArea type="data" outline="0" fieldPosition="0">
        <references count="2">
          <reference field="4294967294" count="1" selected="0">
            <x v="2"/>
          </reference>
          <reference field="54" count="1" selected="0">
            <x v="44"/>
          </reference>
        </references>
      </pivotArea>
    </chartFormat>
    <chartFormat chart="0" format="45">
      <pivotArea type="data" outline="0" fieldPosition="0">
        <references count="2">
          <reference field="4294967294" count="1" selected="0">
            <x v="2"/>
          </reference>
          <reference field="54" count="1" selected="0">
            <x v="45"/>
          </reference>
        </references>
      </pivotArea>
    </chartFormat>
    <chartFormat chart="0" format="46">
      <pivotArea type="data" outline="0" fieldPosition="0">
        <references count="2">
          <reference field="4294967294" count="1" selected="0">
            <x v="2"/>
          </reference>
          <reference field="54" count="1" selected="0">
            <x v="46"/>
          </reference>
        </references>
      </pivotArea>
    </chartFormat>
    <chartFormat chart="0" format="47">
      <pivotArea type="data" outline="0" fieldPosition="0">
        <references count="2">
          <reference field="4294967294" count="1" selected="0">
            <x v="2"/>
          </reference>
          <reference field="54" count="1" selected="0">
            <x v="47"/>
          </reference>
        </references>
      </pivotArea>
    </chartFormat>
    <chartFormat chart="0" format="48">
      <pivotArea type="data" outline="0" fieldPosition="0">
        <references count="2">
          <reference field="4294967294" count="1" selected="0">
            <x v="2"/>
          </reference>
          <reference field="54" count="1" selected="0">
            <x v="48"/>
          </reference>
        </references>
      </pivotArea>
    </chartFormat>
    <chartFormat chart="0" format="49">
      <pivotArea type="data" outline="0" fieldPosition="0">
        <references count="2">
          <reference field="4294967294" count="1" selected="0">
            <x v="2"/>
          </reference>
          <reference field="54" count="1" selected="0">
            <x v="49"/>
          </reference>
        </references>
      </pivotArea>
    </chartFormat>
    <chartFormat chart="0" format="50">
      <pivotArea type="data" outline="0" fieldPosition="0">
        <references count="2">
          <reference field="4294967294" count="1" selected="0">
            <x v="2"/>
          </reference>
          <reference field="54" count="1" selected="0">
            <x v="50"/>
          </reference>
        </references>
      </pivotArea>
    </chartFormat>
    <chartFormat chart="0" format="51">
      <pivotArea type="data" outline="0" fieldPosition="0">
        <references count="2">
          <reference field="4294967294" count="1" selected="0">
            <x v="2"/>
          </reference>
          <reference field="54" count="1" selected="0">
            <x v="51"/>
          </reference>
        </references>
      </pivotArea>
    </chartFormat>
    <chartFormat chart="0" format="52">
      <pivotArea type="data" outline="0" fieldPosition="0">
        <references count="2">
          <reference field="4294967294" count="1" selected="0">
            <x v="2"/>
          </reference>
          <reference field="54" count="1" selected="0">
            <x v="52"/>
          </reference>
        </references>
      </pivotArea>
    </chartFormat>
    <chartFormat chart="0" format="53" series="1">
      <pivotArea type="data" outline="0" fieldPosition="0">
        <references count="1">
          <reference field="4294967294" count="1" selected="0">
            <x v="0"/>
          </reference>
        </references>
      </pivotArea>
    </chartFormat>
    <chartFormat chart="0" format="5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ños1" xr10:uid="{00000000-0013-0000-FFFF-FFFF01000000}" sourceName="Años">
  <pivotTables>
    <pivotTable tabId="56" name="TablaDinámica1"/>
    <pivotTable tabId="56" name="TablaDinámica2"/>
    <pivotTable tabId="56" name="FLAT TUBE 7914992007 MONTHLY PARETO  2018"/>
  </pivotTables>
  <data>
    <tabular pivotCacheId="1">
      <items count="3">
        <i x="1" s="1"/>
        <i x="0"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ños 1" xr10:uid="{00000000-0014-0000-FFFF-FFFF01000000}" cache="Slicer_Años1" caption="Año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a15" displayName="Tabla15" ref="A1:F83" totalsRowCount="1" totalsRowDxfId="53" headerRowBorderDxfId="55" tableBorderDxfId="54" totalsRowBorderDxfId="52">
  <autoFilter ref="A1:F82" xr:uid="{00000000-0009-0000-0100-000004000000}"/>
  <tableColumns count="6">
    <tableColumn id="1" xr3:uid="{00000000-0010-0000-0000-000001000000}" name="DATE " totalsRowLabel="Total in kg" dataDxfId="51" totalsRowDxfId="50"/>
    <tableColumn id="2" xr3:uid="{00000000-0010-0000-0000-000002000000}" name="KG SCRAP ROLL COIL" totalsRowFunction="sum" dataDxfId="49" totalsRowDxfId="48"/>
    <tableColumn id="7" xr3:uid="{00000000-0010-0000-0000-000007000000}" name="BOBINA KG" dataDxfId="47" totalsRowDxfId="46"/>
    <tableColumn id="3" xr3:uid="{00000000-0010-0000-0000-000003000000}" name="KG COIL DAMAGES AND PROCESS ADJUST " totalsRowFunction="sum" dataDxfId="45" totalsRowDxfId="44"/>
    <tableColumn id="4" xr3:uid="{00000000-0010-0000-0000-000004000000}" name="QUARENTINE PIECES " totalsRowFunction="custom" dataDxfId="43" totalsRowDxfId="42">
      <totalsRowFormula>SUBTOTAL(109,Tabla15[[QUARENTINE PIECES ]])*0.2</totalsRowFormula>
    </tableColumn>
    <tableColumn id="6" xr3:uid="{00000000-0010-0000-0000-000006000000}" name="Columna2" dataDxfId="41" totalsRowDxfId="40"/>
  </tableColumns>
  <tableStyleInfo name="TableStyleMedium2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1" displayName="Tabla1" ref="A1:BD32" totalsRowShown="0">
  <autoFilter ref="A1:BD32" xr:uid="{00000000-0009-0000-0100-000001000000}"/>
  <tableColumns count="56">
    <tableColumn id="1" xr3:uid="{00000000-0010-0000-0100-000001000000}" name="REF VLOOK UP"/>
    <tableColumn id="2" xr3:uid="{00000000-0010-0000-0100-000002000000}" name="TURNO"/>
    <tableColumn id="3" xr3:uid="{00000000-0010-0000-0100-000003000000}" name="FECHA" dataDxfId="39"/>
    <tableColumn id="4" xr3:uid="{00000000-0010-0000-0100-000004000000}" name="LIBERACIÓN"/>
    <tableColumn id="5" xr3:uid="{00000000-0010-0000-0100-000005000000}" name="PROCESO"/>
    <tableColumn id="6" xr3:uid="{00000000-0010-0000-0100-000006000000}" name="MTTO OTROS "/>
    <tableColumn id="7" xr3:uid="{00000000-0010-0000-0100-000007000000}" name="TIEMPO EXTRA "/>
    <tableColumn id="8" xr3:uid="{00000000-0010-0000-0100-000008000000}" name="TIEMPO CALCULADO"/>
    <tableColumn id="9" xr3:uid="{00000000-0010-0000-0100-000009000000}" name="TIEMPO PLANIFICADO"/>
    <tableColumn id="10" xr3:uid="{00000000-0010-0000-0100-00000A000000}" name="TIEMPO OPERATIVO"/>
    <tableColumn id="11" xr3:uid="{00000000-0010-0000-0100-00000B000000}" name="RESULTADO DISPONIBILIDAD"/>
    <tableColumn id="12" xr3:uid="{00000000-0010-0000-0100-00000C000000}" name="PIEZAS PRODUCIDAS"/>
    <tableColumn id="13" xr3:uid="{00000000-0010-0000-0100-00000D000000}" name="ESTANDAR"/>
    <tableColumn id="14" xr3:uid="{00000000-0010-0000-0100-00000E000000}" name="MIN X HORAS"/>
    <tableColumn id="15" xr3:uid="{00000000-0010-0000-0100-00000F000000}" name="RESULTADO RENDIMIENTO"/>
    <tableColumn id="16" xr3:uid="{00000000-0010-0000-0100-000010000000}" name="PIEZAS BUENAS "/>
    <tableColumn id="17" xr3:uid="{00000000-0010-0000-0100-000011000000}" name="PIEZAS PRODUCIDAS2"/>
    <tableColumn id="18" xr3:uid="{00000000-0010-0000-0100-000012000000}" name="Scrap de arranque"/>
    <tableColumn id="19" xr3:uid="{00000000-0010-0000-0100-000013000000}" name="Scrap de cambio de bobina"/>
    <tableColumn id="20" xr3:uid="{00000000-0010-0000-0100-000014000000}" name="Estampado"/>
    <tableColumn id="21" xr3:uid="{00000000-0010-0000-0100-000015000000}" name="Formado"/>
    <tableColumn id="22" xr3:uid="{00000000-0010-0000-0100-000016000000}" name="Condición de ondulación"/>
    <tableColumn id="23" xr3:uid="{00000000-0010-0000-0100-000017000000}" name="Scrap de corte"/>
    <tableColumn id="24" xr3:uid="{00000000-0010-0000-0100-000018000000}" name="Falla de soldadura"/>
    <tableColumn id="25" xr3:uid="{00000000-0010-0000-0100-000019000000}" name="Longitud del tubo"/>
    <tableColumn id="26" xr3:uid="{00000000-0010-0000-0100-00001A000000}" name="Corona"/>
    <tableColumn id="27" xr3:uid="{00000000-0010-0000-0100-00001B000000}" name="DC01"/>
    <tableColumn id="28" xr3:uid="{00000000-0010-0000-0100-00001C000000}" name="DC03"/>
    <tableColumn id="29" xr3:uid="{00000000-0010-0000-0100-00001D000000}" name="Rechazo de maquina"/>
    <tableColumn id="30" xr3:uid="{00000000-0010-0000-0100-00001E000000}" name="Peso de scrap de la maquina (kg)"/>
    <tableColumn id="31" xr3:uid="{00000000-0010-0000-0100-00001F000000}" name="Scrap de empaque"/>
    <tableColumn id="32" xr3:uid="{00000000-0010-0000-0100-000020000000}" name="Limado manual"/>
    <tableColumn id="33" xr3:uid="{00000000-0010-0000-0100-000021000000}" name="Rodillo"/>
    <tableColumn id="34" xr3:uid="{00000000-0010-0000-0100-000022000000}" name="Labio levantado"/>
    <tableColumn id="35" xr3:uid="{00000000-0010-0000-0100-000023000000}" name="Rebaba de ventana"/>
    <tableColumn id="36" xr3:uid="{00000000-0010-0000-0100-000024000000}" name="Washer"/>
    <tableColumn id="37" xr3:uid="{00000000-0010-0000-0100-000025000000}" name="Prensa"/>
    <tableColumn id="38" xr3:uid="{00000000-0010-0000-0100-000026000000}" name="Diimples marcados"/>
    <tableColumn id="39" xr3:uid="{00000000-0010-0000-0100-000027000000}" name="Couples"/>
    <tableColumn id="40" xr3:uid="{00000000-0010-0000-0100-000028000000}" name="Doble grabado"/>
    <tableColumn id="41" xr3:uid="{00000000-0010-0000-0100-000029000000}" name="Pieza larga"/>
    <tableColumn id="42" xr3:uid="{00000000-0010-0000-0100-00002A000000}" name="Pieza corta"/>
    <tableColumn id="43" xr3:uid="{00000000-0010-0000-0100-00002B000000}" name="Soldadura dañada"/>
    <tableColumn id="44" xr3:uid="{00000000-0010-0000-0100-00002C000000}" name="Mal limada"/>
    <tableColumn id="45" xr3:uid="{00000000-0010-0000-0100-00002D000000}" name="Pieza con golpes"/>
    <tableColumn id="46" xr3:uid="{00000000-0010-0000-0100-00002E000000}" name="Caidas al piso"/>
    <tableColumn id="47" xr3:uid="{00000000-0010-0000-0100-00002F000000}" name="Soldadura desaliniada"/>
    <tableColumn id="48" xr3:uid="{00000000-0010-0000-0100-000030000000}" name="Otro"/>
    <tableColumn id="49" xr3:uid="{00000000-0010-0000-0100-000031000000}" name="Pruebas de calidad"/>
    <tableColumn id="50" xr3:uid="{00000000-0010-0000-0100-000032000000}" name="Ajsutes de Ingenieria"/>
    <tableColumn id="51" xr3:uid="{00000000-0010-0000-0100-000033000000}" name="Ajustes de MTTO"/>
    <tableColumn id="52" xr3:uid="{00000000-0010-0000-0100-000034000000}" name="QA TOTAL"/>
    <tableColumn id="53" xr3:uid="{00000000-0010-0000-0100-000035000000}" name="Week Number"/>
    <tableColumn id="54" xr3:uid="{00000000-0010-0000-0100-000036000000}" name="SCRAP"/>
    <tableColumn id="55" xr3:uid="{00000000-0010-0000-0100-000037000000}" name="RESULTADO CALIDAD"/>
    <tableColumn id="56" xr3:uid="{00000000-0010-0000-0100-000038000000}" name="RESULTADO OEE"/>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 xr10:uid="{00000000-0013-0000-FFFF-FFFF02000000}" sourceName="FECHA">
  <pivotTables>
    <pivotTable tabId="56" name="TablaDinámica6"/>
    <pivotTable tabId="56" name="TablaDinámica8"/>
  </pivotTables>
  <state minimalRefreshVersion="6" lastRefreshVersion="6" pivotCacheId="2"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xr10:uid="{00000000-0014-0000-FFFF-FFFF02000000}" cache="NativeTimeline_FECHA" caption="FECHA" level="0" selectionLevel="0" scrollPosition="2019-01-01T00:00:00"/>
</timeline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4.xml"/><Relationship Id="rId7" Type="http://schemas.openxmlformats.org/officeDocument/2006/relationships/printerSettings" Target="../printerSettings/printerSettings7.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11/relationships/timeline" Target="../timelines/timeline1.xml"/><Relationship Id="rId4" Type="http://schemas.openxmlformats.org/officeDocument/2006/relationships/pivotTable" Target="../pivotTables/pivotTable5.xml"/><Relationship Id="rId9" Type="http://schemas.microsoft.com/office/2007/relationships/slicer" Target="../slicers/slicer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pageSetUpPr fitToPage="1"/>
  </sheetPr>
  <dimension ref="A1:AG479"/>
  <sheetViews>
    <sheetView showGridLines="0" zoomScale="145" zoomScaleNormal="145" workbookViewId="0">
      <pane xSplit="3" ySplit="2" topLeftCell="D3" activePane="bottomRight" state="frozen"/>
      <selection activeCell="M29" sqref="M29"/>
      <selection pane="topRight" activeCell="M29" sqref="M29"/>
      <selection pane="bottomLeft" activeCell="M29" sqref="M29"/>
      <selection pane="bottomRight" activeCell="AA12" sqref="AA12"/>
    </sheetView>
  </sheetViews>
  <sheetFormatPr baseColWidth="10" defaultColWidth="11.42578125" defaultRowHeight="15" x14ac:dyDescent="0.25"/>
  <cols>
    <col min="1" max="1" width="2.7109375" style="3" customWidth="1"/>
    <col min="2" max="2" width="3" style="131" customWidth="1"/>
    <col min="3" max="3" width="11.140625" style="123" bestFit="1" customWidth="1"/>
    <col min="4" max="6" width="8.7109375" style="49" customWidth="1"/>
    <col min="7" max="8" width="8.7109375" style="3" customWidth="1"/>
    <col min="9" max="9" width="8.7109375" style="10" customWidth="1"/>
    <col min="10" max="10" width="8.5703125" style="10" customWidth="1"/>
    <col min="11" max="11" width="10.7109375" style="124" customWidth="1"/>
    <col min="12" max="12" width="8.7109375" style="49" customWidth="1"/>
    <col min="13" max="14" width="8.7109375" style="10" customWidth="1"/>
    <col min="15" max="15" width="10.7109375" style="124" customWidth="1"/>
    <col min="16" max="17" width="8.7109375" style="10" customWidth="1"/>
    <col min="18" max="23" width="2.140625" style="125" customWidth="1"/>
    <col min="24" max="24" width="2.140625" style="88" customWidth="1"/>
    <col min="25" max="26" width="2.140625" style="88" bestFit="1" customWidth="1"/>
    <col min="27" max="30" width="2.140625" style="125" customWidth="1"/>
    <col min="31" max="31" width="8.7109375" style="49" customWidth="1"/>
    <col min="32" max="32" width="10.7109375" style="124" customWidth="1"/>
    <col min="33" max="33" width="12.7109375" style="129" customWidth="1"/>
  </cols>
  <sheetData>
    <row r="1" spans="1:33" ht="15.75" customHeight="1" thickTop="1" x14ac:dyDescent="0.25">
      <c r="B1" s="180"/>
      <c r="C1" s="79" t="s">
        <v>12</v>
      </c>
      <c r="D1" s="339" t="s">
        <v>5</v>
      </c>
      <c r="E1" s="340"/>
      <c r="F1" s="341"/>
      <c r="G1" s="342" t="s">
        <v>0</v>
      </c>
      <c r="H1" s="343"/>
      <c r="I1" s="343"/>
      <c r="J1" s="343"/>
      <c r="K1" s="344"/>
      <c r="L1" s="345" t="s">
        <v>1</v>
      </c>
      <c r="M1" s="346"/>
      <c r="N1" s="346"/>
      <c r="O1" s="346"/>
      <c r="P1" s="347" t="s">
        <v>2</v>
      </c>
      <c r="Q1" s="348"/>
      <c r="R1" s="348"/>
      <c r="S1" s="348"/>
      <c r="T1" s="348"/>
      <c r="U1" s="348"/>
      <c r="V1" s="348"/>
      <c r="W1" s="348"/>
      <c r="X1" s="348"/>
      <c r="Y1" s="348"/>
      <c r="Z1" s="348"/>
      <c r="AA1" s="348"/>
      <c r="AB1" s="348"/>
      <c r="AC1" s="348"/>
      <c r="AD1" s="348"/>
      <c r="AE1" s="348"/>
      <c r="AF1" s="348"/>
      <c r="AG1" s="74" t="s">
        <v>10</v>
      </c>
    </row>
    <row r="2" spans="1:33" s="3" customFormat="1" ht="54" x14ac:dyDescent="0.25">
      <c r="A2" s="12" t="s">
        <v>74</v>
      </c>
      <c r="B2" s="181" t="s">
        <v>1691</v>
      </c>
      <c r="C2" s="57" t="s">
        <v>12</v>
      </c>
      <c r="D2" s="58" t="s">
        <v>65</v>
      </c>
      <c r="E2" s="13" t="s">
        <v>62</v>
      </c>
      <c r="F2" s="71" t="s">
        <v>1603</v>
      </c>
      <c r="G2" s="60" t="s">
        <v>64</v>
      </c>
      <c r="H2" s="46" t="s">
        <v>63</v>
      </c>
      <c r="I2" s="46" t="s">
        <v>4</v>
      </c>
      <c r="J2" s="13" t="s">
        <v>3</v>
      </c>
      <c r="K2" s="73" t="s">
        <v>11</v>
      </c>
      <c r="L2" s="60" t="s">
        <v>6</v>
      </c>
      <c r="M2" s="13" t="s">
        <v>7</v>
      </c>
      <c r="N2" s="13" t="s">
        <v>8</v>
      </c>
      <c r="O2" s="72" t="s">
        <v>11</v>
      </c>
      <c r="P2" s="60" t="s">
        <v>9</v>
      </c>
      <c r="Q2" s="13" t="s">
        <v>6</v>
      </c>
      <c r="R2" s="243" t="s">
        <v>1641</v>
      </c>
      <c r="S2" s="244" t="s">
        <v>1753</v>
      </c>
      <c r="T2" s="61" t="s">
        <v>1739</v>
      </c>
      <c r="U2" s="61" t="s">
        <v>1633</v>
      </c>
      <c r="V2" s="61" t="s">
        <v>1634</v>
      </c>
      <c r="W2" s="61" t="s">
        <v>1636</v>
      </c>
      <c r="X2" s="61" t="s">
        <v>1635</v>
      </c>
      <c r="Y2" s="61" t="s">
        <v>1764</v>
      </c>
      <c r="Z2" s="61" t="s">
        <v>1597</v>
      </c>
      <c r="AA2" s="61" t="s">
        <v>1602</v>
      </c>
      <c r="AB2" s="61" t="s">
        <v>1601</v>
      </c>
      <c r="AC2" s="61" t="s">
        <v>1605</v>
      </c>
      <c r="AD2" s="61" t="s">
        <v>1604</v>
      </c>
      <c r="AE2" s="13" t="s">
        <v>67</v>
      </c>
      <c r="AF2" s="72" t="s">
        <v>11</v>
      </c>
      <c r="AG2" s="75" t="s">
        <v>11</v>
      </c>
    </row>
    <row r="3" spans="1:33" x14ac:dyDescent="0.25">
      <c r="B3" s="182">
        <v>1</v>
      </c>
      <c r="C3" s="228">
        <v>44621</v>
      </c>
      <c r="D3" s="117"/>
      <c r="E3" s="118"/>
      <c r="F3" s="126"/>
      <c r="G3" s="127"/>
      <c r="H3" s="119">
        <v>540</v>
      </c>
      <c r="I3" s="119">
        <v>540</v>
      </c>
      <c r="J3" s="115">
        <f t="shared" ref="J3" si="0">I3-D3-E3-F3</f>
        <v>540</v>
      </c>
      <c r="K3" s="80">
        <f t="shared" ref="K3" si="1">IFERROR(J3/I3,"")</f>
        <v>1</v>
      </c>
      <c r="L3" s="120">
        <v>2722</v>
      </c>
      <c r="M3" s="8">
        <v>300</v>
      </c>
      <c r="N3" s="115">
        <v>60</v>
      </c>
      <c r="O3" s="78">
        <f t="shared" ref="O3:O11" si="2">IFERROR(((L3/M3)*N3/J3),"")</f>
        <v>1.0081481481481482</v>
      </c>
      <c r="P3" s="121">
        <f t="shared" ref="P3" si="3">L3-AE3</f>
        <v>2717</v>
      </c>
      <c r="Q3" s="115">
        <f t="shared" ref="Q3" si="4">L3</f>
        <v>2722</v>
      </c>
      <c r="R3" s="122"/>
      <c r="S3" s="122">
        <v>3</v>
      </c>
      <c r="T3" s="122"/>
      <c r="U3" s="122">
        <v>2</v>
      </c>
      <c r="V3" s="122"/>
      <c r="W3" s="122"/>
      <c r="X3" s="128"/>
      <c r="Y3" s="128"/>
      <c r="Z3" s="128"/>
      <c r="AA3" s="122"/>
      <c r="AB3" s="122"/>
      <c r="AC3" s="122">
        <f>WEEKNUM(C3)</f>
        <v>10</v>
      </c>
      <c r="AD3" s="122">
        <f>AB3+AA3+Z3+Y3+X3+W3+V3+U3+T3+S3+R3</f>
        <v>5</v>
      </c>
      <c r="AE3" s="118">
        <f>AD3</f>
        <v>5</v>
      </c>
      <c r="AF3" s="77">
        <f t="shared" ref="AF3:AF12" si="5">IFERROR(P3/Q3,"")</f>
        <v>0.9981631153563556</v>
      </c>
      <c r="AG3" s="76">
        <f t="shared" ref="AG3:AG10" si="6">IFERROR(K3*O3*AF3,"")</f>
        <v>1.0062962962962965</v>
      </c>
    </row>
    <row r="4" spans="1:33" x14ac:dyDescent="0.25">
      <c r="B4" s="182">
        <v>1</v>
      </c>
      <c r="C4" s="228">
        <v>44622</v>
      </c>
      <c r="D4" s="117"/>
      <c r="E4" s="118"/>
      <c r="F4" s="126">
        <v>7</v>
      </c>
      <c r="G4" s="127"/>
      <c r="H4" s="119">
        <v>360</v>
      </c>
      <c r="I4" s="119">
        <v>360</v>
      </c>
      <c r="J4" s="115">
        <f t="shared" ref="J4:J15" si="7">I4-D4-E4-F4</f>
        <v>353</v>
      </c>
      <c r="K4" s="80">
        <f t="shared" ref="K4:K15" si="8">IFERROR(J4/I4,"")</f>
        <v>0.98055555555555551</v>
      </c>
      <c r="L4" s="120">
        <v>1737</v>
      </c>
      <c r="M4" s="8">
        <v>300</v>
      </c>
      <c r="N4" s="115">
        <v>60</v>
      </c>
      <c r="O4" s="78">
        <f t="shared" si="2"/>
        <v>0.98413597733711045</v>
      </c>
      <c r="P4" s="121">
        <v>1731</v>
      </c>
      <c r="Q4" s="115">
        <v>1737</v>
      </c>
      <c r="R4" s="122"/>
      <c r="S4" s="122"/>
      <c r="T4" s="122"/>
      <c r="U4" s="122">
        <v>4</v>
      </c>
      <c r="V4" s="122"/>
      <c r="W4" s="122">
        <v>2</v>
      </c>
      <c r="X4" s="128"/>
      <c r="Y4" s="128"/>
      <c r="Z4" s="128"/>
      <c r="AA4" s="122"/>
      <c r="AB4" s="122"/>
      <c r="AC4" s="122"/>
      <c r="AD4" s="122"/>
      <c r="AE4" s="118">
        <f t="shared" ref="AE4:AE11" si="9">AD4</f>
        <v>0</v>
      </c>
      <c r="AF4" s="77">
        <f t="shared" si="5"/>
        <v>0.99654576856649391</v>
      </c>
      <c r="AG4" s="76">
        <f t="shared" si="6"/>
        <v>0.96166666666666656</v>
      </c>
    </row>
    <row r="5" spans="1:33" x14ac:dyDescent="0.25">
      <c r="B5" s="182">
        <v>1</v>
      </c>
      <c r="C5" s="228">
        <v>44623</v>
      </c>
      <c r="D5" s="117"/>
      <c r="E5" s="118"/>
      <c r="F5" s="126"/>
      <c r="G5" s="127"/>
      <c r="H5" s="119">
        <v>400</v>
      </c>
      <c r="I5" s="119">
        <v>400</v>
      </c>
      <c r="J5" s="115">
        <f t="shared" si="7"/>
        <v>400</v>
      </c>
      <c r="K5" s="80">
        <f t="shared" si="8"/>
        <v>1</v>
      </c>
      <c r="L5" s="120">
        <v>1951</v>
      </c>
      <c r="M5" s="8">
        <v>300</v>
      </c>
      <c r="N5" s="115">
        <v>60</v>
      </c>
      <c r="O5" s="78">
        <f t="shared" si="2"/>
        <v>0.97549999999999992</v>
      </c>
      <c r="P5" s="121">
        <v>1949</v>
      </c>
      <c r="Q5" s="115">
        <v>1949</v>
      </c>
      <c r="R5" s="122"/>
      <c r="S5" s="122"/>
      <c r="T5" s="122"/>
      <c r="U5" s="122"/>
      <c r="V5" s="122"/>
      <c r="W5" s="122"/>
      <c r="X5" s="128"/>
      <c r="Y5" s="128"/>
      <c r="Z5" s="128">
        <v>2</v>
      </c>
      <c r="AA5" s="122"/>
      <c r="AB5" s="122"/>
      <c r="AC5" s="122"/>
      <c r="AD5" s="122"/>
      <c r="AE5" s="118">
        <f t="shared" si="9"/>
        <v>0</v>
      </c>
      <c r="AF5" s="77">
        <f t="shared" si="5"/>
        <v>1</v>
      </c>
      <c r="AG5" s="76">
        <f t="shared" si="6"/>
        <v>0.97549999999999992</v>
      </c>
    </row>
    <row r="6" spans="1:33" x14ac:dyDescent="0.25">
      <c r="B6" s="182">
        <v>1</v>
      </c>
      <c r="C6" s="228">
        <v>44624</v>
      </c>
      <c r="D6" s="117"/>
      <c r="E6" s="118"/>
      <c r="F6" s="126"/>
      <c r="G6" s="127"/>
      <c r="H6" s="119">
        <v>360</v>
      </c>
      <c r="I6" s="119">
        <v>360</v>
      </c>
      <c r="J6" s="115">
        <f t="shared" si="7"/>
        <v>360</v>
      </c>
      <c r="K6" s="80">
        <f t="shared" si="8"/>
        <v>1</v>
      </c>
      <c r="L6" s="120">
        <v>1566</v>
      </c>
      <c r="M6" s="8">
        <v>300</v>
      </c>
      <c r="N6" s="115">
        <v>60</v>
      </c>
      <c r="O6" s="78">
        <f t="shared" si="2"/>
        <v>0.87</v>
      </c>
      <c r="P6" s="121">
        <v>1564</v>
      </c>
      <c r="Q6" s="115">
        <v>1566</v>
      </c>
      <c r="R6" s="122"/>
      <c r="S6" s="122"/>
      <c r="T6" s="122"/>
      <c r="U6" s="122">
        <v>1</v>
      </c>
      <c r="V6" s="122"/>
      <c r="W6" s="122">
        <v>1</v>
      </c>
      <c r="X6" s="128"/>
      <c r="Y6" s="128"/>
      <c r="Z6" s="128"/>
      <c r="AA6" s="122"/>
      <c r="AB6" s="122"/>
      <c r="AC6" s="122"/>
      <c r="AD6" s="122"/>
      <c r="AE6" s="118">
        <f t="shared" si="9"/>
        <v>0</v>
      </c>
      <c r="AF6" s="77">
        <f t="shared" si="5"/>
        <v>0.99872286079182626</v>
      </c>
      <c r="AG6" s="76">
        <f t="shared" si="6"/>
        <v>0.86888888888888882</v>
      </c>
    </row>
    <row r="7" spans="1:33" x14ac:dyDescent="0.25">
      <c r="B7" s="182">
        <v>1</v>
      </c>
      <c r="C7" s="228">
        <v>44627</v>
      </c>
      <c r="D7" s="117"/>
      <c r="E7" s="118">
        <v>37</v>
      </c>
      <c r="F7" s="126">
        <v>20</v>
      </c>
      <c r="G7" s="127"/>
      <c r="H7" s="119">
        <v>410</v>
      </c>
      <c r="I7" s="119">
        <v>410</v>
      </c>
      <c r="J7" s="115">
        <f t="shared" si="7"/>
        <v>353</v>
      </c>
      <c r="K7" s="80">
        <f t="shared" si="8"/>
        <v>0.86097560975609755</v>
      </c>
      <c r="L7" s="120">
        <v>1754</v>
      </c>
      <c r="M7" s="8">
        <v>300</v>
      </c>
      <c r="N7" s="115">
        <v>60</v>
      </c>
      <c r="O7" s="78">
        <f t="shared" si="2"/>
        <v>0.99376770538243631</v>
      </c>
      <c r="P7" s="121">
        <v>1752</v>
      </c>
      <c r="Q7" s="115">
        <v>1754</v>
      </c>
      <c r="R7" s="122"/>
      <c r="S7" s="122"/>
      <c r="T7" s="122"/>
      <c r="U7" s="122"/>
      <c r="V7" s="122"/>
      <c r="W7" s="122">
        <v>2</v>
      </c>
      <c r="X7" s="128"/>
      <c r="Y7" s="128"/>
      <c r="Z7" s="128"/>
      <c r="AA7" s="122"/>
      <c r="AB7" s="122"/>
      <c r="AC7" s="122"/>
      <c r="AD7" s="122"/>
      <c r="AE7" s="118">
        <f t="shared" si="9"/>
        <v>0</v>
      </c>
      <c r="AF7" s="77">
        <f t="shared" si="5"/>
        <v>0.9988597491448119</v>
      </c>
      <c r="AG7" s="76">
        <f t="shared" si="6"/>
        <v>0.8546341463414634</v>
      </c>
    </row>
    <row r="8" spans="1:33" x14ac:dyDescent="0.25">
      <c r="B8" s="182">
        <v>1</v>
      </c>
      <c r="C8" s="228">
        <v>44628</v>
      </c>
      <c r="D8" s="117">
        <v>40</v>
      </c>
      <c r="E8" s="118">
        <v>75</v>
      </c>
      <c r="F8" s="126">
        <v>27</v>
      </c>
      <c r="G8" s="127"/>
      <c r="H8" s="119">
        <v>480</v>
      </c>
      <c r="I8" s="119">
        <v>480</v>
      </c>
      <c r="J8" s="115">
        <f t="shared" si="7"/>
        <v>338</v>
      </c>
      <c r="K8" s="80">
        <f t="shared" si="8"/>
        <v>0.70416666666666672</v>
      </c>
      <c r="L8" s="120">
        <v>1731</v>
      </c>
      <c r="M8" s="8">
        <v>300</v>
      </c>
      <c r="N8" s="115">
        <v>60</v>
      </c>
      <c r="O8" s="78">
        <f t="shared" si="2"/>
        <v>1.0242603550295857</v>
      </c>
      <c r="P8" s="121">
        <v>1726</v>
      </c>
      <c r="Q8" s="115">
        <v>1731</v>
      </c>
      <c r="R8" s="122"/>
      <c r="S8" s="122"/>
      <c r="T8" s="122"/>
      <c r="U8" s="122"/>
      <c r="V8" s="122"/>
      <c r="W8" s="122"/>
      <c r="X8" s="128"/>
      <c r="Y8" s="128">
        <v>5</v>
      </c>
      <c r="Z8" s="128"/>
      <c r="AA8" s="122"/>
      <c r="AB8" s="122"/>
      <c r="AC8" s="122"/>
      <c r="AD8" s="122"/>
      <c r="AE8" s="118">
        <f t="shared" si="9"/>
        <v>0</v>
      </c>
      <c r="AF8" s="77">
        <f t="shared" si="5"/>
        <v>0.99711149624494511</v>
      </c>
      <c r="AG8" s="76">
        <f t="shared" si="6"/>
        <v>0.71916666666666662</v>
      </c>
    </row>
    <row r="9" spans="1:33" x14ac:dyDescent="0.25">
      <c r="B9" s="182">
        <v>1</v>
      </c>
      <c r="C9" s="228">
        <v>44629</v>
      </c>
      <c r="D9" s="117"/>
      <c r="E9" s="118">
        <v>40</v>
      </c>
      <c r="F9" s="126"/>
      <c r="G9" s="127"/>
      <c r="H9" s="119">
        <v>510</v>
      </c>
      <c r="I9" s="119">
        <v>510</v>
      </c>
      <c r="J9" s="115">
        <f t="shared" si="7"/>
        <v>470</v>
      </c>
      <c r="K9" s="80">
        <f t="shared" si="8"/>
        <v>0.92156862745098034</v>
      </c>
      <c r="L9" s="120">
        <v>2412</v>
      </c>
      <c r="M9" s="8">
        <v>300</v>
      </c>
      <c r="N9" s="115">
        <v>60</v>
      </c>
      <c r="O9" s="78">
        <f t="shared" si="2"/>
        <v>1.0263829787234042</v>
      </c>
      <c r="P9" s="121">
        <v>2411</v>
      </c>
      <c r="Q9" s="115">
        <v>2412</v>
      </c>
      <c r="R9" s="122"/>
      <c r="S9" s="122"/>
      <c r="T9" s="122"/>
      <c r="U9" s="122"/>
      <c r="V9" s="122"/>
      <c r="W9" s="122">
        <v>1</v>
      </c>
      <c r="X9" s="128"/>
      <c r="Y9" s="128"/>
      <c r="Z9" s="128"/>
      <c r="AA9" s="122"/>
      <c r="AB9" s="122"/>
      <c r="AC9" s="122"/>
      <c r="AD9" s="122"/>
      <c r="AE9" s="118">
        <f t="shared" si="9"/>
        <v>0</v>
      </c>
      <c r="AF9" s="77">
        <f t="shared" si="5"/>
        <v>0.99958540630182424</v>
      </c>
      <c r="AG9" s="76">
        <f t="shared" si="6"/>
        <v>0.94549019607843132</v>
      </c>
    </row>
    <row r="10" spans="1:33" x14ac:dyDescent="0.25">
      <c r="B10" s="182">
        <v>1</v>
      </c>
      <c r="C10" s="228">
        <v>44630</v>
      </c>
      <c r="D10" s="117"/>
      <c r="E10" s="118">
        <v>130</v>
      </c>
      <c r="F10" s="126"/>
      <c r="G10" s="127"/>
      <c r="H10" s="119">
        <v>510</v>
      </c>
      <c r="I10" s="119">
        <v>510</v>
      </c>
      <c r="J10" s="115">
        <f t="shared" si="7"/>
        <v>380</v>
      </c>
      <c r="K10" s="80">
        <f t="shared" si="8"/>
        <v>0.74509803921568629</v>
      </c>
      <c r="L10" s="120">
        <v>1757</v>
      </c>
      <c r="M10" s="8">
        <v>300</v>
      </c>
      <c r="N10" s="115">
        <v>60</v>
      </c>
      <c r="O10" s="78">
        <f t="shared" si="2"/>
        <v>0.92473684210526308</v>
      </c>
      <c r="P10" s="121">
        <v>1755</v>
      </c>
      <c r="Q10" s="115">
        <v>1757</v>
      </c>
      <c r="R10" s="122"/>
      <c r="S10" s="122"/>
      <c r="T10" s="122"/>
      <c r="U10" s="122"/>
      <c r="V10" s="122"/>
      <c r="W10" s="122">
        <v>1</v>
      </c>
      <c r="X10" s="128"/>
      <c r="Y10" s="128"/>
      <c r="Z10" s="128">
        <v>1</v>
      </c>
      <c r="AA10" s="122"/>
      <c r="AB10" s="122"/>
      <c r="AC10" s="122"/>
      <c r="AD10" s="122"/>
      <c r="AE10" s="118">
        <f t="shared" si="9"/>
        <v>0</v>
      </c>
      <c r="AF10" s="77">
        <f t="shared" si="5"/>
        <v>0.99886169607285147</v>
      </c>
      <c r="AG10" s="76">
        <f t="shared" si="6"/>
        <v>0.68823529411764706</v>
      </c>
    </row>
    <row r="11" spans="1:33" x14ac:dyDescent="0.25">
      <c r="B11" s="182">
        <v>1</v>
      </c>
      <c r="C11" s="228">
        <v>44631</v>
      </c>
      <c r="D11" s="117"/>
      <c r="E11" s="118">
        <v>95</v>
      </c>
      <c r="F11" s="126">
        <v>30</v>
      </c>
      <c r="G11" s="127"/>
      <c r="H11" s="119">
        <v>510</v>
      </c>
      <c r="I11" s="119">
        <v>510</v>
      </c>
      <c r="J11" s="115">
        <f t="shared" si="7"/>
        <v>385</v>
      </c>
      <c r="K11" s="80">
        <f t="shared" si="8"/>
        <v>0.75490196078431371</v>
      </c>
      <c r="L11" s="120">
        <v>1867</v>
      </c>
      <c r="M11" s="8">
        <v>300</v>
      </c>
      <c r="N11" s="115">
        <v>60</v>
      </c>
      <c r="O11" s="78">
        <f t="shared" si="2"/>
        <v>0.96987012987012999</v>
      </c>
      <c r="P11" s="121">
        <v>1862</v>
      </c>
      <c r="Q11" s="115">
        <v>1867</v>
      </c>
      <c r="R11" s="122"/>
      <c r="S11" s="122"/>
      <c r="T11" s="122">
        <v>1</v>
      </c>
      <c r="U11" s="122">
        <v>1</v>
      </c>
      <c r="V11" s="122"/>
      <c r="W11" s="122">
        <v>2</v>
      </c>
      <c r="X11" s="128"/>
      <c r="Y11" s="128"/>
      <c r="Z11" s="128">
        <v>1</v>
      </c>
      <c r="AA11" s="122"/>
      <c r="AB11" s="122"/>
      <c r="AC11" s="122"/>
      <c r="AD11" s="122"/>
      <c r="AE11" s="118">
        <f t="shared" si="9"/>
        <v>0</v>
      </c>
      <c r="AF11" s="77">
        <f t="shared" si="5"/>
        <v>0.99732190680235677</v>
      </c>
      <c r="AG11" s="76"/>
    </row>
    <row r="12" spans="1:33" x14ac:dyDescent="0.25">
      <c r="B12" s="182">
        <v>1</v>
      </c>
      <c r="C12" s="228"/>
      <c r="D12" s="117"/>
      <c r="E12" s="118"/>
      <c r="F12" s="126"/>
      <c r="G12" s="127"/>
      <c r="H12" s="119"/>
      <c r="I12" s="119"/>
      <c r="J12" s="115">
        <f t="shared" si="7"/>
        <v>0</v>
      </c>
      <c r="K12" s="80" t="str">
        <f t="shared" si="8"/>
        <v/>
      </c>
      <c r="L12" s="120"/>
      <c r="M12" s="8"/>
      <c r="N12" s="115"/>
      <c r="O12" s="78"/>
      <c r="P12" s="121"/>
      <c r="Q12" s="115"/>
      <c r="R12" s="122"/>
      <c r="S12" s="122"/>
      <c r="T12" s="122"/>
      <c r="U12" s="122"/>
      <c r="V12" s="122"/>
      <c r="W12" s="122"/>
      <c r="X12" s="128"/>
      <c r="Y12" s="128"/>
      <c r="Z12" s="128"/>
      <c r="AA12" s="122"/>
      <c r="AB12" s="122"/>
      <c r="AC12" s="122"/>
      <c r="AD12" s="122"/>
      <c r="AE12" s="118"/>
      <c r="AF12" s="77" t="str">
        <f t="shared" si="5"/>
        <v/>
      </c>
      <c r="AG12" s="76"/>
    </row>
    <row r="13" spans="1:33" x14ac:dyDescent="0.25">
      <c r="B13" s="182">
        <v>1</v>
      </c>
      <c r="C13" s="228"/>
      <c r="D13" s="117"/>
      <c r="E13" s="118"/>
      <c r="F13" s="126"/>
      <c r="G13" s="127"/>
      <c r="H13" s="119"/>
      <c r="I13" s="119"/>
      <c r="J13" s="115">
        <f t="shared" si="7"/>
        <v>0</v>
      </c>
      <c r="K13" s="80" t="str">
        <f t="shared" si="8"/>
        <v/>
      </c>
      <c r="L13" s="120"/>
      <c r="M13" s="8"/>
      <c r="N13" s="115"/>
      <c r="O13" s="78"/>
      <c r="P13" s="121"/>
      <c r="Q13" s="115"/>
      <c r="R13" s="122"/>
      <c r="S13" s="122"/>
      <c r="T13" s="122"/>
      <c r="U13" s="122"/>
      <c r="V13" s="122"/>
      <c r="W13" s="122"/>
      <c r="X13" s="128"/>
      <c r="Y13" s="128"/>
      <c r="Z13" s="128"/>
      <c r="AA13" s="122"/>
      <c r="AB13" s="122"/>
      <c r="AC13" s="122"/>
      <c r="AD13" s="122"/>
      <c r="AE13" s="118"/>
      <c r="AF13" s="77"/>
      <c r="AG13" s="76"/>
    </row>
    <row r="14" spans="1:33" x14ac:dyDescent="0.25">
      <c r="B14" s="182">
        <v>1</v>
      </c>
      <c r="C14" s="228"/>
      <c r="D14" s="117"/>
      <c r="E14" s="118"/>
      <c r="F14" s="126"/>
      <c r="G14" s="127"/>
      <c r="H14" s="119"/>
      <c r="I14" s="119"/>
      <c r="J14" s="115">
        <f t="shared" si="7"/>
        <v>0</v>
      </c>
      <c r="K14" s="80" t="str">
        <f t="shared" si="8"/>
        <v/>
      </c>
      <c r="L14" s="120"/>
      <c r="M14" s="8"/>
      <c r="N14" s="115"/>
      <c r="O14" s="78"/>
      <c r="P14" s="121"/>
      <c r="Q14" s="115"/>
      <c r="R14" s="122"/>
      <c r="S14" s="122"/>
      <c r="T14" s="122"/>
      <c r="U14" s="122"/>
      <c r="V14" s="122"/>
      <c r="W14" s="122"/>
      <c r="X14" s="128"/>
      <c r="Y14" s="128"/>
      <c r="Z14" s="128"/>
      <c r="AA14" s="122"/>
      <c r="AB14" s="122"/>
      <c r="AC14" s="122"/>
      <c r="AD14" s="122"/>
      <c r="AE14" s="118"/>
      <c r="AF14" s="77"/>
      <c r="AG14" s="76"/>
    </row>
    <row r="15" spans="1:33" x14ac:dyDescent="0.25">
      <c r="B15" s="182">
        <v>1</v>
      </c>
      <c r="C15" s="228"/>
      <c r="D15" s="117"/>
      <c r="E15" s="118"/>
      <c r="F15" s="126"/>
      <c r="G15" s="127"/>
      <c r="H15" s="119"/>
      <c r="I15" s="119"/>
      <c r="J15" s="115">
        <f t="shared" si="7"/>
        <v>0</v>
      </c>
      <c r="K15" s="80" t="str">
        <f t="shared" si="8"/>
        <v/>
      </c>
      <c r="L15" s="120"/>
      <c r="M15" s="8"/>
      <c r="N15" s="115"/>
      <c r="O15" s="78"/>
      <c r="P15" s="121"/>
      <c r="Q15" s="115"/>
      <c r="R15" s="122"/>
      <c r="S15" s="122"/>
      <c r="T15" s="122"/>
      <c r="U15" s="122"/>
      <c r="V15" s="122"/>
      <c r="W15" s="122"/>
      <c r="X15" s="128"/>
      <c r="Y15" s="128"/>
      <c r="Z15" s="128"/>
      <c r="AA15" s="122"/>
      <c r="AB15" s="122"/>
      <c r="AC15" s="122"/>
      <c r="AD15" s="122"/>
      <c r="AE15" s="118"/>
      <c r="AF15" s="77"/>
      <c r="AG15" s="76"/>
    </row>
    <row r="16" spans="1:33" x14ac:dyDescent="0.25">
      <c r="B16" s="182">
        <v>1</v>
      </c>
      <c r="C16" s="228"/>
      <c r="D16" s="117"/>
      <c r="E16" s="118"/>
      <c r="F16" s="126"/>
      <c r="G16" s="127"/>
      <c r="H16" s="119"/>
      <c r="I16" s="119"/>
      <c r="J16" s="115"/>
      <c r="K16" s="80"/>
      <c r="L16" s="120"/>
      <c r="M16" s="8"/>
      <c r="N16" s="115"/>
      <c r="O16" s="78"/>
      <c r="P16" s="121"/>
      <c r="Q16" s="115"/>
      <c r="R16" s="122"/>
      <c r="S16" s="122"/>
      <c r="T16" s="122"/>
      <c r="U16" s="122"/>
      <c r="V16" s="122"/>
      <c r="W16" s="122"/>
      <c r="X16" s="128"/>
      <c r="Y16" s="128"/>
      <c r="Z16" s="128"/>
      <c r="AA16" s="122"/>
      <c r="AB16" s="122"/>
      <c r="AC16" s="122"/>
      <c r="AD16" s="122"/>
      <c r="AE16" s="118"/>
      <c r="AF16" s="77"/>
      <c r="AG16" s="76"/>
    </row>
    <row r="17" spans="2:33" x14ac:dyDescent="0.25">
      <c r="B17" s="182">
        <v>1</v>
      </c>
      <c r="C17" s="228"/>
      <c r="D17" s="117"/>
      <c r="E17" s="118"/>
      <c r="F17" s="126"/>
      <c r="G17" s="127"/>
      <c r="H17" s="119"/>
      <c r="I17" s="119"/>
      <c r="J17" s="115"/>
      <c r="K17" s="80"/>
      <c r="L17" s="120"/>
      <c r="M17" s="8"/>
      <c r="N17" s="115"/>
      <c r="O17" s="78"/>
      <c r="P17" s="121"/>
      <c r="Q17" s="115"/>
      <c r="R17" s="122"/>
      <c r="S17" s="122"/>
      <c r="T17" s="122"/>
      <c r="U17" s="122"/>
      <c r="V17" s="122"/>
      <c r="W17" s="122"/>
      <c r="X17" s="128"/>
      <c r="Y17" s="128"/>
      <c r="Z17" s="128"/>
      <c r="AA17" s="122"/>
      <c r="AB17" s="122"/>
      <c r="AC17" s="122"/>
      <c r="AD17" s="122"/>
      <c r="AE17" s="118"/>
      <c r="AF17" s="77"/>
      <c r="AG17" s="76"/>
    </row>
    <row r="18" spans="2:33" x14ac:dyDescent="0.25">
      <c r="B18" s="182">
        <v>1</v>
      </c>
      <c r="C18" s="228"/>
      <c r="D18" s="117"/>
      <c r="E18" s="118"/>
      <c r="F18" s="126"/>
      <c r="G18" s="127"/>
      <c r="H18" s="119"/>
      <c r="I18" s="119"/>
      <c r="J18" s="115"/>
      <c r="K18" s="80"/>
      <c r="L18" s="120"/>
      <c r="M18" s="8"/>
      <c r="N18" s="115"/>
      <c r="O18" s="78"/>
      <c r="P18" s="121"/>
      <c r="Q18" s="115"/>
      <c r="R18" s="122"/>
      <c r="S18" s="122"/>
      <c r="T18" s="122"/>
      <c r="U18" s="122"/>
      <c r="V18" s="122"/>
      <c r="W18" s="122"/>
      <c r="X18" s="128"/>
      <c r="Y18" s="128"/>
      <c r="Z18" s="128"/>
      <c r="AA18" s="122"/>
      <c r="AB18" s="122"/>
      <c r="AC18" s="122"/>
      <c r="AD18" s="122"/>
      <c r="AE18" s="118"/>
      <c r="AF18" s="77"/>
      <c r="AG18" s="76"/>
    </row>
    <row r="19" spans="2:33" x14ac:dyDescent="0.25">
      <c r="B19" s="182">
        <v>1</v>
      </c>
      <c r="C19" s="228"/>
      <c r="D19" s="117"/>
      <c r="E19" s="118"/>
      <c r="F19" s="126"/>
      <c r="G19" s="127"/>
      <c r="H19" s="119"/>
      <c r="I19" s="119"/>
      <c r="J19" s="115"/>
      <c r="K19" s="80"/>
      <c r="L19" s="120"/>
      <c r="M19" s="8"/>
      <c r="N19" s="115"/>
      <c r="O19" s="78"/>
      <c r="P19" s="121"/>
      <c r="Q19" s="115"/>
      <c r="R19" s="122"/>
      <c r="S19" s="122"/>
      <c r="T19" s="122"/>
      <c r="U19" s="122"/>
      <c r="V19" s="122"/>
      <c r="W19" s="122"/>
      <c r="X19" s="128"/>
      <c r="Y19" s="128"/>
      <c r="Z19" s="128"/>
      <c r="AA19" s="122"/>
      <c r="AB19" s="122"/>
      <c r="AC19" s="122"/>
      <c r="AD19" s="122"/>
      <c r="AE19" s="118"/>
      <c r="AF19" s="77"/>
      <c r="AG19" s="76"/>
    </row>
    <row r="20" spans="2:33" x14ac:dyDescent="0.25">
      <c r="B20" s="182">
        <v>1</v>
      </c>
      <c r="C20" s="228"/>
      <c r="D20" s="117"/>
      <c r="E20" s="118"/>
      <c r="F20" s="126"/>
      <c r="G20" s="127"/>
      <c r="H20" s="119"/>
      <c r="I20" s="119"/>
      <c r="J20" s="115"/>
      <c r="K20" s="80"/>
      <c r="L20" s="120"/>
      <c r="M20" s="8"/>
      <c r="N20" s="115"/>
      <c r="O20" s="78"/>
      <c r="P20" s="121"/>
      <c r="Q20" s="115"/>
      <c r="R20" s="122"/>
      <c r="S20" s="122"/>
      <c r="T20" s="122"/>
      <c r="U20" s="122"/>
      <c r="V20" s="122"/>
      <c r="W20" s="122"/>
      <c r="X20" s="128"/>
      <c r="Y20" s="128"/>
      <c r="Z20" s="128"/>
      <c r="AA20" s="122"/>
      <c r="AB20" s="122"/>
      <c r="AC20" s="122"/>
      <c r="AD20" s="122"/>
      <c r="AE20" s="118"/>
      <c r="AF20" s="77"/>
      <c r="AG20" s="76"/>
    </row>
    <row r="21" spans="2:33" x14ac:dyDescent="0.25">
      <c r="B21" s="182">
        <v>1</v>
      </c>
      <c r="C21" s="228"/>
      <c r="D21" s="117"/>
      <c r="E21" s="118"/>
      <c r="F21" s="126"/>
      <c r="G21" s="127"/>
      <c r="H21" s="119"/>
      <c r="I21" s="119"/>
      <c r="J21" s="115"/>
      <c r="K21" s="80"/>
      <c r="L21" s="120"/>
      <c r="M21" s="8"/>
      <c r="N21" s="115"/>
      <c r="O21" s="78"/>
      <c r="P21" s="121"/>
      <c r="Q21" s="115"/>
      <c r="R21" s="122"/>
      <c r="S21" s="122"/>
      <c r="T21" s="122"/>
      <c r="U21" s="122"/>
      <c r="V21" s="122"/>
      <c r="W21" s="122"/>
      <c r="X21" s="128"/>
      <c r="Y21" s="128"/>
      <c r="Z21" s="128"/>
      <c r="AA21" s="122"/>
      <c r="AB21" s="122"/>
      <c r="AC21" s="122"/>
      <c r="AD21" s="122"/>
      <c r="AE21" s="118"/>
      <c r="AF21" s="77"/>
      <c r="AG21" s="76"/>
    </row>
    <row r="22" spans="2:33" x14ac:dyDescent="0.25">
      <c r="B22" s="182">
        <v>1</v>
      </c>
      <c r="C22" s="228"/>
      <c r="D22" s="117"/>
      <c r="E22" s="118"/>
      <c r="F22" s="126"/>
      <c r="G22" s="127"/>
      <c r="H22" s="119"/>
      <c r="I22" s="119"/>
      <c r="J22" s="115"/>
      <c r="K22" s="80"/>
      <c r="L22" s="120"/>
      <c r="M22" s="8"/>
      <c r="N22" s="115"/>
      <c r="O22" s="78"/>
      <c r="P22" s="121"/>
      <c r="Q22" s="115"/>
      <c r="R22" s="122"/>
      <c r="S22" s="122"/>
      <c r="T22" s="122"/>
      <c r="U22" s="122"/>
      <c r="V22" s="122"/>
      <c r="W22" s="122"/>
      <c r="X22" s="128"/>
      <c r="Y22" s="128"/>
      <c r="Z22" s="128"/>
      <c r="AA22" s="122"/>
      <c r="AB22" s="122"/>
      <c r="AC22" s="122"/>
      <c r="AD22" s="122"/>
      <c r="AE22" s="118"/>
      <c r="AF22" s="77"/>
      <c r="AG22" s="76"/>
    </row>
    <row r="23" spans="2:33" x14ac:dyDescent="0.25">
      <c r="B23" s="182">
        <v>1</v>
      </c>
      <c r="C23" s="228"/>
      <c r="D23" s="117"/>
      <c r="E23" s="118"/>
      <c r="F23" s="126"/>
      <c r="G23" s="127"/>
      <c r="H23" s="119"/>
      <c r="I23" s="119"/>
      <c r="J23" s="115"/>
      <c r="K23" s="80"/>
      <c r="L23" s="120"/>
      <c r="M23" s="8"/>
      <c r="N23" s="115"/>
      <c r="O23" s="78"/>
      <c r="P23" s="121"/>
      <c r="Q23" s="115"/>
      <c r="R23" s="122"/>
      <c r="S23" s="122"/>
      <c r="T23" s="122"/>
      <c r="U23" s="122"/>
      <c r="V23" s="122"/>
      <c r="W23" s="122"/>
      <c r="X23" s="128"/>
      <c r="Y23" s="128"/>
      <c r="Z23" s="128"/>
      <c r="AA23" s="122"/>
      <c r="AB23" s="122"/>
      <c r="AC23" s="122"/>
      <c r="AD23" s="122"/>
      <c r="AE23" s="118"/>
      <c r="AF23" s="77"/>
      <c r="AG23" s="76"/>
    </row>
    <row r="24" spans="2:33" x14ac:dyDescent="0.25">
      <c r="B24" s="182">
        <v>1</v>
      </c>
      <c r="C24" s="228"/>
      <c r="D24" s="117"/>
      <c r="E24" s="118"/>
      <c r="F24" s="126"/>
      <c r="G24" s="127"/>
      <c r="H24" s="119"/>
      <c r="I24" s="119"/>
      <c r="J24" s="115"/>
      <c r="K24" s="80"/>
      <c r="L24" s="120"/>
      <c r="M24" s="8"/>
      <c r="N24" s="115"/>
      <c r="O24" s="78"/>
      <c r="P24" s="121"/>
      <c r="Q24" s="115"/>
      <c r="R24" s="122"/>
      <c r="S24" s="122"/>
      <c r="T24" s="122"/>
      <c r="U24" s="122"/>
      <c r="V24" s="122"/>
      <c r="W24" s="122"/>
      <c r="X24" s="128"/>
      <c r="Y24" s="128"/>
      <c r="Z24" s="128"/>
      <c r="AA24" s="122"/>
      <c r="AB24" s="122"/>
      <c r="AC24" s="122"/>
      <c r="AD24" s="122"/>
      <c r="AE24" s="118"/>
      <c r="AF24" s="77"/>
      <c r="AG24" s="76"/>
    </row>
    <row r="25" spans="2:33" x14ac:dyDescent="0.25">
      <c r="B25" s="182">
        <v>1</v>
      </c>
      <c r="C25" s="228"/>
      <c r="D25" s="117"/>
      <c r="E25" s="118"/>
      <c r="F25" s="126"/>
      <c r="G25" s="127"/>
      <c r="H25" s="119"/>
      <c r="I25" s="119"/>
      <c r="J25" s="115"/>
      <c r="K25" s="80"/>
      <c r="L25" s="120"/>
      <c r="M25" s="8"/>
      <c r="N25" s="115"/>
      <c r="O25" s="78"/>
      <c r="P25" s="121"/>
      <c r="Q25" s="115"/>
      <c r="R25" s="122"/>
      <c r="S25" s="122"/>
      <c r="T25" s="122"/>
      <c r="U25" s="122"/>
      <c r="V25" s="122"/>
      <c r="W25" s="122"/>
      <c r="X25" s="128"/>
      <c r="Y25" s="128"/>
      <c r="Z25" s="128"/>
      <c r="AA25" s="122"/>
      <c r="AB25" s="122"/>
      <c r="AC25" s="122"/>
      <c r="AD25" s="122"/>
      <c r="AE25" s="118"/>
      <c r="AF25" s="77"/>
      <c r="AG25" s="76"/>
    </row>
    <row r="26" spans="2:33" x14ac:dyDescent="0.25">
      <c r="B26" s="182">
        <v>1</v>
      </c>
      <c r="C26" s="228"/>
      <c r="D26" s="117"/>
      <c r="E26" s="118"/>
      <c r="F26" s="126"/>
      <c r="G26" s="127"/>
      <c r="H26" s="119"/>
      <c r="I26" s="119"/>
      <c r="J26" s="115"/>
      <c r="K26" s="80"/>
      <c r="L26" s="120"/>
      <c r="M26" s="8"/>
      <c r="N26" s="115"/>
      <c r="O26" s="78"/>
      <c r="P26" s="121"/>
      <c r="Q26" s="115"/>
      <c r="R26" s="122"/>
      <c r="S26" s="122"/>
      <c r="T26" s="122"/>
      <c r="U26" s="122"/>
      <c r="V26" s="122"/>
      <c r="W26" s="122"/>
      <c r="X26" s="128"/>
      <c r="Y26" s="128"/>
      <c r="Z26" s="128"/>
      <c r="AA26" s="122"/>
      <c r="AB26" s="122"/>
      <c r="AC26" s="122"/>
      <c r="AD26" s="122"/>
      <c r="AE26" s="118"/>
      <c r="AF26" s="77"/>
      <c r="AG26" s="76"/>
    </row>
    <row r="27" spans="2:33" x14ac:dyDescent="0.25">
      <c r="B27" s="182">
        <v>1</v>
      </c>
      <c r="C27" s="228"/>
      <c r="D27" s="117"/>
      <c r="E27" s="118"/>
      <c r="F27" s="126"/>
      <c r="G27" s="127"/>
      <c r="H27" s="119"/>
      <c r="I27" s="119"/>
      <c r="J27" s="115"/>
      <c r="K27" s="80"/>
      <c r="L27" s="120"/>
      <c r="M27" s="8"/>
      <c r="N27" s="115"/>
      <c r="O27" s="78"/>
      <c r="P27" s="121"/>
      <c r="Q27" s="115"/>
      <c r="R27" s="122"/>
      <c r="S27" s="122"/>
      <c r="T27" s="122"/>
      <c r="U27" s="122"/>
      <c r="V27" s="122"/>
      <c r="W27" s="122"/>
      <c r="X27" s="128"/>
      <c r="Y27" s="128"/>
      <c r="Z27" s="128"/>
      <c r="AA27" s="122"/>
      <c r="AB27" s="122"/>
      <c r="AC27" s="122"/>
      <c r="AD27" s="122"/>
      <c r="AE27" s="118"/>
      <c r="AF27" s="77"/>
      <c r="AG27" s="76"/>
    </row>
    <row r="28" spans="2:33" x14ac:dyDescent="0.25">
      <c r="B28" s="182">
        <v>1</v>
      </c>
      <c r="C28" s="228"/>
      <c r="D28" s="117"/>
      <c r="E28" s="118"/>
      <c r="F28" s="126"/>
      <c r="G28" s="127"/>
      <c r="H28" s="119"/>
      <c r="I28" s="119"/>
      <c r="J28" s="115"/>
      <c r="K28" s="80"/>
      <c r="L28" s="120"/>
      <c r="M28" s="8"/>
      <c r="N28" s="115"/>
      <c r="O28" s="78"/>
      <c r="P28" s="121"/>
      <c r="Q28" s="115"/>
      <c r="R28" s="122"/>
      <c r="S28" s="122"/>
      <c r="T28" s="122"/>
      <c r="U28" s="122"/>
      <c r="V28" s="122"/>
      <c r="W28" s="122"/>
      <c r="X28" s="128"/>
      <c r="Y28" s="128"/>
      <c r="Z28" s="128"/>
      <c r="AA28" s="122"/>
      <c r="AB28" s="122"/>
      <c r="AC28" s="122"/>
      <c r="AD28" s="122"/>
      <c r="AE28" s="118"/>
      <c r="AF28" s="77"/>
      <c r="AG28" s="76"/>
    </row>
    <row r="29" spans="2:33" x14ac:dyDescent="0.25">
      <c r="B29" s="182">
        <v>1</v>
      </c>
      <c r="C29" s="228"/>
      <c r="D29" s="117"/>
      <c r="E29" s="118"/>
      <c r="F29" s="126"/>
      <c r="G29" s="127"/>
      <c r="H29" s="119"/>
      <c r="I29" s="119"/>
      <c r="J29" s="115"/>
      <c r="K29" s="80"/>
      <c r="L29" s="120"/>
      <c r="M29" s="8"/>
      <c r="N29" s="115"/>
      <c r="O29" s="78"/>
      <c r="P29" s="121"/>
      <c r="Q29" s="115"/>
      <c r="R29" s="122"/>
      <c r="S29" s="122"/>
      <c r="T29" s="122"/>
      <c r="U29" s="122"/>
      <c r="V29" s="122"/>
      <c r="W29" s="122"/>
      <c r="X29" s="128"/>
      <c r="Y29" s="128"/>
      <c r="Z29" s="128"/>
      <c r="AA29" s="122"/>
      <c r="AB29" s="122"/>
      <c r="AC29" s="122"/>
      <c r="AD29" s="122"/>
      <c r="AE29" s="118"/>
      <c r="AF29" s="77"/>
      <c r="AG29" s="76"/>
    </row>
    <row r="30" spans="2:33" x14ac:dyDescent="0.25">
      <c r="B30" s="182">
        <v>1</v>
      </c>
      <c r="C30" s="228"/>
      <c r="D30" s="117"/>
      <c r="E30" s="118"/>
      <c r="F30" s="126"/>
      <c r="G30" s="127"/>
      <c r="H30" s="119"/>
      <c r="I30" s="119"/>
      <c r="J30" s="115"/>
      <c r="K30" s="80"/>
      <c r="L30" s="120"/>
      <c r="M30" s="8"/>
      <c r="N30" s="115"/>
      <c r="O30" s="78"/>
      <c r="P30" s="121"/>
      <c r="Q30" s="115"/>
      <c r="R30" s="122"/>
      <c r="S30" s="122"/>
      <c r="T30" s="122"/>
      <c r="U30" s="122"/>
      <c r="V30" s="122"/>
      <c r="W30" s="122"/>
      <c r="X30" s="128"/>
      <c r="Y30" s="128"/>
      <c r="Z30" s="128"/>
      <c r="AA30" s="122"/>
      <c r="AB30" s="122"/>
      <c r="AC30" s="122"/>
      <c r="AD30" s="122"/>
      <c r="AE30" s="118"/>
      <c r="AF30" s="77"/>
      <c r="AG30" s="76"/>
    </row>
    <row r="31" spans="2:33" x14ac:dyDescent="0.25">
      <c r="B31" s="182">
        <v>1</v>
      </c>
      <c r="C31" s="228"/>
      <c r="D31" s="117"/>
      <c r="E31" s="118"/>
      <c r="F31" s="126"/>
      <c r="G31" s="127"/>
      <c r="H31" s="119"/>
      <c r="I31" s="119"/>
      <c r="J31" s="115"/>
      <c r="K31" s="80"/>
      <c r="L31" s="120"/>
      <c r="M31" s="8"/>
      <c r="N31" s="115"/>
      <c r="O31" s="78"/>
      <c r="P31" s="121"/>
      <c r="Q31" s="115"/>
      <c r="R31" s="122"/>
      <c r="S31" s="122"/>
      <c r="T31" s="122"/>
      <c r="U31" s="122"/>
      <c r="V31" s="122"/>
      <c r="W31" s="122"/>
      <c r="X31" s="128"/>
      <c r="Y31" s="128"/>
      <c r="Z31" s="128"/>
      <c r="AA31" s="122"/>
      <c r="AB31" s="122"/>
      <c r="AC31" s="122"/>
      <c r="AD31" s="122"/>
      <c r="AE31" s="118"/>
      <c r="AF31" s="77"/>
      <c r="AG31" s="76"/>
    </row>
    <row r="32" spans="2:33" x14ac:dyDescent="0.25">
      <c r="B32" s="182">
        <v>1</v>
      </c>
      <c r="C32" s="228"/>
      <c r="D32" s="117"/>
      <c r="E32" s="118"/>
      <c r="F32" s="126"/>
      <c r="G32" s="127"/>
      <c r="H32" s="119"/>
      <c r="I32" s="119"/>
      <c r="J32" s="115"/>
      <c r="K32" s="80"/>
      <c r="L32" s="120"/>
      <c r="M32" s="8"/>
      <c r="N32" s="115"/>
      <c r="O32" s="78"/>
      <c r="P32" s="121"/>
      <c r="Q32" s="115"/>
      <c r="R32" s="122"/>
      <c r="S32" s="122"/>
      <c r="T32" s="122"/>
      <c r="U32" s="122"/>
      <c r="V32" s="122"/>
      <c r="W32" s="122"/>
      <c r="X32" s="128"/>
      <c r="Y32" s="128"/>
      <c r="Z32" s="128"/>
      <c r="AA32" s="122"/>
      <c r="AB32" s="122"/>
      <c r="AC32" s="122"/>
      <c r="AD32" s="122"/>
      <c r="AE32" s="118"/>
      <c r="AF32" s="77"/>
      <c r="AG32" s="76"/>
    </row>
    <row r="33" spans="2:33" x14ac:dyDescent="0.25">
      <c r="B33" s="182">
        <v>1</v>
      </c>
      <c r="C33" s="228"/>
      <c r="D33" s="117"/>
      <c r="E33" s="118"/>
      <c r="F33" s="126"/>
      <c r="G33" s="127"/>
      <c r="H33" s="119"/>
      <c r="I33" s="119"/>
      <c r="J33" s="115"/>
      <c r="K33" s="80"/>
      <c r="L33" s="120"/>
      <c r="M33" s="8"/>
      <c r="N33" s="115"/>
      <c r="O33" s="78"/>
      <c r="P33" s="121"/>
      <c r="Q33" s="115"/>
      <c r="R33" s="122"/>
      <c r="S33" s="122"/>
      <c r="T33" s="122"/>
      <c r="U33" s="122"/>
      <c r="V33" s="122"/>
      <c r="W33" s="122"/>
      <c r="X33" s="128"/>
      <c r="Y33" s="128"/>
      <c r="Z33" s="128"/>
      <c r="AA33" s="122"/>
      <c r="AB33" s="122"/>
      <c r="AC33" s="122"/>
      <c r="AD33" s="122"/>
      <c r="AE33" s="118"/>
      <c r="AF33" s="77"/>
      <c r="AG33" s="76"/>
    </row>
    <row r="34" spans="2:33" x14ac:dyDescent="0.25">
      <c r="B34" s="182">
        <v>1</v>
      </c>
      <c r="C34" s="228"/>
      <c r="D34" s="117"/>
      <c r="E34" s="118"/>
      <c r="F34" s="126"/>
      <c r="G34" s="127"/>
      <c r="H34" s="119"/>
      <c r="I34" s="119"/>
      <c r="J34" s="115"/>
      <c r="K34" s="80"/>
      <c r="L34" s="120"/>
      <c r="M34" s="8"/>
      <c r="N34" s="115"/>
      <c r="O34" s="78"/>
      <c r="P34" s="121"/>
      <c r="Q34" s="115"/>
      <c r="R34" s="122"/>
      <c r="S34" s="122"/>
      <c r="T34" s="122"/>
      <c r="U34" s="122"/>
      <c r="V34" s="122"/>
      <c r="W34" s="122"/>
      <c r="X34" s="128"/>
      <c r="Y34" s="128"/>
      <c r="Z34" s="128"/>
      <c r="AA34" s="122"/>
      <c r="AB34" s="122"/>
      <c r="AC34" s="122"/>
      <c r="AD34" s="122"/>
      <c r="AE34" s="118"/>
      <c r="AF34" s="77"/>
      <c r="AG34" s="76"/>
    </row>
    <row r="35" spans="2:33" x14ac:dyDescent="0.25">
      <c r="B35" s="182">
        <v>1</v>
      </c>
      <c r="C35" s="228"/>
      <c r="D35" s="117"/>
      <c r="E35" s="118"/>
      <c r="F35" s="126"/>
      <c r="G35" s="127"/>
      <c r="H35" s="119"/>
      <c r="I35" s="119"/>
      <c r="J35" s="115"/>
      <c r="K35" s="80"/>
      <c r="L35" s="120"/>
      <c r="M35" s="8"/>
      <c r="N35" s="115"/>
      <c r="O35" s="78"/>
      <c r="P35" s="121"/>
      <c r="Q35" s="115"/>
      <c r="R35" s="122"/>
      <c r="S35" s="122"/>
      <c r="T35" s="122"/>
      <c r="U35" s="122"/>
      <c r="V35" s="122"/>
      <c r="W35" s="122"/>
      <c r="X35" s="128"/>
      <c r="Y35" s="128"/>
      <c r="Z35" s="128"/>
      <c r="AA35" s="122"/>
      <c r="AB35" s="122"/>
      <c r="AC35" s="122"/>
      <c r="AD35" s="122"/>
      <c r="AE35" s="118"/>
      <c r="AF35" s="77"/>
      <c r="AG35" s="76"/>
    </row>
    <row r="36" spans="2:33" x14ac:dyDescent="0.25">
      <c r="B36" s="182">
        <v>1</v>
      </c>
      <c r="C36" s="228"/>
      <c r="D36" s="117"/>
      <c r="E36" s="118"/>
      <c r="F36" s="126"/>
      <c r="G36" s="127"/>
      <c r="H36" s="119"/>
      <c r="I36" s="119"/>
      <c r="J36" s="115"/>
      <c r="K36" s="80"/>
      <c r="L36" s="120"/>
      <c r="M36" s="8"/>
      <c r="N36" s="115"/>
      <c r="O36" s="78"/>
      <c r="P36" s="121"/>
      <c r="Q36" s="115"/>
      <c r="R36" s="122"/>
      <c r="S36" s="122"/>
      <c r="T36" s="122"/>
      <c r="U36" s="122"/>
      <c r="V36" s="122"/>
      <c r="W36" s="122"/>
      <c r="X36" s="128"/>
      <c r="Y36" s="128"/>
      <c r="Z36" s="128"/>
      <c r="AA36" s="122"/>
      <c r="AB36" s="122"/>
      <c r="AC36" s="122"/>
      <c r="AD36" s="122"/>
      <c r="AE36" s="118"/>
      <c r="AF36" s="77"/>
      <c r="AG36" s="76"/>
    </row>
    <row r="37" spans="2:33" x14ac:dyDescent="0.25">
      <c r="B37" s="182">
        <v>1</v>
      </c>
      <c r="C37" s="228"/>
      <c r="D37" s="117"/>
      <c r="E37" s="118"/>
      <c r="F37" s="126"/>
      <c r="G37" s="127"/>
      <c r="H37" s="119"/>
      <c r="I37" s="119"/>
      <c r="J37" s="115"/>
      <c r="K37" s="80"/>
      <c r="L37" s="120"/>
      <c r="M37" s="8"/>
      <c r="N37" s="115"/>
      <c r="O37" s="78"/>
      <c r="P37" s="121"/>
      <c r="Q37" s="115"/>
      <c r="R37" s="122"/>
      <c r="S37" s="122"/>
      <c r="T37" s="122"/>
      <c r="U37" s="122"/>
      <c r="V37" s="122"/>
      <c r="W37" s="122"/>
      <c r="X37" s="128"/>
      <c r="Y37" s="128"/>
      <c r="Z37" s="128"/>
      <c r="AA37" s="122"/>
      <c r="AB37" s="122"/>
      <c r="AC37" s="122"/>
      <c r="AD37" s="122"/>
      <c r="AE37" s="118"/>
      <c r="AF37" s="77"/>
      <c r="AG37" s="76"/>
    </row>
    <row r="38" spans="2:33" x14ac:dyDescent="0.25">
      <c r="B38" s="182">
        <v>1</v>
      </c>
      <c r="C38" s="228"/>
      <c r="D38" s="117"/>
      <c r="E38" s="118"/>
      <c r="F38" s="126"/>
      <c r="G38" s="127"/>
      <c r="H38" s="119"/>
      <c r="I38" s="119"/>
      <c r="J38" s="115"/>
      <c r="K38" s="80"/>
      <c r="L38" s="120"/>
      <c r="M38" s="8"/>
      <c r="N38" s="115"/>
      <c r="O38" s="78"/>
      <c r="P38" s="121"/>
      <c r="Q38" s="115"/>
      <c r="R38" s="122"/>
      <c r="S38" s="122"/>
      <c r="T38" s="122"/>
      <c r="U38" s="122"/>
      <c r="V38" s="122"/>
      <c r="W38" s="122"/>
      <c r="X38" s="128"/>
      <c r="Y38" s="128"/>
      <c r="Z38" s="128"/>
      <c r="AA38" s="122"/>
      <c r="AB38" s="122"/>
      <c r="AC38" s="122"/>
      <c r="AD38" s="122"/>
      <c r="AE38" s="118"/>
      <c r="AF38" s="77"/>
      <c r="AG38" s="76"/>
    </row>
    <row r="39" spans="2:33" x14ac:dyDescent="0.25">
      <c r="B39" s="182">
        <v>1</v>
      </c>
      <c r="C39" s="228"/>
      <c r="D39" s="117"/>
      <c r="E39" s="118"/>
      <c r="F39" s="126"/>
      <c r="G39" s="127"/>
      <c r="H39" s="119"/>
      <c r="I39" s="119"/>
      <c r="J39" s="115"/>
      <c r="K39" s="80"/>
      <c r="L39" s="120"/>
      <c r="M39" s="8"/>
      <c r="N39" s="115"/>
      <c r="O39" s="78"/>
      <c r="P39" s="121"/>
      <c r="Q39" s="115"/>
      <c r="R39" s="122"/>
      <c r="S39" s="122"/>
      <c r="T39" s="122"/>
      <c r="U39" s="122"/>
      <c r="V39" s="122"/>
      <c r="W39" s="122"/>
      <c r="X39" s="128"/>
      <c r="Y39" s="128"/>
      <c r="Z39" s="128"/>
      <c r="AA39" s="122"/>
      <c r="AB39" s="122"/>
      <c r="AC39" s="122"/>
      <c r="AD39" s="122"/>
      <c r="AE39" s="118"/>
      <c r="AF39" s="77"/>
      <c r="AG39" s="76"/>
    </row>
    <row r="40" spans="2:33" x14ac:dyDescent="0.25">
      <c r="B40" s="182">
        <v>1</v>
      </c>
      <c r="C40" s="228"/>
      <c r="D40" s="117"/>
      <c r="E40" s="118"/>
      <c r="F40" s="126"/>
      <c r="G40" s="127"/>
      <c r="H40" s="119"/>
      <c r="I40" s="119"/>
      <c r="J40" s="115"/>
      <c r="K40" s="80"/>
      <c r="L40" s="120"/>
      <c r="M40" s="8"/>
      <c r="N40" s="115"/>
      <c r="O40" s="78"/>
      <c r="P40" s="121"/>
      <c r="Q40" s="115"/>
      <c r="R40" s="122"/>
      <c r="S40" s="122"/>
      <c r="T40" s="122"/>
      <c r="U40" s="122"/>
      <c r="V40" s="122"/>
      <c r="W40" s="122"/>
      <c r="X40" s="128"/>
      <c r="Y40" s="128"/>
      <c r="Z40" s="128"/>
      <c r="AA40" s="122"/>
      <c r="AB40" s="122"/>
      <c r="AC40" s="122"/>
      <c r="AD40" s="122"/>
      <c r="AE40" s="118"/>
      <c r="AF40" s="77"/>
      <c r="AG40" s="76"/>
    </row>
    <row r="41" spans="2:33" x14ac:dyDescent="0.25">
      <c r="B41" s="182">
        <v>1</v>
      </c>
      <c r="C41" s="228"/>
      <c r="D41" s="117"/>
      <c r="E41" s="118"/>
      <c r="F41" s="126"/>
      <c r="G41" s="127"/>
      <c r="H41" s="119"/>
      <c r="I41" s="119"/>
      <c r="J41" s="115"/>
      <c r="K41" s="80"/>
      <c r="L41" s="120"/>
      <c r="M41" s="8"/>
      <c r="N41" s="115"/>
      <c r="O41" s="78"/>
      <c r="P41" s="121"/>
      <c r="Q41" s="115"/>
      <c r="R41" s="122"/>
      <c r="S41" s="122"/>
      <c r="T41" s="122"/>
      <c r="U41" s="122"/>
      <c r="V41" s="122"/>
      <c r="W41" s="122"/>
      <c r="X41" s="128"/>
      <c r="Y41" s="128"/>
      <c r="Z41" s="128"/>
      <c r="AA41" s="122"/>
      <c r="AB41" s="122"/>
      <c r="AC41" s="122"/>
      <c r="AD41" s="122"/>
      <c r="AE41" s="118"/>
      <c r="AF41" s="77"/>
      <c r="AG41" s="76"/>
    </row>
    <row r="42" spans="2:33" x14ac:dyDescent="0.25">
      <c r="B42" s="182">
        <v>1</v>
      </c>
      <c r="C42" s="228"/>
      <c r="D42" s="117"/>
      <c r="E42" s="118"/>
      <c r="F42" s="126"/>
      <c r="G42" s="127"/>
      <c r="H42" s="119"/>
      <c r="I42" s="119"/>
      <c r="J42" s="115"/>
      <c r="K42" s="80"/>
      <c r="L42" s="120"/>
      <c r="M42" s="8"/>
      <c r="N42" s="115"/>
      <c r="O42" s="78"/>
      <c r="P42" s="121"/>
      <c r="Q42" s="115"/>
      <c r="R42" s="122"/>
      <c r="S42" s="122"/>
      <c r="T42" s="122"/>
      <c r="U42" s="122"/>
      <c r="V42" s="122"/>
      <c r="W42" s="122"/>
      <c r="X42" s="128"/>
      <c r="Y42" s="128"/>
      <c r="Z42" s="128"/>
      <c r="AA42" s="122"/>
      <c r="AB42" s="122"/>
      <c r="AC42" s="122"/>
      <c r="AD42" s="122"/>
      <c r="AE42" s="118"/>
      <c r="AF42" s="77"/>
      <c r="AG42" s="76"/>
    </row>
    <row r="43" spans="2:33" x14ac:dyDescent="0.25">
      <c r="B43" s="182"/>
      <c r="C43" s="116"/>
      <c r="D43" s="117"/>
      <c r="E43" s="118"/>
      <c r="F43" s="126"/>
      <c r="G43" s="127"/>
      <c r="H43" s="119"/>
      <c r="I43" s="119"/>
      <c r="J43" s="115"/>
      <c r="K43" s="80"/>
      <c r="L43" s="120"/>
      <c r="M43" s="8"/>
      <c r="N43" s="115"/>
      <c r="O43" s="78"/>
      <c r="P43" s="121"/>
      <c r="Q43" s="115"/>
      <c r="R43" s="122"/>
      <c r="S43" s="122"/>
      <c r="T43" s="122"/>
      <c r="U43" s="122"/>
      <c r="V43" s="122"/>
      <c r="W43" s="122"/>
      <c r="X43" s="128"/>
      <c r="Y43" s="128"/>
      <c r="Z43" s="128"/>
      <c r="AA43" s="122"/>
      <c r="AB43" s="122"/>
      <c r="AC43" s="122"/>
      <c r="AD43" s="122"/>
      <c r="AE43" s="118"/>
      <c r="AF43" s="77"/>
      <c r="AG43" s="76"/>
    </row>
    <row r="44" spans="2:33" x14ac:dyDescent="0.25">
      <c r="B44" s="182"/>
      <c r="C44" s="116"/>
      <c r="D44" s="117"/>
      <c r="E44" s="118"/>
      <c r="F44" s="126"/>
      <c r="G44" s="127"/>
      <c r="H44" s="119"/>
      <c r="I44" s="119"/>
      <c r="J44" s="115"/>
      <c r="K44" s="80"/>
      <c r="L44" s="120"/>
      <c r="M44" s="8"/>
      <c r="N44" s="115"/>
      <c r="O44" s="78"/>
      <c r="P44" s="121"/>
      <c r="Q44" s="115"/>
      <c r="R44" s="122"/>
      <c r="S44" s="122"/>
      <c r="T44" s="122"/>
      <c r="U44" s="122"/>
      <c r="V44" s="122"/>
      <c r="W44" s="122"/>
      <c r="X44" s="128"/>
      <c r="Y44" s="128"/>
      <c r="Z44" s="128"/>
      <c r="AA44" s="122"/>
      <c r="AB44" s="122"/>
      <c r="AC44" s="122"/>
      <c r="AD44" s="122"/>
      <c r="AE44" s="118"/>
      <c r="AF44" s="77"/>
      <c r="AG44" s="76"/>
    </row>
    <row r="45" spans="2:33" x14ac:dyDescent="0.25">
      <c r="B45" s="182"/>
      <c r="C45" s="116"/>
      <c r="D45" s="117"/>
      <c r="E45" s="118"/>
      <c r="F45" s="126"/>
      <c r="G45" s="127"/>
      <c r="H45" s="119"/>
      <c r="I45" s="119"/>
      <c r="J45" s="115"/>
      <c r="K45" s="80"/>
      <c r="L45" s="120"/>
      <c r="M45" s="8"/>
      <c r="N45" s="115"/>
      <c r="O45" s="78"/>
      <c r="P45" s="121"/>
      <c r="Q45" s="115"/>
      <c r="R45" s="122"/>
      <c r="S45" s="122"/>
      <c r="T45" s="122"/>
      <c r="U45" s="122"/>
      <c r="V45" s="122"/>
      <c r="W45" s="122"/>
      <c r="X45" s="128"/>
      <c r="Y45" s="128"/>
      <c r="Z45" s="128"/>
      <c r="AA45" s="122"/>
      <c r="AB45" s="122"/>
      <c r="AC45" s="122"/>
      <c r="AD45" s="122"/>
      <c r="AE45" s="118"/>
      <c r="AF45" s="77"/>
      <c r="AG45" s="76"/>
    </row>
    <row r="46" spans="2:33" x14ac:dyDescent="0.25">
      <c r="B46" s="182"/>
      <c r="C46" s="116"/>
      <c r="D46" s="117"/>
      <c r="E46" s="118"/>
      <c r="F46" s="126"/>
      <c r="G46" s="127"/>
      <c r="H46" s="119"/>
      <c r="I46" s="119"/>
      <c r="J46" s="115"/>
      <c r="K46" s="80"/>
      <c r="L46" s="120"/>
      <c r="M46" s="8"/>
      <c r="N46" s="115"/>
      <c r="O46" s="78"/>
      <c r="P46" s="121"/>
      <c r="Q46" s="115"/>
      <c r="R46" s="122"/>
      <c r="S46" s="122"/>
      <c r="T46" s="122"/>
      <c r="U46" s="122"/>
      <c r="V46" s="122"/>
      <c r="W46" s="122"/>
      <c r="X46" s="128"/>
      <c r="Y46" s="128"/>
      <c r="Z46" s="128"/>
      <c r="AA46" s="122"/>
      <c r="AB46" s="122"/>
      <c r="AC46" s="122"/>
      <c r="AD46" s="122"/>
      <c r="AE46" s="118"/>
      <c r="AF46" s="77"/>
      <c r="AG46" s="76"/>
    </row>
    <row r="47" spans="2:33" x14ac:dyDescent="0.25">
      <c r="B47" s="182"/>
      <c r="C47" s="116"/>
      <c r="D47" s="117"/>
      <c r="E47" s="118"/>
      <c r="F47" s="126"/>
      <c r="G47" s="127"/>
      <c r="H47" s="119"/>
      <c r="I47" s="119"/>
      <c r="J47" s="115"/>
      <c r="K47" s="80"/>
      <c r="L47" s="120"/>
      <c r="M47" s="8"/>
      <c r="N47" s="115"/>
      <c r="O47" s="78"/>
      <c r="P47" s="121"/>
      <c r="Q47" s="115"/>
      <c r="R47" s="122"/>
      <c r="S47" s="122"/>
      <c r="T47" s="122"/>
      <c r="U47" s="122"/>
      <c r="V47" s="122"/>
      <c r="W47" s="122"/>
      <c r="X47" s="128"/>
      <c r="Y47" s="128"/>
      <c r="Z47" s="128"/>
      <c r="AA47" s="122"/>
      <c r="AB47" s="122"/>
      <c r="AC47" s="122"/>
      <c r="AD47" s="122"/>
      <c r="AE47" s="118"/>
      <c r="AF47" s="77"/>
      <c r="AG47" s="76"/>
    </row>
    <row r="48" spans="2:33" x14ac:dyDescent="0.25">
      <c r="B48" s="182"/>
      <c r="C48" s="116"/>
      <c r="D48" s="117"/>
      <c r="E48" s="118"/>
      <c r="F48" s="126"/>
      <c r="G48" s="127"/>
      <c r="H48" s="119"/>
      <c r="I48" s="119"/>
      <c r="J48" s="115"/>
      <c r="K48" s="80"/>
      <c r="L48" s="120"/>
      <c r="M48" s="8"/>
      <c r="N48" s="115"/>
      <c r="O48" s="78"/>
      <c r="P48" s="121"/>
      <c r="Q48" s="115"/>
      <c r="R48" s="122"/>
      <c r="S48" s="122"/>
      <c r="T48" s="122"/>
      <c r="U48" s="122"/>
      <c r="V48" s="122"/>
      <c r="W48" s="122"/>
      <c r="X48" s="128"/>
      <c r="Y48" s="128"/>
      <c r="Z48" s="128"/>
      <c r="AA48" s="122"/>
      <c r="AB48" s="122"/>
      <c r="AC48" s="122"/>
      <c r="AD48" s="122"/>
      <c r="AE48" s="118"/>
      <c r="AF48" s="77"/>
      <c r="AG48" s="76"/>
    </row>
    <row r="49" spans="2:33" x14ac:dyDescent="0.25">
      <c r="B49" s="182"/>
      <c r="C49" s="116"/>
      <c r="D49" s="117"/>
      <c r="E49" s="118"/>
      <c r="F49" s="126"/>
      <c r="G49" s="127"/>
      <c r="H49" s="119"/>
      <c r="I49" s="119"/>
      <c r="J49" s="115"/>
      <c r="K49" s="80"/>
      <c r="L49" s="120"/>
      <c r="M49" s="8"/>
      <c r="N49" s="115"/>
      <c r="O49" s="78"/>
      <c r="P49" s="121"/>
      <c r="Q49" s="115"/>
      <c r="R49" s="122"/>
      <c r="S49" s="122"/>
      <c r="T49" s="122"/>
      <c r="U49" s="122"/>
      <c r="V49" s="122"/>
      <c r="W49" s="122"/>
      <c r="X49" s="128"/>
      <c r="Y49" s="128"/>
      <c r="Z49" s="128"/>
      <c r="AA49" s="122"/>
      <c r="AB49" s="122"/>
      <c r="AC49" s="122"/>
      <c r="AD49" s="122"/>
      <c r="AE49" s="118"/>
      <c r="AF49" s="77"/>
      <c r="AG49" s="76"/>
    </row>
    <row r="50" spans="2:33" x14ac:dyDescent="0.25">
      <c r="B50" s="182"/>
      <c r="C50" s="116"/>
      <c r="D50" s="117"/>
      <c r="E50" s="118"/>
      <c r="F50" s="126"/>
      <c r="G50" s="127"/>
      <c r="H50" s="119"/>
      <c r="I50" s="119"/>
      <c r="J50" s="115"/>
      <c r="K50" s="80"/>
      <c r="L50" s="120"/>
      <c r="M50" s="8"/>
      <c r="N50" s="115"/>
      <c r="O50" s="78"/>
      <c r="P50" s="121"/>
      <c r="Q50" s="115"/>
      <c r="R50" s="122"/>
      <c r="S50" s="122"/>
      <c r="T50" s="122"/>
      <c r="U50" s="122"/>
      <c r="V50" s="122"/>
      <c r="W50" s="122"/>
      <c r="X50" s="128"/>
      <c r="Y50" s="128"/>
      <c r="Z50" s="128"/>
      <c r="AA50" s="122"/>
      <c r="AB50" s="122"/>
      <c r="AC50" s="122"/>
      <c r="AD50" s="122"/>
      <c r="AE50" s="118"/>
      <c r="AF50" s="77"/>
      <c r="AG50" s="76"/>
    </row>
    <row r="51" spans="2:33" x14ac:dyDescent="0.25">
      <c r="B51" s="182"/>
      <c r="C51" s="116"/>
      <c r="D51" s="117"/>
      <c r="E51" s="118"/>
      <c r="F51" s="126"/>
      <c r="G51" s="127"/>
      <c r="H51" s="119"/>
      <c r="I51" s="119"/>
      <c r="J51" s="115"/>
      <c r="K51" s="80"/>
      <c r="L51" s="120"/>
      <c r="M51" s="8"/>
      <c r="N51" s="115"/>
      <c r="O51" s="78"/>
      <c r="P51" s="121"/>
      <c r="Q51" s="115"/>
      <c r="R51" s="122"/>
      <c r="S51" s="122"/>
      <c r="T51" s="122"/>
      <c r="U51" s="122"/>
      <c r="V51" s="122"/>
      <c r="W51" s="122"/>
      <c r="X51" s="128"/>
      <c r="Y51" s="128"/>
      <c r="Z51" s="128"/>
      <c r="AA51" s="122"/>
      <c r="AB51" s="122"/>
      <c r="AC51" s="122"/>
      <c r="AD51" s="122"/>
      <c r="AE51" s="118"/>
      <c r="AF51" s="77"/>
      <c r="AG51" s="76"/>
    </row>
    <row r="52" spans="2:33" x14ac:dyDescent="0.25">
      <c r="B52" s="182"/>
      <c r="C52" s="116"/>
      <c r="D52" s="117"/>
      <c r="E52" s="118"/>
      <c r="F52" s="126"/>
      <c r="G52" s="127"/>
      <c r="H52" s="119"/>
      <c r="I52" s="119"/>
      <c r="J52" s="115"/>
      <c r="K52" s="80"/>
      <c r="L52" s="120"/>
      <c r="M52" s="8"/>
      <c r="N52" s="115"/>
      <c r="O52" s="78"/>
      <c r="P52" s="121"/>
      <c r="Q52" s="115"/>
      <c r="R52" s="122"/>
      <c r="S52" s="122"/>
      <c r="T52" s="122"/>
      <c r="U52" s="122"/>
      <c r="V52" s="122"/>
      <c r="W52" s="122"/>
      <c r="X52" s="128"/>
      <c r="Y52" s="128"/>
      <c r="Z52" s="128"/>
      <c r="AA52" s="122"/>
      <c r="AB52" s="122"/>
      <c r="AC52" s="122"/>
      <c r="AD52" s="122"/>
      <c r="AE52" s="118"/>
      <c r="AF52" s="77"/>
      <c r="AG52" s="76"/>
    </row>
    <row r="53" spans="2:33" x14ac:dyDescent="0.25">
      <c r="B53" s="182"/>
      <c r="C53" s="116"/>
      <c r="D53" s="117"/>
      <c r="E53" s="118"/>
      <c r="F53" s="126"/>
      <c r="G53" s="127"/>
      <c r="H53" s="119"/>
      <c r="I53" s="119"/>
      <c r="J53" s="115"/>
      <c r="K53" s="80"/>
      <c r="L53" s="120"/>
      <c r="M53" s="8"/>
      <c r="N53" s="115"/>
      <c r="O53" s="78"/>
      <c r="P53" s="121"/>
      <c r="Q53" s="115"/>
      <c r="R53" s="122"/>
      <c r="S53" s="122"/>
      <c r="T53" s="122"/>
      <c r="U53" s="122"/>
      <c r="V53" s="122"/>
      <c r="W53" s="122"/>
      <c r="X53" s="128"/>
      <c r="Y53" s="128"/>
      <c r="Z53" s="128"/>
      <c r="AA53" s="122"/>
      <c r="AB53" s="122"/>
      <c r="AC53" s="122"/>
      <c r="AD53" s="122"/>
      <c r="AE53" s="118"/>
      <c r="AF53" s="77"/>
      <c r="AG53" s="76"/>
    </row>
    <row r="54" spans="2:33" x14ac:dyDescent="0.25">
      <c r="B54" s="182"/>
      <c r="C54" s="116"/>
      <c r="D54" s="117"/>
      <c r="E54" s="118"/>
      <c r="F54" s="126"/>
      <c r="G54" s="127"/>
      <c r="H54" s="119"/>
      <c r="I54" s="119"/>
      <c r="J54" s="115"/>
      <c r="K54" s="80"/>
      <c r="L54" s="120"/>
      <c r="M54" s="8"/>
      <c r="N54" s="115"/>
      <c r="O54" s="78"/>
      <c r="P54" s="121"/>
      <c r="Q54" s="115"/>
      <c r="R54" s="122"/>
      <c r="S54" s="122"/>
      <c r="T54" s="122"/>
      <c r="U54" s="122"/>
      <c r="V54" s="122"/>
      <c r="W54" s="122"/>
      <c r="X54" s="128"/>
      <c r="Y54" s="128"/>
      <c r="Z54" s="128"/>
      <c r="AA54" s="122"/>
      <c r="AB54" s="122"/>
      <c r="AC54" s="122"/>
      <c r="AD54" s="122"/>
      <c r="AE54" s="118"/>
      <c r="AF54" s="77"/>
      <c r="AG54" s="76"/>
    </row>
    <row r="55" spans="2:33" x14ac:dyDescent="0.25">
      <c r="B55" s="182"/>
      <c r="C55" s="116"/>
      <c r="D55" s="117"/>
      <c r="E55" s="118"/>
      <c r="F55" s="126"/>
      <c r="G55" s="127"/>
      <c r="H55" s="119"/>
      <c r="I55" s="119"/>
      <c r="J55" s="115"/>
      <c r="K55" s="80"/>
      <c r="L55" s="120"/>
      <c r="M55" s="8"/>
      <c r="N55" s="115"/>
      <c r="O55" s="78"/>
      <c r="P55" s="121"/>
      <c r="Q55" s="115"/>
      <c r="R55" s="122"/>
      <c r="S55" s="122"/>
      <c r="T55" s="122"/>
      <c r="U55" s="122"/>
      <c r="V55" s="122"/>
      <c r="W55" s="122"/>
      <c r="X55" s="128"/>
      <c r="Y55" s="128"/>
      <c r="Z55" s="128"/>
      <c r="AA55" s="122"/>
      <c r="AB55" s="122"/>
      <c r="AC55" s="122"/>
      <c r="AD55" s="122"/>
      <c r="AE55" s="118"/>
      <c r="AF55" s="77"/>
      <c r="AG55" s="76"/>
    </row>
    <row r="56" spans="2:33" x14ac:dyDescent="0.25">
      <c r="B56" s="182"/>
      <c r="C56" s="116"/>
      <c r="D56" s="117"/>
      <c r="E56" s="118"/>
      <c r="F56" s="126"/>
      <c r="G56" s="127"/>
      <c r="H56" s="119"/>
      <c r="I56" s="119"/>
      <c r="J56" s="115"/>
      <c r="K56" s="80"/>
      <c r="L56" s="120"/>
      <c r="M56" s="8"/>
      <c r="N56" s="115"/>
      <c r="O56" s="78"/>
      <c r="P56" s="121"/>
      <c r="Q56" s="115"/>
      <c r="R56" s="122"/>
      <c r="S56" s="122"/>
      <c r="T56" s="122"/>
      <c r="U56" s="122"/>
      <c r="V56" s="122"/>
      <c r="W56" s="122"/>
      <c r="X56" s="128"/>
      <c r="Y56" s="128"/>
      <c r="Z56" s="128"/>
      <c r="AA56" s="122"/>
      <c r="AB56" s="122"/>
      <c r="AC56" s="122"/>
      <c r="AD56" s="122"/>
      <c r="AE56" s="118"/>
      <c r="AF56" s="77"/>
      <c r="AG56" s="76"/>
    </row>
    <row r="57" spans="2:33" x14ac:dyDescent="0.25">
      <c r="B57" s="182"/>
      <c r="C57" s="116"/>
      <c r="D57" s="117"/>
      <c r="E57" s="118"/>
      <c r="F57" s="126"/>
      <c r="G57" s="127"/>
      <c r="H57" s="119"/>
      <c r="I57" s="119"/>
      <c r="J57" s="115"/>
      <c r="K57" s="80"/>
      <c r="L57" s="120"/>
      <c r="M57" s="8"/>
      <c r="N57" s="115"/>
      <c r="O57" s="78"/>
      <c r="P57" s="121"/>
      <c r="Q57" s="115"/>
      <c r="R57" s="122"/>
      <c r="S57" s="122"/>
      <c r="T57" s="122"/>
      <c r="U57" s="122"/>
      <c r="V57" s="122"/>
      <c r="W57" s="122"/>
      <c r="X57" s="128"/>
      <c r="Y57" s="128"/>
      <c r="Z57" s="128"/>
      <c r="AA57" s="122"/>
      <c r="AB57" s="122"/>
      <c r="AC57" s="122"/>
      <c r="AD57" s="122"/>
      <c r="AE57" s="118"/>
      <c r="AF57" s="77"/>
      <c r="AG57" s="76"/>
    </row>
    <row r="58" spans="2:33" x14ac:dyDescent="0.25">
      <c r="B58" s="182"/>
      <c r="C58" s="116"/>
      <c r="D58" s="117"/>
      <c r="E58" s="118"/>
      <c r="F58" s="126"/>
      <c r="G58" s="127"/>
      <c r="H58" s="119"/>
      <c r="I58" s="119"/>
      <c r="J58" s="115"/>
      <c r="K58" s="80"/>
      <c r="L58" s="120"/>
      <c r="M58" s="8"/>
      <c r="N58" s="115"/>
      <c r="O58" s="78"/>
      <c r="P58" s="121"/>
      <c r="Q58" s="115"/>
      <c r="R58" s="122"/>
      <c r="S58" s="122"/>
      <c r="T58" s="122"/>
      <c r="U58" s="122"/>
      <c r="V58" s="122"/>
      <c r="W58" s="122"/>
      <c r="X58" s="128"/>
      <c r="Y58" s="128"/>
      <c r="Z58" s="128"/>
      <c r="AA58" s="122"/>
      <c r="AB58" s="122"/>
      <c r="AC58" s="122"/>
      <c r="AD58" s="122"/>
      <c r="AE58" s="118"/>
      <c r="AF58" s="77"/>
      <c r="AG58" s="76"/>
    </row>
    <row r="59" spans="2:33" x14ac:dyDescent="0.25">
      <c r="B59" s="182"/>
      <c r="C59" s="116"/>
      <c r="D59" s="117"/>
      <c r="E59" s="118"/>
      <c r="F59" s="126"/>
      <c r="G59" s="127"/>
      <c r="H59" s="119"/>
      <c r="I59" s="119"/>
      <c r="J59" s="115"/>
      <c r="K59" s="80"/>
      <c r="L59" s="120"/>
      <c r="M59" s="8"/>
      <c r="N59" s="115"/>
      <c r="O59" s="78"/>
      <c r="P59" s="121"/>
      <c r="Q59" s="115"/>
      <c r="R59" s="122"/>
      <c r="S59" s="122"/>
      <c r="T59" s="122"/>
      <c r="U59" s="122"/>
      <c r="V59" s="122"/>
      <c r="W59" s="122"/>
      <c r="X59" s="128"/>
      <c r="Y59" s="128"/>
      <c r="Z59" s="128"/>
      <c r="AA59" s="122"/>
      <c r="AB59" s="122"/>
      <c r="AC59" s="122"/>
      <c r="AD59" s="122"/>
      <c r="AE59" s="118"/>
      <c r="AF59" s="77"/>
      <c r="AG59" s="76"/>
    </row>
    <row r="60" spans="2:33" x14ac:dyDescent="0.25">
      <c r="B60" s="182"/>
      <c r="C60" s="116"/>
      <c r="D60" s="117"/>
      <c r="E60" s="118"/>
      <c r="F60" s="126"/>
      <c r="G60" s="127"/>
      <c r="H60" s="119"/>
      <c r="I60" s="119"/>
      <c r="J60" s="115"/>
      <c r="K60" s="80"/>
      <c r="L60" s="120"/>
      <c r="M60" s="8"/>
      <c r="N60" s="115"/>
      <c r="O60" s="78"/>
      <c r="P60" s="121"/>
      <c r="Q60" s="115"/>
      <c r="R60" s="122"/>
      <c r="S60" s="122"/>
      <c r="T60" s="122"/>
      <c r="U60" s="122"/>
      <c r="V60" s="122"/>
      <c r="W60" s="122"/>
      <c r="X60" s="128"/>
      <c r="Y60" s="128"/>
      <c r="Z60" s="128"/>
      <c r="AA60" s="122"/>
      <c r="AB60" s="122"/>
      <c r="AC60" s="122"/>
      <c r="AD60" s="122"/>
      <c r="AE60" s="118"/>
      <c r="AF60" s="77"/>
      <c r="AG60" s="76"/>
    </row>
    <row r="61" spans="2:33" x14ac:dyDescent="0.25">
      <c r="B61" s="182"/>
      <c r="C61" s="116"/>
      <c r="D61" s="117"/>
      <c r="E61" s="118"/>
      <c r="F61" s="126"/>
      <c r="G61" s="127"/>
      <c r="H61" s="119"/>
      <c r="I61" s="119"/>
      <c r="J61" s="115"/>
      <c r="K61" s="80"/>
      <c r="L61" s="120"/>
      <c r="M61" s="8"/>
      <c r="N61" s="115"/>
      <c r="O61" s="78"/>
      <c r="P61" s="121"/>
      <c r="Q61" s="115"/>
      <c r="R61" s="122"/>
      <c r="S61" s="122"/>
      <c r="T61" s="122"/>
      <c r="U61" s="122"/>
      <c r="V61" s="122"/>
      <c r="W61" s="122"/>
      <c r="X61" s="128"/>
      <c r="Y61" s="128"/>
      <c r="Z61" s="128"/>
      <c r="AA61" s="122"/>
      <c r="AB61" s="122"/>
      <c r="AC61" s="122"/>
      <c r="AD61" s="122"/>
      <c r="AE61" s="118"/>
      <c r="AF61" s="77"/>
      <c r="AG61" s="76"/>
    </row>
    <row r="62" spans="2:33" x14ac:dyDescent="0.25">
      <c r="B62" s="182"/>
      <c r="C62" s="116"/>
      <c r="D62" s="117"/>
      <c r="E62" s="118"/>
      <c r="F62" s="126"/>
      <c r="G62" s="127"/>
      <c r="H62" s="119"/>
      <c r="I62" s="119"/>
      <c r="J62" s="115"/>
      <c r="K62" s="80"/>
      <c r="L62" s="120"/>
      <c r="M62" s="8"/>
      <c r="N62" s="115"/>
      <c r="O62" s="78"/>
      <c r="P62" s="121"/>
      <c r="Q62" s="115"/>
      <c r="R62" s="122"/>
      <c r="S62" s="122"/>
      <c r="T62" s="122"/>
      <c r="U62" s="122"/>
      <c r="V62" s="122"/>
      <c r="W62" s="122"/>
      <c r="X62" s="128"/>
      <c r="Y62" s="128"/>
      <c r="Z62" s="128"/>
      <c r="AA62" s="122"/>
      <c r="AB62" s="122"/>
      <c r="AC62" s="122"/>
      <c r="AD62" s="122"/>
      <c r="AE62" s="118"/>
      <c r="AF62" s="77"/>
      <c r="AG62" s="76"/>
    </row>
    <row r="63" spans="2:33" x14ac:dyDescent="0.25">
      <c r="B63" s="182"/>
      <c r="C63" s="116"/>
      <c r="D63" s="117"/>
      <c r="E63" s="118"/>
      <c r="F63" s="126"/>
      <c r="G63" s="127"/>
      <c r="H63" s="119"/>
      <c r="I63" s="119"/>
      <c r="J63" s="115"/>
      <c r="K63" s="80"/>
      <c r="L63" s="120"/>
      <c r="M63" s="8"/>
      <c r="N63" s="115"/>
      <c r="O63" s="78"/>
      <c r="P63" s="121"/>
      <c r="Q63" s="115"/>
      <c r="R63" s="122"/>
      <c r="S63" s="122"/>
      <c r="T63" s="122"/>
      <c r="U63" s="122"/>
      <c r="V63" s="122"/>
      <c r="W63" s="122"/>
      <c r="X63" s="128"/>
      <c r="Y63" s="128"/>
      <c r="Z63" s="128"/>
      <c r="AA63" s="122"/>
      <c r="AB63" s="122"/>
      <c r="AC63" s="122"/>
      <c r="AD63" s="122"/>
      <c r="AE63" s="118"/>
      <c r="AF63" s="77"/>
      <c r="AG63" s="76"/>
    </row>
    <row r="64" spans="2:33" x14ac:dyDescent="0.25">
      <c r="B64" s="182"/>
      <c r="C64" s="116"/>
      <c r="D64" s="117"/>
      <c r="E64" s="118"/>
      <c r="F64" s="126"/>
      <c r="G64" s="127"/>
      <c r="H64" s="119"/>
      <c r="I64" s="119"/>
      <c r="J64" s="115"/>
      <c r="K64" s="80"/>
      <c r="L64" s="120"/>
      <c r="M64" s="8"/>
      <c r="N64" s="115"/>
      <c r="O64" s="78"/>
      <c r="P64" s="121"/>
      <c r="Q64" s="115"/>
      <c r="R64" s="122"/>
      <c r="S64" s="122"/>
      <c r="T64" s="122"/>
      <c r="U64" s="122"/>
      <c r="V64" s="122"/>
      <c r="W64" s="122"/>
      <c r="X64" s="128"/>
      <c r="Y64" s="128"/>
      <c r="Z64" s="128"/>
      <c r="AA64" s="122"/>
      <c r="AB64" s="122"/>
      <c r="AC64" s="122"/>
      <c r="AD64" s="122"/>
      <c r="AE64" s="118"/>
      <c r="AF64" s="77"/>
      <c r="AG64" s="76"/>
    </row>
    <row r="65" spans="2:33" x14ac:dyDescent="0.25">
      <c r="B65" s="182"/>
      <c r="C65" s="116"/>
      <c r="D65" s="117"/>
      <c r="E65" s="118"/>
      <c r="F65" s="126"/>
      <c r="G65" s="127"/>
      <c r="H65" s="119"/>
      <c r="I65" s="119"/>
      <c r="J65" s="115"/>
      <c r="K65" s="80"/>
      <c r="L65" s="120"/>
      <c r="M65" s="8"/>
      <c r="N65" s="115"/>
      <c r="O65" s="78"/>
      <c r="P65" s="121"/>
      <c r="Q65" s="115"/>
      <c r="R65" s="122"/>
      <c r="S65" s="122"/>
      <c r="T65" s="122"/>
      <c r="U65" s="122"/>
      <c r="V65" s="122"/>
      <c r="W65" s="122"/>
      <c r="X65" s="128"/>
      <c r="Y65" s="128"/>
      <c r="Z65" s="128"/>
      <c r="AA65" s="122"/>
      <c r="AB65" s="122"/>
      <c r="AC65" s="122"/>
      <c r="AD65" s="122"/>
      <c r="AE65" s="118"/>
      <c r="AF65" s="77"/>
      <c r="AG65" s="76"/>
    </row>
    <row r="66" spans="2:33" x14ac:dyDescent="0.25">
      <c r="B66" s="182"/>
      <c r="C66" s="116"/>
      <c r="D66" s="117"/>
      <c r="E66" s="118"/>
      <c r="F66" s="126"/>
      <c r="G66" s="127"/>
      <c r="H66" s="119"/>
      <c r="I66" s="119"/>
      <c r="J66" s="115"/>
      <c r="K66" s="80"/>
      <c r="L66" s="120"/>
      <c r="M66" s="8"/>
      <c r="N66" s="115"/>
      <c r="O66" s="78"/>
      <c r="P66" s="121"/>
      <c r="Q66" s="115"/>
      <c r="R66" s="122"/>
      <c r="S66" s="122"/>
      <c r="T66" s="122"/>
      <c r="U66" s="122"/>
      <c r="V66" s="122"/>
      <c r="W66" s="122"/>
      <c r="X66" s="128"/>
      <c r="Y66" s="128"/>
      <c r="Z66" s="128"/>
      <c r="AA66" s="122"/>
      <c r="AB66" s="122"/>
      <c r="AC66" s="122"/>
      <c r="AD66" s="122"/>
      <c r="AE66" s="118"/>
      <c r="AF66" s="77"/>
      <c r="AG66" s="76"/>
    </row>
    <row r="67" spans="2:33" x14ac:dyDescent="0.25">
      <c r="B67" s="182"/>
      <c r="C67" s="116"/>
      <c r="D67" s="117"/>
      <c r="E67" s="118"/>
      <c r="F67" s="126"/>
      <c r="G67" s="127"/>
      <c r="H67" s="119"/>
      <c r="I67" s="119"/>
      <c r="J67" s="115"/>
      <c r="K67" s="80"/>
      <c r="L67" s="120"/>
      <c r="M67" s="8"/>
      <c r="N67" s="115"/>
      <c r="O67" s="78"/>
      <c r="P67" s="121"/>
      <c r="Q67" s="115"/>
      <c r="R67" s="122"/>
      <c r="S67" s="122"/>
      <c r="T67" s="122"/>
      <c r="U67" s="122"/>
      <c r="V67" s="122"/>
      <c r="W67" s="122"/>
      <c r="X67" s="128"/>
      <c r="Y67" s="128"/>
      <c r="Z67" s="128"/>
      <c r="AA67" s="122"/>
      <c r="AB67" s="122"/>
      <c r="AC67" s="122"/>
      <c r="AD67" s="122"/>
      <c r="AE67" s="118"/>
      <c r="AF67" s="77"/>
      <c r="AG67" s="76"/>
    </row>
    <row r="68" spans="2:33" x14ac:dyDescent="0.25">
      <c r="B68" s="182"/>
      <c r="C68" s="116"/>
      <c r="D68" s="117"/>
      <c r="E68" s="118"/>
      <c r="F68" s="126"/>
      <c r="G68" s="127"/>
      <c r="H68" s="119"/>
      <c r="I68" s="119"/>
      <c r="J68" s="115"/>
      <c r="K68" s="80"/>
      <c r="L68" s="120"/>
      <c r="M68" s="8"/>
      <c r="N68" s="115"/>
      <c r="O68" s="78"/>
      <c r="P68" s="121"/>
      <c r="Q68" s="115"/>
      <c r="R68" s="122"/>
      <c r="S68" s="122"/>
      <c r="T68" s="122"/>
      <c r="U68" s="122"/>
      <c r="V68" s="122"/>
      <c r="W68" s="122"/>
      <c r="X68" s="128"/>
      <c r="Y68" s="128"/>
      <c r="Z68" s="128"/>
      <c r="AA68" s="122"/>
      <c r="AB68" s="122"/>
      <c r="AC68" s="122"/>
      <c r="AD68" s="122"/>
      <c r="AE68" s="118"/>
      <c r="AF68" s="77"/>
      <c r="AG68" s="76"/>
    </row>
    <row r="69" spans="2:33" x14ac:dyDescent="0.25">
      <c r="B69" s="182"/>
      <c r="C69" s="116"/>
      <c r="D69" s="117"/>
      <c r="E69" s="118"/>
      <c r="F69" s="126"/>
      <c r="G69" s="127"/>
      <c r="H69" s="119"/>
      <c r="I69" s="119"/>
      <c r="J69" s="115"/>
      <c r="K69" s="80"/>
      <c r="L69" s="120"/>
      <c r="M69" s="8"/>
      <c r="N69" s="115"/>
      <c r="O69" s="78"/>
      <c r="P69" s="121"/>
      <c r="Q69" s="115"/>
      <c r="R69" s="122"/>
      <c r="S69" s="122"/>
      <c r="T69" s="122"/>
      <c r="U69" s="122"/>
      <c r="V69" s="122"/>
      <c r="W69" s="122"/>
      <c r="X69" s="128"/>
      <c r="Y69" s="128"/>
      <c r="Z69" s="128"/>
      <c r="AA69" s="122"/>
      <c r="AB69" s="122"/>
      <c r="AC69" s="122"/>
      <c r="AD69" s="122"/>
      <c r="AE69" s="118"/>
      <c r="AF69" s="77"/>
      <c r="AG69" s="76"/>
    </row>
    <row r="70" spans="2:33" x14ac:dyDescent="0.25">
      <c r="B70" s="182"/>
      <c r="C70" s="116"/>
      <c r="D70" s="117"/>
      <c r="E70" s="118"/>
      <c r="F70" s="126"/>
      <c r="G70" s="127"/>
      <c r="H70" s="119"/>
      <c r="I70" s="119"/>
      <c r="J70" s="115"/>
      <c r="K70" s="80"/>
      <c r="L70" s="120"/>
      <c r="M70" s="8"/>
      <c r="N70" s="115"/>
      <c r="O70" s="78"/>
      <c r="P70" s="121"/>
      <c r="Q70" s="115"/>
      <c r="R70" s="122"/>
      <c r="S70" s="122"/>
      <c r="T70" s="122"/>
      <c r="U70" s="122"/>
      <c r="V70" s="122"/>
      <c r="W70" s="122"/>
      <c r="X70" s="128"/>
      <c r="Y70" s="128"/>
      <c r="Z70" s="128"/>
      <c r="AA70" s="122"/>
      <c r="AB70" s="122"/>
      <c r="AC70" s="122"/>
      <c r="AD70" s="122"/>
      <c r="AE70" s="118"/>
      <c r="AF70" s="77"/>
      <c r="AG70" s="76"/>
    </row>
    <row r="71" spans="2:33" x14ac:dyDescent="0.25">
      <c r="B71" s="182"/>
      <c r="C71" s="116"/>
      <c r="D71" s="117"/>
      <c r="E71" s="118"/>
      <c r="F71" s="126"/>
      <c r="G71" s="127"/>
      <c r="H71" s="119"/>
      <c r="I71" s="119"/>
      <c r="J71" s="115"/>
      <c r="K71" s="80"/>
      <c r="L71" s="120"/>
      <c r="M71" s="8"/>
      <c r="N71" s="115"/>
      <c r="O71" s="78"/>
      <c r="P71" s="121"/>
      <c r="Q71" s="115"/>
      <c r="R71" s="122"/>
      <c r="S71" s="122"/>
      <c r="T71" s="122"/>
      <c r="U71" s="122"/>
      <c r="V71" s="122"/>
      <c r="W71" s="122"/>
      <c r="X71" s="128"/>
      <c r="Y71" s="128"/>
      <c r="Z71" s="128"/>
      <c r="AA71" s="122"/>
      <c r="AB71" s="122"/>
      <c r="AC71" s="122"/>
      <c r="AD71" s="122"/>
      <c r="AE71" s="118"/>
      <c r="AF71" s="77"/>
      <c r="AG71" s="76"/>
    </row>
    <row r="72" spans="2:33" x14ac:dyDescent="0.25">
      <c r="B72" s="182"/>
      <c r="C72" s="116"/>
      <c r="D72" s="117"/>
      <c r="E72" s="118"/>
      <c r="F72" s="126"/>
      <c r="G72" s="127"/>
      <c r="H72" s="119"/>
      <c r="I72" s="119"/>
      <c r="J72" s="115"/>
      <c r="K72" s="80"/>
      <c r="L72" s="120"/>
      <c r="M72" s="8"/>
      <c r="N72" s="115"/>
      <c r="O72" s="78"/>
      <c r="P72" s="121"/>
      <c r="Q72" s="115"/>
      <c r="R72" s="122"/>
      <c r="S72" s="122"/>
      <c r="T72" s="122"/>
      <c r="U72" s="122"/>
      <c r="V72" s="122"/>
      <c r="W72" s="122"/>
      <c r="X72" s="128"/>
      <c r="Y72" s="128"/>
      <c r="Z72" s="128"/>
      <c r="AA72" s="122"/>
      <c r="AB72" s="122"/>
      <c r="AC72" s="122"/>
      <c r="AD72" s="122"/>
      <c r="AE72" s="118"/>
      <c r="AF72" s="77"/>
      <c r="AG72" s="76"/>
    </row>
    <row r="73" spans="2:33" x14ac:dyDescent="0.25">
      <c r="B73" s="182"/>
      <c r="C73" s="116"/>
      <c r="D73" s="117"/>
      <c r="E73" s="118"/>
      <c r="F73" s="126"/>
      <c r="G73" s="127"/>
      <c r="H73" s="119"/>
      <c r="I73" s="119"/>
      <c r="J73" s="115"/>
      <c r="K73" s="80"/>
      <c r="L73" s="120"/>
      <c r="M73" s="8"/>
      <c r="N73" s="115"/>
      <c r="O73" s="78"/>
      <c r="P73" s="121"/>
      <c r="Q73" s="115"/>
      <c r="R73" s="122"/>
      <c r="S73" s="122"/>
      <c r="T73" s="122"/>
      <c r="U73" s="122"/>
      <c r="V73" s="122"/>
      <c r="W73" s="122"/>
      <c r="X73" s="128"/>
      <c r="Y73" s="128"/>
      <c r="Z73" s="128"/>
      <c r="AA73" s="122"/>
      <c r="AB73" s="122"/>
      <c r="AC73" s="122"/>
      <c r="AD73" s="122"/>
      <c r="AE73" s="118"/>
      <c r="AF73" s="77"/>
      <c r="AG73" s="76"/>
    </row>
    <row r="74" spans="2:33" x14ac:dyDescent="0.25">
      <c r="B74" s="182"/>
      <c r="C74" s="116"/>
      <c r="D74" s="117"/>
      <c r="E74" s="118"/>
      <c r="F74" s="126"/>
      <c r="G74" s="127"/>
      <c r="H74" s="119"/>
      <c r="I74" s="119"/>
      <c r="J74" s="115"/>
      <c r="K74" s="80"/>
      <c r="L74" s="120"/>
      <c r="M74" s="8"/>
      <c r="N74" s="115"/>
      <c r="O74" s="78"/>
      <c r="P74" s="121"/>
      <c r="Q74" s="115"/>
      <c r="R74" s="122"/>
      <c r="S74" s="122"/>
      <c r="T74" s="122"/>
      <c r="U74" s="122"/>
      <c r="V74" s="122"/>
      <c r="W74" s="122"/>
      <c r="X74" s="128"/>
      <c r="Y74" s="128"/>
      <c r="Z74" s="128"/>
      <c r="AA74" s="122"/>
      <c r="AB74" s="122"/>
      <c r="AC74" s="122"/>
      <c r="AD74" s="122"/>
      <c r="AE74" s="118"/>
      <c r="AF74" s="77"/>
      <c r="AG74" s="76"/>
    </row>
    <row r="75" spans="2:33" x14ac:dyDescent="0.25">
      <c r="B75" s="182"/>
      <c r="C75" s="116"/>
      <c r="D75" s="117"/>
      <c r="E75" s="118"/>
      <c r="F75" s="126"/>
      <c r="G75" s="127"/>
      <c r="H75" s="119"/>
      <c r="I75" s="119"/>
      <c r="J75" s="115"/>
      <c r="K75" s="80"/>
      <c r="L75" s="120"/>
      <c r="M75" s="8"/>
      <c r="N75" s="115"/>
      <c r="O75" s="78"/>
      <c r="P75" s="121"/>
      <c r="Q75" s="115"/>
      <c r="R75" s="122"/>
      <c r="S75" s="122"/>
      <c r="T75" s="122"/>
      <c r="U75" s="122"/>
      <c r="V75" s="122"/>
      <c r="W75" s="122"/>
      <c r="X75" s="128"/>
      <c r="Y75" s="128"/>
      <c r="Z75" s="128"/>
      <c r="AA75" s="122"/>
      <c r="AB75" s="122"/>
      <c r="AC75" s="122"/>
      <c r="AD75" s="122"/>
      <c r="AE75" s="118"/>
      <c r="AF75" s="77"/>
      <c r="AG75" s="76"/>
    </row>
    <row r="76" spans="2:33" x14ac:dyDescent="0.25">
      <c r="B76" s="182"/>
      <c r="C76" s="116"/>
      <c r="D76" s="117"/>
      <c r="E76" s="118"/>
      <c r="F76" s="126"/>
      <c r="G76" s="127"/>
      <c r="H76" s="119"/>
      <c r="I76" s="119"/>
      <c r="J76" s="115"/>
      <c r="K76" s="80"/>
      <c r="L76" s="120"/>
      <c r="M76" s="8"/>
      <c r="N76" s="115"/>
      <c r="O76" s="78"/>
      <c r="P76" s="121"/>
      <c r="Q76" s="115"/>
      <c r="R76" s="122"/>
      <c r="S76" s="122"/>
      <c r="T76" s="122"/>
      <c r="U76" s="122"/>
      <c r="V76" s="122"/>
      <c r="W76" s="122"/>
      <c r="X76" s="128"/>
      <c r="Y76" s="128"/>
      <c r="Z76" s="128"/>
      <c r="AA76" s="122"/>
      <c r="AB76" s="122"/>
      <c r="AC76" s="122"/>
      <c r="AD76" s="122"/>
      <c r="AE76" s="118"/>
      <c r="AF76" s="77"/>
      <c r="AG76" s="76"/>
    </row>
    <row r="77" spans="2:33" x14ac:dyDescent="0.25">
      <c r="B77" s="182"/>
      <c r="C77" s="116"/>
      <c r="D77" s="117"/>
      <c r="E77" s="118"/>
      <c r="F77" s="126"/>
      <c r="G77" s="127"/>
      <c r="H77" s="119"/>
      <c r="I77" s="119"/>
      <c r="J77" s="115"/>
      <c r="K77" s="80"/>
      <c r="L77" s="120"/>
      <c r="M77" s="8"/>
      <c r="N77" s="115"/>
      <c r="O77" s="78"/>
      <c r="P77" s="121"/>
      <c r="Q77" s="115"/>
      <c r="R77" s="122"/>
      <c r="S77" s="122"/>
      <c r="T77" s="122"/>
      <c r="U77" s="122"/>
      <c r="V77" s="122"/>
      <c r="W77" s="122"/>
      <c r="X77" s="128"/>
      <c r="Y77" s="128"/>
      <c r="Z77" s="128"/>
      <c r="AA77" s="122"/>
      <c r="AB77" s="122"/>
      <c r="AC77" s="122"/>
      <c r="AD77" s="122"/>
      <c r="AE77" s="118"/>
      <c r="AF77" s="77"/>
      <c r="AG77" s="76"/>
    </row>
    <row r="78" spans="2:33" x14ac:dyDescent="0.25">
      <c r="B78" s="182"/>
      <c r="C78" s="116"/>
      <c r="D78" s="117"/>
      <c r="E78" s="118"/>
      <c r="F78" s="126"/>
      <c r="G78" s="127"/>
      <c r="H78" s="119"/>
      <c r="I78" s="119"/>
      <c r="J78" s="115"/>
      <c r="K78" s="80"/>
      <c r="L78" s="120"/>
      <c r="M78" s="8"/>
      <c r="N78" s="115"/>
      <c r="O78" s="78"/>
      <c r="P78" s="121"/>
      <c r="Q78" s="115"/>
      <c r="R78" s="122"/>
      <c r="S78" s="122"/>
      <c r="T78" s="122"/>
      <c r="U78" s="122"/>
      <c r="V78" s="122"/>
      <c r="W78" s="122"/>
      <c r="X78" s="128"/>
      <c r="Y78" s="128"/>
      <c r="Z78" s="128"/>
      <c r="AA78" s="122"/>
      <c r="AB78" s="122"/>
      <c r="AC78" s="122"/>
      <c r="AD78" s="122"/>
      <c r="AE78" s="118"/>
      <c r="AF78" s="77"/>
      <c r="AG78" s="76"/>
    </row>
    <row r="79" spans="2:33" x14ac:dyDescent="0.25">
      <c r="B79" s="182"/>
      <c r="C79" s="116"/>
      <c r="D79" s="117"/>
      <c r="E79" s="118"/>
      <c r="F79" s="126"/>
      <c r="G79" s="127"/>
      <c r="H79" s="119"/>
      <c r="I79" s="119"/>
      <c r="J79" s="115"/>
      <c r="K79" s="80"/>
      <c r="L79" s="120"/>
      <c r="M79" s="8"/>
      <c r="N79" s="115"/>
      <c r="O79" s="78"/>
      <c r="P79" s="121"/>
      <c r="Q79" s="115"/>
      <c r="R79" s="122"/>
      <c r="S79" s="122"/>
      <c r="T79" s="122"/>
      <c r="U79" s="122"/>
      <c r="V79" s="122"/>
      <c r="W79" s="122"/>
      <c r="X79" s="128"/>
      <c r="Y79" s="128"/>
      <c r="Z79" s="128"/>
      <c r="AA79" s="122"/>
      <c r="AB79" s="122"/>
      <c r="AC79" s="122"/>
      <c r="AD79" s="122"/>
      <c r="AE79" s="118"/>
      <c r="AF79" s="77"/>
      <c r="AG79" s="76"/>
    </row>
    <row r="80" spans="2:33" x14ac:dyDescent="0.25">
      <c r="B80" s="182"/>
      <c r="C80" s="116"/>
      <c r="D80" s="117"/>
      <c r="E80" s="118"/>
      <c r="F80" s="126"/>
      <c r="G80" s="127"/>
      <c r="H80" s="119"/>
      <c r="I80" s="119"/>
      <c r="J80" s="115"/>
      <c r="K80" s="80"/>
      <c r="L80" s="120"/>
      <c r="M80" s="8"/>
      <c r="N80" s="115"/>
      <c r="O80" s="78"/>
      <c r="P80" s="121"/>
      <c r="Q80" s="115"/>
      <c r="R80" s="122"/>
      <c r="S80" s="122"/>
      <c r="T80" s="122"/>
      <c r="U80" s="122"/>
      <c r="V80" s="122"/>
      <c r="W80" s="122"/>
      <c r="X80" s="128"/>
      <c r="Y80" s="128"/>
      <c r="Z80" s="128"/>
      <c r="AA80" s="122"/>
      <c r="AB80" s="122"/>
      <c r="AC80" s="122"/>
      <c r="AD80" s="122"/>
      <c r="AE80" s="118"/>
      <c r="AF80" s="77"/>
      <c r="AG80" s="76"/>
    </row>
    <row r="81" spans="2:33" x14ac:dyDescent="0.25">
      <c r="B81" s="182"/>
      <c r="C81" s="116"/>
      <c r="D81" s="117"/>
      <c r="E81" s="118"/>
      <c r="F81" s="126"/>
      <c r="G81" s="127"/>
      <c r="H81" s="119"/>
      <c r="I81" s="119"/>
      <c r="J81" s="115"/>
      <c r="K81" s="80"/>
      <c r="L81" s="120"/>
      <c r="M81" s="8"/>
      <c r="N81" s="115"/>
      <c r="O81" s="78"/>
      <c r="P81" s="121"/>
      <c r="Q81" s="115"/>
      <c r="R81" s="122"/>
      <c r="S81" s="122"/>
      <c r="T81" s="122"/>
      <c r="U81" s="122"/>
      <c r="V81" s="122"/>
      <c r="W81" s="122"/>
      <c r="X81" s="128"/>
      <c r="Y81" s="128"/>
      <c r="Z81" s="128"/>
      <c r="AA81" s="122"/>
      <c r="AB81" s="122"/>
      <c r="AC81" s="122"/>
      <c r="AD81" s="122"/>
      <c r="AE81" s="118"/>
      <c r="AF81" s="77"/>
      <c r="AG81" s="76"/>
    </row>
    <row r="82" spans="2:33" x14ac:dyDescent="0.25">
      <c r="B82" s="182"/>
      <c r="C82" s="116"/>
      <c r="D82" s="117"/>
      <c r="E82" s="118"/>
      <c r="F82" s="126"/>
      <c r="G82" s="127"/>
      <c r="H82" s="119"/>
      <c r="I82" s="119"/>
      <c r="J82" s="115"/>
      <c r="K82" s="80"/>
      <c r="L82" s="120"/>
      <c r="M82" s="8"/>
      <c r="N82" s="115"/>
      <c r="O82" s="78"/>
      <c r="P82" s="121"/>
      <c r="Q82" s="115"/>
      <c r="R82" s="122"/>
      <c r="S82" s="122"/>
      <c r="T82" s="122"/>
      <c r="U82" s="122"/>
      <c r="V82" s="122"/>
      <c r="W82" s="122"/>
      <c r="X82" s="128"/>
      <c r="Y82" s="128"/>
      <c r="Z82" s="128"/>
      <c r="AA82" s="122"/>
      <c r="AB82" s="122"/>
      <c r="AC82" s="122"/>
      <c r="AD82" s="122"/>
      <c r="AE82" s="118"/>
      <c r="AF82" s="77"/>
      <c r="AG82" s="76"/>
    </row>
    <row r="83" spans="2:33" x14ac:dyDescent="0.25">
      <c r="B83" s="182"/>
      <c r="C83" s="116"/>
      <c r="D83" s="117"/>
      <c r="E83" s="118"/>
      <c r="F83" s="126"/>
      <c r="G83" s="127"/>
      <c r="H83" s="119"/>
      <c r="I83" s="119"/>
      <c r="J83" s="115"/>
      <c r="K83" s="80"/>
      <c r="L83" s="120"/>
      <c r="M83" s="8"/>
      <c r="N83" s="115"/>
      <c r="O83" s="78"/>
      <c r="P83" s="121"/>
      <c r="Q83" s="115"/>
      <c r="R83" s="122"/>
      <c r="S83" s="122"/>
      <c r="T83" s="122"/>
      <c r="U83" s="122"/>
      <c r="V83" s="122"/>
      <c r="W83" s="122"/>
      <c r="X83" s="128"/>
      <c r="Y83" s="128"/>
      <c r="Z83" s="128"/>
      <c r="AA83" s="122"/>
      <c r="AB83" s="122"/>
      <c r="AC83" s="122"/>
      <c r="AD83" s="122"/>
      <c r="AE83" s="118"/>
      <c r="AF83" s="77"/>
      <c r="AG83" s="76"/>
    </row>
    <row r="84" spans="2:33" x14ac:dyDescent="0.25">
      <c r="B84" s="182"/>
      <c r="C84" s="116"/>
      <c r="D84" s="117"/>
      <c r="E84" s="118"/>
      <c r="F84" s="126"/>
      <c r="G84" s="127"/>
      <c r="H84" s="119"/>
      <c r="I84" s="119"/>
      <c r="J84" s="115"/>
      <c r="K84" s="80"/>
      <c r="L84" s="120"/>
      <c r="M84" s="8"/>
      <c r="N84" s="115"/>
      <c r="O84" s="78"/>
      <c r="P84" s="121"/>
      <c r="Q84" s="115"/>
      <c r="R84" s="122"/>
      <c r="S84" s="122"/>
      <c r="T84" s="122"/>
      <c r="U84" s="122"/>
      <c r="V84" s="122"/>
      <c r="W84" s="122"/>
      <c r="X84" s="128"/>
      <c r="Y84" s="128"/>
      <c r="Z84" s="128"/>
      <c r="AA84" s="122"/>
      <c r="AB84" s="122"/>
      <c r="AC84" s="122"/>
      <c r="AD84" s="122"/>
      <c r="AE84" s="118"/>
      <c r="AF84" s="77"/>
      <c r="AG84" s="76"/>
    </row>
    <row r="85" spans="2:33" x14ac:dyDescent="0.25">
      <c r="B85" s="182"/>
      <c r="C85" s="116"/>
      <c r="D85" s="117"/>
      <c r="E85" s="118"/>
      <c r="F85" s="126"/>
      <c r="G85" s="127"/>
      <c r="H85" s="119"/>
      <c r="I85" s="119"/>
      <c r="J85" s="115"/>
      <c r="K85" s="80"/>
      <c r="L85" s="120"/>
      <c r="M85" s="8"/>
      <c r="N85" s="115"/>
      <c r="O85" s="78"/>
      <c r="P85" s="121"/>
      <c r="Q85" s="115"/>
      <c r="R85" s="122"/>
      <c r="S85" s="122"/>
      <c r="T85" s="122"/>
      <c r="U85" s="122"/>
      <c r="V85" s="122"/>
      <c r="W85" s="122"/>
      <c r="X85" s="128"/>
      <c r="Y85" s="128"/>
      <c r="Z85" s="128"/>
      <c r="AA85" s="122"/>
      <c r="AB85" s="122"/>
      <c r="AC85" s="122"/>
      <c r="AD85" s="122"/>
      <c r="AE85" s="118"/>
      <c r="AF85" s="77"/>
      <c r="AG85" s="76"/>
    </row>
    <row r="86" spans="2:33" x14ac:dyDescent="0.25">
      <c r="B86" s="182"/>
      <c r="C86" s="116"/>
      <c r="D86" s="117"/>
      <c r="E86" s="118"/>
      <c r="F86" s="126"/>
      <c r="G86" s="127"/>
      <c r="H86" s="119"/>
      <c r="I86" s="119"/>
      <c r="J86" s="115"/>
      <c r="K86" s="80"/>
      <c r="L86" s="120"/>
      <c r="M86" s="8"/>
      <c r="N86" s="115"/>
      <c r="O86" s="78"/>
      <c r="P86" s="121"/>
      <c r="Q86" s="115"/>
      <c r="R86" s="122"/>
      <c r="S86" s="122"/>
      <c r="T86" s="122"/>
      <c r="U86" s="122"/>
      <c r="V86" s="122"/>
      <c r="W86" s="122"/>
      <c r="X86" s="128"/>
      <c r="Y86" s="128"/>
      <c r="Z86" s="128"/>
      <c r="AA86" s="122"/>
      <c r="AB86" s="122"/>
      <c r="AC86" s="122"/>
      <c r="AD86" s="122"/>
      <c r="AE86" s="118"/>
      <c r="AF86" s="77"/>
      <c r="AG86" s="76"/>
    </row>
    <row r="87" spans="2:33" x14ac:dyDescent="0.25">
      <c r="B87" s="182"/>
      <c r="C87" s="116"/>
      <c r="D87" s="117"/>
      <c r="E87" s="118"/>
      <c r="F87" s="126"/>
      <c r="G87" s="127"/>
      <c r="H87" s="119"/>
      <c r="I87" s="119"/>
      <c r="J87" s="115"/>
      <c r="K87" s="80"/>
      <c r="L87" s="120"/>
      <c r="M87" s="8"/>
      <c r="N87" s="115"/>
      <c r="O87" s="78"/>
      <c r="P87" s="121"/>
      <c r="Q87" s="115"/>
      <c r="R87" s="122"/>
      <c r="S87" s="122"/>
      <c r="T87" s="122"/>
      <c r="U87" s="122"/>
      <c r="V87" s="122"/>
      <c r="W87" s="122"/>
      <c r="X87" s="128"/>
      <c r="Y87" s="128"/>
      <c r="Z87" s="128"/>
      <c r="AA87" s="122"/>
      <c r="AB87" s="122"/>
      <c r="AC87" s="122"/>
      <c r="AD87" s="122"/>
      <c r="AE87" s="118"/>
      <c r="AF87" s="77"/>
      <c r="AG87" s="76"/>
    </row>
    <row r="88" spans="2:33" x14ac:dyDescent="0.25">
      <c r="B88" s="182"/>
      <c r="C88" s="116"/>
      <c r="D88" s="117"/>
      <c r="E88" s="118"/>
      <c r="F88" s="126"/>
      <c r="G88" s="127"/>
      <c r="H88" s="119"/>
      <c r="I88" s="119"/>
      <c r="J88" s="115"/>
      <c r="K88" s="80"/>
      <c r="L88" s="120"/>
      <c r="M88" s="8"/>
      <c r="N88" s="115"/>
      <c r="O88" s="78"/>
      <c r="P88" s="121"/>
      <c r="Q88" s="115"/>
      <c r="R88" s="122"/>
      <c r="S88" s="122"/>
      <c r="T88" s="122"/>
      <c r="U88" s="122"/>
      <c r="V88" s="122"/>
      <c r="W88" s="122"/>
      <c r="X88" s="128"/>
      <c r="Y88" s="128"/>
      <c r="Z88" s="128"/>
      <c r="AA88" s="122"/>
      <c r="AB88" s="122"/>
      <c r="AC88" s="122"/>
      <c r="AD88" s="122"/>
      <c r="AE88" s="118"/>
      <c r="AF88" s="77"/>
      <c r="AG88" s="76"/>
    </row>
    <row r="89" spans="2:33" x14ac:dyDescent="0.25">
      <c r="B89" s="182"/>
      <c r="C89" s="116"/>
      <c r="D89" s="117"/>
      <c r="E89" s="118"/>
      <c r="F89" s="126"/>
      <c r="G89" s="127"/>
      <c r="H89" s="119"/>
      <c r="I89" s="119"/>
      <c r="J89" s="115"/>
      <c r="K89" s="80"/>
      <c r="L89" s="120"/>
      <c r="M89" s="8"/>
      <c r="N89" s="115"/>
      <c r="O89" s="78"/>
      <c r="P89" s="121"/>
      <c r="Q89" s="115"/>
      <c r="R89" s="122"/>
      <c r="S89" s="122"/>
      <c r="T89" s="122"/>
      <c r="U89" s="122"/>
      <c r="V89" s="122"/>
      <c r="W89" s="122"/>
      <c r="X89" s="128"/>
      <c r="Y89" s="128"/>
      <c r="Z89" s="128"/>
      <c r="AA89" s="122"/>
      <c r="AB89" s="122"/>
      <c r="AC89" s="122"/>
      <c r="AD89" s="122"/>
      <c r="AE89" s="118"/>
      <c r="AF89" s="77"/>
      <c r="AG89" s="76"/>
    </row>
    <row r="90" spans="2:33" x14ac:dyDescent="0.25">
      <c r="B90" s="182"/>
      <c r="C90" s="116"/>
      <c r="D90" s="117"/>
      <c r="E90" s="118"/>
      <c r="F90" s="126"/>
      <c r="G90" s="127"/>
      <c r="H90" s="119"/>
      <c r="I90" s="119"/>
      <c r="J90" s="115"/>
      <c r="K90" s="80"/>
      <c r="L90" s="120"/>
      <c r="M90" s="8"/>
      <c r="N90" s="115"/>
      <c r="O90" s="78"/>
      <c r="P90" s="121"/>
      <c r="Q90" s="115"/>
      <c r="R90" s="122"/>
      <c r="S90" s="122"/>
      <c r="T90" s="122"/>
      <c r="U90" s="122"/>
      <c r="V90" s="122"/>
      <c r="W90" s="122"/>
      <c r="X90" s="128"/>
      <c r="Y90" s="128"/>
      <c r="Z90" s="128"/>
      <c r="AA90" s="122"/>
      <c r="AB90" s="122"/>
      <c r="AC90" s="122"/>
      <c r="AD90" s="122"/>
      <c r="AE90" s="118"/>
      <c r="AF90" s="77"/>
      <c r="AG90" s="76"/>
    </row>
    <row r="91" spans="2:33" x14ac:dyDescent="0.25">
      <c r="B91" s="182"/>
      <c r="C91" s="116"/>
      <c r="D91" s="117"/>
      <c r="E91" s="118"/>
      <c r="F91" s="126"/>
      <c r="G91" s="127"/>
      <c r="H91" s="119"/>
      <c r="I91" s="119"/>
      <c r="J91" s="115"/>
      <c r="K91" s="80"/>
      <c r="L91" s="120"/>
      <c r="M91" s="8"/>
      <c r="N91" s="115"/>
      <c r="O91" s="78"/>
      <c r="P91" s="121"/>
      <c r="Q91" s="115"/>
      <c r="R91" s="122"/>
      <c r="S91" s="122"/>
      <c r="T91" s="122"/>
      <c r="U91" s="122"/>
      <c r="V91" s="122"/>
      <c r="W91" s="122"/>
      <c r="X91" s="128"/>
      <c r="Y91" s="128"/>
      <c r="Z91" s="128"/>
      <c r="AA91" s="122"/>
      <c r="AB91" s="122"/>
      <c r="AC91" s="122"/>
      <c r="AD91" s="122"/>
      <c r="AE91" s="118"/>
      <c r="AF91" s="77"/>
      <c r="AG91" s="76"/>
    </row>
    <row r="92" spans="2:33" x14ac:dyDescent="0.25">
      <c r="B92" s="182"/>
      <c r="C92" s="116"/>
      <c r="D92" s="117"/>
      <c r="E92" s="118"/>
      <c r="F92" s="126"/>
      <c r="G92" s="127"/>
      <c r="H92" s="119"/>
      <c r="I92" s="119"/>
      <c r="J92" s="115"/>
      <c r="K92" s="80"/>
      <c r="L92" s="120"/>
      <c r="M92" s="8"/>
      <c r="N92" s="115"/>
      <c r="O92" s="78"/>
      <c r="P92" s="121"/>
      <c r="Q92" s="115"/>
      <c r="R92" s="122"/>
      <c r="S92" s="122"/>
      <c r="T92" s="122"/>
      <c r="U92" s="122"/>
      <c r="V92" s="122"/>
      <c r="W92" s="122"/>
      <c r="X92" s="128"/>
      <c r="Y92" s="128"/>
      <c r="Z92" s="128"/>
      <c r="AA92" s="122"/>
      <c r="AB92" s="122"/>
      <c r="AC92" s="122"/>
      <c r="AD92" s="122"/>
      <c r="AE92" s="118"/>
      <c r="AF92" s="77"/>
      <c r="AG92" s="76"/>
    </row>
    <row r="93" spans="2:33" x14ac:dyDescent="0.25">
      <c r="B93" s="182"/>
      <c r="C93" s="116"/>
      <c r="D93" s="117"/>
      <c r="E93" s="118"/>
      <c r="F93" s="126"/>
      <c r="G93" s="127"/>
      <c r="H93" s="119"/>
      <c r="I93" s="119"/>
      <c r="J93" s="115"/>
      <c r="K93" s="80"/>
      <c r="L93" s="120"/>
      <c r="M93" s="8"/>
      <c r="N93" s="115"/>
      <c r="O93" s="78"/>
      <c r="P93" s="121"/>
      <c r="Q93" s="115"/>
      <c r="R93" s="122"/>
      <c r="S93" s="122"/>
      <c r="T93" s="122"/>
      <c r="U93" s="122"/>
      <c r="V93" s="122"/>
      <c r="W93" s="122"/>
      <c r="X93" s="128"/>
      <c r="Y93" s="128"/>
      <c r="Z93" s="128"/>
      <c r="AA93" s="122"/>
      <c r="AB93" s="122"/>
      <c r="AC93" s="122"/>
      <c r="AD93" s="122"/>
      <c r="AE93" s="118"/>
      <c r="AF93" s="77"/>
      <c r="AG93" s="76"/>
    </row>
    <row r="94" spans="2:33" x14ac:dyDescent="0.25">
      <c r="B94" s="182"/>
      <c r="C94" s="116"/>
      <c r="D94" s="117"/>
      <c r="E94" s="118"/>
      <c r="F94" s="126"/>
      <c r="G94" s="127"/>
      <c r="H94" s="119"/>
      <c r="I94" s="119"/>
      <c r="J94" s="115"/>
      <c r="K94" s="80"/>
      <c r="L94" s="120"/>
      <c r="M94" s="8"/>
      <c r="N94" s="115"/>
      <c r="O94" s="78"/>
      <c r="P94" s="121"/>
      <c r="Q94" s="115"/>
      <c r="R94" s="122"/>
      <c r="S94" s="122"/>
      <c r="T94" s="122"/>
      <c r="U94" s="122"/>
      <c r="V94" s="122"/>
      <c r="W94" s="122"/>
      <c r="X94" s="128"/>
      <c r="Y94" s="128"/>
      <c r="Z94" s="128"/>
      <c r="AA94" s="122"/>
      <c r="AB94" s="122"/>
      <c r="AC94" s="122"/>
      <c r="AD94" s="122"/>
      <c r="AE94" s="118"/>
      <c r="AF94" s="77"/>
      <c r="AG94" s="76"/>
    </row>
    <row r="95" spans="2:33" x14ac:dyDescent="0.25">
      <c r="B95" s="182"/>
      <c r="C95" s="116"/>
      <c r="D95" s="117"/>
      <c r="E95" s="118"/>
      <c r="F95" s="126"/>
      <c r="G95" s="127"/>
      <c r="H95" s="119"/>
      <c r="I95" s="119"/>
      <c r="J95" s="115"/>
      <c r="K95" s="80"/>
      <c r="L95" s="120"/>
      <c r="M95" s="8"/>
      <c r="N95" s="115"/>
      <c r="O95" s="78"/>
      <c r="P95" s="121"/>
      <c r="Q95" s="115"/>
      <c r="R95" s="122"/>
      <c r="S95" s="122"/>
      <c r="T95" s="122"/>
      <c r="U95" s="122"/>
      <c r="V95" s="122"/>
      <c r="W95" s="122"/>
      <c r="X95" s="128"/>
      <c r="Y95" s="128"/>
      <c r="Z95" s="128"/>
      <c r="AA95" s="122"/>
      <c r="AB95" s="122"/>
      <c r="AC95" s="122"/>
      <c r="AD95" s="122"/>
      <c r="AE95" s="118"/>
      <c r="AF95" s="77"/>
      <c r="AG95" s="76"/>
    </row>
    <row r="96" spans="2:33" x14ac:dyDescent="0.25">
      <c r="B96" s="182"/>
      <c r="C96" s="116"/>
      <c r="D96" s="117"/>
      <c r="E96" s="118"/>
      <c r="F96" s="126"/>
      <c r="G96" s="127"/>
      <c r="H96" s="119"/>
      <c r="I96" s="119"/>
      <c r="J96" s="115"/>
      <c r="K96" s="80"/>
      <c r="L96" s="120"/>
      <c r="M96" s="8"/>
      <c r="N96" s="115"/>
      <c r="O96" s="78"/>
      <c r="P96" s="121"/>
      <c r="Q96" s="115"/>
      <c r="R96" s="122"/>
      <c r="S96" s="122"/>
      <c r="T96" s="122"/>
      <c r="U96" s="122"/>
      <c r="V96" s="122"/>
      <c r="W96" s="122"/>
      <c r="X96" s="128"/>
      <c r="Y96" s="128"/>
      <c r="Z96" s="128"/>
      <c r="AA96" s="122"/>
      <c r="AB96" s="122"/>
      <c r="AC96" s="122"/>
      <c r="AD96" s="122"/>
      <c r="AE96" s="118"/>
      <c r="AF96" s="77"/>
      <c r="AG96" s="76"/>
    </row>
    <row r="97" spans="2:33" x14ac:dyDescent="0.25">
      <c r="B97" s="182"/>
      <c r="C97" s="116"/>
      <c r="D97" s="117"/>
      <c r="E97" s="118"/>
      <c r="F97" s="126"/>
      <c r="G97" s="127"/>
      <c r="H97" s="119"/>
      <c r="I97" s="119"/>
      <c r="J97" s="115"/>
      <c r="K97" s="80"/>
      <c r="L97" s="120"/>
      <c r="M97" s="8"/>
      <c r="N97" s="115"/>
      <c r="O97" s="78"/>
      <c r="P97" s="121"/>
      <c r="Q97" s="115"/>
      <c r="R97" s="122"/>
      <c r="S97" s="122"/>
      <c r="T97" s="122"/>
      <c r="U97" s="122"/>
      <c r="V97" s="122"/>
      <c r="W97" s="122"/>
      <c r="X97" s="128"/>
      <c r="Y97" s="128"/>
      <c r="Z97" s="128"/>
      <c r="AA97" s="122"/>
      <c r="AB97" s="122"/>
      <c r="AC97" s="122"/>
      <c r="AD97" s="122"/>
      <c r="AE97" s="118"/>
      <c r="AF97" s="77"/>
      <c r="AG97" s="76"/>
    </row>
    <row r="98" spans="2:33" x14ac:dyDescent="0.25">
      <c r="B98" s="182"/>
      <c r="C98" s="116"/>
      <c r="D98" s="117"/>
      <c r="E98" s="118"/>
      <c r="F98" s="126"/>
      <c r="G98" s="127"/>
      <c r="H98" s="119"/>
      <c r="I98" s="119"/>
      <c r="J98" s="115"/>
      <c r="K98" s="80"/>
      <c r="L98" s="120"/>
      <c r="M98" s="8"/>
      <c r="N98" s="115"/>
      <c r="O98" s="78"/>
      <c r="P98" s="121"/>
      <c r="Q98" s="115"/>
      <c r="R98" s="122"/>
      <c r="S98" s="122"/>
      <c r="T98" s="122"/>
      <c r="U98" s="122"/>
      <c r="V98" s="122"/>
      <c r="W98" s="122"/>
      <c r="X98" s="128"/>
      <c r="Y98" s="128"/>
      <c r="Z98" s="128"/>
      <c r="AA98" s="122"/>
      <c r="AB98" s="122"/>
      <c r="AC98" s="122"/>
      <c r="AD98" s="122"/>
      <c r="AE98" s="118"/>
      <c r="AF98" s="77"/>
      <c r="AG98" s="76"/>
    </row>
    <row r="99" spans="2:33" x14ac:dyDescent="0.25">
      <c r="B99" s="182"/>
      <c r="C99" s="116"/>
      <c r="D99" s="117"/>
      <c r="E99" s="118"/>
      <c r="F99" s="126"/>
      <c r="G99" s="127"/>
      <c r="H99" s="119"/>
      <c r="I99" s="119"/>
      <c r="J99" s="115"/>
      <c r="K99" s="80"/>
      <c r="L99" s="120"/>
      <c r="M99" s="8"/>
      <c r="N99" s="115"/>
      <c r="O99" s="78"/>
      <c r="P99" s="121"/>
      <c r="Q99" s="115"/>
      <c r="R99" s="122"/>
      <c r="S99" s="122"/>
      <c r="T99" s="122"/>
      <c r="U99" s="122"/>
      <c r="V99" s="122"/>
      <c r="W99" s="122"/>
      <c r="X99" s="128"/>
      <c r="Y99" s="128"/>
      <c r="Z99" s="128"/>
      <c r="AA99" s="122"/>
      <c r="AB99" s="122"/>
      <c r="AC99" s="122"/>
      <c r="AD99" s="122"/>
      <c r="AE99" s="118"/>
      <c r="AF99" s="77"/>
      <c r="AG99" s="76"/>
    </row>
    <row r="100" spans="2:33" x14ac:dyDescent="0.25">
      <c r="B100" s="182"/>
      <c r="C100" s="116"/>
      <c r="D100" s="117"/>
      <c r="E100" s="118"/>
      <c r="F100" s="126"/>
      <c r="G100" s="127"/>
      <c r="H100" s="119"/>
      <c r="I100" s="119"/>
      <c r="J100" s="115"/>
      <c r="K100" s="80"/>
      <c r="L100" s="120"/>
      <c r="M100" s="8"/>
      <c r="N100" s="115"/>
      <c r="O100" s="78"/>
      <c r="P100" s="121"/>
      <c r="Q100" s="115"/>
      <c r="R100" s="122"/>
      <c r="S100" s="122"/>
      <c r="T100" s="122"/>
      <c r="U100" s="122"/>
      <c r="V100" s="122"/>
      <c r="W100" s="122"/>
      <c r="X100" s="128"/>
      <c r="Y100" s="128"/>
      <c r="Z100" s="128"/>
      <c r="AA100" s="122"/>
      <c r="AB100" s="122"/>
      <c r="AC100" s="122"/>
      <c r="AD100" s="122"/>
      <c r="AE100" s="118"/>
      <c r="AF100" s="77"/>
      <c r="AG100" s="76"/>
    </row>
    <row r="101" spans="2:33" x14ac:dyDescent="0.25">
      <c r="B101" s="182"/>
      <c r="C101" s="116"/>
      <c r="D101" s="117"/>
      <c r="E101" s="118"/>
      <c r="F101" s="126"/>
      <c r="G101" s="127"/>
      <c r="H101" s="119"/>
      <c r="I101" s="119"/>
      <c r="J101" s="115"/>
      <c r="K101" s="80"/>
      <c r="L101" s="120"/>
      <c r="M101" s="8"/>
      <c r="N101" s="115"/>
      <c r="O101" s="78"/>
      <c r="P101" s="121"/>
      <c r="Q101" s="115"/>
      <c r="R101" s="122"/>
      <c r="S101" s="122"/>
      <c r="T101" s="122"/>
      <c r="U101" s="122"/>
      <c r="V101" s="122"/>
      <c r="W101" s="122"/>
      <c r="X101" s="128"/>
      <c r="Y101" s="128"/>
      <c r="Z101" s="128"/>
      <c r="AA101" s="122"/>
      <c r="AB101" s="122"/>
      <c r="AC101" s="122"/>
      <c r="AD101" s="122"/>
      <c r="AE101" s="118"/>
      <c r="AF101" s="77"/>
      <c r="AG101" s="76"/>
    </row>
    <row r="102" spans="2:33" x14ac:dyDescent="0.25">
      <c r="B102" s="182"/>
      <c r="C102" s="116"/>
      <c r="D102" s="117"/>
      <c r="E102" s="118"/>
      <c r="F102" s="126"/>
      <c r="G102" s="127"/>
      <c r="H102" s="119"/>
      <c r="I102" s="119"/>
      <c r="J102" s="115"/>
      <c r="K102" s="80"/>
      <c r="L102" s="120"/>
      <c r="M102" s="8"/>
      <c r="N102" s="115"/>
      <c r="O102" s="78"/>
      <c r="P102" s="121"/>
      <c r="Q102" s="115"/>
      <c r="R102" s="122"/>
      <c r="S102" s="122"/>
      <c r="T102" s="122"/>
      <c r="U102" s="122"/>
      <c r="V102" s="122"/>
      <c r="W102" s="122"/>
      <c r="X102" s="128"/>
      <c r="Y102" s="128"/>
      <c r="Z102" s="128"/>
      <c r="AA102" s="122"/>
      <c r="AB102" s="122"/>
      <c r="AC102" s="122"/>
      <c r="AD102" s="122"/>
      <c r="AE102" s="118"/>
      <c r="AF102" s="77"/>
      <c r="AG102" s="76"/>
    </row>
    <row r="103" spans="2:33" x14ac:dyDescent="0.25">
      <c r="B103" s="182"/>
      <c r="C103" s="116"/>
      <c r="D103" s="117"/>
      <c r="E103" s="118"/>
      <c r="F103" s="126"/>
      <c r="G103" s="127"/>
      <c r="H103" s="119"/>
      <c r="I103" s="119"/>
      <c r="J103" s="115"/>
      <c r="K103" s="80"/>
      <c r="L103" s="120"/>
      <c r="M103" s="8"/>
      <c r="N103" s="115"/>
      <c r="O103" s="78"/>
      <c r="P103" s="121"/>
      <c r="Q103" s="115"/>
      <c r="R103" s="122"/>
      <c r="S103" s="122"/>
      <c r="T103" s="122"/>
      <c r="U103" s="122"/>
      <c r="V103" s="122"/>
      <c r="W103" s="122"/>
      <c r="X103" s="128"/>
      <c r="Y103" s="128"/>
      <c r="Z103" s="128"/>
      <c r="AA103" s="122"/>
      <c r="AB103" s="122"/>
      <c r="AC103" s="122"/>
      <c r="AD103" s="122"/>
      <c r="AE103" s="118"/>
      <c r="AF103" s="77"/>
      <c r="AG103" s="76"/>
    </row>
    <row r="104" spans="2:33" x14ac:dyDescent="0.25">
      <c r="B104" s="182"/>
      <c r="C104" s="116"/>
      <c r="D104" s="117"/>
      <c r="E104" s="118"/>
      <c r="F104" s="126"/>
      <c r="G104" s="127"/>
      <c r="H104" s="119"/>
      <c r="I104" s="119"/>
      <c r="J104" s="115"/>
      <c r="K104" s="80"/>
      <c r="L104" s="120"/>
      <c r="M104" s="8"/>
      <c r="N104" s="115"/>
      <c r="O104" s="78"/>
      <c r="P104" s="121"/>
      <c r="Q104" s="115"/>
      <c r="R104" s="122"/>
      <c r="S104" s="122"/>
      <c r="T104" s="122"/>
      <c r="U104" s="122"/>
      <c r="V104" s="122"/>
      <c r="W104" s="122"/>
      <c r="X104" s="128"/>
      <c r="Y104" s="128"/>
      <c r="Z104" s="128"/>
      <c r="AA104" s="122"/>
      <c r="AB104" s="122"/>
      <c r="AC104" s="122"/>
      <c r="AD104" s="122"/>
      <c r="AE104" s="118"/>
      <c r="AF104" s="77"/>
      <c r="AG104" s="76"/>
    </row>
    <row r="105" spans="2:33" x14ac:dyDescent="0.25">
      <c r="B105" s="182"/>
      <c r="C105" s="116"/>
      <c r="D105" s="117"/>
      <c r="E105" s="118"/>
      <c r="F105" s="126"/>
      <c r="G105" s="127"/>
      <c r="H105" s="119"/>
      <c r="I105" s="119"/>
      <c r="J105" s="115"/>
      <c r="K105" s="80"/>
      <c r="L105" s="120"/>
      <c r="M105" s="8"/>
      <c r="N105" s="115"/>
      <c r="O105" s="78"/>
      <c r="P105" s="121"/>
      <c r="Q105" s="115"/>
      <c r="R105" s="122"/>
      <c r="S105" s="122"/>
      <c r="T105" s="122"/>
      <c r="U105" s="122"/>
      <c r="V105" s="122"/>
      <c r="W105" s="122"/>
      <c r="X105" s="128"/>
      <c r="Y105" s="128"/>
      <c r="Z105" s="128"/>
      <c r="AA105" s="122"/>
      <c r="AB105" s="122"/>
      <c r="AC105" s="122"/>
      <c r="AD105" s="122"/>
      <c r="AE105" s="118"/>
      <c r="AF105" s="77"/>
      <c r="AG105" s="76"/>
    </row>
    <row r="106" spans="2:33" x14ac:dyDescent="0.25">
      <c r="B106" s="182"/>
      <c r="C106" s="116"/>
      <c r="D106" s="117"/>
      <c r="E106" s="118"/>
      <c r="F106" s="126"/>
      <c r="G106" s="127"/>
      <c r="H106" s="119"/>
      <c r="I106" s="119"/>
      <c r="J106" s="115"/>
      <c r="K106" s="80"/>
      <c r="L106" s="120"/>
      <c r="M106" s="8"/>
      <c r="N106" s="115"/>
      <c r="O106" s="78"/>
      <c r="P106" s="121"/>
      <c r="Q106" s="115"/>
      <c r="R106" s="122"/>
      <c r="S106" s="122"/>
      <c r="T106" s="122"/>
      <c r="U106" s="122"/>
      <c r="V106" s="122"/>
      <c r="W106" s="122"/>
      <c r="X106" s="128"/>
      <c r="Y106" s="128"/>
      <c r="Z106" s="128"/>
      <c r="AA106" s="122"/>
      <c r="AB106" s="122"/>
      <c r="AC106" s="122"/>
      <c r="AD106" s="122"/>
      <c r="AE106" s="118"/>
      <c r="AF106" s="77"/>
      <c r="AG106" s="76"/>
    </row>
    <row r="107" spans="2:33" x14ac:dyDescent="0.25">
      <c r="B107" s="182"/>
      <c r="C107" s="116"/>
      <c r="D107" s="117"/>
      <c r="E107" s="118"/>
      <c r="F107" s="126"/>
      <c r="G107" s="127"/>
      <c r="H107" s="119"/>
      <c r="I107" s="119"/>
      <c r="J107" s="115"/>
      <c r="K107" s="80"/>
      <c r="L107" s="120"/>
      <c r="M107" s="8"/>
      <c r="N107" s="115"/>
      <c r="O107" s="78"/>
      <c r="P107" s="121"/>
      <c r="Q107" s="115"/>
      <c r="R107" s="122"/>
      <c r="S107" s="122"/>
      <c r="T107" s="122"/>
      <c r="U107" s="122"/>
      <c r="V107" s="122"/>
      <c r="W107" s="122"/>
      <c r="X107" s="128"/>
      <c r="Y107" s="128"/>
      <c r="Z107" s="128"/>
      <c r="AA107" s="122"/>
      <c r="AB107" s="122"/>
      <c r="AC107" s="122"/>
      <c r="AD107" s="122"/>
      <c r="AE107" s="118"/>
      <c r="AF107" s="77"/>
      <c r="AG107" s="76"/>
    </row>
    <row r="108" spans="2:33" x14ac:dyDescent="0.25">
      <c r="B108" s="182"/>
      <c r="C108" s="116"/>
      <c r="D108" s="117"/>
      <c r="E108" s="118"/>
      <c r="F108" s="126"/>
      <c r="G108" s="127"/>
      <c r="H108" s="119"/>
      <c r="I108" s="119"/>
      <c r="J108" s="115"/>
      <c r="K108" s="80"/>
      <c r="L108" s="120"/>
      <c r="M108" s="8"/>
      <c r="N108" s="115"/>
      <c r="O108" s="78"/>
      <c r="P108" s="121"/>
      <c r="Q108" s="115"/>
      <c r="R108" s="122"/>
      <c r="S108" s="122"/>
      <c r="T108" s="122"/>
      <c r="U108" s="122"/>
      <c r="V108" s="122"/>
      <c r="W108" s="122"/>
      <c r="X108" s="128"/>
      <c r="Y108" s="128"/>
      <c r="Z108" s="128"/>
      <c r="AA108" s="122"/>
      <c r="AB108" s="122"/>
      <c r="AC108" s="122"/>
      <c r="AD108" s="122"/>
      <c r="AE108" s="118"/>
      <c r="AF108" s="77"/>
      <c r="AG108" s="76"/>
    </row>
    <row r="109" spans="2:33" x14ac:dyDescent="0.25">
      <c r="B109" s="182"/>
      <c r="C109" s="116"/>
      <c r="D109" s="117"/>
      <c r="E109" s="118"/>
      <c r="F109" s="126"/>
      <c r="G109" s="127"/>
      <c r="H109" s="119"/>
      <c r="I109" s="119"/>
      <c r="J109" s="115"/>
      <c r="K109" s="80"/>
      <c r="L109" s="120"/>
      <c r="M109" s="8"/>
      <c r="N109" s="115"/>
      <c r="O109" s="78"/>
      <c r="P109" s="121"/>
      <c r="Q109" s="115"/>
      <c r="R109" s="122"/>
      <c r="S109" s="122"/>
      <c r="T109" s="122"/>
      <c r="U109" s="122"/>
      <c r="V109" s="122"/>
      <c r="W109" s="122"/>
      <c r="X109" s="128"/>
      <c r="Y109" s="128"/>
      <c r="Z109" s="128"/>
      <c r="AA109" s="122"/>
      <c r="AB109" s="122"/>
      <c r="AC109" s="122"/>
      <c r="AD109" s="122"/>
      <c r="AE109" s="118"/>
      <c r="AF109" s="77"/>
      <c r="AG109" s="76"/>
    </row>
    <row r="110" spans="2:33" x14ac:dyDescent="0.25">
      <c r="B110" s="182"/>
      <c r="C110" s="116"/>
      <c r="D110" s="117"/>
      <c r="E110" s="118"/>
      <c r="F110" s="126"/>
      <c r="G110" s="127"/>
      <c r="H110" s="119"/>
      <c r="I110" s="119"/>
      <c r="J110" s="115"/>
      <c r="K110" s="80"/>
      <c r="L110" s="120"/>
      <c r="M110" s="8"/>
      <c r="N110" s="115"/>
      <c r="O110" s="78"/>
      <c r="P110" s="121"/>
      <c r="Q110" s="115"/>
      <c r="R110" s="122"/>
      <c r="S110" s="122"/>
      <c r="T110" s="122"/>
      <c r="U110" s="122"/>
      <c r="V110" s="122"/>
      <c r="W110" s="122"/>
      <c r="X110" s="128"/>
      <c r="Y110" s="128"/>
      <c r="Z110" s="128"/>
      <c r="AA110" s="122"/>
      <c r="AB110" s="122"/>
      <c r="AC110" s="122"/>
      <c r="AD110" s="122"/>
      <c r="AE110" s="118"/>
      <c r="AF110" s="77"/>
      <c r="AG110" s="76"/>
    </row>
    <row r="111" spans="2:33" x14ac:dyDescent="0.25">
      <c r="B111" s="182"/>
      <c r="C111" s="116"/>
      <c r="D111" s="117"/>
      <c r="E111" s="118"/>
      <c r="F111" s="126"/>
      <c r="G111" s="127"/>
      <c r="H111" s="119"/>
      <c r="I111" s="119"/>
      <c r="J111" s="115"/>
      <c r="K111" s="80"/>
      <c r="L111" s="120"/>
      <c r="M111" s="8"/>
      <c r="N111" s="115"/>
      <c r="O111" s="78"/>
      <c r="P111" s="121"/>
      <c r="Q111" s="115"/>
      <c r="R111" s="122"/>
      <c r="S111" s="122"/>
      <c r="T111" s="122"/>
      <c r="U111" s="122"/>
      <c r="V111" s="122"/>
      <c r="W111" s="122"/>
      <c r="X111" s="128"/>
      <c r="Y111" s="128"/>
      <c r="Z111" s="128"/>
      <c r="AA111" s="122"/>
      <c r="AB111" s="122"/>
      <c r="AC111" s="122"/>
      <c r="AD111" s="122"/>
      <c r="AE111" s="118"/>
      <c r="AF111" s="77"/>
      <c r="AG111" s="76"/>
    </row>
    <row r="112" spans="2:33" x14ac:dyDescent="0.25">
      <c r="B112" s="182"/>
      <c r="C112" s="116"/>
      <c r="D112" s="117"/>
      <c r="E112" s="118"/>
      <c r="F112" s="126"/>
      <c r="G112" s="127"/>
      <c r="H112" s="119"/>
      <c r="I112" s="119"/>
      <c r="J112" s="115"/>
      <c r="K112" s="80"/>
      <c r="L112" s="120"/>
      <c r="M112" s="8"/>
      <c r="N112" s="115"/>
      <c r="O112" s="78"/>
      <c r="P112" s="121"/>
      <c r="Q112" s="115"/>
      <c r="R112" s="122"/>
      <c r="S112" s="122"/>
      <c r="T112" s="122"/>
      <c r="U112" s="122"/>
      <c r="V112" s="122"/>
      <c r="W112" s="122"/>
      <c r="X112" s="128"/>
      <c r="Y112" s="128"/>
      <c r="Z112" s="128"/>
      <c r="AA112" s="122"/>
      <c r="AB112" s="122"/>
      <c r="AC112" s="122"/>
      <c r="AD112" s="122"/>
      <c r="AE112" s="118"/>
      <c r="AF112" s="77"/>
      <c r="AG112" s="76"/>
    </row>
    <row r="113" spans="2:33" x14ac:dyDescent="0.25">
      <c r="B113" s="182"/>
      <c r="C113" s="116"/>
      <c r="D113" s="117"/>
      <c r="E113" s="118"/>
      <c r="F113" s="126"/>
      <c r="G113" s="127"/>
      <c r="H113" s="119"/>
      <c r="I113" s="119"/>
      <c r="J113" s="115"/>
      <c r="K113" s="80"/>
      <c r="L113" s="120"/>
      <c r="M113" s="8"/>
      <c r="N113" s="115"/>
      <c r="O113" s="78"/>
      <c r="P113" s="121"/>
      <c r="Q113" s="115"/>
      <c r="R113" s="122"/>
      <c r="S113" s="122"/>
      <c r="T113" s="122"/>
      <c r="U113" s="122"/>
      <c r="V113" s="122"/>
      <c r="W113" s="122"/>
      <c r="X113" s="128"/>
      <c r="Y113" s="128"/>
      <c r="Z113" s="128"/>
      <c r="AA113" s="122"/>
      <c r="AB113" s="122"/>
      <c r="AC113" s="122"/>
      <c r="AD113" s="122"/>
      <c r="AE113" s="118"/>
      <c r="AF113" s="77"/>
      <c r="AG113" s="76"/>
    </row>
    <row r="114" spans="2:33" x14ac:dyDescent="0.25">
      <c r="B114" s="182"/>
      <c r="C114" s="116"/>
      <c r="D114" s="117"/>
      <c r="E114" s="118"/>
      <c r="F114" s="126"/>
      <c r="G114" s="127"/>
      <c r="H114" s="119"/>
      <c r="I114" s="119"/>
      <c r="J114" s="115"/>
      <c r="K114" s="80"/>
      <c r="L114" s="120"/>
      <c r="M114" s="8"/>
      <c r="N114" s="115"/>
      <c r="O114" s="78"/>
      <c r="P114" s="121"/>
      <c r="Q114" s="115"/>
      <c r="R114" s="122"/>
      <c r="S114" s="122"/>
      <c r="T114" s="122"/>
      <c r="U114" s="122"/>
      <c r="V114" s="122"/>
      <c r="W114" s="122"/>
      <c r="X114" s="128"/>
      <c r="Y114" s="128"/>
      <c r="Z114" s="128"/>
      <c r="AA114" s="122"/>
      <c r="AB114" s="122"/>
      <c r="AC114" s="122"/>
      <c r="AD114" s="122"/>
      <c r="AE114" s="118"/>
      <c r="AF114" s="77"/>
      <c r="AG114" s="76"/>
    </row>
    <row r="115" spans="2:33" x14ac:dyDescent="0.25">
      <c r="B115" s="182"/>
      <c r="C115" s="116"/>
      <c r="D115" s="117"/>
      <c r="E115" s="118"/>
      <c r="F115" s="126"/>
      <c r="G115" s="127"/>
      <c r="H115" s="119"/>
      <c r="I115" s="119"/>
      <c r="J115" s="115"/>
      <c r="K115" s="80"/>
      <c r="L115" s="120"/>
      <c r="M115" s="8"/>
      <c r="N115" s="115"/>
      <c r="O115" s="78"/>
      <c r="P115" s="121"/>
      <c r="Q115" s="115"/>
      <c r="R115" s="122"/>
      <c r="S115" s="122"/>
      <c r="T115" s="122"/>
      <c r="U115" s="122"/>
      <c r="V115" s="122"/>
      <c r="W115" s="122"/>
      <c r="X115" s="128"/>
      <c r="Y115" s="128"/>
      <c r="Z115" s="128"/>
      <c r="AA115" s="122"/>
      <c r="AB115" s="122"/>
      <c r="AC115" s="122"/>
      <c r="AD115" s="122"/>
      <c r="AE115" s="118"/>
      <c r="AF115" s="77"/>
      <c r="AG115" s="76"/>
    </row>
    <row r="116" spans="2:33" x14ac:dyDescent="0.25">
      <c r="B116" s="182"/>
      <c r="C116" s="116"/>
      <c r="D116" s="117"/>
      <c r="E116" s="118"/>
      <c r="F116" s="126"/>
      <c r="G116" s="127"/>
      <c r="H116" s="119"/>
      <c r="I116" s="119"/>
      <c r="J116" s="115"/>
      <c r="K116" s="80"/>
      <c r="L116" s="120"/>
      <c r="M116" s="8"/>
      <c r="N116" s="115"/>
      <c r="O116" s="78"/>
      <c r="P116" s="121"/>
      <c r="Q116" s="115"/>
      <c r="R116" s="122"/>
      <c r="S116" s="122"/>
      <c r="T116" s="122"/>
      <c r="U116" s="122"/>
      <c r="V116" s="122"/>
      <c r="W116" s="122"/>
      <c r="X116" s="128"/>
      <c r="Y116" s="128"/>
      <c r="Z116" s="128"/>
      <c r="AA116" s="122"/>
      <c r="AB116" s="122"/>
      <c r="AC116" s="122"/>
      <c r="AD116" s="122"/>
      <c r="AE116" s="118"/>
      <c r="AF116" s="77"/>
      <c r="AG116" s="76"/>
    </row>
    <row r="117" spans="2:33" x14ac:dyDescent="0.25">
      <c r="B117" s="182"/>
      <c r="C117" s="116"/>
      <c r="D117" s="117"/>
      <c r="E117" s="118"/>
      <c r="F117" s="126"/>
      <c r="G117" s="127"/>
      <c r="H117" s="119"/>
      <c r="I117" s="119"/>
      <c r="J117" s="115"/>
      <c r="K117" s="80"/>
      <c r="L117" s="120"/>
      <c r="M117" s="8"/>
      <c r="N117" s="115"/>
      <c r="O117" s="78"/>
      <c r="P117" s="121"/>
      <c r="Q117" s="115"/>
      <c r="R117" s="122"/>
      <c r="S117" s="122"/>
      <c r="T117" s="122"/>
      <c r="U117" s="122"/>
      <c r="V117" s="122"/>
      <c r="W117" s="122"/>
      <c r="X117" s="128"/>
      <c r="Y117" s="128"/>
      <c r="Z117" s="128"/>
      <c r="AA117" s="122"/>
      <c r="AB117" s="122"/>
      <c r="AC117" s="122"/>
      <c r="AD117" s="122"/>
      <c r="AE117" s="118"/>
      <c r="AF117" s="77"/>
      <c r="AG117" s="76"/>
    </row>
    <row r="118" spans="2:33" x14ac:dyDescent="0.25">
      <c r="B118" s="182"/>
      <c r="C118" s="116"/>
      <c r="D118" s="117"/>
      <c r="E118" s="118"/>
      <c r="F118" s="126"/>
      <c r="G118" s="127"/>
      <c r="H118" s="119"/>
      <c r="I118" s="119"/>
      <c r="J118" s="115"/>
      <c r="K118" s="80"/>
      <c r="L118" s="120"/>
      <c r="M118" s="8"/>
      <c r="N118" s="115"/>
      <c r="O118" s="78"/>
      <c r="P118" s="121"/>
      <c r="Q118" s="115"/>
      <c r="R118" s="122"/>
      <c r="S118" s="122"/>
      <c r="T118" s="122"/>
      <c r="U118" s="122"/>
      <c r="V118" s="122"/>
      <c r="W118" s="122"/>
      <c r="X118" s="128"/>
      <c r="Y118" s="128"/>
      <c r="Z118" s="128"/>
      <c r="AA118" s="122"/>
      <c r="AB118" s="122"/>
      <c r="AC118" s="122"/>
      <c r="AD118" s="122"/>
      <c r="AE118" s="118"/>
      <c r="AF118" s="77"/>
      <c r="AG118" s="76"/>
    </row>
    <row r="119" spans="2:33" x14ac:dyDescent="0.25">
      <c r="B119" s="182"/>
      <c r="C119" s="116"/>
      <c r="D119" s="117"/>
      <c r="E119" s="118"/>
      <c r="F119" s="126"/>
      <c r="G119" s="127"/>
      <c r="H119" s="119"/>
      <c r="I119" s="119"/>
      <c r="J119" s="115"/>
      <c r="K119" s="80"/>
      <c r="L119" s="120"/>
      <c r="M119" s="8"/>
      <c r="N119" s="115"/>
      <c r="O119" s="78"/>
      <c r="P119" s="121"/>
      <c r="Q119" s="115"/>
      <c r="R119" s="122"/>
      <c r="S119" s="122"/>
      <c r="T119" s="122"/>
      <c r="U119" s="122"/>
      <c r="V119" s="122"/>
      <c r="W119" s="122"/>
      <c r="X119" s="128"/>
      <c r="Y119" s="128"/>
      <c r="Z119" s="128"/>
      <c r="AA119" s="122"/>
      <c r="AB119" s="122"/>
      <c r="AC119" s="122"/>
      <c r="AD119" s="122"/>
      <c r="AE119" s="118"/>
      <c r="AF119" s="77"/>
      <c r="AG119" s="76"/>
    </row>
    <row r="120" spans="2:33" x14ac:dyDescent="0.25">
      <c r="B120" s="182"/>
      <c r="C120" s="116"/>
      <c r="D120" s="117"/>
      <c r="E120" s="118"/>
      <c r="F120" s="126"/>
      <c r="G120" s="127"/>
      <c r="H120" s="119"/>
      <c r="I120" s="119"/>
      <c r="J120" s="115"/>
      <c r="K120" s="80"/>
      <c r="L120" s="120"/>
      <c r="M120" s="8"/>
      <c r="N120" s="115"/>
      <c r="O120" s="78"/>
      <c r="P120" s="121"/>
      <c r="Q120" s="115"/>
      <c r="R120" s="122"/>
      <c r="S120" s="122"/>
      <c r="T120" s="122"/>
      <c r="U120" s="122"/>
      <c r="V120" s="122"/>
      <c r="W120" s="122"/>
      <c r="X120" s="128"/>
      <c r="Y120" s="128"/>
      <c r="Z120" s="128"/>
      <c r="AA120" s="122"/>
      <c r="AB120" s="122"/>
      <c r="AC120" s="122"/>
      <c r="AD120" s="122"/>
      <c r="AE120" s="118"/>
      <c r="AF120" s="77"/>
      <c r="AG120" s="76"/>
    </row>
    <row r="121" spans="2:33" x14ac:dyDescent="0.25">
      <c r="B121" s="182"/>
      <c r="C121" s="116"/>
      <c r="D121" s="117"/>
      <c r="E121" s="118"/>
      <c r="F121" s="126"/>
      <c r="G121" s="127"/>
      <c r="H121" s="119"/>
      <c r="I121" s="119"/>
      <c r="J121" s="115"/>
      <c r="K121" s="80"/>
      <c r="L121" s="120"/>
      <c r="M121" s="8"/>
      <c r="N121" s="115"/>
      <c r="O121" s="78"/>
      <c r="P121" s="121"/>
      <c r="Q121" s="115"/>
      <c r="R121" s="122"/>
      <c r="S121" s="122"/>
      <c r="T121" s="122"/>
      <c r="U121" s="122"/>
      <c r="V121" s="122"/>
      <c r="W121" s="122"/>
      <c r="X121" s="128"/>
      <c r="Y121" s="128"/>
      <c r="Z121" s="128"/>
      <c r="AA121" s="122"/>
      <c r="AB121" s="122"/>
      <c r="AC121" s="122"/>
      <c r="AD121" s="122"/>
      <c r="AE121" s="118"/>
      <c r="AF121" s="77"/>
      <c r="AG121" s="76"/>
    </row>
    <row r="122" spans="2:33" x14ac:dyDescent="0.25">
      <c r="B122" s="182"/>
      <c r="C122" s="116"/>
      <c r="D122" s="117"/>
      <c r="E122" s="118"/>
      <c r="F122" s="126"/>
      <c r="G122" s="127"/>
      <c r="H122" s="119"/>
      <c r="I122" s="119"/>
      <c r="J122" s="115"/>
      <c r="K122" s="80"/>
      <c r="L122" s="120"/>
      <c r="M122" s="8"/>
      <c r="N122" s="115"/>
      <c r="O122" s="78"/>
      <c r="P122" s="121"/>
      <c r="Q122" s="115"/>
      <c r="R122" s="122"/>
      <c r="S122" s="122"/>
      <c r="T122" s="122"/>
      <c r="U122" s="122"/>
      <c r="V122" s="122"/>
      <c r="W122" s="122"/>
      <c r="X122" s="128"/>
      <c r="Y122" s="128"/>
      <c r="Z122" s="128"/>
      <c r="AA122" s="122"/>
      <c r="AB122" s="122"/>
      <c r="AC122" s="122"/>
      <c r="AD122" s="122"/>
      <c r="AE122" s="118"/>
      <c r="AF122" s="77"/>
      <c r="AG122" s="76"/>
    </row>
    <row r="123" spans="2:33" x14ac:dyDescent="0.25">
      <c r="B123" s="182"/>
      <c r="C123" s="116"/>
      <c r="D123" s="117"/>
      <c r="E123" s="118"/>
      <c r="F123" s="126"/>
      <c r="G123" s="127"/>
      <c r="H123" s="119"/>
      <c r="I123" s="119"/>
      <c r="J123" s="115"/>
      <c r="K123" s="80"/>
      <c r="L123" s="120"/>
      <c r="M123" s="8"/>
      <c r="N123" s="115"/>
      <c r="O123" s="78"/>
      <c r="P123" s="121"/>
      <c r="Q123" s="115"/>
      <c r="R123" s="122"/>
      <c r="S123" s="122"/>
      <c r="T123" s="122"/>
      <c r="U123" s="122"/>
      <c r="V123" s="122"/>
      <c r="W123" s="122"/>
      <c r="X123" s="128"/>
      <c r="Y123" s="128"/>
      <c r="Z123" s="128"/>
      <c r="AA123" s="122"/>
      <c r="AB123" s="122"/>
      <c r="AC123" s="122"/>
      <c r="AD123" s="122"/>
      <c r="AE123" s="118"/>
      <c r="AF123" s="77"/>
      <c r="AG123" s="76"/>
    </row>
    <row r="124" spans="2:33" x14ac:dyDescent="0.25">
      <c r="B124" s="182"/>
      <c r="C124" s="116"/>
      <c r="D124" s="117"/>
      <c r="E124" s="118"/>
      <c r="F124" s="126"/>
      <c r="G124" s="127"/>
      <c r="H124" s="119"/>
      <c r="I124" s="119"/>
      <c r="J124" s="115"/>
      <c r="K124" s="80"/>
      <c r="L124" s="120"/>
      <c r="M124" s="8"/>
      <c r="N124" s="115"/>
      <c r="O124" s="78"/>
      <c r="P124" s="121"/>
      <c r="Q124" s="115"/>
      <c r="R124" s="122"/>
      <c r="S124" s="122"/>
      <c r="T124" s="122"/>
      <c r="U124" s="122"/>
      <c r="V124" s="122"/>
      <c r="W124" s="122"/>
      <c r="X124" s="128"/>
      <c r="Y124" s="128"/>
      <c r="Z124" s="128"/>
      <c r="AA124" s="122"/>
      <c r="AB124" s="122"/>
      <c r="AC124" s="122"/>
      <c r="AD124" s="122"/>
      <c r="AE124" s="118"/>
      <c r="AF124" s="77"/>
      <c r="AG124" s="76"/>
    </row>
    <row r="125" spans="2:33" x14ac:dyDescent="0.25">
      <c r="B125" s="182"/>
      <c r="C125" s="116"/>
      <c r="D125" s="117"/>
      <c r="E125" s="118"/>
      <c r="F125" s="126"/>
      <c r="G125" s="127"/>
      <c r="H125" s="119"/>
      <c r="I125" s="119"/>
      <c r="J125" s="115"/>
      <c r="K125" s="80"/>
      <c r="L125" s="120"/>
      <c r="M125" s="8"/>
      <c r="N125" s="115"/>
      <c r="O125" s="78"/>
      <c r="P125" s="121"/>
      <c r="Q125" s="115"/>
      <c r="R125" s="122"/>
      <c r="S125" s="122"/>
      <c r="T125" s="122"/>
      <c r="U125" s="122"/>
      <c r="V125" s="122"/>
      <c r="W125" s="122"/>
      <c r="X125" s="128"/>
      <c r="Y125" s="128"/>
      <c r="Z125" s="128"/>
      <c r="AA125" s="122"/>
      <c r="AB125" s="122"/>
      <c r="AC125" s="122"/>
      <c r="AD125" s="122"/>
      <c r="AE125" s="118"/>
      <c r="AF125" s="77"/>
      <c r="AG125" s="76"/>
    </row>
    <row r="126" spans="2:33" x14ac:dyDescent="0.25">
      <c r="B126" s="182"/>
      <c r="C126" s="116"/>
      <c r="D126" s="117"/>
      <c r="E126" s="118"/>
      <c r="F126" s="126"/>
      <c r="G126" s="127"/>
      <c r="H126" s="119"/>
      <c r="I126" s="119"/>
      <c r="J126" s="115"/>
      <c r="K126" s="80"/>
      <c r="L126" s="120"/>
      <c r="M126" s="8"/>
      <c r="N126" s="115"/>
      <c r="O126" s="78"/>
      <c r="P126" s="121"/>
      <c r="Q126" s="115"/>
      <c r="R126" s="122"/>
      <c r="S126" s="122"/>
      <c r="T126" s="122"/>
      <c r="U126" s="122"/>
      <c r="V126" s="122"/>
      <c r="W126" s="122"/>
      <c r="X126" s="128"/>
      <c r="Y126" s="128"/>
      <c r="Z126" s="128"/>
      <c r="AA126" s="122"/>
      <c r="AB126" s="122"/>
      <c r="AC126" s="122"/>
      <c r="AD126" s="122"/>
      <c r="AE126" s="118"/>
      <c r="AF126" s="77"/>
      <c r="AG126" s="76"/>
    </row>
    <row r="127" spans="2:33" x14ac:dyDescent="0.25">
      <c r="B127" s="182"/>
      <c r="C127" s="116"/>
      <c r="D127" s="117"/>
      <c r="E127" s="118"/>
      <c r="F127" s="126"/>
      <c r="G127" s="127"/>
      <c r="H127" s="119"/>
      <c r="I127" s="119"/>
      <c r="J127" s="115"/>
      <c r="K127" s="80"/>
      <c r="L127" s="120"/>
      <c r="M127" s="8"/>
      <c r="N127" s="115"/>
      <c r="O127" s="78"/>
      <c r="P127" s="121"/>
      <c r="Q127" s="115"/>
      <c r="R127" s="122"/>
      <c r="S127" s="122"/>
      <c r="T127" s="122"/>
      <c r="U127" s="122"/>
      <c r="V127" s="122"/>
      <c r="W127" s="122"/>
      <c r="X127" s="128"/>
      <c r="Y127" s="128"/>
      <c r="Z127" s="128"/>
      <c r="AA127" s="122"/>
      <c r="AB127" s="122"/>
      <c r="AC127" s="122"/>
      <c r="AD127" s="122"/>
      <c r="AE127" s="118"/>
      <c r="AF127" s="77"/>
      <c r="AG127" s="76"/>
    </row>
    <row r="128" spans="2:33" x14ac:dyDescent="0.25">
      <c r="B128" s="182"/>
      <c r="C128" s="116"/>
      <c r="D128" s="117"/>
      <c r="E128" s="118"/>
      <c r="F128" s="126"/>
      <c r="G128" s="127"/>
      <c r="H128" s="119"/>
      <c r="I128" s="119"/>
      <c r="J128" s="115"/>
      <c r="K128" s="80"/>
      <c r="L128" s="120"/>
      <c r="M128" s="8"/>
      <c r="N128" s="115"/>
      <c r="O128" s="78"/>
      <c r="P128" s="121"/>
      <c r="Q128" s="115"/>
      <c r="R128" s="122"/>
      <c r="S128" s="122"/>
      <c r="T128" s="122"/>
      <c r="U128" s="122"/>
      <c r="V128" s="122"/>
      <c r="W128" s="122"/>
      <c r="X128" s="128"/>
      <c r="Y128" s="128"/>
      <c r="Z128" s="128"/>
      <c r="AA128" s="122"/>
      <c r="AB128" s="122"/>
      <c r="AC128" s="122"/>
      <c r="AD128" s="122"/>
      <c r="AE128" s="118"/>
      <c r="AF128" s="77"/>
      <c r="AG128" s="76"/>
    </row>
    <row r="129" spans="2:33" x14ac:dyDescent="0.25">
      <c r="B129" s="182"/>
      <c r="C129" s="116"/>
      <c r="D129" s="117"/>
      <c r="E129" s="118"/>
      <c r="F129" s="126"/>
      <c r="G129" s="127"/>
      <c r="H129" s="119"/>
      <c r="I129" s="119"/>
      <c r="J129" s="115"/>
      <c r="K129" s="80"/>
      <c r="L129" s="120"/>
      <c r="M129" s="8"/>
      <c r="N129" s="115"/>
      <c r="O129" s="78"/>
      <c r="P129" s="121"/>
      <c r="Q129" s="115"/>
      <c r="R129" s="122"/>
      <c r="S129" s="122"/>
      <c r="T129" s="122"/>
      <c r="U129" s="122"/>
      <c r="V129" s="122"/>
      <c r="W129" s="122"/>
      <c r="X129" s="128"/>
      <c r="Y129" s="128"/>
      <c r="Z129" s="128"/>
      <c r="AA129" s="122"/>
      <c r="AB129" s="122"/>
      <c r="AC129" s="122"/>
      <c r="AD129" s="122"/>
      <c r="AE129" s="118"/>
      <c r="AF129" s="77"/>
      <c r="AG129" s="76"/>
    </row>
    <row r="130" spans="2:33" x14ac:dyDescent="0.25">
      <c r="B130" s="182"/>
      <c r="C130" s="116"/>
      <c r="D130" s="117"/>
      <c r="E130" s="118"/>
      <c r="F130" s="126"/>
      <c r="G130" s="127"/>
      <c r="H130" s="119"/>
      <c r="I130" s="119"/>
      <c r="J130" s="115"/>
      <c r="K130" s="80"/>
      <c r="L130" s="120"/>
      <c r="M130" s="8"/>
      <c r="N130" s="115"/>
      <c r="O130" s="78"/>
      <c r="P130" s="121"/>
      <c r="Q130" s="115"/>
      <c r="R130" s="122"/>
      <c r="S130" s="122"/>
      <c r="T130" s="122"/>
      <c r="U130" s="122"/>
      <c r="V130" s="122"/>
      <c r="W130" s="122"/>
      <c r="X130" s="128"/>
      <c r="Y130" s="128"/>
      <c r="Z130" s="128"/>
      <c r="AA130" s="122"/>
      <c r="AB130" s="122"/>
      <c r="AC130" s="122"/>
      <c r="AD130" s="122"/>
      <c r="AE130" s="118"/>
      <c r="AF130" s="77"/>
      <c r="AG130" s="76"/>
    </row>
    <row r="131" spans="2:33" x14ac:dyDescent="0.25">
      <c r="B131" s="182"/>
      <c r="C131" s="116"/>
      <c r="D131" s="117"/>
      <c r="E131" s="118"/>
      <c r="F131" s="126"/>
      <c r="G131" s="127"/>
      <c r="H131" s="119"/>
      <c r="I131" s="119"/>
      <c r="J131" s="115"/>
      <c r="K131" s="80"/>
      <c r="L131" s="120"/>
      <c r="M131" s="8"/>
      <c r="N131" s="115"/>
      <c r="O131" s="78"/>
      <c r="P131" s="121"/>
      <c r="Q131" s="115"/>
      <c r="R131" s="122"/>
      <c r="S131" s="122"/>
      <c r="T131" s="122"/>
      <c r="U131" s="122"/>
      <c r="V131" s="122"/>
      <c r="W131" s="122"/>
      <c r="X131" s="128"/>
      <c r="Y131" s="128"/>
      <c r="Z131" s="128"/>
      <c r="AA131" s="122"/>
      <c r="AB131" s="122"/>
      <c r="AC131" s="122"/>
      <c r="AD131" s="122"/>
      <c r="AE131" s="118"/>
      <c r="AF131" s="77"/>
      <c r="AG131" s="76"/>
    </row>
    <row r="132" spans="2:33" x14ac:dyDescent="0.25">
      <c r="B132" s="182"/>
      <c r="C132" s="116"/>
      <c r="D132" s="117"/>
      <c r="E132" s="118"/>
      <c r="F132" s="126"/>
      <c r="G132" s="127"/>
      <c r="H132" s="119"/>
      <c r="I132" s="119"/>
      <c r="J132" s="115"/>
      <c r="K132" s="80"/>
      <c r="L132" s="120"/>
      <c r="M132" s="8"/>
      <c r="N132" s="115"/>
      <c r="O132" s="78"/>
      <c r="P132" s="121"/>
      <c r="Q132" s="115"/>
      <c r="R132" s="122"/>
      <c r="S132" s="122"/>
      <c r="T132" s="122"/>
      <c r="U132" s="122"/>
      <c r="V132" s="122"/>
      <c r="W132" s="122"/>
      <c r="X132" s="128"/>
      <c r="Y132" s="128"/>
      <c r="Z132" s="128"/>
      <c r="AA132" s="122"/>
      <c r="AB132" s="122"/>
      <c r="AC132" s="122"/>
      <c r="AD132" s="122"/>
      <c r="AE132" s="118"/>
      <c r="AF132" s="77"/>
      <c r="AG132" s="76"/>
    </row>
    <row r="133" spans="2:33" x14ac:dyDescent="0.25">
      <c r="B133" s="182"/>
      <c r="C133" s="116"/>
      <c r="D133" s="117"/>
      <c r="E133" s="118"/>
      <c r="F133" s="126"/>
      <c r="G133" s="127"/>
      <c r="H133" s="119"/>
      <c r="I133" s="119"/>
      <c r="J133" s="115"/>
      <c r="K133" s="80"/>
      <c r="L133" s="120"/>
      <c r="M133" s="8"/>
      <c r="N133" s="115"/>
      <c r="O133" s="78"/>
      <c r="P133" s="121"/>
      <c r="Q133" s="115"/>
      <c r="R133" s="122"/>
      <c r="S133" s="122"/>
      <c r="T133" s="122"/>
      <c r="U133" s="122"/>
      <c r="V133" s="122"/>
      <c r="W133" s="122"/>
      <c r="X133" s="128"/>
      <c r="Y133" s="128"/>
      <c r="Z133" s="128"/>
      <c r="AA133" s="122"/>
      <c r="AB133" s="122"/>
      <c r="AC133" s="122"/>
      <c r="AD133" s="122"/>
      <c r="AE133" s="118"/>
      <c r="AF133" s="77"/>
      <c r="AG133" s="76"/>
    </row>
    <row r="134" spans="2:33" x14ac:dyDescent="0.25">
      <c r="B134" s="182"/>
      <c r="C134" s="116"/>
      <c r="D134" s="117"/>
      <c r="E134" s="118"/>
      <c r="F134" s="126"/>
      <c r="G134" s="127"/>
      <c r="H134" s="119"/>
      <c r="I134" s="119"/>
      <c r="J134" s="115"/>
      <c r="K134" s="80"/>
      <c r="L134" s="120"/>
      <c r="M134" s="8"/>
      <c r="N134" s="115"/>
      <c r="O134" s="78"/>
      <c r="P134" s="121"/>
      <c r="Q134" s="115"/>
      <c r="R134" s="122"/>
      <c r="S134" s="122"/>
      <c r="T134" s="122"/>
      <c r="U134" s="122"/>
      <c r="V134" s="122"/>
      <c r="W134" s="122"/>
      <c r="X134" s="128"/>
      <c r="Y134" s="128"/>
      <c r="Z134" s="128"/>
      <c r="AA134" s="122"/>
      <c r="AB134" s="122"/>
      <c r="AC134" s="122"/>
      <c r="AD134" s="122"/>
      <c r="AE134" s="118"/>
      <c r="AF134" s="77"/>
      <c r="AG134" s="76"/>
    </row>
    <row r="135" spans="2:33" x14ac:dyDescent="0.25">
      <c r="B135" s="182"/>
      <c r="C135" s="116"/>
      <c r="D135" s="117"/>
      <c r="E135" s="118"/>
      <c r="F135" s="126"/>
      <c r="G135" s="127"/>
      <c r="H135" s="119"/>
      <c r="I135" s="119"/>
      <c r="J135" s="115"/>
      <c r="K135" s="80"/>
      <c r="L135" s="120"/>
      <c r="M135" s="8"/>
      <c r="N135" s="115"/>
      <c r="O135" s="78"/>
      <c r="P135" s="121"/>
      <c r="Q135" s="115"/>
      <c r="R135" s="122"/>
      <c r="S135" s="122"/>
      <c r="T135" s="122"/>
      <c r="U135" s="122"/>
      <c r="V135" s="122"/>
      <c r="W135" s="122"/>
      <c r="X135" s="128"/>
      <c r="Y135" s="128"/>
      <c r="Z135" s="128"/>
      <c r="AA135" s="122"/>
      <c r="AB135" s="122"/>
      <c r="AC135" s="122"/>
      <c r="AD135" s="122"/>
      <c r="AE135" s="118"/>
      <c r="AF135" s="77"/>
      <c r="AG135" s="76"/>
    </row>
    <row r="136" spans="2:33" x14ac:dyDescent="0.25">
      <c r="B136" s="182"/>
      <c r="C136" s="116"/>
      <c r="D136" s="117"/>
      <c r="E136" s="118"/>
      <c r="F136" s="126"/>
      <c r="G136" s="127"/>
      <c r="H136" s="119"/>
      <c r="I136" s="119"/>
      <c r="J136" s="115"/>
      <c r="K136" s="80"/>
      <c r="L136" s="120"/>
      <c r="M136" s="8"/>
      <c r="N136" s="115"/>
      <c r="O136" s="78"/>
      <c r="P136" s="121"/>
      <c r="Q136" s="115"/>
      <c r="R136" s="122"/>
      <c r="S136" s="122"/>
      <c r="T136" s="122"/>
      <c r="U136" s="122"/>
      <c r="V136" s="122"/>
      <c r="W136" s="122"/>
      <c r="X136" s="128"/>
      <c r="Y136" s="128"/>
      <c r="Z136" s="128"/>
      <c r="AA136" s="122"/>
      <c r="AB136" s="122"/>
      <c r="AC136" s="122"/>
      <c r="AD136" s="122"/>
      <c r="AE136" s="118"/>
      <c r="AF136" s="77"/>
      <c r="AG136" s="76"/>
    </row>
    <row r="137" spans="2:33" x14ac:dyDescent="0.25">
      <c r="B137" s="182"/>
      <c r="C137" s="116"/>
      <c r="D137" s="117"/>
      <c r="E137" s="118"/>
      <c r="F137" s="126"/>
      <c r="G137" s="127"/>
      <c r="H137" s="119"/>
      <c r="I137" s="119"/>
      <c r="J137" s="115"/>
      <c r="K137" s="80"/>
      <c r="L137" s="120"/>
      <c r="M137" s="8"/>
      <c r="N137" s="115"/>
      <c r="O137" s="78"/>
      <c r="P137" s="121"/>
      <c r="Q137" s="115"/>
      <c r="R137" s="122"/>
      <c r="S137" s="122"/>
      <c r="T137" s="122"/>
      <c r="U137" s="122"/>
      <c r="V137" s="122"/>
      <c r="W137" s="122"/>
      <c r="X137" s="128"/>
      <c r="Y137" s="128"/>
      <c r="Z137" s="128"/>
      <c r="AA137" s="122"/>
      <c r="AB137" s="122"/>
      <c r="AC137" s="122"/>
      <c r="AD137" s="122"/>
      <c r="AE137" s="118"/>
      <c r="AF137" s="77"/>
      <c r="AG137" s="76"/>
    </row>
    <row r="138" spans="2:33" x14ac:dyDescent="0.25">
      <c r="B138" s="182"/>
      <c r="C138" s="116"/>
      <c r="D138" s="117"/>
      <c r="E138" s="118"/>
      <c r="F138" s="126"/>
      <c r="G138" s="127"/>
      <c r="H138" s="119"/>
      <c r="I138" s="119"/>
      <c r="J138" s="115"/>
      <c r="K138" s="80"/>
      <c r="L138" s="120"/>
      <c r="M138" s="8"/>
      <c r="N138" s="115"/>
      <c r="O138" s="78"/>
      <c r="P138" s="121"/>
      <c r="Q138" s="115"/>
      <c r="R138" s="122"/>
      <c r="S138" s="122"/>
      <c r="T138" s="122"/>
      <c r="U138" s="122"/>
      <c r="V138" s="122"/>
      <c r="W138" s="122"/>
      <c r="X138" s="128"/>
      <c r="Y138" s="128"/>
      <c r="Z138" s="128"/>
      <c r="AA138" s="122"/>
      <c r="AB138" s="122"/>
      <c r="AC138" s="122"/>
      <c r="AD138" s="122"/>
      <c r="AE138" s="118"/>
      <c r="AF138" s="77"/>
      <c r="AG138" s="76"/>
    </row>
    <row r="139" spans="2:33" x14ac:dyDescent="0.25">
      <c r="B139" s="182"/>
      <c r="C139" s="116"/>
      <c r="D139" s="117"/>
      <c r="E139" s="118"/>
      <c r="F139" s="126"/>
      <c r="G139" s="127"/>
      <c r="H139" s="119"/>
      <c r="I139" s="119"/>
      <c r="J139" s="115"/>
      <c r="K139" s="80"/>
      <c r="L139" s="120"/>
      <c r="M139" s="8"/>
      <c r="N139" s="115"/>
      <c r="O139" s="78"/>
      <c r="P139" s="121"/>
      <c r="Q139" s="115"/>
      <c r="R139" s="122"/>
      <c r="S139" s="122"/>
      <c r="T139" s="122"/>
      <c r="U139" s="122"/>
      <c r="V139" s="122"/>
      <c r="W139" s="122"/>
      <c r="X139" s="128"/>
      <c r="Y139" s="128"/>
      <c r="Z139" s="128"/>
      <c r="AA139" s="122"/>
      <c r="AB139" s="122"/>
      <c r="AC139" s="122"/>
      <c r="AD139" s="122"/>
      <c r="AE139" s="118"/>
      <c r="AF139" s="77"/>
      <c r="AG139" s="76"/>
    </row>
    <row r="140" spans="2:33" x14ac:dyDescent="0.25">
      <c r="B140" s="182"/>
      <c r="C140" s="116"/>
      <c r="D140" s="117"/>
      <c r="E140" s="118"/>
      <c r="F140" s="126"/>
      <c r="G140" s="127"/>
      <c r="H140" s="119"/>
      <c r="I140" s="119"/>
      <c r="J140" s="115"/>
      <c r="K140" s="80"/>
      <c r="L140" s="120"/>
      <c r="M140" s="8"/>
      <c r="N140" s="115"/>
      <c r="O140" s="78"/>
      <c r="P140" s="121"/>
      <c r="Q140" s="115"/>
      <c r="R140" s="122"/>
      <c r="S140" s="122"/>
      <c r="T140" s="122"/>
      <c r="U140" s="122"/>
      <c r="V140" s="122"/>
      <c r="W140" s="122"/>
      <c r="X140" s="128"/>
      <c r="Y140" s="128"/>
      <c r="Z140" s="128"/>
      <c r="AA140" s="122"/>
      <c r="AB140" s="122"/>
      <c r="AC140" s="122"/>
      <c r="AD140" s="122"/>
      <c r="AE140" s="118"/>
      <c r="AF140" s="77"/>
      <c r="AG140" s="76"/>
    </row>
    <row r="141" spans="2:33" x14ac:dyDescent="0.25">
      <c r="B141" s="182"/>
      <c r="C141" s="116"/>
      <c r="D141" s="117"/>
      <c r="E141" s="118"/>
      <c r="F141" s="126"/>
      <c r="G141" s="127"/>
      <c r="H141" s="119"/>
      <c r="I141" s="119"/>
      <c r="J141" s="115"/>
      <c r="K141" s="80"/>
      <c r="L141" s="120"/>
      <c r="M141" s="8"/>
      <c r="N141" s="115"/>
      <c r="O141" s="78"/>
      <c r="P141" s="121"/>
      <c r="Q141" s="115"/>
      <c r="R141" s="122"/>
      <c r="S141" s="122"/>
      <c r="T141" s="122"/>
      <c r="U141" s="122"/>
      <c r="V141" s="122"/>
      <c r="W141" s="122"/>
      <c r="X141" s="128"/>
      <c r="Y141" s="128"/>
      <c r="Z141" s="128"/>
      <c r="AA141" s="122"/>
      <c r="AB141" s="122"/>
      <c r="AC141" s="122"/>
      <c r="AD141" s="122"/>
      <c r="AE141" s="118"/>
      <c r="AF141" s="77"/>
      <c r="AG141" s="76"/>
    </row>
    <row r="142" spans="2:33" x14ac:dyDescent="0.25">
      <c r="B142" s="182"/>
      <c r="C142" s="116"/>
      <c r="D142" s="117"/>
      <c r="E142" s="118"/>
      <c r="F142" s="126"/>
      <c r="G142" s="127"/>
      <c r="H142" s="119"/>
      <c r="I142" s="119"/>
      <c r="J142" s="115"/>
      <c r="K142" s="80"/>
      <c r="L142" s="120"/>
      <c r="M142" s="8"/>
      <c r="N142" s="115"/>
      <c r="O142" s="78"/>
      <c r="P142" s="121"/>
      <c r="Q142" s="115"/>
      <c r="R142" s="122"/>
      <c r="S142" s="122"/>
      <c r="T142" s="122"/>
      <c r="U142" s="122"/>
      <c r="V142" s="122"/>
      <c r="W142" s="122"/>
      <c r="X142" s="128"/>
      <c r="Y142" s="128"/>
      <c r="Z142" s="128"/>
      <c r="AA142" s="122"/>
      <c r="AB142" s="122"/>
      <c r="AC142" s="122"/>
      <c r="AD142" s="122"/>
      <c r="AE142" s="118"/>
      <c r="AF142" s="77"/>
      <c r="AG142" s="76"/>
    </row>
    <row r="143" spans="2:33" x14ac:dyDescent="0.25">
      <c r="B143" s="182"/>
      <c r="C143" s="116"/>
      <c r="D143" s="117"/>
      <c r="E143" s="118"/>
      <c r="F143" s="126"/>
      <c r="G143" s="127"/>
      <c r="H143" s="119"/>
      <c r="I143" s="119"/>
      <c r="J143" s="115"/>
      <c r="K143" s="80"/>
      <c r="L143" s="120"/>
      <c r="M143" s="8"/>
      <c r="N143" s="115"/>
      <c r="O143" s="78"/>
      <c r="P143" s="121"/>
      <c r="Q143" s="115"/>
      <c r="R143" s="122"/>
      <c r="S143" s="122"/>
      <c r="T143" s="122"/>
      <c r="U143" s="122"/>
      <c r="V143" s="122"/>
      <c r="W143" s="122"/>
      <c r="X143" s="128"/>
      <c r="Y143" s="128"/>
      <c r="Z143" s="128"/>
      <c r="AA143" s="122"/>
      <c r="AB143" s="122"/>
      <c r="AC143" s="122"/>
      <c r="AD143" s="122"/>
      <c r="AE143" s="118"/>
      <c r="AF143" s="77"/>
      <c r="AG143" s="76"/>
    </row>
    <row r="144" spans="2:33" x14ac:dyDescent="0.25">
      <c r="B144" s="182"/>
      <c r="C144" s="116"/>
      <c r="D144" s="117"/>
      <c r="E144" s="118"/>
      <c r="F144" s="126"/>
      <c r="G144" s="127"/>
      <c r="H144" s="119"/>
      <c r="I144" s="119"/>
      <c r="J144" s="115"/>
      <c r="K144" s="80"/>
      <c r="L144" s="120"/>
      <c r="M144" s="8"/>
      <c r="N144" s="115"/>
      <c r="O144" s="78"/>
      <c r="P144" s="121"/>
      <c r="Q144" s="115"/>
      <c r="R144" s="122"/>
      <c r="S144" s="122"/>
      <c r="T144" s="122"/>
      <c r="U144" s="122"/>
      <c r="V144" s="122"/>
      <c r="W144" s="122"/>
      <c r="X144" s="128"/>
      <c r="Y144" s="128"/>
      <c r="Z144" s="128"/>
      <c r="AA144" s="122"/>
      <c r="AB144" s="122"/>
      <c r="AC144" s="122"/>
      <c r="AD144" s="122"/>
      <c r="AE144" s="118"/>
      <c r="AF144" s="77"/>
      <c r="AG144" s="76"/>
    </row>
    <row r="145" spans="2:33" x14ac:dyDescent="0.25">
      <c r="B145" s="182"/>
      <c r="C145" s="116"/>
      <c r="D145" s="117"/>
      <c r="E145" s="118"/>
      <c r="F145" s="126"/>
      <c r="G145" s="127"/>
      <c r="H145" s="119"/>
      <c r="I145" s="119"/>
      <c r="J145" s="115"/>
      <c r="K145" s="80"/>
      <c r="L145" s="120"/>
      <c r="M145" s="8"/>
      <c r="N145" s="115"/>
      <c r="O145" s="78"/>
      <c r="P145" s="121"/>
      <c r="Q145" s="115"/>
      <c r="R145" s="122"/>
      <c r="S145" s="122"/>
      <c r="T145" s="122"/>
      <c r="U145" s="122"/>
      <c r="V145" s="122"/>
      <c r="W145" s="122"/>
      <c r="X145" s="128"/>
      <c r="Y145" s="128"/>
      <c r="Z145" s="128"/>
      <c r="AA145" s="122"/>
      <c r="AB145" s="122"/>
      <c r="AC145" s="122"/>
      <c r="AD145" s="122"/>
      <c r="AE145" s="118"/>
      <c r="AF145" s="77"/>
      <c r="AG145" s="76"/>
    </row>
    <row r="146" spans="2:33" x14ac:dyDescent="0.25">
      <c r="B146" s="182"/>
      <c r="C146" s="116"/>
      <c r="D146" s="117"/>
      <c r="E146" s="118"/>
      <c r="F146" s="126"/>
      <c r="G146" s="127"/>
      <c r="H146" s="119"/>
      <c r="I146" s="119"/>
      <c r="J146" s="115"/>
      <c r="K146" s="80"/>
      <c r="L146" s="120"/>
      <c r="M146" s="8"/>
      <c r="N146" s="115"/>
      <c r="O146" s="78"/>
      <c r="P146" s="121"/>
      <c r="Q146" s="115"/>
      <c r="R146" s="122"/>
      <c r="S146" s="122"/>
      <c r="T146" s="122"/>
      <c r="U146" s="122"/>
      <c r="V146" s="122"/>
      <c r="W146" s="122"/>
      <c r="X146" s="128"/>
      <c r="Y146" s="128"/>
      <c r="Z146" s="128"/>
      <c r="AA146" s="122"/>
      <c r="AB146" s="122"/>
      <c r="AC146" s="122"/>
      <c r="AD146" s="122"/>
      <c r="AE146" s="118"/>
      <c r="AF146" s="77"/>
      <c r="AG146" s="76"/>
    </row>
    <row r="147" spans="2:33" x14ac:dyDescent="0.25">
      <c r="B147" s="182"/>
      <c r="C147" s="116"/>
      <c r="D147" s="117"/>
      <c r="E147" s="118"/>
      <c r="F147" s="126"/>
      <c r="G147" s="127"/>
      <c r="H147" s="119"/>
      <c r="I147" s="119"/>
      <c r="J147" s="115"/>
      <c r="K147" s="80"/>
      <c r="L147" s="120"/>
      <c r="M147" s="8"/>
      <c r="N147" s="115"/>
      <c r="O147" s="78"/>
      <c r="P147" s="121"/>
      <c r="Q147" s="115"/>
      <c r="R147" s="122"/>
      <c r="S147" s="122"/>
      <c r="T147" s="122"/>
      <c r="U147" s="122"/>
      <c r="V147" s="122"/>
      <c r="W147" s="122"/>
      <c r="X147" s="128"/>
      <c r="Y147" s="128"/>
      <c r="Z147" s="128"/>
      <c r="AA147" s="122"/>
      <c r="AB147" s="122"/>
      <c r="AC147" s="122"/>
      <c r="AD147" s="122"/>
      <c r="AE147" s="118"/>
      <c r="AF147" s="77"/>
      <c r="AG147" s="76"/>
    </row>
    <row r="148" spans="2:33" x14ac:dyDescent="0.25">
      <c r="B148" s="182"/>
      <c r="C148" s="116"/>
      <c r="D148" s="117"/>
      <c r="E148" s="118"/>
      <c r="F148" s="126"/>
      <c r="G148" s="127"/>
      <c r="H148" s="119"/>
      <c r="I148" s="119"/>
      <c r="J148" s="115"/>
      <c r="K148" s="80"/>
      <c r="L148" s="120"/>
      <c r="M148" s="8"/>
      <c r="N148" s="115"/>
      <c r="O148" s="78"/>
      <c r="P148" s="121"/>
      <c r="Q148" s="115"/>
      <c r="R148" s="122"/>
      <c r="S148" s="122"/>
      <c r="T148" s="122"/>
      <c r="U148" s="122"/>
      <c r="V148" s="122"/>
      <c r="W148" s="122"/>
      <c r="X148" s="128"/>
      <c r="Y148" s="128"/>
      <c r="Z148" s="128"/>
      <c r="AA148" s="122"/>
      <c r="AB148" s="122"/>
      <c r="AC148" s="122"/>
      <c r="AD148" s="122"/>
      <c r="AE148" s="118"/>
      <c r="AF148" s="77"/>
      <c r="AG148" s="76"/>
    </row>
    <row r="149" spans="2:33" x14ac:dyDescent="0.25">
      <c r="B149" s="182"/>
      <c r="C149" s="116"/>
      <c r="D149" s="117"/>
      <c r="E149" s="118"/>
      <c r="F149" s="126"/>
      <c r="G149" s="127"/>
      <c r="H149" s="119"/>
      <c r="I149" s="119"/>
      <c r="J149" s="115"/>
      <c r="K149" s="80"/>
      <c r="L149" s="120"/>
      <c r="M149" s="8"/>
      <c r="N149" s="115"/>
      <c r="O149" s="78"/>
      <c r="P149" s="121"/>
      <c r="Q149" s="115"/>
      <c r="R149" s="122"/>
      <c r="S149" s="122"/>
      <c r="T149" s="122"/>
      <c r="U149" s="122"/>
      <c r="V149" s="122"/>
      <c r="W149" s="122"/>
      <c r="X149" s="128"/>
      <c r="Y149" s="128"/>
      <c r="Z149" s="128"/>
      <c r="AA149" s="122"/>
      <c r="AB149" s="122"/>
      <c r="AC149" s="122"/>
      <c r="AD149" s="122"/>
      <c r="AE149" s="118"/>
      <c r="AF149" s="77"/>
      <c r="AG149" s="76"/>
    </row>
    <row r="150" spans="2:33" x14ac:dyDescent="0.25">
      <c r="B150" s="182"/>
      <c r="C150" s="116"/>
      <c r="D150" s="117"/>
      <c r="E150" s="118"/>
      <c r="F150" s="126"/>
      <c r="G150" s="127"/>
      <c r="H150" s="119"/>
      <c r="I150" s="119"/>
      <c r="J150" s="115"/>
      <c r="K150" s="80"/>
      <c r="L150" s="120"/>
      <c r="M150" s="8"/>
      <c r="N150" s="115"/>
      <c r="O150" s="78"/>
      <c r="P150" s="121"/>
      <c r="Q150" s="115"/>
      <c r="R150" s="122"/>
      <c r="S150" s="122"/>
      <c r="T150" s="122"/>
      <c r="U150" s="122"/>
      <c r="V150" s="122"/>
      <c r="W150" s="122"/>
      <c r="X150" s="128"/>
      <c r="Y150" s="128"/>
      <c r="Z150" s="128"/>
      <c r="AA150" s="122"/>
      <c r="AB150" s="122"/>
      <c r="AC150" s="122"/>
      <c r="AD150" s="122"/>
      <c r="AE150" s="118"/>
      <c r="AF150" s="77"/>
      <c r="AG150" s="76"/>
    </row>
    <row r="151" spans="2:33" x14ac:dyDescent="0.25">
      <c r="B151" s="182"/>
      <c r="C151" s="116"/>
      <c r="D151" s="117"/>
      <c r="E151" s="118"/>
      <c r="F151" s="126"/>
      <c r="G151" s="127"/>
      <c r="H151" s="119"/>
      <c r="I151" s="119"/>
      <c r="J151" s="115"/>
      <c r="K151" s="80"/>
      <c r="L151" s="120"/>
      <c r="M151" s="8"/>
      <c r="N151" s="115"/>
      <c r="O151" s="78"/>
      <c r="P151" s="121"/>
      <c r="Q151" s="115"/>
      <c r="R151" s="122"/>
      <c r="S151" s="122"/>
      <c r="T151" s="122"/>
      <c r="U151" s="122"/>
      <c r="V151" s="122"/>
      <c r="W151" s="122"/>
      <c r="X151" s="128"/>
      <c r="Y151" s="128"/>
      <c r="Z151" s="128"/>
      <c r="AA151" s="122"/>
      <c r="AB151" s="122"/>
      <c r="AC151" s="122"/>
      <c r="AD151" s="122"/>
      <c r="AE151" s="118"/>
      <c r="AF151" s="77"/>
      <c r="AG151" s="76"/>
    </row>
    <row r="152" spans="2:33" x14ac:dyDescent="0.25">
      <c r="B152" s="182"/>
      <c r="C152" s="116"/>
      <c r="D152" s="117"/>
      <c r="E152" s="118"/>
      <c r="F152" s="126"/>
      <c r="G152" s="127"/>
      <c r="H152" s="119"/>
      <c r="I152" s="119"/>
      <c r="J152" s="115"/>
      <c r="K152" s="80"/>
      <c r="L152" s="120"/>
      <c r="M152" s="8"/>
      <c r="N152" s="115"/>
      <c r="O152" s="78"/>
      <c r="P152" s="121"/>
      <c r="Q152" s="115"/>
      <c r="R152" s="122"/>
      <c r="S152" s="122"/>
      <c r="T152" s="122"/>
      <c r="U152" s="122"/>
      <c r="V152" s="122"/>
      <c r="W152" s="122"/>
      <c r="X152" s="128"/>
      <c r="Y152" s="128"/>
      <c r="Z152" s="128"/>
      <c r="AA152" s="122"/>
      <c r="AB152" s="122"/>
      <c r="AC152" s="122"/>
      <c r="AD152" s="122"/>
      <c r="AE152" s="118"/>
      <c r="AF152" s="77"/>
      <c r="AG152" s="76"/>
    </row>
    <row r="153" spans="2:33" x14ac:dyDescent="0.25">
      <c r="B153" s="182"/>
      <c r="C153" s="116"/>
      <c r="D153" s="117"/>
      <c r="E153" s="118"/>
      <c r="F153" s="126"/>
      <c r="G153" s="127"/>
      <c r="H153" s="119"/>
      <c r="I153" s="119"/>
      <c r="J153" s="115"/>
      <c r="K153" s="80"/>
      <c r="L153" s="120"/>
      <c r="M153" s="8"/>
      <c r="N153" s="115"/>
      <c r="O153" s="78"/>
      <c r="P153" s="121"/>
      <c r="Q153" s="115"/>
      <c r="R153" s="122"/>
      <c r="S153" s="122"/>
      <c r="T153" s="122"/>
      <c r="U153" s="122"/>
      <c r="V153" s="122"/>
      <c r="W153" s="122"/>
      <c r="X153" s="128"/>
      <c r="Y153" s="128"/>
      <c r="Z153" s="128"/>
      <c r="AA153" s="122"/>
      <c r="AB153" s="122"/>
      <c r="AC153" s="122"/>
      <c r="AD153" s="122"/>
      <c r="AE153" s="118"/>
      <c r="AF153" s="77"/>
      <c r="AG153" s="76"/>
    </row>
    <row r="154" spans="2:33" x14ac:dyDescent="0.25">
      <c r="B154" s="182"/>
      <c r="C154" s="116"/>
      <c r="D154" s="117"/>
      <c r="E154" s="118"/>
      <c r="F154" s="126"/>
      <c r="G154" s="127"/>
      <c r="H154" s="119"/>
      <c r="I154" s="119"/>
      <c r="J154" s="115"/>
      <c r="K154" s="80"/>
      <c r="L154" s="120"/>
      <c r="M154" s="8"/>
      <c r="N154" s="115"/>
      <c r="O154" s="78"/>
      <c r="P154" s="121"/>
      <c r="Q154" s="115"/>
      <c r="R154" s="122"/>
      <c r="S154" s="122"/>
      <c r="T154" s="122"/>
      <c r="U154" s="122"/>
      <c r="V154" s="122"/>
      <c r="W154" s="122"/>
      <c r="X154" s="128"/>
      <c r="Y154" s="128"/>
      <c r="Z154" s="128"/>
      <c r="AA154" s="122"/>
      <c r="AB154" s="122"/>
      <c r="AC154" s="122"/>
      <c r="AD154" s="122"/>
      <c r="AE154" s="118"/>
      <c r="AF154" s="77"/>
      <c r="AG154" s="76"/>
    </row>
    <row r="155" spans="2:33" x14ac:dyDescent="0.25">
      <c r="B155" s="182"/>
      <c r="C155" s="116"/>
      <c r="D155" s="117"/>
      <c r="E155" s="118"/>
      <c r="F155" s="126"/>
      <c r="G155" s="127"/>
      <c r="H155" s="119"/>
      <c r="I155" s="119"/>
      <c r="J155" s="115"/>
      <c r="K155" s="80"/>
      <c r="L155" s="120"/>
      <c r="M155" s="8"/>
      <c r="N155" s="115"/>
      <c r="O155" s="78"/>
      <c r="P155" s="121"/>
      <c r="Q155" s="115"/>
      <c r="R155" s="122"/>
      <c r="S155" s="122"/>
      <c r="T155" s="122"/>
      <c r="U155" s="122"/>
      <c r="V155" s="122"/>
      <c r="W155" s="122"/>
      <c r="X155" s="128"/>
      <c r="Y155" s="128"/>
      <c r="Z155" s="128"/>
      <c r="AA155" s="122"/>
      <c r="AB155" s="122"/>
      <c r="AC155" s="122"/>
      <c r="AD155" s="122"/>
      <c r="AE155" s="118"/>
      <c r="AF155" s="77"/>
      <c r="AG155" s="76"/>
    </row>
    <row r="156" spans="2:33" x14ac:dyDescent="0.25">
      <c r="B156" s="182"/>
      <c r="C156" s="116"/>
      <c r="D156" s="117"/>
      <c r="E156" s="118"/>
      <c r="F156" s="126"/>
      <c r="G156" s="127"/>
      <c r="H156" s="119"/>
      <c r="I156" s="119"/>
      <c r="J156" s="115"/>
      <c r="K156" s="80"/>
      <c r="L156" s="120"/>
      <c r="M156" s="8"/>
      <c r="N156" s="115"/>
      <c r="O156" s="78"/>
      <c r="P156" s="121"/>
      <c r="Q156" s="115"/>
      <c r="R156" s="122"/>
      <c r="S156" s="122"/>
      <c r="T156" s="122"/>
      <c r="U156" s="122"/>
      <c r="V156" s="122"/>
      <c r="W156" s="122"/>
      <c r="X156" s="128"/>
      <c r="Y156" s="128"/>
      <c r="Z156" s="128"/>
      <c r="AA156" s="122"/>
      <c r="AB156" s="122"/>
      <c r="AC156" s="122"/>
      <c r="AD156" s="122"/>
      <c r="AE156" s="118"/>
      <c r="AF156" s="77"/>
      <c r="AG156" s="76"/>
    </row>
    <row r="157" spans="2:33" x14ac:dyDescent="0.25">
      <c r="B157" s="182"/>
      <c r="C157" s="116"/>
      <c r="D157" s="117"/>
      <c r="E157" s="118"/>
      <c r="F157" s="126"/>
      <c r="G157" s="127"/>
      <c r="H157" s="119"/>
      <c r="I157" s="119"/>
      <c r="J157" s="115"/>
      <c r="K157" s="80"/>
      <c r="L157" s="120"/>
      <c r="M157" s="8"/>
      <c r="N157" s="115"/>
      <c r="O157" s="78"/>
      <c r="P157" s="121"/>
      <c r="Q157" s="115"/>
      <c r="R157" s="122"/>
      <c r="S157" s="122"/>
      <c r="T157" s="122"/>
      <c r="U157" s="122"/>
      <c r="V157" s="122"/>
      <c r="W157" s="122"/>
      <c r="X157" s="128"/>
      <c r="Y157" s="128"/>
      <c r="Z157" s="128"/>
      <c r="AA157" s="122"/>
      <c r="AB157" s="122"/>
      <c r="AC157" s="122"/>
      <c r="AD157" s="122"/>
      <c r="AE157" s="118"/>
      <c r="AF157" s="77"/>
      <c r="AG157" s="76"/>
    </row>
    <row r="158" spans="2:33" x14ac:dyDescent="0.25">
      <c r="B158" s="182"/>
      <c r="C158" s="116"/>
      <c r="D158" s="117"/>
      <c r="E158" s="118"/>
      <c r="F158" s="126"/>
      <c r="G158" s="127"/>
      <c r="H158" s="119"/>
      <c r="I158" s="119"/>
      <c r="J158" s="115"/>
      <c r="K158" s="80"/>
      <c r="L158" s="120"/>
      <c r="M158" s="8"/>
      <c r="N158" s="115"/>
      <c r="O158" s="78"/>
      <c r="P158" s="121"/>
      <c r="Q158" s="115"/>
      <c r="R158" s="122"/>
      <c r="S158" s="122"/>
      <c r="T158" s="122"/>
      <c r="U158" s="122"/>
      <c r="V158" s="122"/>
      <c r="W158" s="122"/>
      <c r="X158" s="128"/>
      <c r="Y158" s="128"/>
      <c r="Z158" s="128"/>
      <c r="AA158" s="122"/>
      <c r="AB158" s="122"/>
      <c r="AC158" s="122"/>
      <c r="AD158" s="122"/>
      <c r="AE158" s="118"/>
      <c r="AF158" s="77"/>
      <c r="AG158" s="76"/>
    </row>
    <row r="159" spans="2:33" x14ac:dyDescent="0.25">
      <c r="B159" s="182"/>
      <c r="C159" s="116"/>
      <c r="D159" s="117"/>
      <c r="E159" s="118"/>
      <c r="F159" s="126"/>
      <c r="G159" s="127"/>
      <c r="H159" s="119"/>
      <c r="I159" s="119"/>
      <c r="J159" s="115"/>
      <c r="K159" s="80"/>
      <c r="L159" s="120"/>
      <c r="M159" s="8"/>
      <c r="N159" s="115"/>
      <c r="O159" s="78"/>
      <c r="P159" s="121"/>
      <c r="Q159" s="115"/>
      <c r="R159" s="122"/>
      <c r="S159" s="122"/>
      <c r="T159" s="122"/>
      <c r="U159" s="122"/>
      <c r="V159" s="122"/>
      <c r="W159" s="122"/>
      <c r="X159" s="128"/>
      <c r="Y159" s="128"/>
      <c r="Z159" s="128"/>
      <c r="AA159" s="122"/>
      <c r="AB159" s="122"/>
      <c r="AC159" s="122"/>
      <c r="AD159" s="122"/>
      <c r="AE159" s="118"/>
      <c r="AF159" s="77"/>
      <c r="AG159" s="76"/>
    </row>
    <row r="160" spans="2:33" x14ac:dyDescent="0.25">
      <c r="B160" s="182"/>
      <c r="C160" s="116"/>
      <c r="D160" s="117"/>
      <c r="E160" s="118"/>
      <c r="F160" s="126"/>
      <c r="G160" s="127"/>
      <c r="H160" s="119"/>
      <c r="I160" s="119"/>
      <c r="J160" s="115"/>
      <c r="K160" s="80"/>
      <c r="L160" s="120"/>
      <c r="M160" s="8"/>
      <c r="N160" s="115"/>
      <c r="O160" s="78"/>
      <c r="P160" s="121"/>
      <c r="Q160" s="115"/>
      <c r="R160" s="122"/>
      <c r="S160" s="122"/>
      <c r="T160" s="122"/>
      <c r="U160" s="122"/>
      <c r="V160" s="122"/>
      <c r="W160" s="122"/>
      <c r="X160" s="128"/>
      <c r="Y160" s="128"/>
      <c r="Z160" s="128"/>
      <c r="AA160" s="122"/>
      <c r="AB160" s="122"/>
      <c r="AC160" s="122"/>
      <c r="AD160" s="122"/>
      <c r="AE160" s="118"/>
      <c r="AF160" s="77"/>
      <c r="AG160" s="76"/>
    </row>
    <row r="161" spans="2:33" x14ac:dyDescent="0.25">
      <c r="B161" s="182"/>
      <c r="C161" s="116"/>
      <c r="D161" s="117"/>
      <c r="E161" s="118"/>
      <c r="F161" s="126"/>
      <c r="G161" s="127"/>
      <c r="H161" s="119"/>
      <c r="I161" s="119"/>
      <c r="J161" s="115"/>
      <c r="K161" s="80"/>
      <c r="L161" s="120"/>
      <c r="M161" s="8"/>
      <c r="N161" s="115"/>
      <c r="O161" s="78"/>
      <c r="P161" s="121"/>
      <c r="Q161" s="115"/>
      <c r="R161" s="122"/>
      <c r="S161" s="122"/>
      <c r="T161" s="122"/>
      <c r="U161" s="122"/>
      <c r="V161" s="122"/>
      <c r="W161" s="122"/>
      <c r="X161" s="128"/>
      <c r="Y161" s="128"/>
      <c r="Z161" s="128"/>
      <c r="AA161" s="122"/>
      <c r="AB161" s="122"/>
      <c r="AC161" s="122"/>
      <c r="AD161" s="122"/>
      <c r="AE161" s="118"/>
      <c r="AF161" s="77"/>
      <c r="AG161" s="76"/>
    </row>
    <row r="162" spans="2:33" x14ac:dyDescent="0.25">
      <c r="B162" s="182"/>
      <c r="C162" s="116"/>
      <c r="D162" s="117"/>
      <c r="E162" s="118"/>
      <c r="F162" s="126"/>
      <c r="G162" s="127"/>
      <c r="H162" s="119"/>
      <c r="I162" s="119"/>
      <c r="J162" s="115"/>
      <c r="K162" s="80"/>
      <c r="L162" s="120"/>
      <c r="M162" s="8"/>
      <c r="N162" s="115"/>
      <c r="O162" s="78"/>
      <c r="P162" s="121"/>
      <c r="Q162" s="115"/>
      <c r="R162" s="122"/>
      <c r="S162" s="122"/>
      <c r="T162" s="122"/>
      <c r="U162" s="122"/>
      <c r="V162" s="122"/>
      <c r="W162" s="122"/>
      <c r="X162" s="128"/>
      <c r="Y162" s="128"/>
      <c r="Z162" s="128"/>
      <c r="AA162" s="122"/>
      <c r="AB162" s="122"/>
      <c r="AC162" s="122"/>
      <c r="AD162" s="122"/>
      <c r="AE162" s="118"/>
      <c r="AF162" s="77"/>
      <c r="AG162" s="76"/>
    </row>
    <row r="163" spans="2:33" x14ac:dyDescent="0.25">
      <c r="B163" s="182"/>
      <c r="C163" s="116"/>
      <c r="D163" s="117"/>
      <c r="E163" s="118"/>
      <c r="F163" s="126"/>
      <c r="G163" s="127"/>
      <c r="H163" s="119"/>
      <c r="I163" s="119"/>
      <c r="J163" s="115"/>
      <c r="K163" s="80"/>
      <c r="L163" s="120"/>
      <c r="M163" s="8"/>
      <c r="N163" s="115"/>
      <c r="O163" s="78"/>
      <c r="P163" s="121"/>
      <c r="Q163" s="115"/>
      <c r="R163" s="122"/>
      <c r="S163" s="122"/>
      <c r="T163" s="122"/>
      <c r="U163" s="122"/>
      <c r="V163" s="122"/>
      <c r="W163" s="122"/>
      <c r="X163" s="128"/>
      <c r="Y163" s="128"/>
      <c r="Z163" s="128"/>
      <c r="AA163" s="122"/>
      <c r="AB163" s="122"/>
      <c r="AC163" s="122"/>
      <c r="AD163" s="122"/>
      <c r="AE163" s="118"/>
      <c r="AF163" s="77"/>
      <c r="AG163" s="76"/>
    </row>
    <row r="164" spans="2:33" x14ac:dyDescent="0.25">
      <c r="B164" s="182"/>
      <c r="C164" s="116"/>
      <c r="D164" s="117"/>
      <c r="E164" s="118"/>
      <c r="F164" s="126"/>
      <c r="G164" s="127"/>
      <c r="H164" s="119"/>
      <c r="I164" s="119"/>
      <c r="J164" s="115"/>
      <c r="K164" s="80"/>
      <c r="L164" s="120"/>
      <c r="M164" s="8"/>
      <c r="N164" s="115"/>
      <c r="O164" s="78"/>
      <c r="P164" s="121"/>
      <c r="Q164" s="115"/>
      <c r="R164" s="122"/>
      <c r="S164" s="122"/>
      <c r="T164" s="122"/>
      <c r="U164" s="122"/>
      <c r="V164" s="122"/>
      <c r="W164" s="122"/>
      <c r="X164" s="128"/>
      <c r="Y164" s="128"/>
      <c r="Z164" s="128"/>
      <c r="AA164" s="122"/>
      <c r="AB164" s="122"/>
      <c r="AC164" s="122"/>
      <c r="AD164" s="122"/>
      <c r="AE164" s="118"/>
      <c r="AF164" s="77"/>
      <c r="AG164" s="76"/>
    </row>
    <row r="165" spans="2:33" x14ac:dyDescent="0.25">
      <c r="B165" s="182"/>
      <c r="C165" s="116"/>
      <c r="D165" s="117"/>
      <c r="E165" s="118"/>
      <c r="F165" s="126"/>
      <c r="G165" s="127"/>
      <c r="H165" s="119"/>
      <c r="I165" s="119"/>
      <c r="J165" s="115"/>
      <c r="K165" s="80"/>
      <c r="L165" s="120"/>
      <c r="M165" s="8"/>
      <c r="N165" s="115"/>
      <c r="O165" s="78"/>
      <c r="P165" s="121"/>
      <c r="Q165" s="115"/>
      <c r="R165" s="122"/>
      <c r="S165" s="122"/>
      <c r="T165" s="122"/>
      <c r="U165" s="122"/>
      <c r="V165" s="122"/>
      <c r="W165" s="122"/>
      <c r="X165" s="128"/>
      <c r="Y165" s="128"/>
      <c r="Z165" s="128"/>
      <c r="AA165" s="122"/>
      <c r="AB165" s="122"/>
      <c r="AC165" s="122"/>
      <c r="AD165" s="122"/>
      <c r="AE165" s="118"/>
      <c r="AF165" s="77"/>
      <c r="AG165" s="76"/>
    </row>
    <row r="166" spans="2:33" x14ac:dyDescent="0.25">
      <c r="B166" s="182"/>
      <c r="C166" s="116"/>
      <c r="D166" s="117"/>
      <c r="E166" s="118"/>
      <c r="F166" s="126"/>
      <c r="G166" s="127"/>
      <c r="H166" s="119"/>
      <c r="I166" s="119"/>
      <c r="J166" s="115"/>
      <c r="K166" s="80"/>
      <c r="L166" s="120"/>
      <c r="M166" s="8"/>
      <c r="N166" s="115"/>
      <c r="O166" s="78"/>
      <c r="P166" s="121"/>
      <c r="Q166" s="115"/>
      <c r="R166" s="122"/>
      <c r="S166" s="122"/>
      <c r="T166" s="122"/>
      <c r="U166" s="122"/>
      <c r="V166" s="122"/>
      <c r="W166" s="122"/>
      <c r="X166" s="128"/>
      <c r="Y166" s="128"/>
      <c r="Z166" s="128"/>
      <c r="AA166" s="122"/>
      <c r="AB166" s="122"/>
      <c r="AC166" s="122"/>
      <c r="AD166" s="122"/>
      <c r="AE166" s="118"/>
      <c r="AF166" s="77"/>
      <c r="AG166" s="76"/>
    </row>
    <row r="167" spans="2:33" x14ac:dyDescent="0.25">
      <c r="B167" s="182"/>
      <c r="C167" s="116"/>
      <c r="D167" s="117"/>
      <c r="E167" s="118"/>
      <c r="F167" s="126"/>
      <c r="G167" s="127"/>
      <c r="H167" s="119"/>
      <c r="I167" s="119"/>
      <c r="J167" s="115"/>
      <c r="K167" s="80"/>
      <c r="L167" s="120"/>
      <c r="M167" s="8"/>
      <c r="N167" s="115"/>
      <c r="O167" s="78"/>
      <c r="P167" s="121"/>
      <c r="Q167" s="115"/>
      <c r="R167" s="122"/>
      <c r="S167" s="122"/>
      <c r="T167" s="122"/>
      <c r="U167" s="122"/>
      <c r="V167" s="122"/>
      <c r="W167" s="122"/>
      <c r="X167" s="128"/>
      <c r="Y167" s="128"/>
      <c r="Z167" s="128"/>
      <c r="AA167" s="122"/>
      <c r="AB167" s="122"/>
      <c r="AC167" s="122"/>
      <c r="AD167" s="122"/>
      <c r="AE167" s="118"/>
      <c r="AF167" s="77"/>
      <c r="AG167" s="76"/>
    </row>
    <row r="168" spans="2:33" x14ac:dyDescent="0.25">
      <c r="B168" s="182"/>
      <c r="C168" s="116"/>
      <c r="D168" s="117"/>
      <c r="E168" s="118"/>
      <c r="F168" s="126"/>
      <c r="G168" s="127"/>
      <c r="H168" s="119"/>
      <c r="I168" s="119"/>
      <c r="J168" s="115"/>
      <c r="K168" s="80"/>
      <c r="L168" s="120"/>
      <c r="M168" s="8"/>
      <c r="N168" s="115"/>
      <c r="O168" s="78"/>
      <c r="P168" s="121"/>
      <c r="Q168" s="115"/>
      <c r="R168" s="122"/>
      <c r="S168" s="122"/>
      <c r="T168" s="122"/>
      <c r="U168" s="122"/>
      <c r="V168" s="122"/>
      <c r="W168" s="122"/>
      <c r="X168" s="128"/>
      <c r="Y168" s="128"/>
      <c r="Z168" s="128"/>
      <c r="AA168" s="122"/>
      <c r="AB168" s="122"/>
      <c r="AC168" s="122"/>
      <c r="AD168" s="122"/>
      <c r="AE168" s="118"/>
      <c r="AF168" s="77"/>
      <c r="AG168" s="76"/>
    </row>
    <row r="169" spans="2:33" x14ac:dyDescent="0.25">
      <c r="B169" s="182"/>
      <c r="C169" s="116"/>
      <c r="D169" s="117"/>
      <c r="E169" s="118"/>
      <c r="F169" s="126"/>
      <c r="G169" s="127"/>
      <c r="H169" s="119"/>
      <c r="I169" s="119"/>
      <c r="J169" s="115"/>
      <c r="K169" s="80"/>
      <c r="L169" s="120"/>
      <c r="M169" s="8"/>
      <c r="N169" s="115"/>
      <c r="O169" s="78"/>
      <c r="P169" s="121"/>
      <c r="Q169" s="115"/>
      <c r="R169" s="122"/>
      <c r="S169" s="122"/>
      <c r="T169" s="122"/>
      <c r="U169" s="122"/>
      <c r="V169" s="122"/>
      <c r="W169" s="122"/>
      <c r="X169" s="128"/>
      <c r="Y169" s="128"/>
      <c r="Z169" s="128"/>
      <c r="AA169" s="122"/>
      <c r="AB169" s="122"/>
      <c r="AC169" s="122"/>
      <c r="AD169" s="122"/>
      <c r="AE169" s="118"/>
      <c r="AF169" s="77"/>
      <c r="AG169" s="76"/>
    </row>
    <row r="170" spans="2:33" x14ac:dyDescent="0.25">
      <c r="B170" s="182"/>
      <c r="C170" s="116"/>
      <c r="D170" s="117"/>
      <c r="E170" s="118"/>
      <c r="F170" s="126"/>
      <c r="G170" s="127"/>
      <c r="H170" s="119"/>
      <c r="I170" s="119"/>
      <c r="J170" s="115"/>
      <c r="K170" s="80"/>
      <c r="L170" s="120"/>
      <c r="M170" s="8"/>
      <c r="N170" s="115"/>
      <c r="O170" s="78"/>
      <c r="P170" s="121"/>
      <c r="Q170" s="115"/>
      <c r="R170" s="122"/>
      <c r="S170" s="122"/>
      <c r="T170" s="122"/>
      <c r="U170" s="122"/>
      <c r="V170" s="122"/>
      <c r="W170" s="122"/>
      <c r="X170" s="128"/>
      <c r="Y170" s="128"/>
      <c r="Z170" s="128"/>
      <c r="AA170" s="122"/>
      <c r="AB170" s="122"/>
      <c r="AC170" s="122"/>
      <c r="AD170" s="122"/>
      <c r="AE170" s="118"/>
      <c r="AF170" s="77"/>
      <c r="AG170" s="76"/>
    </row>
    <row r="171" spans="2:33" x14ac:dyDescent="0.25">
      <c r="B171" s="182"/>
      <c r="C171" s="116"/>
      <c r="D171" s="117"/>
      <c r="E171" s="118"/>
      <c r="F171" s="126"/>
      <c r="G171" s="127"/>
      <c r="H171" s="119"/>
      <c r="I171" s="119"/>
      <c r="J171" s="115"/>
      <c r="K171" s="80"/>
      <c r="L171" s="120"/>
      <c r="M171" s="8"/>
      <c r="N171" s="115"/>
      <c r="O171" s="78"/>
      <c r="P171" s="121"/>
      <c r="Q171" s="115"/>
      <c r="R171" s="122"/>
      <c r="S171" s="122"/>
      <c r="T171" s="122"/>
      <c r="U171" s="122"/>
      <c r="V171" s="122"/>
      <c r="W171" s="122"/>
      <c r="X171" s="128"/>
      <c r="Y171" s="128"/>
      <c r="Z171" s="128"/>
      <c r="AA171" s="122"/>
      <c r="AB171" s="122"/>
      <c r="AC171" s="122"/>
      <c r="AD171" s="122"/>
      <c r="AE171" s="118"/>
      <c r="AF171" s="77"/>
      <c r="AG171" s="76"/>
    </row>
    <row r="172" spans="2:33" x14ac:dyDescent="0.25">
      <c r="B172" s="182"/>
      <c r="C172" s="116"/>
      <c r="D172" s="117"/>
      <c r="E172" s="118"/>
      <c r="F172" s="126"/>
      <c r="G172" s="127"/>
      <c r="H172" s="119"/>
      <c r="I172" s="119"/>
      <c r="J172" s="115"/>
      <c r="K172" s="80"/>
      <c r="L172" s="120"/>
      <c r="M172" s="8"/>
      <c r="N172" s="115"/>
      <c r="O172" s="78"/>
      <c r="P172" s="121"/>
      <c r="Q172" s="115"/>
      <c r="R172" s="122"/>
      <c r="S172" s="122"/>
      <c r="T172" s="122"/>
      <c r="U172" s="122"/>
      <c r="V172" s="122"/>
      <c r="W172" s="122"/>
      <c r="X172" s="128"/>
      <c r="Y172" s="128"/>
      <c r="Z172" s="128"/>
      <c r="AA172" s="122"/>
      <c r="AB172" s="122"/>
      <c r="AC172" s="122"/>
      <c r="AD172" s="122"/>
      <c r="AE172" s="118"/>
      <c r="AF172" s="77"/>
      <c r="AG172" s="76"/>
    </row>
    <row r="173" spans="2:33" x14ac:dyDescent="0.25">
      <c r="B173" s="182"/>
      <c r="C173" s="116"/>
      <c r="D173" s="117"/>
      <c r="E173" s="118"/>
      <c r="F173" s="126"/>
      <c r="G173" s="127"/>
      <c r="H173" s="119"/>
      <c r="I173" s="119"/>
      <c r="J173" s="115"/>
      <c r="K173" s="80"/>
      <c r="L173" s="120"/>
      <c r="M173" s="8"/>
      <c r="N173" s="115"/>
      <c r="O173" s="78"/>
      <c r="P173" s="121"/>
      <c r="Q173" s="115"/>
      <c r="R173" s="122"/>
      <c r="S173" s="122"/>
      <c r="T173" s="122"/>
      <c r="U173" s="122"/>
      <c r="V173" s="122"/>
      <c r="W173" s="122"/>
      <c r="X173" s="128"/>
      <c r="Y173" s="128"/>
      <c r="Z173" s="128"/>
      <c r="AA173" s="122"/>
      <c r="AB173" s="122"/>
      <c r="AC173" s="122"/>
      <c r="AD173" s="122"/>
      <c r="AE173" s="118"/>
      <c r="AF173" s="77"/>
      <c r="AG173" s="76"/>
    </row>
    <row r="174" spans="2:33" x14ac:dyDescent="0.25">
      <c r="B174" s="182"/>
      <c r="C174" s="116"/>
      <c r="D174" s="117"/>
      <c r="E174" s="118"/>
      <c r="F174" s="126"/>
      <c r="G174" s="127"/>
      <c r="H174" s="119"/>
      <c r="I174" s="119"/>
      <c r="J174" s="115"/>
      <c r="K174" s="80"/>
      <c r="L174" s="120"/>
      <c r="M174" s="8"/>
      <c r="N174" s="115"/>
      <c r="O174" s="78"/>
      <c r="P174" s="121"/>
      <c r="Q174" s="115"/>
      <c r="R174" s="122"/>
      <c r="S174" s="122"/>
      <c r="T174" s="122"/>
      <c r="U174" s="122"/>
      <c r="V174" s="122"/>
      <c r="W174" s="122"/>
      <c r="X174" s="128"/>
      <c r="Y174" s="128"/>
      <c r="Z174" s="128"/>
      <c r="AA174" s="122"/>
      <c r="AB174" s="122"/>
      <c r="AC174" s="122"/>
      <c r="AD174" s="122"/>
      <c r="AE174" s="118"/>
      <c r="AF174" s="77"/>
      <c r="AG174" s="76"/>
    </row>
    <row r="175" spans="2:33" x14ac:dyDescent="0.25">
      <c r="B175" s="182"/>
      <c r="C175" s="116"/>
      <c r="D175" s="117"/>
      <c r="E175" s="118"/>
      <c r="F175" s="126"/>
      <c r="G175" s="127"/>
      <c r="H175" s="119"/>
      <c r="I175" s="119"/>
      <c r="J175" s="115"/>
      <c r="K175" s="80"/>
      <c r="L175" s="120"/>
      <c r="M175" s="8"/>
      <c r="N175" s="115"/>
      <c r="O175" s="78"/>
      <c r="P175" s="121"/>
      <c r="Q175" s="115"/>
      <c r="R175" s="122"/>
      <c r="S175" s="122"/>
      <c r="T175" s="122"/>
      <c r="U175" s="122"/>
      <c r="V175" s="122"/>
      <c r="W175" s="122"/>
      <c r="X175" s="128"/>
      <c r="Y175" s="128"/>
      <c r="Z175" s="128"/>
      <c r="AA175" s="122"/>
      <c r="AB175" s="122"/>
      <c r="AC175" s="122"/>
      <c r="AD175" s="122"/>
      <c r="AE175" s="118"/>
      <c r="AF175" s="77"/>
      <c r="AG175" s="76"/>
    </row>
    <row r="176" spans="2:33" x14ac:dyDescent="0.25">
      <c r="B176" s="182"/>
      <c r="C176" s="116"/>
      <c r="D176" s="117"/>
      <c r="E176" s="118"/>
      <c r="F176" s="126"/>
      <c r="G176" s="127"/>
      <c r="H176" s="119"/>
      <c r="I176" s="119"/>
      <c r="J176" s="115"/>
      <c r="K176" s="80"/>
      <c r="L176" s="120"/>
      <c r="M176" s="8"/>
      <c r="N176" s="115"/>
      <c r="O176" s="78"/>
      <c r="P176" s="121"/>
      <c r="Q176" s="115"/>
      <c r="R176" s="122"/>
      <c r="S176" s="122"/>
      <c r="T176" s="122"/>
      <c r="U176" s="122"/>
      <c r="V176" s="122"/>
      <c r="W176" s="122"/>
      <c r="X176" s="128"/>
      <c r="Y176" s="128"/>
      <c r="Z176" s="128"/>
      <c r="AA176" s="122"/>
      <c r="AB176" s="122"/>
      <c r="AC176" s="122"/>
      <c r="AD176" s="122"/>
      <c r="AE176" s="118"/>
      <c r="AF176" s="77"/>
      <c r="AG176" s="76"/>
    </row>
    <row r="177" spans="2:33" x14ac:dyDescent="0.25">
      <c r="B177" s="182"/>
      <c r="C177" s="116"/>
      <c r="D177" s="117"/>
      <c r="E177" s="118"/>
      <c r="F177" s="126"/>
      <c r="G177" s="127"/>
      <c r="H177" s="119"/>
      <c r="I177" s="119"/>
      <c r="J177" s="115"/>
      <c r="K177" s="80"/>
      <c r="L177" s="120"/>
      <c r="M177" s="8"/>
      <c r="N177" s="115"/>
      <c r="O177" s="78"/>
      <c r="P177" s="121"/>
      <c r="Q177" s="115"/>
      <c r="R177" s="122"/>
      <c r="S177" s="122"/>
      <c r="T177" s="122"/>
      <c r="U177" s="122"/>
      <c r="V177" s="122"/>
      <c r="W177" s="122"/>
      <c r="X177" s="128"/>
      <c r="Y177" s="128"/>
      <c r="Z177" s="128"/>
      <c r="AA177" s="122"/>
      <c r="AB177" s="122"/>
      <c r="AC177" s="122"/>
      <c r="AD177" s="122"/>
      <c r="AE177" s="118"/>
      <c r="AF177" s="77"/>
      <c r="AG177" s="76"/>
    </row>
    <row r="178" spans="2:33" x14ac:dyDescent="0.25">
      <c r="B178" s="182"/>
      <c r="C178" s="116"/>
      <c r="D178" s="117"/>
      <c r="E178" s="118"/>
      <c r="F178" s="126"/>
      <c r="G178" s="127"/>
      <c r="H178" s="119"/>
      <c r="I178" s="119"/>
      <c r="J178" s="115"/>
      <c r="K178" s="80"/>
      <c r="L178" s="120"/>
      <c r="M178" s="8"/>
      <c r="N178" s="115"/>
      <c r="O178" s="78"/>
      <c r="P178" s="121"/>
      <c r="Q178" s="115"/>
      <c r="R178" s="122"/>
      <c r="S178" s="122"/>
      <c r="T178" s="122"/>
      <c r="U178" s="122"/>
      <c r="V178" s="122"/>
      <c r="W178" s="122"/>
      <c r="X178" s="128"/>
      <c r="Y178" s="128"/>
      <c r="Z178" s="128"/>
      <c r="AA178" s="122"/>
      <c r="AB178" s="122"/>
      <c r="AC178" s="122"/>
      <c r="AD178" s="122"/>
      <c r="AE178" s="118"/>
      <c r="AF178" s="77"/>
      <c r="AG178" s="76"/>
    </row>
    <row r="179" spans="2:33" x14ac:dyDescent="0.25">
      <c r="B179" s="182"/>
      <c r="C179" s="116"/>
      <c r="D179" s="117"/>
      <c r="E179" s="118"/>
      <c r="F179" s="126"/>
      <c r="G179" s="127"/>
      <c r="H179" s="119"/>
      <c r="I179" s="119"/>
      <c r="J179" s="115"/>
      <c r="K179" s="80"/>
      <c r="L179" s="120"/>
      <c r="M179" s="8"/>
      <c r="N179" s="115"/>
      <c r="O179" s="78"/>
      <c r="P179" s="121"/>
      <c r="Q179" s="115"/>
      <c r="R179" s="122"/>
      <c r="S179" s="122"/>
      <c r="T179" s="122"/>
      <c r="U179" s="122"/>
      <c r="V179" s="122"/>
      <c r="W179" s="122"/>
      <c r="X179" s="128"/>
      <c r="Y179" s="128"/>
      <c r="Z179" s="128"/>
      <c r="AA179" s="122"/>
      <c r="AB179" s="122"/>
      <c r="AC179" s="122"/>
      <c r="AD179" s="122"/>
      <c r="AE179" s="118"/>
      <c r="AF179" s="77"/>
      <c r="AG179" s="76"/>
    </row>
    <row r="180" spans="2:33" x14ac:dyDescent="0.25">
      <c r="B180" s="182"/>
      <c r="C180" s="116"/>
      <c r="D180" s="117"/>
      <c r="E180" s="118"/>
      <c r="F180" s="126"/>
      <c r="G180" s="127"/>
      <c r="H180" s="119"/>
      <c r="I180" s="119"/>
      <c r="J180" s="115"/>
      <c r="K180" s="80"/>
      <c r="L180" s="120"/>
      <c r="M180" s="8"/>
      <c r="N180" s="115"/>
      <c r="O180" s="78"/>
      <c r="P180" s="121"/>
      <c r="Q180" s="115"/>
      <c r="R180" s="122"/>
      <c r="S180" s="122"/>
      <c r="T180" s="122"/>
      <c r="U180" s="122"/>
      <c r="V180" s="122"/>
      <c r="W180" s="122"/>
      <c r="X180" s="128"/>
      <c r="Y180" s="128"/>
      <c r="Z180" s="128"/>
      <c r="AA180" s="122"/>
      <c r="AB180" s="122"/>
      <c r="AC180" s="122"/>
      <c r="AD180" s="122"/>
      <c r="AE180" s="118"/>
      <c r="AF180" s="77"/>
      <c r="AG180" s="76"/>
    </row>
    <row r="181" spans="2:33" x14ac:dyDescent="0.25">
      <c r="B181" s="182"/>
      <c r="C181" s="116"/>
      <c r="D181" s="117"/>
      <c r="E181" s="118"/>
      <c r="F181" s="126"/>
      <c r="G181" s="127"/>
      <c r="H181" s="119"/>
      <c r="I181" s="119"/>
      <c r="J181" s="115"/>
      <c r="K181" s="80"/>
      <c r="L181" s="120"/>
      <c r="M181" s="8"/>
      <c r="N181" s="115"/>
      <c r="O181" s="78"/>
      <c r="P181" s="121"/>
      <c r="Q181" s="115"/>
      <c r="R181" s="122"/>
      <c r="S181" s="122"/>
      <c r="T181" s="122"/>
      <c r="U181" s="122"/>
      <c r="V181" s="122"/>
      <c r="W181" s="122"/>
      <c r="X181" s="128"/>
      <c r="Y181" s="128"/>
      <c r="Z181" s="128"/>
      <c r="AA181" s="122"/>
      <c r="AB181" s="122"/>
      <c r="AC181" s="122"/>
      <c r="AD181" s="122"/>
      <c r="AE181" s="118"/>
      <c r="AF181" s="77"/>
      <c r="AG181" s="76"/>
    </row>
    <row r="182" spans="2:33" x14ac:dyDescent="0.25">
      <c r="B182" s="182"/>
      <c r="C182" s="116"/>
      <c r="D182" s="117"/>
      <c r="E182" s="118"/>
      <c r="F182" s="126"/>
      <c r="G182" s="127"/>
      <c r="H182" s="119"/>
      <c r="I182" s="119"/>
      <c r="J182" s="115"/>
      <c r="K182" s="80"/>
      <c r="L182" s="120"/>
      <c r="M182" s="8"/>
      <c r="N182" s="115"/>
      <c r="O182" s="78"/>
      <c r="P182" s="121"/>
      <c r="Q182" s="115"/>
      <c r="R182" s="122"/>
      <c r="S182" s="122"/>
      <c r="T182" s="122"/>
      <c r="U182" s="122"/>
      <c r="V182" s="122"/>
      <c r="W182" s="122"/>
      <c r="X182" s="128"/>
      <c r="Y182" s="128"/>
      <c r="Z182" s="128"/>
      <c r="AA182" s="122"/>
      <c r="AB182" s="122"/>
      <c r="AC182" s="122"/>
      <c r="AD182" s="122"/>
      <c r="AE182" s="118"/>
      <c r="AF182" s="77"/>
      <c r="AG182" s="76"/>
    </row>
    <row r="183" spans="2:33" x14ac:dyDescent="0.25">
      <c r="B183" s="182"/>
      <c r="C183" s="116"/>
      <c r="D183" s="117"/>
      <c r="E183" s="118"/>
      <c r="F183" s="126"/>
      <c r="G183" s="127"/>
      <c r="H183" s="119"/>
      <c r="I183" s="119"/>
      <c r="J183" s="115"/>
      <c r="K183" s="80"/>
      <c r="L183" s="120"/>
      <c r="M183" s="8"/>
      <c r="N183" s="115"/>
      <c r="O183" s="78"/>
      <c r="P183" s="121"/>
      <c r="Q183" s="115"/>
      <c r="R183" s="122"/>
      <c r="S183" s="122"/>
      <c r="T183" s="122"/>
      <c r="U183" s="122"/>
      <c r="V183" s="122"/>
      <c r="W183" s="122"/>
      <c r="X183" s="128"/>
      <c r="Y183" s="128"/>
      <c r="Z183" s="128"/>
      <c r="AA183" s="122"/>
      <c r="AB183" s="122"/>
      <c r="AC183" s="122"/>
      <c r="AD183" s="122"/>
      <c r="AE183" s="118"/>
      <c r="AF183" s="77"/>
      <c r="AG183" s="76"/>
    </row>
    <row r="184" spans="2:33" x14ac:dyDescent="0.25">
      <c r="B184" s="182"/>
      <c r="C184" s="116"/>
      <c r="D184" s="117"/>
      <c r="E184" s="118"/>
      <c r="F184" s="126"/>
      <c r="G184" s="127"/>
      <c r="H184" s="119"/>
      <c r="I184" s="119"/>
      <c r="J184" s="115"/>
      <c r="K184" s="80"/>
      <c r="L184" s="120"/>
      <c r="M184" s="8"/>
      <c r="N184" s="115"/>
      <c r="O184" s="78"/>
      <c r="P184" s="121"/>
      <c r="Q184" s="115"/>
      <c r="R184" s="122"/>
      <c r="S184" s="122"/>
      <c r="T184" s="122"/>
      <c r="U184" s="122"/>
      <c r="V184" s="122"/>
      <c r="W184" s="122"/>
      <c r="X184" s="128"/>
      <c r="Y184" s="128"/>
      <c r="Z184" s="128"/>
      <c r="AA184" s="122"/>
      <c r="AB184" s="122"/>
      <c r="AC184" s="122"/>
      <c r="AD184" s="122"/>
      <c r="AE184" s="118"/>
      <c r="AF184" s="77"/>
      <c r="AG184" s="76"/>
    </row>
    <row r="185" spans="2:33" x14ac:dyDescent="0.25">
      <c r="B185" s="182"/>
      <c r="C185" s="116"/>
      <c r="D185" s="117"/>
      <c r="E185" s="118"/>
      <c r="F185" s="126"/>
      <c r="G185" s="127"/>
      <c r="H185" s="119"/>
      <c r="I185" s="119"/>
      <c r="J185" s="115"/>
      <c r="K185" s="80"/>
      <c r="L185" s="120"/>
      <c r="M185" s="8"/>
      <c r="N185" s="115"/>
      <c r="O185" s="78"/>
      <c r="P185" s="121"/>
      <c r="Q185" s="115"/>
      <c r="R185" s="122"/>
      <c r="S185" s="122"/>
      <c r="T185" s="122"/>
      <c r="U185" s="122"/>
      <c r="V185" s="122"/>
      <c r="W185" s="122"/>
      <c r="X185" s="128"/>
      <c r="Y185" s="128"/>
      <c r="Z185" s="128"/>
      <c r="AA185" s="122"/>
      <c r="AB185" s="122"/>
      <c r="AC185" s="122"/>
      <c r="AD185" s="122"/>
      <c r="AE185" s="118"/>
      <c r="AF185" s="77"/>
      <c r="AG185" s="76"/>
    </row>
    <row r="186" spans="2:33" x14ac:dyDescent="0.25">
      <c r="B186" s="182"/>
      <c r="C186" s="116"/>
      <c r="D186" s="117"/>
      <c r="E186" s="118"/>
      <c r="F186" s="126"/>
      <c r="G186" s="127"/>
      <c r="H186" s="119"/>
      <c r="I186" s="119"/>
      <c r="J186" s="115"/>
      <c r="K186" s="80"/>
      <c r="L186" s="120"/>
      <c r="M186" s="8"/>
      <c r="N186" s="115"/>
      <c r="O186" s="78"/>
      <c r="P186" s="121"/>
      <c r="Q186" s="115"/>
      <c r="R186" s="122"/>
      <c r="S186" s="122"/>
      <c r="T186" s="122"/>
      <c r="U186" s="122"/>
      <c r="V186" s="122"/>
      <c r="W186" s="122"/>
      <c r="X186" s="128"/>
      <c r="Y186" s="128"/>
      <c r="Z186" s="128"/>
      <c r="AA186" s="122"/>
      <c r="AB186" s="122"/>
      <c r="AC186" s="122"/>
      <c r="AD186" s="122"/>
      <c r="AE186" s="118"/>
      <c r="AF186" s="77"/>
      <c r="AG186" s="76"/>
    </row>
    <row r="187" spans="2:33" x14ac:dyDescent="0.25">
      <c r="B187" s="182"/>
      <c r="C187" s="116"/>
      <c r="D187" s="117"/>
      <c r="E187" s="118"/>
      <c r="F187" s="126"/>
      <c r="G187" s="127"/>
      <c r="H187" s="119"/>
      <c r="I187" s="119"/>
      <c r="J187" s="115"/>
      <c r="K187" s="80"/>
      <c r="L187" s="120"/>
      <c r="M187" s="8"/>
      <c r="N187" s="115"/>
      <c r="O187" s="78"/>
      <c r="P187" s="121"/>
      <c r="Q187" s="115"/>
      <c r="R187" s="122"/>
      <c r="S187" s="122"/>
      <c r="T187" s="122"/>
      <c r="U187" s="122"/>
      <c r="V187" s="122"/>
      <c r="W187" s="122"/>
      <c r="X187" s="128"/>
      <c r="Y187" s="128"/>
      <c r="Z187" s="128"/>
      <c r="AA187" s="122"/>
      <c r="AB187" s="122"/>
      <c r="AC187" s="122"/>
      <c r="AD187" s="122"/>
      <c r="AE187" s="118"/>
      <c r="AF187" s="77"/>
      <c r="AG187" s="76"/>
    </row>
    <row r="188" spans="2:33" x14ac:dyDescent="0.25">
      <c r="B188" s="182"/>
      <c r="C188" s="116"/>
      <c r="D188" s="117"/>
      <c r="E188" s="118"/>
      <c r="F188" s="126"/>
      <c r="G188" s="127"/>
      <c r="H188" s="119"/>
      <c r="I188" s="119"/>
      <c r="J188" s="115"/>
      <c r="K188" s="80"/>
      <c r="L188" s="120"/>
      <c r="M188" s="8"/>
      <c r="N188" s="115"/>
      <c r="O188" s="78"/>
      <c r="P188" s="121"/>
      <c r="Q188" s="115"/>
      <c r="R188" s="122"/>
      <c r="S188" s="122"/>
      <c r="T188" s="122"/>
      <c r="U188" s="122"/>
      <c r="V188" s="122"/>
      <c r="W188" s="122"/>
      <c r="X188" s="128"/>
      <c r="Y188" s="128"/>
      <c r="Z188" s="128"/>
      <c r="AA188" s="122"/>
      <c r="AB188" s="122"/>
      <c r="AC188" s="122"/>
      <c r="AD188" s="122"/>
      <c r="AE188" s="118"/>
      <c r="AF188" s="77"/>
      <c r="AG188" s="76"/>
    </row>
    <row r="189" spans="2:33" x14ac:dyDescent="0.25">
      <c r="B189" s="182"/>
      <c r="C189" s="116"/>
      <c r="D189" s="117"/>
      <c r="E189" s="118"/>
      <c r="F189" s="126"/>
      <c r="G189" s="127"/>
      <c r="H189" s="119"/>
      <c r="I189" s="119"/>
      <c r="J189" s="115"/>
      <c r="K189" s="80"/>
      <c r="L189" s="120"/>
      <c r="M189" s="8"/>
      <c r="N189" s="115"/>
      <c r="O189" s="78"/>
      <c r="P189" s="121"/>
      <c r="Q189" s="115"/>
      <c r="R189" s="122"/>
      <c r="S189" s="122"/>
      <c r="T189" s="122"/>
      <c r="U189" s="122"/>
      <c r="V189" s="122"/>
      <c r="W189" s="122"/>
      <c r="X189" s="128"/>
      <c r="Y189" s="128"/>
      <c r="Z189" s="128"/>
      <c r="AA189" s="122"/>
      <c r="AB189" s="122"/>
      <c r="AC189" s="122"/>
      <c r="AD189" s="122"/>
      <c r="AE189" s="118"/>
      <c r="AF189" s="77"/>
      <c r="AG189" s="76"/>
    </row>
    <row r="190" spans="2:33" x14ac:dyDescent="0.25">
      <c r="B190" s="182"/>
      <c r="C190" s="116"/>
      <c r="D190" s="117"/>
      <c r="E190" s="118"/>
      <c r="F190" s="126"/>
      <c r="G190" s="127"/>
      <c r="H190" s="119"/>
      <c r="I190" s="119"/>
      <c r="J190" s="115"/>
      <c r="K190" s="80"/>
      <c r="L190" s="120"/>
      <c r="M190" s="8"/>
      <c r="N190" s="115"/>
      <c r="O190" s="78"/>
      <c r="P190" s="121"/>
      <c r="Q190" s="115"/>
      <c r="R190" s="122"/>
      <c r="S190" s="122"/>
      <c r="T190" s="122"/>
      <c r="U190" s="122"/>
      <c r="V190" s="122"/>
      <c r="W190" s="122"/>
      <c r="X190" s="128"/>
      <c r="Y190" s="128"/>
      <c r="Z190" s="128"/>
      <c r="AA190" s="122"/>
      <c r="AB190" s="122"/>
      <c r="AC190" s="122"/>
      <c r="AD190" s="122"/>
      <c r="AE190" s="118"/>
      <c r="AF190" s="77"/>
      <c r="AG190" s="76"/>
    </row>
    <row r="191" spans="2:33" x14ac:dyDescent="0.25">
      <c r="B191" s="182"/>
      <c r="C191" s="116"/>
      <c r="D191" s="117"/>
      <c r="E191" s="118"/>
      <c r="F191" s="126"/>
      <c r="G191" s="127"/>
      <c r="H191" s="119"/>
      <c r="I191" s="119"/>
      <c r="J191" s="115"/>
      <c r="K191" s="80"/>
      <c r="L191" s="120"/>
      <c r="M191" s="8"/>
      <c r="N191" s="115"/>
      <c r="O191" s="78"/>
      <c r="P191" s="121"/>
      <c r="Q191" s="115"/>
      <c r="R191" s="122"/>
      <c r="S191" s="122"/>
      <c r="T191" s="122"/>
      <c r="U191" s="122"/>
      <c r="V191" s="122"/>
      <c r="W191" s="122"/>
      <c r="X191" s="128"/>
      <c r="Y191" s="128"/>
      <c r="Z191" s="128"/>
      <c r="AA191" s="122"/>
      <c r="AB191" s="122"/>
      <c r="AC191" s="122"/>
      <c r="AD191" s="122"/>
      <c r="AE191" s="118"/>
      <c r="AF191" s="77"/>
      <c r="AG191" s="76"/>
    </row>
    <row r="192" spans="2:33" x14ac:dyDescent="0.25">
      <c r="B192" s="182"/>
      <c r="C192" s="116"/>
      <c r="D192" s="117"/>
      <c r="E192" s="118"/>
      <c r="F192" s="126"/>
      <c r="G192" s="127"/>
      <c r="H192" s="119"/>
      <c r="I192" s="119"/>
      <c r="J192" s="115"/>
      <c r="K192" s="80"/>
      <c r="L192" s="120"/>
      <c r="M192" s="8"/>
      <c r="N192" s="115"/>
      <c r="O192" s="78"/>
      <c r="P192" s="121"/>
      <c r="Q192" s="115"/>
      <c r="R192" s="122"/>
      <c r="S192" s="122"/>
      <c r="T192" s="122"/>
      <c r="U192" s="122"/>
      <c r="V192" s="122"/>
      <c r="W192" s="122"/>
      <c r="X192" s="128"/>
      <c r="Y192" s="128"/>
      <c r="Z192" s="128"/>
      <c r="AA192" s="122"/>
      <c r="AB192" s="122"/>
      <c r="AC192" s="122"/>
      <c r="AD192" s="122"/>
      <c r="AE192" s="118"/>
      <c r="AF192" s="77"/>
      <c r="AG192" s="76"/>
    </row>
    <row r="193" spans="2:33" x14ac:dyDescent="0.25">
      <c r="B193" s="182"/>
      <c r="C193" s="116"/>
      <c r="D193" s="117"/>
      <c r="E193" s="118"/>
      <c r="F193" s="126"/>
      <c r="G193" s="127"/>
      <c r="H193" s="119"/>
      <c r="I193" s="119"/>
      <c r="J193" s="115"/>
      <c r="K193" s="80"/>
      <c r="L193" s="120"/>
      <c r="M193" s="8"/>
      <c r="N193" s="115"/>
      <c r="O193" s="78"/>
      <c r="P193" s="121"/>
      <c r="Q193" s="115"/>
      <c r="R193" s="122"/>
      <c r="S193" s="122"/>
      <c r="T193" s="122"/>
      <c r="U193" s="122"/>
      <c r="V193" s="122"/>
      <c r="W193" s="122"/>
      <c r="X193" s="128"/>
      <c r="Y193" s="128"/>
      <c r="Z193" s="128"/>
      <c r="AA193" s="122"/>
      <c r="AB193" s="122"/>
      <c r="AC193" s="122"/>
      <c r="AD193" s="122"/>
      <c r="AE193" s="118"/>
      <c r="AF193" s="77"/>
      <c r="AG193" s="76"/>
    </row>
    <row r="194" spans="2:33" x14ac:dyDescent="0.25">
      <c r="B194" s="182"/>
      <c r="C194" s="116"/>
      <c r="D194" s="117"/>
      <c r="E194" s="118"/>
      <c r="F194" s="126"/>
      <c r="G194" s="127"/>
      <c r="H194" s="119"/>
      <c r="I194" s="119"/>
      <c r="J194" s="115"/>
      <c r="K194" s="80"/>
      <c r="L194" s="120"/>
      <c r="M194" s="8"/>
      <c r="N194" s="115"/>
      <c r="O194" s="78"/>
      <c r="P194" s="121"/>
      <c r="Q194" s="115"/>
      <c r="R194" s="122"/>
      <c r="S194" s="122"/>
      <c r="T194" s="122"/>
      <c r="U194" s="122"/>
      <c r="V194" s="122"/>
      <c r="W194" s="122"/>
      <c r="X194" s="128"/>
      <c r="Y194" s="128"/>
      <c r="Z194" s="128"/>
      <c r="AA194" s="122"/>
      <c r="AB194" s="122"/>
      <c r="AC194" s="122"/>
      <c r="AD194" s="122"/>
      <c r="AE194" s="118"/>
      <c r="AF194" s="77"/>
      <c r="AG194" s="76"/>
    </row>
    <row r="195" spans="2:33" x14ac:dyDescent="0.25">
      <c r="B195" s="182"/>
      <c r="C195" s="116"/>
      <c r="D195" s="117"/>
      <c r="E195" s="118"/>
      <c r="F195" s="126"/>
      <c r="G195" s="127"/>
      <c r="H195" s="119"/>
      <c r="I195" s="119"/>
      <c r="J195" s="115"/>
      <c r="K195" s="80"/>
      <c r="L195" s="120"/>
      <c r="M195" s="8"/>
      <c r="N195" s="115"/>
      <c r="O195" s="78"/>
      <c r="P195" s="121"/>
      <c r="Q195" s="115"/>
      <c r="R195" s="122"/>
      <c r="S195" s="122"/>
      <c r="T195" s="122"/>
      <c r="U195" s="122"/>
      <c r="V195" s="122"/>
      <c r="W195" s="122"/>
      <c r="X195" s="128"/>
      <c r="Y195" s="128"/>
      <c r="Z195" s="128"/>
      <c r="AA195" s="122"/>
      <c r="AB195" s="122"/>
      <c r="AC195" s="122"/>
      <c r="AD195" s="122"/>
      <c r="AE195" s="118"/>
      <c r="AF195" s="77"/>
      <c r="AG195" s="76"/>
    </row>
    <row r="196" spans="2:33" x14ac:dyDescent="0.25">
      <c r="B196" s="182"/>
      <c r="C196" s="116"/>
      <c r="D196" s="117"/>
      <c r="E196" s="118"/>
      <c r="F196" s="126"/>
      <c r="G196" s="127"/>
      <c r="H196" s="119"/>
      <c r="I196" s="119"/>
      <c r="J196" s="115"/>
      <c r="K196" s="80"/>
      <c r="L196" s="120"/>
      <c r="M196" s="8"/>
      <c r="N196" s="115"/>
      <c r="O196" s="78"/>
      <c r="P196" s="121"/>
      <c r="Q196" s="115"/>
      <c r="R196" s="122"/>
      <c r="S196" s="122"/>
      <c r="T196" s="122"/>
      <c r="U196" s="122"/>
      <c r="V196" s="122"/>
      <c r="W196" s="122"/>
      <c r="X196" s="128"/>
      <c r="Y196" s="128"/>
      <c r="Z196" s="128"/>
      <c r="AA196" s="122"/>
      <c r="AB196" s="122"/>
      <c r="AC196" s="122"/>
      <c r="AD196" s="122"/>
      <c r="AE196" s="118"/>
      <c r="AF196" s="77"/>
      <c r="AG196" s="76"/>
    </row>
    <row r="197" spans="2:33" x14ac:dyDescent="0.25">
      <c r="B197" s="182"/>
      <c r="C197" s="116"/>
      <c r="D197" s="117"/>
      <c r="E197" s="118"/>
      <c r="F197" s="126"/>
      <c r="G197" s="127"/>
      <c r="H197" s="119"/>
      <c r="I197" s="119"/>
      <c r="J197" s="115"/>
      <c r="K197" s="80"/>
      <c r="L197" s="120"/>
      <c r="M197" s="8"/>
      <c r="N197" s="115"/>
      <c r="O197" s="78"/>
      <c r="P197" s="121"/>
      <c r="Q197" s="115"/>
      <c r="R197" s="122"/>
      <c r="S197" s="122"/>
      <c r="T197" s="122"/>
      <c r="U197" s="122"/>
      <c r="V197" s="122"/>
      <c r="W197" s="122"/>
      <c r="X197" s="128"/>
      <c r="Y197" s="128"/>
      <c r="Z197" s="128"/>
      <c r="AA197" s="122"/>
      <c r="AB197" s="122"/>
      <c r="AC197" s="122"/>
      <c r="AD197" s="122"/>
      <c r="AE197" s="118"/>
      <c r="AF197" s="77"/>
      <c r="AG197" s="76"/>
    </row>
    <row r="198" spans="2:33" x14ac:dyDescent="0.25">
      <c r="B198" s="182"/>
      <c r="C198" s="116"/>
      <c r="D198" s="117"/>
      <c r="E198" s="118"/>
      <c r="F198" s="126"/>
      <c r="G198" s="127"/>
      <c r="H198" s="119"/>
      <c r="I198" s="119"/>
      <c r="J198" s="115"/>
      <c r="K198" s="80"/>
      <c r="L198" s="120"/>
      <c r="M198" s="8"/>
      <c r="N198" s="115"/>
      <c r="O198" s="78"/>
      <c r="P198" s="121"/>
      <c r="Q198" s="115"/>
      <c r="R198" s="122"/>
      <c r="S198" s="122"/>
      <c r="T198" s="122"/>
      <c r="U198" s="122"/>
      <c r="V198" s="122"/>
      <c r="W198" s="122"/>
      <c r="X198" s="128"/>
      <c r="Y198" s="128"/>
      <c r="Z198" s="128"/>
      <c r="AA198" s="122"/>
      <c r="AB198" s="122"/>
      <c r="AC198" s="122"/>
      <c r="AD198" s="122"/>
      <c r="AE198" s="118"/>
      <c r="AF198" s="77"/>
      <c r="AG198" s="76"/>
    </row>
    <row r="199" spans="2:33" x14ac:dyDescent="0.25">
      <c r="B199" s="182"/>
      <c r="C199" s="116"/>
      <c r="D199" s="117"/>
      <c r="E199" s="118"/>
      <c r="F199" s="126"/>
      <c r="G199" s="127"/>
      <c r="H199" s="119"/>
      <c r="I199" s="119"/>
      <c r="J199" s="115"/>
      <c r="K199" s="80"/>
      <c r="L199" s="120"/>
      <c r="M199" s="8"/>
      <c r="N199" s="115"/>
      <c r="O199" s="78"/>
      <c r="P199" s="121"/>
      <c r="Q199" s="115"/>
      <c r="R199" s="122"/>
      <c r="S199" s="122"/>
      <c r="T199" s="122"/>
      <c r="U199" s="122"/>
      <c r="V199" s="122"/>
      <c r="W199" s="122"/>
      <c r="X199" s="128"/>
      <c r="Y199" s="128"/>
      <c r="Z199" s="128"/>
      <c r="AA199" s="122"/>
      <c r="AB199" s="122"/>
      <c r="AC199" s="122"/>
      <c r="AD199" s="122"/>
      <c r="AE199" s="118"/>
      <c r="AF199" s="77"/>
      <c r="AG199" s="76"/>
    </row>
    <row r="200" spans="2:33" x14ac:dyDescent="0.25">
      <c r="B200" s="182"/>
      <c r="C200" s="116"/>
      <c r="D200" s="117"/>
      <c r="E200" s="118"/>
      <c r="F200" s="126"/>
      <c r="G200" s="127"/>
      <c r="H200" s="119"/>
      <c r="I200" s="119"/>
      <c r="J200" s="115"/>
      <c r="K200" s="80"/>
      <c r="L200" s="120"/>
      <c r="M200" s="8"/>
      <c r="N200" s="115"/>
      <c r="O200" s="78"/>
      <c r="P200" s="121"/>
      <c r="Q200" s="115"/>
      <c r="R200" s="122"/>
      <c r="S200" s="122"/>
      <c r="T200" s="122"/>
      <c r="U200" s="122"/>
      <c r="V200" s="122"/>
      <c r="W200" s="122"/>
      <c r="X200" s="128"/>
      <c r="Y200" s="128"/>
      <c r="Z200" s="128"/>
      <c r="AA200" s="122"/>
      <c r="AB200" s="122"/>
      <c r="AC200" s="122"/>
      <c r="AD200" s="122"/>
      <c r="AE200" s="118"/>
      <c r="AF200" s="77"/>
      <c r="AG200" s="76"/>
    </row>
    <row r="201" spans="2:33" x14ac:dyDescent="0.25">
      <c r="B201" s="182"/>
      <c r="C201" s="116"/>
      <c r="D201" s="117"/>
      <c r="E201" s="118"/>
      <c r="F201" s="126"/>
      <c r="G201" s="127"/>
      <c r="H201" s="119"/>
      <c r="I201" s="119"/>
      <c r="J201" s="115"/>
      <c r="K201" s="80"/>
      <c r="L201" s="120"/>
      <c r="M201" s="8"/>
      <c r="N201" s="115"/>
      <c r="O201" s="78"/>
      <c r="P201" s="121"/>
      <c r="Q201" s="115"/>
      <c r="R201" s="122"/>
      <c r="S201" s="122"/>
      <c r="T201" s="122"/>
      <c r="U201" s="122"/>
      <c r="V201" s="122"/>
      <c r="W201" s="122"/>
      <c r="X201" s="128"/>
      <c r="Y201" s="128"/>
      <c r="Z201" s="128"/>
      <c r="AA201" s="122"/>
      <c r="AB201" s="122"/>
      <c r="AC201" s="122"/>
      <c r="AD201" s="122"/>
      <c r="AE201" s="118"/>
      <c r="AF201" s="77"/>
      <c r="AG201" s="76"/>
    </row>
    <row r="202" spans="2:33" x14ac:dyDescent="0.25">
      <c r="B202" s="182"/>
      <c r="C202" s="116"/>
      <c r="D202" s="117"/>
      <c r="E202" s="118"/>
      <c r="F202" s="126"/>
      <c r="G202" s="127"/>
      <c r="H202" s="119"/>
      <c r="I202" s="119"/>
      <c r="J202" s="115"/>
      <c r="K202" s="80"/>
      <c r="L202" s="120"/>
      <c r="M202" s="8"/>
      <c r="N202" s="115"/>
      <c r="O202" s="78"/>
      <c r="P202" s="121"/>
      <c r="Q202" s="115"/>
      <c r="R202" s="122"/>
      <c r="S202" s="122"/>
      <c r="T202" s="122"/>
      <c r="U202" s="122"/>
      <c r="V202" s="122"/>
      <c r="W202" s="122"/>
      <c r="X202" s="128"/>
      <c r="Y202" s="128"/>
      <c r="Z202" s="128"/>
      <c r="AA202" s="122"/>
      <c r="AB202" s="122"/>
      <c r="AC202" s="122"/>
      <c r="AD202" s="122"/>
      <c r="AE202" s="118"/>
      <c r="AF202" s="77"/>
      <c r="AG202" s="76"/>
    </row>
    <row r="203" spans="2:33" x14ac:dyDescent="0.25">
      <c r="B203" s="182"/>
      <c r="C203" s="116"/>
      <c r="D203" s="117"/>
      <c r="E203" s="118"/>
      <c r="F203" s="126"/>
      <c r="G203" s="127"/>
      <c r="H203" s="119"/>
      <c r="I203" s="119"/>
      <c r="J203" s="115"/>
      <c r="K203" s="80"/>
      <c r="L203" s="120"/>
      <c r="M203" s="8"/>
      <c r="N203" s="115"/>
      <c r="O203" s="78"/>
      <c r="P203" s="121"/>
      <c r="Q203" s="115"/>
      <c r="R203" s="122"/>
      <c r="S203" s="122"/>
      <c r="T203" s="122"/>
      <c r="U203" s="122"/>
      <c r="V203" s="122"/>
      <c r="W203" s="122"/>
      <c r="X203" s="128"/>
      <c r="Y203" s="128"/>
      <c r="Z203" s="128"/>
      <c r="AA203" s="122"/>
      <c r="AB203" s="122"/>
      <c r="AC203" s="122"/>
      <c r="AD203" s="122"/>
      <c r="AE203" s="118"/>
      <c r="AF203" s="77"/>
      <c r="AG203" s="76"/>
    </row>
    <row r="204" spans="2:33" x14ac:dyDescent="0.25">
      <c r="B204" s="182"/>
      <c r="C204" s="116"/>
      <c r="D204" s="117"/>
      <c r="E204" s="118"/>
      <c r="F204" s="126"/>
      <c r="G204" s="127"/>
      <c r="H204" s="119"/>
      <c r="I204" s="119"/>
      <c r="J204" s="115"/>
      <c r="K204" s="80"/>
      <c r="L204" s="120"/>
      <c r="M204" s="8"/>
      <c r="N204" s="115"/>
      <c r="O204" s="78"/>
      <c r="P204" s="121"/>
      <c r="Q204" s="115"/>
      <c r="R204" s="122"/>
      <c r="S204" s="122"/>
      <c r="T204" s="122"/>
      <c r="U204" s="122"/>
      <c r="V204" s="122"/>
      <c r="W204" s="122"/>
      <c r="X204" s="128"/>
      <c r="Y204" s="128"/>
      <c r="Z204" s="128"/>
      <c r="AA204" s="122"/>
      <c r="AB204" s="122"/>
      <c r="AC204" s="122"/>
      <c r="AD204" s="122"/>
      <c r="AE204" s="118"/>
      <c r="AF204" s="77"/>
      <c r="AG204" s="76"/>
    </row>
    <row r="205" spans="2:33" x14ac:dyDescent="0.25">
      <c r="B205" s="182"/>
      <c r="C205" s="116"/>
      <c r="D205" s="117"/>
      <c r="E205" s="118"/>
      <c r="F205" s="126"/>
      <c r="G205" s="127"/>
      <c r="H205" s="119"/>
      <c r="I205" s="119"/>
      <c r="J205" s="115"/>
      <c r="K205" s="80"/>
      <c r="L205" s="120"/>
      <c r="M205" s="8"/>
      <c r="N205" s="115"/>
      <c r="O205" s="78"/>
      <c r="P205" s="121"/>
      <c r="Q205" s="115"/>
      <c r="R205" s="122"/>
      <c r="S205" s="122"/>
      <c r="T205" s="122"/>
      <c r="U205" s="122"/>
      <c r="V205" s="122"/>
      <c r="W205" s="122"/>
      <c r="X205" s="128"/>
      <c r="Y205" s="128"/>
      <c r="Z205" s="128"/>
      <c r="AA205" s="122"/>
      <c r="AB205" s="122"/>
      <c r="AC205" s="122"/>
      <c r="AD205" s="122"/>
      <c r="AE205" s="118"/>
      <c r="AF205" s="77"/>
      <c r="AG205" s="76"/>
    </row>
    <row r="206" spans="2:33" x14ac:dyDescent="0.25">
      <c r="B206" s="182"/>
      <c r="C206" s="116"/>
      <c r="D206" s="117"/>
      <c r="E206" s="118"/>
      <c r="F206" s="126"/>
      <c r="G206" s="127"/>
      <c r="H206" s="119"/>
      <c r="I206" s="119"/>
      <c r="J206" s="115"/>
      <c r="K206" s="80"/>
      <c r="L206" s="120"/>
      <c r="M206" s="8"/>
      <c r="N206" s="115"/>
      <c r="O206" s="78"/>
      <c r="P206" s="121"/>
      <c r="Q206" s="115"/>
      <c r="R206" s="122"/>
      <c r="S206" s="122"/>
      <c r="T206" s="122"/>
      <c r="U206" s="122"/>
      <c r="V206" s="122"/>
      <c r="W206" s="122"/>
      <c r="X206" s="128"/>
      <c r="Y206" s="128"/>
      <c r="Z206" s="128"/>
      <c r="AA206" s="122"/>
      <c r="AB206" s="122"/>
      <c r="AC206" s="122"/>
      <c r="AD206" s="122"/>
      <c r="AE206" s="118"/>
      <c r="AF206" s="77"/>
      <c r="AG206" s="76"/>
    </row>
    <row r="207" spans="2:33" x14ac:dyDescent="0.25">
      <c r="B207" s="182"/>
      <c r="C207" s="116"/>
      <c r="D207" s="117"/>
      <c r="E207" s="118"/>
      <c r="F207" s="126"/>
      <c r="G207" s="127"/>
      <c r="H207" s="119"/>
      <c r="I207" s="119"/>
      <c r="J207" s="115"/>
      <c r="K207" s="80"/>
      <c r="L207" s="120"/>
      <c r="M207" s="8"/>
      <c r="N207" s="115"/>
      <c r="O207" s="78"/>
      <c r="P207" s="121"/>
      <c r="Q207" s="115"/>
      <c r="R207" s="122"/>
      <c r="S207" s="122"/>
      <c r="T207" s="122"/>
      <c r="U207" s="122"/>
      <c r="V207" s="122"/>
      <c r="W207" s="122"/>
      <c r="X207" s="128"/>
      <c r="Y207" s="128"/>
      <c r="Z207" s="128"/>
      <c r="AA207" s="122"/>
      <c r="AB207" s="122"/>
      <c r="AC207" s="122"/>
      <c r="AD207" s="122"/>
      <c r="AE207" s="118"/>
      <c r="AF207" s="77"/>
      <c r="AG207" s="76"/>
    </row>
    <row r="208" spans="2:33" x14ac:dyDescent="0.25">
      <c r="B208" s="182"/>
      <c r="C208" s="116"/>
      <c r="D208" s="117"/>
      <c r="E208" s="118"/>
      <c r="F208" s="126"/>
      <c r="G208" s="127"/>
      <c r="H208" s="119"/>
      <c r="I208" s="119"/>
      <c r="J208" s="115"/>
      <c r="K208" s="80"/>
      <c r="L208" s="120"/>
      <c r="M208" s="8"/>
      <c r="N208" s="115"/>
      <c r="O208" s="78"/>
      <c r="P208" s="121"/>
      <c r="Q208" s="115"/>
      <c r="R208" s="122"/>
      <c r="S208" s="122"/>
      <c r="T208" s="122"/>
      <c r="U208" s="122"/>
      <c r="V208" s="122"/>
      <c r="W208" s="122"/>
      <c r="X208" s="128"/>
      <c r="Y208" s="128"/>
      <c r="Z208" s="128"/>
      <c r="AA208" s="122"/>
      <c r="AB208" s="122"/>
      <c r="AC208" s="122"/>
      <c r="AD208" s="122"/>
      <c r="AE208" s="118"/>
      <c r="AF208" s="77"/>
      <c r="AG208" s="76"/>
    </row>
    <row r="209" spans="2:33" x14ac:dyDescent="0.25">
      <c r="B209" s="182"/>
      <c r="C209" s="116"/>
      <c r="D209" s="117"/>
      <c r="E209" s="118"/>
      <c r="F209" s="126"/>
      <c r="G209" s="127"/>
      <c r="H209" s="119"/>
      <c r="I209" s="119"/>
      <c r="J209" s="115"/>
      <c r="K209" s="80"/>
      <c r="L209" s="120"/>
      <c r="M209" s="8"/>
      <c r="N209" s="115"/>
      <c r="O209" s="78"/>
      <c r="P209" s="121"/>
      <c r="Q209" s="115"/>
      <c r="R209" s="122"/>
      <c r="S209" s="122"/>
      <c r="T209" s="122"/>
      <c r="U209" s="122"/>
      <c r="V209" s="122"/>
      <c r="W209" s="122"/>
      <c r="X209" s="128"/>
      <c r="Y209" s="128"/>
      <c r="Z209" s="128"/>
      <c r="AA209" s="122"/>
      <c r="AB209" s="122"/>
      <c r="AC209" s="122"/>
      <c r="AD209" s="122"/>
      <c r="AE209" s="118"/>
      <c r="AF209" s="77"/>
      <c r="AG209" s="76"/>
    </row>
    <row r="210" spans="2:33" x14ac:dyDescent="0.25">
      <c r="B210" s="182"/>
      <c r="C210" s="116"/>
      <c r="D210" s="117"/>
      <c r="E210" s="118"/>
      <c r="F210" s="126"/>
      <c r="G210" s="127"/>
      <c r="H210" s="119"/>
      <c r="I210" s="119"/>
      <c r="J210" s="115"/>
      <c r="K210" s="80"/>
      <c r="L210" s="120"/>
      <c r="M210" s="8"/>
      <c r="N210" s="115"/>
      <c r="O210" s="78"/>
      <c r="P210" s="121"/>
      <c r="Q210" s="115"/>
      <c r="R210" s="122"/>
      <c r="S210" s="122"/>
      <c r="T210" s="122"/>
      <c r="U210" s="122"/>
      <c r="V210" s="122"/>
      <c r="W210" s="122"/>
      <c r="X210" s="128"/>
      <c r="Y210" s="128"/>
      <c r="Z210" s="128"/>
      <c r="AA210" s="122"/>
      <c r="AB210" s="122"/>
      <c r="AC210" s="122"/>
      <c r="AD210" s="122"/>
      <c r="AE210" s="118"/>
      <c r="AF210" s="77"/>
      <c r="AG210" s="76"/>
    </row>
    <row r="211" spans="2:33" x14ac:dyDescent="0.25">
      <c r="B211" s="182"/>
      <c r="C211" s="116"/>
      <c r="D211" s="117"/>
      <c r="E211" s="118"/>
      <c r="F211" s="126"/>
      <c r="G211" s="127"/>
      <c r="H211" s="119"/>
      <c r="I211" s="119"/>
      <c r="J211" s="115"/>
      <c r="K211" s="80"/>
      <c r="L211" s="120"/>
      <c r="M211" s="8"/>
      <c r="N211" s="115"/>
      <c r="O211" s="78"/>
      <c r="P211" s="121"/>
      <c r="Q211" s="115"/>
      <c r="R211" s="122"/>
      <c r="S211" s="122"/>
      <c r="T211" s="122"/>
      <c r="U211" s="122"/>
      <c r="V211" s="122"/>
      <c r="W211" s="122"/>
      <c r="X211" s="128"/>
      <c r="Y211" s="128"/>
      <c r="Z211" s="128"/>
      <c r="AA211" s="122"/>
      <c r="AB211" s="122"/>
      <c r="AC211" s="122"/>
      <c r="AD211" s="122"/>
      <c r="AE211" s="118"/>
      <c r="AF211" s="77"/>
      <c r="AG211" s="76"/>
    </row>
    <row r="212" spans="2:33" x14ac:dyDescent="0.25">
      <c r="B212" s="182"/>
      <c r="C212" s="116"/>
      <c r="D212" s="117"/>
      <c r="E212" s="118"/>
      <c r="F212" s="126"/>
      <c r="G212" s="127"/>
      <c r="H212" s="119"/>
      <c r="I212" s="119"/>
      <c r="J212" s="115"/>
      <c r="K212" s="80"/>
      <c r="L212" s="120"/>
      <c r="M212" s="8"/>
      <c r="N212" s="115"/>
      <c r="O212" s="78"/>
      <c r="P212" s="121"/>
      <c r="Q212" s="115"/>
      <c r="R212" s="122"/>
      <c r="S212" s="122"/>
      <c r="T212" s="122"/>
      <c r="U212" s="122"/>
      <c r="V212" s="122"/>
      <c r="W212" s="122"/>
      <c r="X212" s="128"/>
      <c r="Y212" s="128"/>
      <c r="Z212" s="128"/>
      <c r="AA212" s="122"/>
      <c r="AB212" s="122"/>
      <c r="AC212" s="122"/>
      <c r="AD212" s="122"/>
      <c r="AE212" s="118"/>
      <c r="AF212" s="77"/>
      <c r="AG212" s="76"/>
    </row>
    <row r="213" spans="2:33" x14ac:dyDescent="0.25">
      <c r="B213" s="182"/>
      <c r="C213" s="116"/>
      <c r="D213" s="117"/>
      <c r="E213" s="118"/>
      <c r="F213" s="126"/>
      <c r="G213" s="127"/>
      <c r="H213" s="119"/>
      <c r="I213" s="119"/>
      <c r="J213" s="115"/>
      <c r="K213" s="80"/>
      <c r="L213" s="120"/>
      <c r="M213" s="8"/>
      <c r="N213" s="115"/>
      <c r="O213" s="78"/>
      <c r="P213" s="121"/>
      <c r="Q213" s="115"/>
      <c r="R213" s="122"/>
      <c r="S213" s="122"/>
      <c r="T213" s="122"/>
      <c r="U213" s="122"/>
      <c r="V213" s="122"/>
      <c r="W213" s="122"/>
      <c r="X213" s="128"/>
      <c r="Y213" s="128"/>
      <c r="Z213" s="128"/>
      <c r="AA213" s="122"/>
      <c r="AB213" s="122"/>
      <c r="AC213" s="122"/>
      <c r="AD213" s="122"/>
      <c r="AE213" s="118"/>
      <c r="AF213" s="77"/>
      <c r="AG213" s="76"/>
    </row>
    <row r="214" spans="2:33" x14ac:dyDescent="0.25">
      <c r="B214" s="182"/>
      <c r="C214" s="116"/>
      <c r="D214" s="117"/>
      <c r="E214" s="118"/>
      <c r="F214" s="126"/>
      <c r="G214" s="127"/>
      <c r="H214" s="119"/>
      <c r="I214" s="119"/>
      <c r="J214" s="115"/>
      <c r="K214" s="80"/>
      <c r="L214" s="120"/>
      <c r="M214" s="8"/>
      <c r="N214" s="115"/>
      <c r="O214" s="78"/>
      <c r="P214" s="121"/>
      <c r="Q214" s="115"/>
      <c r="R214" s="122"/>
      <c r="S214" s="122"/>
      <c r="T214" s="122"/>
      <c r="U214" s="122"/>
      <c r="V214" s="122"/>
      <c r="W214" s="122"/>
      <c r="X214" s="128"/>
      <c r="Y214" s="128"/>
      <c r="Z214" s="128"/>
      <c r="AA214" s="122"/>
      <c r="AB214" s="122"/>
      <c r="AC214" s="122"/>
      <c r="AD214" s="122"/>
      <c r="AE214" s="118"/>
      <c r="AF214" s="77"/>
      <c r="AG214" s="76"/>
    </row>
    <row r="215" spans="2:33" x14ac:dyDescent="0.25">
      <c r="B215" s="182"/>
      <c r="C215" s="116"/>
      <c r="D215" s="117"/>
      <c r="E215" s="118"/>
      <c r="F215" s="126"/>
      <c r="G215" s="127"/>
      <c r="H215" s="119"/>
      <c r="I215" s="119"/>
      <c r="J215" s="115"/>
      <c r="K215" s="80"/>
      <c r="L215" s="120"/>
      <c r="M215" s="8"/>
      <c r="N215" s="115"/>
      <c r="O215" s="78"/>
      <c r="P215" s="121"/>
      <c r="Q215" s="115"/>
      <c r="R215" s="122"/>
      <c r="S215" s="122"/>
      <c r="T215" s="122"/>
      <c r="U215" s="122"/>
      <c r="V215" s="122"/>
      <c r="W215" s="122"/>
      <c r="X215" s="128"/>
      <c r="Y215" s="128"/>
      <c r="Z215" s="128"/>
      <c r="AA215" s="122"/>
      <c r="AB215" s="122"/>
      <c r="AC215" s="122"/>
      <c r="AD215" s="122"/>
      <c r="AE215" s="118"/>
      <c r="AF215" s="77"/>
      <c r="AG215" s="76"/>
    </row>
    <row r="216" spans="2:33" x14ac:dyDescent="0.25">
      <c r="B216" s="182"/>
      <c r="C216" s="116"/>
      <c r="D216" s="117"/>
      <c r="E216" s="118"/>
      <c r="F216" s="126"/>
      <c r="G216" s="127"/>
      <c r="H216" s="119"/>
      <c r="I216" s="119"/>
      <c r="J216" s="115"/>
      <c r="K216" s="80"/>
      <c r="L216" s="120"/>
      <c r="M216" s="8"/>
      <c r="N216" s="115"/>
      <c r="O216" s="78"/>
      <c r="P216" s="121"/>
      <c r="Q216" s="115"/>
      <c r="R216" s="122"/>
      <c r="S216" s="122"/>
      <c r="T216" s="122"/>
      <c r="U216" s="122"/>
      <c r="V216" s="122"/>
      <c r="W216" s="122"/>
      <c r="X216" s="128"/>
      <c r="Y216" s="128"/>
      <c r="Z216" s="128"/>
      <c r="AA216" s="122"/>
      <c r="AB216" s="122"/>
      <c r="AC216" s="122"/>
      <c r="AD216" s="122"/>
      <c r="AE216" s="118"/>
      <c r="AF216" s="77"/>
      <c r="AG216" s="76"/>
    </row>
    <row r="217" spans="2:33" x14ac:dyDescent="0.25">
      <c r="B217" s="182"/>
      <c r="C217" s="116"/>
      <c r="D217" s="117"/>
      <c r="E217" s="118"/>
      <c r="F217" s="126"/>
      <c r="G217" s="127"/>
      <c r="H217" s="119"/>
      <c r="I217" s="119"/>
      <c r="J217" s="115"/>
      <c r="K217" s="80"/>
      <c r="L217" s="120"/>
      <c r="M217" s="8"/>
      <c r="N217" s="115"/>
      <c r="O217" s="78"/>
      <c r="P217" s="121"/>
      <c r="Q217" s="115"/>
      <c r="R217" s="122"/>
      <c r="S217" s="122"/>
      <c r="T217" s="122"/>
      <c r="U217" s="122"/>
      <c r="V217" s="122"/>
      <c r="W217" s="122"/>
      <c r="X217" s="128"/>
      <c r="Y217" s="128"/>
      <c r="Z217" s="128"/>
      <c r="AA217" s="122"/>
      <c r="AB217" s="122"/>
      <c r="AC217" s="122"/>
      <c r="AD217" s="122"/>
      <c r="AE217" s="118"/>
      <c r="AF217" s="77"/>
      <c r="AG217" s="76"/>
    </row>
    <row r="218" spans="2:33" x14ac:dyDescent="0.25">
      <c r="B218" s="182"/>
      <c r="C218" s="116"/>
      <c r="D218" s="117"/>
      <c r="E218" s="118"/>
      <c r="F218" s="126"/>
      <c r="G218" s="127"/>
      <c r="H218" s="119"/>
      <c r="I218" s="119"/>
      <c r="J218" s="115"/>
      <c r="K218" s="80"/>
      <c r="L218" s="120"/>
      <c r="M218" s="8"/>
      <c r="N218" s="115"/>
      <c r="O218" s="78"/>
      <c r="P218" s="121"/>
      <c r="Q218" s="115"/>
      <c r="R218" s="122"/>
      <c r="S218" s="122"/>
      <c r="T218" s="122"/>
      <c r="U218" s="122"/>
      <c r="V218" s="122"/>
      <c r="W218" s="122"/>
      <c r="X218" s="128"/>
      <c r="Y218" s="128"/>
      <c r="Z218" s="128"/>
      <c r="AA218" s="122"/>
      <c r="AB218" s="122"/>
      <c r="AC218" s="122"/>
      <c r="AD218" s="122"/>
      <c r="AE218" s="118"/>
      <c r="AF218" s="77"/>
      <c r="AG218" s="76"/>
    </row>
    <row r="219" spans="2:33" x14ac:dyDescent="0.25">
      <c r="B219" s="182"/>
      <c r="C219" s="116"/>
      <c r="D219" s="117"/>
      <c r="E219" s="118"/>
      <c r="F219" s="126"/>
      <c r="G219" s="127"/>
      <c r="H219" s="119"/>
      <c r="I219" s="119"/>
      <c r="J219" s="115"/>
      <c r="K219" s="80"/>
      <c r="L219" s="120"/>
      <c r="M219" s="8"/>
      <c r="N219" s="115"/>
      <c r="O219" s="78"/>
      <c r="P219" s="121"/>
      <c r="Q219" s="115"/>
      <c r="R219" s="122"/>
      <c r="S219" s="122"/>
      <c r="T219" s="122"/>
      <c r="U219" s="122"/>
      <c r="V219" s="122"/>
      <c r="W219" s="122"/>
      <c r="X219" s="128"/>
      <c r="Y219" s="128"/>
      <c r="Z219" s="128"/>
      <c r="AA219" s="122"/>
      <c r="AB219" s="122"/>
      <c r="AC219" s="122"/>
      <c r="AD219" s="122"/>
      <c r="AE219" s="118"/>
      <c r="AF219" s="77"/>
      <c r="AG219" s="76"/>
    </row>
    <row r="220" spans="2:33" x14ac:dyDescent="0.25">
      <c r="B220" s="182"/>
      <c r="C220" s="116"/>
      <c r="D220" s="117"/>
      <c r="E220" s="118"/>
      <c r="F220" s="126"/>
      <c r="G220" s="127"/>
      <c r="H220" s="119"/>
      <c r="I220" s="119"/>
      <c r="J220" s="115"/>
      <c r="K220" s="80"/>
      <c r="L220" s="120"/>
      <c r="M220" s="8"/>
      <c r="N220" s="115"/>
      <c r="O220" s="78"/>
      <c r="P220" s="121"/>
      <c r="Q220" s="115"/>
      <c r="R220" s="122"/>
      <c r="S220" s="122"/>
      <c r="T220" s="122"/>
      <c r="U220" s="122"/>
      <c r="V220" s="122"/>
      <c r="W220" s="122"/>
      <c r="X220" s="128"/>
      <c r="Y220" s="128"/>
      <c r="Z220" s="128"/>
      <c r="AA220" s="122"/>
      <c r="AB220" s="122"/>
      <c r="AC220" s="122"/>
      <c r="AD220" s="122"/>
      <c r="AE220" s="118"/>
      <c r="AF220" s="77"/>
      <c r="AG220" s="76"/>
    </row>
    <row r="221" spans="2:33" x14ac:dyDescent="0.25">
      <c r="B221" s="182"/>
      <c r="C221" s="116"/>
      <c r="D221" s="117"/>
      <c r="E221" s="118"/>
      <c r="F221" s="126"/>
      <c r="G221" s="127"/>
      <c r="H221" s="119"/>
      <c r="I221" s="119"/>
      <c r="J221" s="115"/>
      <c r="K221" s="80"/>
      <c r="L221" s="120"/>
      <c r="M221" s="8"/>
      <c r="N221" s="115"/>
      <c r="O221" s="78"/>
      <c r="P221" s="121"/>
      <c r="Q221" s="115"/>
      <c r="R221" s="122"/>
      <c r="S221" s="122"/>
      <c r="T221" s="122"/>
      <c r="U221" s="122"/>
      <c r="V221" s="122"/>
      <c r="W221" s="122"/>
      <c r="X221" s="128"/>
      <c r="Y221" s="128"/>
      <c r="Z221" s="128"/>
      <c r="AA221" s="122"/>
      <c r="AB221" s="122"/>
      <c r="AC221" s="122"/>
      <c r="AD221" s="122"/>
      <c r="AE221" s="118"/>
      <c r="AF221" s="77"/>
      <c r="AG221" s="76"/>
    </row>
    <row r="222" spans="2:33" x14ac:dyDescent="0.25">
      <c r="B222" s="182"/>
      <c r="C222" s="116"/>
      <c r="D222" s="117"/>
      <c r="E222" s="118"/>
      <c r="F222" s="126"/>
      <c r="G222" s="127"/>
      <c r="H222" s="119"/>
      <c r="I222" s="119">
        <f t="shared" ref="I222:I278" si="10">H222+G222</f>
        <v>0</v>
      </c>
      <c r="J222" s="115">
        <f t="shared" ref="J222:J278" si="11">I222-D222-E222-F222</f>
        <v>0</v>
      </c>
      <c r="K222" s="80" t="str">
        <f t="shared" ref="K222:K281" si="12">IFERROR(J222/I222,"")</f>
        <v/>
      </c>
      <c r="L222" s="120"/>
      <c r="M222" s="8">
        <v>300</v>
      </c>
      <c r="N222" s="115">
        <v>60</v>
      </c>
      <c r="O222" s="78" t="str">
        <f t="shared" ref="O222:O281" si="13">IFERROR(((L222/M222)*N222/J222),"")</f>
        <v/>
      </c>
      <c r="P222" s="121">
        <f t="shared" ref="P222:P224" si="14">L222-AE222</f>
        <v>0</v>
      </c>
      <c r="Q222" s="115">
        <f t="shared" ref="Q222:Q278" si="15">L222</f>
        <v>0</v>
      </c>
      <c r="R222" s="122"/>
      <c r="S222" s="122"/>
      <c r="T222" s="122"/>
      <c r="U222" s="122"/>
      <c r="V222" s="122"/>
      <c r="W222" s="122"/>
      <c r="X222" s="128"/>
      <c r="Y222" s="128"/>
      <c r="Z222" s="128"/>
      <c r="AA222" s="122"/>
      <c r="AB222" s="122"/>
      <c r="AC222" s="122"/>
      <c r="AD222" s="122"/>
      <c r="AE222" s="118"/>
      <c r="AF222" s="77"/>
      <c r="AG222" s="76" t="str">
        <f t="shared" ref="AG222:AG274" si="16">IFERROR(K222*O222*AF222,"")</f>
        <v/>
      </c>
    </row>
    <row r="223" spans="2:33" x14ac:dyDescent="0.25">
      <c r="B223" s="182"/>
      <c r="C223" s="116"/>
      <c r="D223" s="117"/>
      <c r="E223" s="118"/>
      <c r="F223" s="126"/>
      <c r="G223" s="127"/>
      <c r="H223" s="119"/>
      <c r="I223" s="119">
        <f t="shared" si="10"/>
        <v>0</v>
      </c>
      <c r="J223" s="115">
        <f t="shared" si="11"/>
        <v>0</v>
      </c>
      <c r="K223" s="80" t="str">
        <f t="shared" si="12"/>
        <v/>
      </c>
      <c r="L223" s="120"/>
      <c r="M223" s="8">
        <v>300</v>
      </c>
      <c r="N223" s="115">
        <v>60</v>
      </c>
      <c r="O223" s="78" t="str">
        <f t="shared" si="13"/>
        <v/>
      </c>
      <c r="P223" s="121">
        <f t="shared" si="14"/>
        <v>0</v>
      </c>
      <c r="Q223" s="115">
        <f t="shared" si="15"/>
        <v>0</v>
      </c>
      <c r="R223" s="122"/>
      <c r="S223" s="122"/>
      <c r="T223" s="122"/>
      <c r="U223" s="122"/>
      <c r="V223" s="122"/>
      <c r="W223" s="122"/>
      <c r="X223" s="128"/>
      <c r="Y223" s="128"/>
      <c r="Z223" s="128"/>
      <c r="AA223" s="122"/>
      <c r="AB223" s="122"/>
      <c r="AC223" s="122"/>
      <c r="AD223" s="122"/>
      <c r="AE223" s="118"/>
      <c r="AF223" s="77"/>
      <c r="AG223" s="76" t="str">
        <f t="shared" si="16"/>
        <v/>
      </c>
    </row>
    <row r="224" spans="2:33" x14ac:dyDescent="0.25">
      <c r="B224" s="182"/>
      <c r="C224" s="116"/>
      <c r="D224" s="117"/>
      <c r="E224" s="118"/>
      <c r="F224" s="126"/>
      <c r="G224" s="127"/>
      <c r="H224" s="119"/>
      <c r="I224" s="119">
        <f t="shared" si="10"/>
        <v>0</v>
      </c>
      <c r="J224" s="115">
        <f t="shared" si="11"/>
        <v>0</v>
      </c>
      <c r="K224" s="80" t="str">
        <f t="shared" si="12"/>
        <v/>
      </c>
      <c r="L224" s="120"/>
      <c r="M224" s="8">
        <v>300</v>
      </c>
      <c r="N224" s="115">
        <v>60</v>
      </c>
      <c r="O224" s="78" t="str">
        <f t="shared" si="13"/>
        <v/>
      </c>
      <c r="P224" s="121">
        <f t="shared" si="14"/>
        <v>0</v>
      </c>
      <c r="Q224" s="115">
        <f t="shared" si="15"/>
        <v>0</v>
      </c>
      <c r="R224" s="122"/>
      <c r="S224" s="122"/>
      <c r="T224" s="122"/>
      <c r="U224" s="122"/>
      <c r="V224" s="122"/>
      <c r="W224" s="122"/>
      <c r="X224" s="128"/>
      <c r="Y224" s="128"/>
      <c r="Z224" s="128"/>
      <c r="AA224" s="122"/>
      <c r="AB224" s="122"/>
      <c r="AC224" s="122"/>
      <c r="AD224" s="122"/>
      <c r="AE224" s="118"/>
      <c r="AF224" s="77"/>
      <c r="AG224" s="76" t="str">
        <f t="shared" si="16"/>
        <v/>
      </c>
    </row>
    <row r="225" spans="2:33" x14ac:dyDescent="0.25">
      <c r="B225" s="182"/>
      <c r="C225" s="116"/>
      <c r="D225" s="117"/>
      <c r="E225" s="118"/>
      <c r="F225" s="126"/>
      <c r="G225" s="127"/>
      <c r="H225" s="119"/>
      <c r="I225" s="119">
        <f t="shared" si="10"/>
        <v>0</v>
      </c>
      <c r="J225" s="115">
        <f t="shared" si="11"/>
        <v>0</v>
      </c>
      <c r="K225" s="80" t="str">
        <f t="shared" si="12"/>
        <v/>
      </c>
      <c r="L225" s="120"/>
      <c r="M225" s="8">
        <v>300</v>
      </c>
      <c r="N225" s="115">
        <v>60</v>
      </c>
      <c r="O225" s="78" t="str">
        <f t="shared" si="13"/>
        <v/>
      </c>
      <c r="P225" s="121">
        <f t="shared" ref="P225:P288" si="17">L225-AE225</f>
        <v>0</v>
      </c>
      <c r="Q225" s="115">
        <f t="shared" si="15"/>
        <v>0</v>
      </c>
      <c r="R225" s="122"/>
      <c r="S225" s="122"/>
      <c r="T225" s="122"/>
      <c r="U225" s="122"/>
      <c r="V225" s="122"/>
      <c r="W225" s="122"/>
      <c r="X225" s="128"/>
      <c r="Y225" s="128"/>
      <c r="Z225" s="128"/>
      <c r="AA225" s="122"/>
      <c r="AB225" s="122"/>
      <c r="AC225" s="122"/>
      <c r="AD225" s="122"/>
      <c r="AE225" s="118"/>
      <c r="AF225" s="77"/>
      <c r="AG225" s="76" t="str">
        <f t="shared" si="16"/>
        <v/>
      </c>
    </row>
    <row r="226" spans="2:33" x14ac:dyDescent="0.25">
      <c r="B226" s="182"/>
      <c r="C226" s="116"/>
      <c r="D226" s="117"/>
      <c r="E226" s="118"/>
      <c r="F226" s="126"/>
      <c r="G226" s="127"/>
      <c r="H226" s="119"/>
      <c r="I226" s="119">
        <f t="shared" si="10"/>
        <v>0</v>
      </c>
      <c r="J226" s="115">
        <f t="shared" si="11"/>
        <v>0</v>
      </c>
      <c r="K226" s="80" t="str">
        <f t="shared" si="12"/>
        <v/>
      </c>
      <c r="L226" s="120"/>
      <c r="M226" s="8">
        <v>300</v>
      </c>
      <c r="N226" s="115">
        <v>60</v>
      </c>
      <c r="O226" s="78" t="str">
        <f t="shared" si="13"/>
        <v/>
      </c>
      <c r="P226" s="121">
        <f t="shared" si="17"/>
        <v>0</v>
      </c>
      <c r="Q226" s="115">
        <f t="shared" si="15"/>
        <v>0</v>
      </c>
      <c r="R226" s="122"/>
      <c r="S226" s="122"/>
      <c r="T226" s="122"/>
      <c r="U226" s="122"/>
      <c r="V226" s="122"/>
      <c r="W226" s="122"/>
      <c r="X226" s="128"/>
      <c r="Y226" s="128"/>
      <c r="Z226" s="128"/>
      <c r="AA226" s="122"/>
      <c r="AB226" s="122"/>
      <c r="AC226" s="122"/>
      <c r="AD226" s="122"/>
      <c r="AE226" s="118"/>
      <c r="AF226" s="77"/>
      <c r="AG226" s="76" t="str">
        <f t="shared" si="16"/>
        <v/>
      </c>
    </row>
    <row r="227" spans="2:33" x14ac:dyDescent="0.25">
      <c r="B227" s="182"/>
      <c r="C227" s="116"/>
      <c r="D227" s="117"/>
      <c r="E227" s="118"/>
      <c r="F227" s="126"/>
      <c r="G227" s="127"/>
      <c r="H227" s="119"/>
      <c r="I227" s="119">
        <f t="shared" si="10"/>
        <v>0</v>
      </c>
      <c r="J227" s="115">
        <f t="shared" si="11"/>
        <v>0</v>
      </c>
      <c r="K227" s="80" t="str">
        <f t="shared" si="12"/>
        <v/>
      </c>
      <c r="L227" s="120"/>
      <c r="M227" s="8">
        <v>300</v>
      </c>
      <c r="N227" s="115">
        <v>60</v>
      </c>
      <c r="O227" s="78" t="str">
        <f t="shared" si="13"/>
        <v/>
      </c>
      <c r="P227" s="121">
        <f t="shared" si="17"/>
        <v>0</v>
      </c>
      <c r="Q227" s="115">
        <f t="shared" si="15"/>
        <v>0</v>
      </c>
      <c r="R227" s="122"/>
      <c r="S227" s="122"/>
      <c r="T227" s="122"/>
      <c r="U227" s="122"/>
      <c r="V227" s="122"/>
      <c r="W227" s="122"/>
      <c r="X227" s="128"/>
      <c r="Y227" s="128"/>
      <c r="Z227" s="128"/>
      <c r="AA227" s="122"/>
      <c r="AB227" s="122"/>
      <c r="AC227" s="122"/>
      <c r="AD227" s="122"/>
      <c r="AE227" s="118"/>
      <c r="AF227" s="77"/>
      <c r="AG227" s="76" t="str">
        <f t="shared" si="16"/>
        <v/>
      </c>
    </row>
    <row r="228" spans="2:33" x14ac:dyDescent="0.25">
      <c r="B228" s="182"/>
      <c r="C228" s="116"/>
      <c r="D228" s="117"/>
      <c r="E228" s="118"/>
      <c r="F228" s="126"/>
      <c r="G228" s="127"/>
      <c r="H228" s="119"/>
      <c r="I228" s="119">
        <f t="shared" si="10"/>
        <v>0</v>
      </c>
      <c r="J228" s="115">
        <f t="shared" si="11"/>
        <v>0</v>
      </c>
      <c r="K228" s="80" t="str">
        <f t="shared" si="12"/>
        <v/>
      </c>
      <c r="L228" s="120"/>
      <c r="M228" s="8">
        <v>300</v>
      </c>
      <c r="N228" s="115">
        <v>60</v>
      </c>
      <c r="O228" s="78" t="str">
        <f t="shared" si="13"/>
        <v/>
      </c>
      <c r="P228" s="121">
        <f t="shared" si="17"/>
        <v>0</v>
      </c>
      <c r="Q228" s="115">
        <f t="shared" si="15"/>
        <v>0</v>
      </c>
      <c r="R228" s="122"/>
      <c r="S228" s="122"/>
      <c r="T228" s="122"/>
      <c r="U228" s="122"/>
      <c r="V228" s="122"/>
      <c r="W228" s="122"/>
      <c r="X228" s="128"/>
      <c r="Y228" s="128"/>
      <c r="Z228" s="128"/>
      <c r="AA228" s="122"/>
      <c r="AB228" s="122"/>
      <c r="AC228" s="122"/>
      <c r="AD228" s="122"/>
      <c r="AE228" s="118"/>
      <c r="AF228" s="77"/>
      <c r="AG228" s="76" t="str">
        <f t="shared" si="16"/>
        <v/>
      </c>
    </row>
    <row r="229" spans="2:33" x14ac:dyDescent="0.25">
      <c r="B229" s="182"/>
      <c r="C229" s="116"/>
      <c r="D229" s="117"/>
      <c r="E229" s="118"/>
      <c r="F229" s="126"/>
      <c r="G229" s="127"/>
      <c r="H229" s="119"/>
      <c r="I229" s="119">
        <f t="shared" si="10"/>
        <v>0</v>
      </c>
      <c r="J229" s="115">
        <f t="shared" si="11"/>
        <v>0</v>
      </c>
      <c r="K229" s="80" t="str">
        <f t="shared" si="12"/>
        <v/>
      </c>
      <c r="L229" s="120"/>
      <c r="M229" s="8">
        <v>300</v>
      </c>
      <c r="N229" s="115">
        <v>60</v>
      </c>
      <c r="O229" s="78" t="str">
        <f t="shared" si="13"/>
        <v/>
      </c>
      <c r="P229" s="121">
        <f t="shared" si="17"/>
        <v>0</v>
      </c>
      <c r="Q229" s="115">
        <f t="shared" si="15"/>
        <v>0</v>
      </c>
      <c r="R229" s="122"/>
      <c r="S229" s="122"/>
      <c r="T229" s="122"/>
      <c r="U229" s="122"/>
      <c r="V229" s="122"/>
      <c r="W229" s="122"/>
      <c r="X229" s="128"/>
      <c r="Y229" s="128"/>
      <c r="Z229" s="128"/>
      <c r="AA229" s="122"/>
      <c r="AB229" s="122"/>
      <c r="AC229" s="122"/>
      <c r="AD229" s="122"/>
      <c r="AE229" s="118"/>
      <c r="AF229" s="77"/>
      <c r="AG229" s="76" t="str">
        <f t="shared" si="16"/>
        <v/>
      </c>
    </row>
    <row r="230" spans="2:33" x14ac:dyDescent="0.25">
      <c r="B230" s="182"/>
      <c r="C230" s="116"/>
      <c r="D230" s="117"/>
      <c r="E230" s="118"/>
      <c r="F230" s="126"/>
      <c r="G230" s="127"/>
      <c r="H230" s="119"/>
      <c r="I230" s="119">
        <f t="shared" si="10"/>
        <v>0</v>
      </c>
      <c r="J230" s="115">
        <f t="shared" si="11"/>
        <v>0</v>
      </c>
      <c r="K230" s="80" t="str">
        <f t="shared" si="12"/>
        <v/>
      </c>
      <c r="L230" s="120"/>
      <c r="M230" s="8">
        <v>300</v>
      </c>
      <c r="N230" s="115">
        <v>60</v>
      </c>
      <c r="O230" s="78" t="str">
        <f t="shared" si="13"/>
        <v/>
      </c>
      <c r="P230" s="121">
        <f t="shared" si="17"/>
        <v>0</v>
      </c>
      <c r="Q230" s="115">
        <f t="shared" si="15"/>
        <v>0</v>
      </c>
      <c r="R230" s="122"/>
      <c r="S230" s="122"/>
      <c r="T230" s="122"/>
      <c r="U230" s="122"/>
      <c r="V230" s="122"/>
      <c r="W230" s="122"/>
      <c r="X230" s="128"/>
      <c r="Y230" s="128"/>
      <c r="Z230" s="128"/>
      <c r="AA230" s="122"/>
      <c r="AB230" s="122"/>
      <c r="AC230" s="122"/>
      <c r="AD230" s="122"/>
      <c r="AE230" s="118"/>
      <c r="AF230" s="77"/>
      <c r="AG230" s="76" t="str">
        <f t="shared" si="16"/>
        <v/>
      </c>
    </row>
    <row r="231" spans="2:33" x14ac:dyDescent="0.25">
      <c r="B231" s="182"/>
      <c r="C231" s="116"/>
      <c r="D231" s="117"/>
      <c r="E231" s="118"/>
      <c r="F231" s="126"/>
      <c r="G231" s="127"/>
      <c r="H231" s="119"/>
      <c r="I231" s="119">
        <f t="shared" si="10"/>
        <v>0</v>
      </c>
      <c r="J231" s="115">
        <f t="shared" si="11"/>
        <v>0</v>
      </c>
      <c r="K231" s="80" t="str">
        <f t="shared" si="12"/>
        <v/>
      </c>
      <c r="L231" s="120"/>
      <c r="M231" s="8">
        <v>300</v>
      </c>
      <c r="N231" s="115">
        <v>60</v>
      </c>
      <c r="O231" s="78" t="str">
        <f t="shared" si="13"/>
        <v/>
      </c>
      <c r="P231" s="121">
        <f t="shared" si="17"/>
        <v>0</v>
      </c>
      <c r="Q231" s="115">
        <f t="shared" si="15"/>
        <v>0</v>
      </c>
      <c r="R231" s="122"/>
      <c r="S231" s="122"/>
      <c r="T231" s="122"/>
      <c r="U231" s="122"/>
      <c r="V231" s="122"/>
      <c r="W231" s="122"/>
      <c r="X231" s="128"/>
      <c r="Y231" s="128"/>
      <c r="Z231" s="128"/>
      <c r="AA231" s="122"/>
      <c r="AB231" s="122"/>
      <c r="AC231" s="122"/>
      <c r="AD231" s="122"/>
      <c r="AE231" s="118"/>
      <c r="AF231" s="77"/>
      <c r="AG231" s="76" t="str">
        <f t="shared" si="16"/>
        <v/>
      </c>
    </row>
    <row r="232" spans="2:33" x14ac:dyDescent="0.25">
      <c r="B232" s="182"/>
      <c r="C232" s="116"/>
      <c r="D232" s="117"/>
      <c r="E232" s="118"/>
      <c r="F232" s="126"/>
      <c r="G232" s="127"/>
      <c r="H232" s="119"/>
      <c r="I232" s="119">
        <f t="shared" si="10"/>
        <v>0</v>
      </c>
      <c r="J232" s="115">
        <f t="shared" si="11"/>
        <v>0</v>
      </c>
      <c r="K232" s="80" t="str">
        <f t="shared" si="12"/>
        <v/>
      </c>
      <c r="L232" s="120"/>
      <c r="M232" s="8">
        <v>300</v>
      </c>
      <c r="N232" s="115">
        <v>60</v>
      </c>
      <c r="O232" s="78" t="str">
        <f t="shared" si="13"/>
        <v/>
      </c>
      <c r="P232" s="121">
        <f t="shared" si="17"/>
        <v>0</v>
      </c>
      <c r="Q232" s="115">
        <f t="shared" si="15"/>
        <v>0</v>
      </c>
      <c r="R232" s="122"/>
      <c r="S232" s="122"/>
      <c r="T232" s="122"/>
      <c r="U232" s="122"/>
      <c r="V232" s="122"/>
      <c r="W232" s="122"/>
      <c r="X232" s="128"/>
      <c r="Y232" s="128"/>
      <c r="Z232" s="128"/>
      <c r="AA232" s="122"/>
      <c r="AB232" s="122"/>
      <c r="AC232" s="122"/>
      <c r="AD232" s="122"/>
      <c r="AE232" s="118"/>
      <c r="AF232" s="77"/>
      <c r="AG232" s="76" t="str">
        <f t="shared" si="16"/>
        <v/>
      </c>
    </row>
    <row r="233" spans="2:33" x14ac:dyDescent="0.25">
      <c r="B233" s="182"/>
      <c r="C233" s="116"/>
      <c r="D233" s="117"/>
      <c r="E233" s="118"/>
      <c r="F233" s="126"/>
      <c r="G233" s="127"/>
      <c r="H233" s="119"/>
      <c r="I233" s="119">
        <f t="shared" si="10"/>
        <v>0</v>
      </c>
      <c r="J233" s="115">
        <f t="shared" si="11"/>
        <v>0</v>
      </c>
      <c r="K233" s="80" t="str">
        <f t="shared" si="12"/>
        <v/>
      </c>
      <c r="L233" s="120"/>
      <c r="M233" s="8">
        <v>300</v>
      </c>
      <c r="N233" s="115">
        <v>60</v>
      </c>
      <c r="O233" s="78" t="str">
        <f t="shared" si="13"/>
        <v/>
      </c>
      <c r="P233" s="121">
        <f t="shared" si="17"/>
        <v>0</v>
      </c>
      <c r="Q233" s="115">
        <f t="shared" si="15"/>
        <v>0</v>
      </c>
      <c r="R233" s="122"/>
      <c r="S233" s="122"/>
      <c r="T233" s="122"/>
      <c r="U233" s="122"/>
      <c r="V233" s="122"/>
      <c r="W233" s="122"/>
      <c r="X233" s="128"/>
      <c r="Y233" s="128"/>
      <c r="Z233" s="128"/>
      <c r="AA233" s="122"/>
      <c r="AB233" s="122"/>
      <c r="AC233" s="122"/>
      <c r="AD233" s="122"/>
      <c r="AE233" s="118"/>
      <c r="AF233" s="77"/>
      <c r="AG233" s="76" t="str">
        <f t="shared" si="16"/>
        <v/>
      </c>
    </row>
    <row r="234" spans="2:33" x14ac:dyDescent="0.25">
      <c r="B234" s="182"/>
      <c r="C234" s="116"/>
      <c r="D234" s="117"/>
      <c r="E234" s="118"/>
      <c r="F234" s="126"/>
      <c r="G234" s="127"/>
      <c r="H234" s="119"/>
      <c r="I234" s="119">
        <f t="shared" si="10"/>
        <v>0</v>
      </c>
      <c r="J234" s="115">
        <f t="shared" si="11"/>
        <v>0</v>
      </c>
      <c r="K234" s="80" t="str">
        <f t="shared" si="12"/>
        <v/>
      </c>
      <c r="L234" s="120"/>
      <c r="M234" s="8">
        <v>300</v>
      </c>
      <c r="N234" s="115">
        <v>60</v>
      </c>
      <c r="O234" s="78" t="str">
        <f t="shared" si="13"/>
        <v/>
      </c>
      <c r="P234" s="121">
        <f t="shared" si="17"/>
        <v>0</v>
      </c>
      <c r="Q234" s="115">
        <f t="shared" si="15"/>
        <v>0</v>
      </c>
      <c r="R234" s="122"/>
      <c r="S234" s="122"/>
      <c r="T234" s="122"/>
      <c r="U234" s="122"/>
      <c r="V234" s="122"/>
      <c r="W234" s="122"/>
      <c r="X234" s="128"/>
      <c r="Y234" s="128"/>
      <c r="Z234" s="128"/>
      <c r="AA234" s="122"/>
      <c r="AB234" s="122"/>
      <c r="AC234" s="122"/>
      <c r="AD234" s="122"/>
      <c r="AE234" s="118"/>
      <c r="AF234" s="77"/>
      <c r="AG234" s="76" t="str">
        <f t="shared" si="16"/>
        <v/>
      </c>
    </row>
    <row r="235" spans="2:33" x14ac:dyDescent="0.25">
      <c r="B235" s="182"/>
      <c r="C235" s="116"/>
      <c r="D235" s="117"/>
      <c r="E235" s="118"/>
      <c r="F235" s="126"/>
      <c r="G235" s="127"/>
      <c r="H235" s="119"/>
      <c r="I235" s="119">
        <f t="shared" si="10"/>
        <v>0</v>
      </c>
      <c r="J235" s="115">
        <f t="shared" si="11"/>
        <v>0</v>
      </c>
      <c r="K235" s="80" t="str">
        <f t="shared" si="12"/>
        <v/>
      </c>
      <c r="L235" s="120"/>
      <c r="M235" s="8">
        <v>300</v>
      </c>
      <c r="N235" s="115">
        <v>60</v>
      </c>
      <c r="O235" s="78" t="str">
        <f t="shared" si="13"/>
        <v/>
      </c>
      <c r="P235" s="121">
        <f t="shared" si="17"/>
        <v>0</v>
      </c>
      <c r="Q235" s="115">
        <f t="shared" si="15"/>
        <v>0</v>
      </c>
      <c r="R235" s="122"/>
      <c r="S235" s="122"/>
      <c r="T235" s="122"/>
      <c r="U235" s="122"/>
      <c r="V235" s="122"/>
      <c r="W235" s="122"/>
      <c r="X235" s="128"/>
      <c r="Y235" s="128"/>
      <c r="Z235" s="128"/>
      <c r="AA235" s="122"/>
      <c r="AB235" s="122"/>
      <c r="AC235" s="122"/>
      <c r="AD235" s="122"/>
      <c r="AE235" s="118"/>
      <c r="AF235" s="77"/>
      <c r="AG235" s="76" t="str">
        <f t="shared" si="16"/>
        <v/>
      </c>
    </row>
    <row r="236" spans="2:33" x14ac:dyDescent="0.25">
      <c r="B236" s="182"/>
      <c r="C236" s="116"/>
      <c r="D236" s="117"/>
      <c r="E236" s="118"/>
      <c r="F236" s="126"/>
      <c r="G236" s="127"/>
      <c r="H236" s="119"/>
      <c r="I236" s="119">
        <f t="shared" si="10"/>
        <v>0</v>
      </c>
      <c r="J236" s="115">
        <f t="shared" si="11"/>
        <v>0</v>
      </c>
      <c r="K236" s="80" t="str">
        <f t="shared" si="12"/>
        <v/>
      </c>
      <c r="L236" s="120"/>
      <c r="M236" s="8">
        <v>300</v>
      </c>
      <c r="N236" s="115">
        <v>60</v>
      </c>
      <c r="O236" s="78" t="str">
        <f t="shared" si="13"/>
        <v/>
      </c>
      <c r="P236" s="121">
        <f t="shared" si="17"/>
        <v>0</v>
      </c>
      <c r="Q236" s="115">
        <f t="shared" si="15"/>
        <v>0</v>
      </c>
      <c r="R236" s="122"/>
      <c r="S236" s="122"/>
      <c r="T236" s="122"/>
      <c r="U236" s="122"/>
      <c r="V236" s="122"/>
      <c r="W236" s="122"/>
      <c r="X236" s="128"/>
      <c r="Y236" s="128"/>
      <c r="Z236" s="128"/>
      <c r="AA236" s="122"/>
      <c r="AB236" s="122"/>
      <c r="AC236" s="122"/>
      <c r="AD236" s="122"/>
      <c r="AE236" s="118"/>
      <c r="AF236" s="77"/>
      <c r="AG236" s="76" t="str">
        <f t="shared" si="16"/>
        <v/>
      </c>
    </row>
    <row r="237" spans="2:33" x14ac:dyDescent="0.25">
      <c r="B237" s="182"/>
      <c r="C237" s="116"/>
      <c r="D237" s="117"/>
      <c r="E237" s="118"/>
      <c r="F237" s="126"/>
      <c r="G237" s="127"/>
      <c r="H237" s="119"/>
      <c r="I237" s="119">
        <f t="shared" si="10"/>
        <v>0</v>
      </c>
      <c r="J237" s="115">
        <f t="shared" si="11"/>
        <v>0</v>
      </c>
      <c r="K237" s="80" t="str">
        <f t="shared" si="12"/>
        <v/>
      </c>
      <c r="L237" s="120"/>
      <c r="M237" s="8">
        <v>300</v>
      </c>
      <c r="N237" s="115">
        <v>60</v>
      </c>
      <c r="O237" s="78" t="str">
        <f t="shared" si="13"/>
        <v/>
      </c>
      <c r="P237" s="121">
        <f t="shared" si="17"/>
        <v>0</v>
      </c>
      <c r="Q237" s="115">
        <f t="shared" si="15"/>
        <v>0</v>
      </c>
      <c r="R237" s="122"/>
      <c r="S237" s="122"/>
      <c r="T237" s="122"/>
      <c r="U237" s="122"/>
      <c r="V237" s="122"/>
      <c r="W237" s="122"/>
      <c r="X237" s="128"/>
      <c r="Y237" s="128"/>
      <c r="Z237" s="128"/>
      <c r="AA237" s="122"/>
      <c r="AB237" s="122"/>
      <c r="AC237" s="122"/>
      <c r="AD237" s="122"/>
      <c r="AE237" s="118"/>
      <c r="AF237" s="77"/>
      <c r="AG237" s="76" t="str">
        <f t="shared" si="16"/>
        <v/>
      </c>
    </row>
    <row r="238" spans="2:33" x14ac:dyDescent="0.25">
      <c r="B238" s="182"/>
      <c r="C238" s="116"/>
      <c r="D238" s="117"/>
      <c r="E238" s="118"/>
      <c r="F238" s="126"/>
      <c r="G238" s="127"/>
      <c r="H238" s="119"/>
      <c r="I238" s="119">
        <f t="shared" si="10"/>
        <v>0</v>
      </c>
      <c r="J238" s="115">
        <f t="shared" si="11"/>
        <v>0</v>
      </c>
      <c r="K238" s="80" t="str">
        <f t="shared" si="12"/>
        <v/>
      </c>
      <c r="L238" s="120"/>
      <c r="M238" s="8">
        <v>300</v>
      </c>
      <c r="N238" s="115">
        <v>60</v>
      </c>
      <c r="O238" s="78" t="str">
        <f t="shared" si="13"/>
        <v/>
      </c>
      <c r="P238" s="121">
        <f t="shared" si="17"/>
        <v>0</v>
      </c>
      <c r="Q238" s="115">
        <f t="shared" si="15"/>
        <v>0</v>
      </c>
      <c r="R238" s="122"/>
      <c r="S238" s="122"/>
      <c r="T238" s="122"/>
      <c r="U238" s="122"/>
      <c r="V238" s="122"/>
      <c r="W238" s="122"/>
      <c r="X238" s="128"/>
      <c r="Y238" s="128"/>
      <c r="Z238" s="128"/>
      <c r="AA238" s="122"/>
      <c r="AB238" s="122"/>
      <c r="AC238" s="122"/>
      <c r="AD238" s="122"/>
      <c r="AE238" s="118"/>
      <c r="AF238" s="77"/>
      <c r="AG238" s="76" t="str">
        <f t="shared" si="16"/>
        <v/>
      </c>
    </row>
    <row r="239" spans="2:33" x14ac:dyDescent="0.25">
      <c r="B239" s="182"/>
      <c r="C239" s="116"/>
      <c r="D239" s="117"/>
      <c r="E239" s="118"/>
      <c r="F239" s="126"/>
      <c r="G239" s="127"/>
      <c r="H239" s="119"/>
      <c r="I239" s="119">
        <f t="shared" si="10"/>
        <v>0</v>
      </c>
      <c r="J239" s="115">
        <f t="shared" si="11"/>
        <v>0</v>
      </c>
      <c r="K239" s="80" t="str">
        <f t="shared" si="12"/>
        <v/>
      </c>
      <c r="L239" s="120"/>
      <c r="M239" s="8">
        <v>300</v>
      </c>
      <c r="N239" s="115">
        <v>60</v>
      </c>
      <c r="O239" s="78" t="str">
        <f t="shared" si="13"/>
        <v/>
      </c>
      <c r="P239" s="121">
        <f t="shared" si="17"/>
        <v>0</v>
      </c>
      <c r="Q239" s="115">
        <f t="shared" si="15"/>
        <v>0</v>
      </c>
      <c r="R239" s="122"/>
      <c r="S239" s="122"/>
      <c r="T239" s="122"/>
      <c r="U239" s="122"/>
      <c r="V239" s="122"/>
      <c r="W239" s="122"/>
      <c r="X239" s="128"/>
      <c r="Y239" s="128"/>
      <c r="Z239" s="128"/>
      <c r="AA239" s="122"/>
      <c r="AB239" s="122"/>
      <c r="AC239" s="122"/>
      <c r="AD239" s="122"/>
      <c r="AE239" s="118"/>
      <c r="AF239" s="77"/>
      <c r="AG239" s="76" t="str">
        <f t="shared" si="16"/>
        <v/>
      </c>
    </row>
    <row r="240" spans="2:33" x14ac:dyDescent="0.25">
      <c r="B240" s="182"/>
      <c r="C240" s="116"/>
      <c r="D240" s="117"/>
      <c r="E240" s="118"/>
      <c r="F240" s="126"/>
      <c r="G240" s="127"/>
      <c r="H240" s="119"/>
      <c r="I240" s="119">
        <f t="shared" si="10"/>
        <v>0</v>
      </c>
      <c r="J240" s="115">
        <f t="shared" si="11"/>
        <v>0</v>
      </c>
      <c r="K240" s="80" t="str">
        <f t="shared" si="12"/>
        <v/>
      </c>
      <c r="L240" s="120"/>
      <c r="M240" s="8">
        <v>300</v>
      </c>
      <c r="N240" s="115">
        <v>60</v>
      </c>
      <c r="O240" s="78" t="str">
        <f t="shared" si="13"/>
        <v/>
      </c>
      <c r="P240" s="121">
        <f t="shared" si="17"/>
        <v>0</v>
      </c>
      <c r="Q240" s="115">
        <f t="shared" si="15"/>
        <v>0</v>
      </c>
      <c r="R240" s="122"/>
      <c r="S240" s="122"/>
      <c r="T240" s="122"/>
      <c r="U240" s="122"/>
      <c r="V240" s="122"/>
      <c r="W240" s="122"/>
      <c r="X240" s="128"/>
      <c r="Y240" s="128"/>
      <c r="Z240" s="128"/>
      <c r="AA240" s="122"/>
      <c r="AB240" s="122"/>
      <c r="AC240" s="122"/>
      <c r="AD240" s="122"/>
      <c r="AE240" s="118"/>
      <c r="AF240" s="77"/>
      <c r="AG240" s="76" t="str">
        <f t="shared" si="16"/>
        <v/>
      </c>
    </row>
    <row r="241" spans="2:33" x14ac:dyDescent="0.25">
      <c r="B241" s="182"/>
      <c r="C241" s="116"/>
      <c r="D241" s="117"/>
      <c r="E241" s="118"/>
      <c r="F241" s="126"/>
      <c r="G241" s="127"/>
      <c r="H241" s="119"/>
      <c r="I241" s="119">
        <f t="shared" si="10"/>
        <v>0</v>
      </c>
      <c r="J241" s="115">
        <f t="shared" si="11"/>
        <v>0</v>
      </c>
      <c r="K241" s="80" t="str">
        <f t="shared" si="12"/>
        <v/>
      </c>
      <c r="L241" s="120"/>
      <c r="M241" s="8">
        <v>300</v>
      </c>
      <c r="N241" s="115">
        <v>60</v>
      </c>
      <c r="O241" s="78" t="str">
        <f t="shared" si="13"/>
        <v/>
      </c>
      <c r="P241" s="121">
        <f t="shared" si="17"/>
        <v>0</v>
      </c>
      <c r="Q241" s="115">
        <f t="shared" si="15"/>
        <v>0</v>
      </c>
      <c r="R241" s="122"/>
      <c r="S241" s="122"/>
      <c r="T241" s="122"/>
      <c r="U241" s="122"/>
      <c r="V241" s="122"/>
      <c r="W241" s="122"/>
      <c r="X241" s="128"/>
      <c r="Y241" s="128"/>
      <c r="Z241" s="128"/>
      <c r="AA241" s="122"/>
      <c r="AB241" s="122"/>
      <c r="AC241" s="122"/>
      <c r="AD241" s="122"/>
      <c r="AE241" s="118"/>
      <c r="AF241" s="77"/>
      <c r="AG241" s="76" t="str">
        <f t="shared" si="16"/>
        <v/>
      </c>
    </row>
    <row r="242" spans="2:33" x14ac:dyDescent="0.25">
      <c r="B242" s="182"/>
      <c r="C242" s="116"/>
      <c r="D242" s="117"/>
      <c r="E242" s="118"/>
      <c r="F242" s="126"/>
      <c r="G242" s="127"/>
      <c r="H242" s="119"/>
      <c r="I242" s="119">
        <f t="shared" si="10"/>
        <v>0</v>
      </c>
      <c r="J242" s="115">
        <f t="shared" si="11"/>
        <v>0</v>
      </c>
      <c r="K242" s="80" t="str">
        <f t="shared" si="12"/>
        <v/>
      </c>
      <c r="L242" s="120"/>
      <c r="M242" s="8">
        <v>300</v>
      </c>
      <c r="N242" s="115">
        <v>60</v>
      </c>
      <c r="O242" s="78" t="str">
        <f t="shared" si="13"/>
        <v/>
      </c>
      <c r="P242" s="121">
        <f t="shared" si="17"/>
        <v>0</v>
      </c>
      <c r="Q242" s="115">
        <f t="shared" si="15"/>
        <v>0</v>
      </c>
      <c r="R242" s="122"/>
      <c r="S242" s="122"/>
      <c r="T242" s="122"/>
      <c r="U242" s="122"/>
      <c r="V242" s="122"/>
      <c r="W242" s="122"/>
      <c r="X242" s="128"/>
      <c r="Y242" s="128"/>
      <c r="Z242" s="128"/>
      <c r="AA242" s="122"/>
      <c r="AB242" s="122"/>
      <c r="AC242" s="122"/>
      <c r="AD242" s="122"/>
      <c r="AE242" s="118"/>
      <c r="AF242" s="77"/>
      <c r="AG242" s="76" t="str">
        <f t="shared" si="16"/>
        <v/>
      </c>
    </row>
    <row r="243" spans="2:33" x14ac:dyDescent="0.25">
      <c r="B243" s="182"/>
      <c r="C243" s="116"/>
      <c r="D243" s="117"/>
      <c r="E243" s="118"/>
      <c r="F243" s="126"/>
      <c r="G243" s="127"/>
      <c r="H243" s="119"/>
      <c r="I243" s="119">
        <f t="shared" si="10"/>
        <v>0</v>
      </c>
      <c r="J243" s="115">
        <f t="shared" si="11"/>
        <v>0</v>
      </c>
      <c r="K243" s="80" t="str">
        <f t="shared" si="12"/>
        <v/>
      </c>
      <c r="L243" s="120"/>
      <c r="M243" s="8">
        <v>300</v>
      </c>
      <c r="N243" s="115">
        <v>60</v>
      </c>
      <c r="O243" s="78" t="str">
        <f t="shared" si="13"/>
        <v/>
      </c>
      <c r="P243" s="121">
        <f t="shared" si="17"/>
        <v>0</v>
      </c>
      <c r="Q243" s="115">
        <f t="shared" si="15"/>
        <v>0</v>
      </c>
      <c r="R243" s="122"/>
      <c r="S243" s="122"/>
      <c r="T243" s="122"/>
      <c r="U243" s="122"/>
      <c r="V243" s="122"/>
      <c r="W243" s="122"/>
      <c r="X243" s="128"/>
      <c r="Y243" s="128"/>
      <c r="Z243" s="128"/>
      <c r="AA243" s="122"/>
      <c r="AB243" s="122"/>
      <c r="AC243" s="122"/>
      <c r="AD243" s="122"/>
      <c r="AE243" s="118"/>
      <c r="AF243" s="77"/>
      <c r="AG243" s="76" t="str">
        <f t="shared" si="16"/>
        <v/>
      </c>
    </row>
    <row r="244" spans="2:33" x14ac:dyDescent="0.25">
      <c r="B244" s="182"/>
      <c r="C244" s="116"/>
      <c r="D244" s="117"/>
      <c r="E244" s="118"/>
      <c r="F244" s="126"/>
      <c r="G244" s="127"/>
      <c r="H244" s="119"/>
      <c r="I244" s="119">
        <f t="shared" si="10"/>
        <v>0</v>
      </c>
      <c r="J244" s="115">
        <f t="shared" si="11"/>
        <v>0</v>
      </c>
      <c r="K244" s="80" t="str">
        <f t="shared" si="12"/>
        <v/>
      </c>
      <c r="L244" s="120"/>
      <c r="M244" s="8">
        <v>300</v>
      </c>
      <c r="N244" s="115">
        <v>60</v>
      </c>
      <c r="O244" s="78" t="str">
        <f t="shared" si="13"/>
        <v/>
      </c>
      <c r="P244" s="121">
        <f t="shared" si="17"/>
        <v>0</v>
      </c>
      <c r="Q244" s="115">
        <f t="shared" si="15"/>
        <v>0</v>
      </c>
      <c r="R244" s="122"/>
      <c r="S244" s="122"/>
      <c r="T244" s="122"/>
      <c r="U244" s="122"/>
      <c r="V244" s="122"/>
      <c r="W244" s="122"/>
      <c r="X244" s="128"/>
      <c r="Y244" s="128"/>
      <c r="Z244" s="128"/>
      <c r="AA244" s="122"/>
      <c r="AB244" s="122"/>
      <c r="AC244" s="122"/>
      <c r="AD244" s="122"/>
      <c r="AE244" s="118"/>
      <c r="AF244" s="77"/>
      <c r="AG244" s="76" t="str">
        <f t="shared" si="16"/>
        <v/>
      </c>
    </row>
    <row r="245" spans="2:33" x14ac:dyDescent="0.25">
      <c r="B245" s="182"/>
      <c r="C245" s="116"/>
      <c r="D245" s="117"/>
      <c r="E245" s="118"/>
      <c r="F245" s="126"/>
      <c r="G245" s="127"/>
      <c r="H245" s="119"/>
      <c r="I245" s="119">
        <f t="shared" si="10"/>
        <v>0</v>
      </c>
      <c r="J245" s="115">
        <f t="shared" si="11"/>
        <v>0</v>
      </c>
      <c r="K245" s="80" t="str">
        <f t="shared" si="12"/>
        <v/>
      </c>
      <c r="L245" s="120"/>
      <c r="M245" s="8">
        <v>300</v>
      </c>
      <c r="N245" s="115">
        <v>60</v>
      </c>
      <c r="O245" s="78" t="str">
        <f t="shared" si="13"/>
        <v/>
      </c>
      <c r="P245" s="121">
        <f t="shared" si="17"/>
        <v>0</v>
      </c>
      <c r="Q245" s="115">
        <f t="shared" si="15"/>
        <v>0</v>
      </c>
      <c r="R245" s="122"/>
      <c r="S245" s="122"/>
      <c r="T245" s="122"/>
      <c r="U245" s="122"/>
      <c r="V245" s="122"/>
      <c r="W245" s="122"/>
      <c r="X245" s="128"/>
      <c r="Y245" s="128"/>
      <c r="Z245" s="128"/>
      <c r="AA245" s="122"/>
      <c r="AB245" s="122"/>
      <c r="AC245" s="122"/>
      <c r="AD245" s="122"/>
      <c r="AE245" s="118"/>
      <c r="AF245" s="77"/>
      <c r="AG245" s="76" t="str">
        <f t="shared" si="16"/>
        <v/>
      </c>
    </row>
    <row r="246" spans="2:33" x14ac:dyDescent="0.25">
      <c r="B246" s="182"/>
      <c r="C246" s="116"/>
      <c r="D246" s="117"/>
      <c r="E246" s="118"/>
      <c r="F246" s="126"/>
      <c r="G246" s="127"/>
      <c r="H246" s="119"/>
      <c r="I246" s="119">
        <f t="shared" si="10"/>
        <v>0</v>
      </c>
      <c r="J246" s="115">
        <f t="shared" si="11"/>
        <v>0</v>
      </c>
      <c r="K246" s="80" t="str">
        <f t="shared" si="12"/>
        <v/>
      </c>
      <c r="L246" s="120"/>
      <c r="M246" s="8">
        <v>300</v>
      </c>
      <c r="N246" s="115">
        <v>60</v>
      </c>
      <c r="O246" s="78" t="str">
        <f t="shared" si="13"/>
        <v/>
      </c>
      <c r="P246" s="121">
        <f t="shared" si="17"/>
        <v>0</v>
      </c>
      <c r="Q246" s="115">
        <f t="shared" si="15"/>
        <v>0</v>
      </c>
      <c r="R246" s="122"/>
      <c r="S246" s="122"/>
      <c r="T246" s="122"/>
      <c r="U246" s="122"/>
      <c r="V246" s="122"/>
      <c r="W246" s="122"/>
      <c r="X246" s="128"/>
      <c r="Y246" s="128"/>
      <c r="Z246" s="128"/>
      <c r="AA246" s="122"/>
      <c r="AB246" s="122"/>
      <c r="AC246" s="122"/>
      <c r="AD246" s="122"/>
      <c r="AE246" s="118"/>
      <c r="AF246" s="77"/>
      <c r="AG246" s="76" t="str">
        <f t="shared" si="16"/>
        <v/>
      </c>
    </row>
    <row r="247" spans="2:33" x14ac:dyDescent="0.25">
      <c r="B247" s="182"/>
      <c r="C247" s="116"/>
      <c r="D247" s="117"/>
      <c r="E247" s="118"/>
      <c r="F247" s="126"/>
      <c r="G247" s="127"/>
      <c r="H247" s="119"/>
      <c r="I247" s="119">
        <f t="shared" si="10"/>
        <v>0</v>
      </c>
      <c r="J247" s="115">
        <f t="shared" si="11"/>
        <v>0</v>
      </c>
      <c r="K247" s="80" t="str">
        <f t="shared" si="12"/>
        <v/>
      </c>
      <c r="L247" s="120"/>
      <c r="M247" s="8">
        <v>300</v>
      </c>
      <c r="N247" s="115">
        <v>60</v>
      </c>
      <c r="O247" s="78" t="str">
        <f t="shared" si="13"/>
        <v/>
      </c>
      <c r="P247" s="121">
        <f t="shared" si="17"/>
        <v>0</v>
      </c>
      <c r="Q247" s="115">
        <f t="shared" si="15"/>
        <v>0</v>
      </c>
      <c r="R247" s="122"/>
      <c r="S247" s="122"/>
      <c r="T247" s="122"/>
      <c r="U247" s="122"/>
      <c r="V247" s="122"/>
      <c r="W247" s="122"/>
      <c r="X247" s="128"/>
      <c r="Y247" s="128"/>
      <c r="Z247" s="128"/>
      <c r="AA247" s="122"/>
      <c r="AB247" s="122"/>
      <c r="AC247" s="122"/>
      <c r="AD247" s="122"/>
      <c r="AE247" s="118"/>
      <c r="AF247" s="77"/>
      <c r="AG247" s="76" t="str">
        <f t="shared" si="16"/>
        <v/>
      </c>
    </row>
    <row r="248" spans="2:33" x14ac:dyDescent="0.25">
      <c r="B248" s="182"/>
      <c r="C248" s="116"/>
      <c r="D248" s="117"/>
      <c r="E248" s="118"/>
      <c r="F248" s="126"/>
      <c r="G248" s="127"/>
      <c r="H248" s="119"/>
      <c r="I248" s="119">
        <f t="shared" si="10"/>
        <v>0</v>
      </c>
      <c r="J248" s="115">
        <f t="shared" si="11"/>
        <v>0</v>
      </c>
      <c r="K248" s="80" t="str">
        <f t="shared" si="12"/>
        <v/>
      </c>
      <c r="L248" s="120"/>
      <c r="M248" s="8">
        <v>300</v>
      </c>
      <c r="N248" s="115">
        <v>60</v>
      </c>
      <c r="O248" s="78" t="str">
        <f t="shared" si="13"/>
        <v/>
      </c>
      <c r="P248" s="121">
        <f t="shared" si="17"/>
        <v>0</v>
      </c>
      <c r="Q248" s="115">
        <f t="shared" si="15"/>
        <v>0</v>
      </c>
      <c r="R248" s="122"/>
      <c r="S248" s="122"/>
      <c r="T248" s="122"/>
      <c r="U248" s="122"/>
      <c r="V248" s="122"/>
      <c r="W248" s="122"/>
      <c r="X248" s="128"/>
      <c r="Y248" s="128"/>
      <c r="Z248" s="128"/>
      <c r="AA248" s="122"/>
      <c r="AB248" s="122"/>
      <c r="AC248" s="122"/>
      <c r="AD248" s="122"/>
      <c r="AE248" s="118"/>
      <c r="AF248" s="77"/>
      <c r="AG248" s="76" t="str">
        <f t="shared" si="16"/>
        <v/>
      </c>
    </row>
    <row r="249" spans="2:33" x14ac:dyDescent="0.25">
      <c r="B249" s="182"/>
      <c r="C249" s="116"/>
      <c r="D249" s="117"/>
      <c r="E249" s="118"/>
      <c r="F249" s="126"/>
      <c r="G249" s="127"/>
      <c r="H249" s="119"/>
      <c r="I249" s="119">
        <f t="shared" si="10"/>
        <v>0</v>
      </c>
      <c r="J249" s="115">
        <f t="shared" si="11"/>
        <v>0</v>
      </c>
      <c r="K249" s="80" t="str">
        <f t="shared" si="12"/>
        <v/>
      </c>
      <c r="L249" s="120"/>
      <c r="M249" s="8">
        <v>300</v>
      </c>
      <c r="N249" s="115">
        <v>60</v>
      </c>
      <c r="O249" s="78" t="str">
        <f t="shared" si="13"/>
        <v/>
      </c>
      <c r="P249" s="121">
        <f t="shared" si="17"/>
        <v>0</v>
      </c>
      <c r="Q249" s="115">
        <f t="shared" si="15"/>
        <v>0</v>
      </c>
      <c r="R249" s="122"/>
      <c r="S249" s="122"/>
      <c r="T249" s="122"/>
      <c r="U249" s="122"/>
      <c r="V249" s="122"/>
      <c r="W249" s="122"/>
      <c r="X249" s="128"/>
      <c r="Y249" s="128"/>
      <c r="Z249" s="128"/>
      <c r="AA249" s="122"/>
      <c r="AB249" s="122"/>
      <c r="AC249" s="122"/>
      <c r="AD249" s="122"/>
      <c r="AE249" s="118"/>
      <c r="AF249" s="77"/>
      <c r="AG249" s="76" t="str">
        <f t="shared" si="16"/>
        <v/>
      </c>
    </row>
    <row r="250" spans="2:33" x14ac:dyDescent="0.25">
      <c r="B250" s="182"/>
      <c r="C250" s="116"/>
      <c r="D250" s="117"/>
      <c r="E250" s="118"/>
      <c r="F250" s="126"/>
      <c r="G250" s="127"/>
      <c r="H250" s="119"/>
      <c r="I250" s="119">
        <f t="shared" si="10"/>
        <v>0</v>
      </c>
      <c r="J250" s="115">
        <f t="shared" si="11"/>
        <v>0</v>
      </c>
      <c r="K250" s="80" t="str">
        <f t="shared" si="12"/>
        <v/>
      </c>
      <c r="L250" s="120"/>
      <c r="M250" s="8">
        <v>300</v>
      </c>
      <c r="N250" s="115">
        <v>60</v>
      </c>
      <c r="O250" s="78" t="str">
        <f t="shared" si="13"/>
        <v/>
      </c>
      <c r="P250" s="121">
        <f t="shared" si="17"/>
        <v>0</v>
      </c>
      <c r="Q250" s="115">
        <f t="shared" si="15"/>
        <v>0</v>
      </c>
      <c r="R250" s="122"/>
      <c r="S250" s="122"/>
      <c r="T250" s="122"/>
      <c r="U250" s="122"/>
      <c r="V250" s="122"/>
      <c r="W250" s="122"/>
      <c r="X250" s="128"/>
      <c r="Y250" s="128"/>
      <c r="Z250" s="128"/>
      <c r="AA250" s="122"/>
      <c r="AB250" s="122"/>
      <c r="AC250" s="122"/>
      <c r="AD250" s="122"/>
      <c r="AE250" s="118"/>
      <c r="AF250" s="77"/>
      <c r="AG250" s="76" t="str">
        <f t="shared" si="16"/>
        <v/>
      </c>
    </row>
    <row r="251" spans="2:33" x14ac:dyDescent="0.25">
      <c r="B251" s="182"/>
      <c r="C251" s="116"/>
      <c r="D251" s="117"/>
      <c r="E251" s="118"/>
      <c r="F251" s="126"/>
      <c r="G251" s="127"/>
      <c r="H251" s="119"/>
      <c r="I251" s="119">
        <f t="shared" si="10"/>
        <v>0</v>
      </c>
      <c r="J251" s="115">
        <f t="shared" si="11"/>
        <v>0</v>
      </c>
      <c r="K251" s="80" t="str">
        <f t="shared" si="12"/>
        <v/>
      </c>
      <c r="L251" s="120"/>
      <c r="M251" s="8">
        <v>300</v>
      </c>
      <c r="N251" s="115">
        <v>60</v>
      </c>
      <c r="O251" s="78" t="str">
        <f t="shared" si="13"/>
        <v/>
      </c>
      <c r="P251" s="121">
        <f t="shared" si="17"/>
        <v>0</v>
      </c>
      <c r="Q251" s="115">
        <f t="shared" si="15"/>
        <v>0</v>
      </c>
      <c r="R251" s="122"/>
      <c r="S251" s="122"/>
      <c r="T251" s="122"/>
      <c r="U251" s="122"/>
      <c r="V251" s="122"/>
      <c r="W251" s="122"/>
      <c r="X251" s="128"/>
      <c r="Y251" s="128"/>
      <c r="Z251" s="128"/>
      <c r="AA251" s="122"/>
      <c r="AB251" s="122"/>
      <c r="AC251" s="122"/>
      <c r="AD251" s="122"/>
      <c r="AE251" s="118"/>
      <c r="AF251" s="77"/>
      <c r="AG251" s="76" t="str">
        <f t="shared" si="16"/>
        <v/>
      </c>
    </row>
    <row r="252" spans="2:33" x14ac:dyDescent="0.25">
      <c r="B252" s="182"/>
      <c r="C252" s="116"/>
      <c r="D252" s="117"/>
      <c r="E252" s="118"/>
      <c r="F252" s="126"/>
      <c r="G252" s="127"/>
      <c r="H252" s="119"/>
      <c r="I252" s="119">
        <f t="shared" si="10"/>
        <v>0</v>
      </c>
      <c r="J252" s="115">
        <f t="shared" si="11"/>
        <v>0</v>
      </c>
      <c r="K252" s="80" t="str">
        <f t="shared" si="12"/>
        <v/>
      </c>
      <c r="L252" s="120"/>
      <c r="M252" s="8">
        <v>300</v>
      </c>
      <c r="N252" s="115">
        <v>60</v>
      </c>
      <c r="O252" s="78" t="str">
        <f t="shared" si="13"/>
        <v/>
      </c>
      <c r="P252" s="121">
        <f t="shared" si="17"/>
        <v>0</v>
      </c>
      <c r="Q252" s="115">
        <f t="shared" si="15"/>
        <v>0</v>
      </c>
      <c r="R252" s="122"/>
      <c r="S252" s="122"/>
      <c r="T252" s="122"/>
      <c r="U252" s="122"/>
      <c r="V252" s="122"/>
      <c r="W252" s="122"/>
      <c r="X252" s="128"/>
      <c r="Y252" s="128"/>
      <c r="Z252" s="128"/>
      <c r="AA252" s="122"/>
      <c r="AB252" s="122"/>
      <c r="AC252" s="122"/>
      <c r="AD252" s="122"/>
      <c r="AE252" s="118"/>
      <c r="AF252" s="77"/>
      <c r="AG252" s="76" t="str">
        <f t="shared" si="16"/>
        <v/>
      </c>
    </row>
    <row r="253" spans="2:33" x14ac:dyDescent="0.25">
      <c r="B253" s="182"/>
      <c r="C253" s="116"/>
      <c r="D253" s="117"/>
      <c r="E253" s="118"/>
      <c r="F253" s="126"/>
      <c r="G253" s="127"/>
      <c r="H253" s="119"/>
      <c r="I253" s="119">
        <f t="shared" si="10"/>
        <v>0</v>
      </c>
      <c r="J253" s="115">
        <f t="shared" si="11"/>
        <v>0</v>
      </c>
      <c r="K253" s="80" t="str">
        <f t="shared" si="12"/>
        <v/>
      </c>
      <c r="L253" s="120"/>
      <c r="M253" s="8">
        <v>300</v>
      </c>
      <c r="N253" s="115">
        <v>60</v>
      </c>
      <c r="O253" s="78" t="str">
        <f t="shared" si="13"/>
        <v/>
      </c>
      <c r="P253" s="121">
        <f t="shared" si="17"/>
        <v>0</v>
      </c>
      <c r="Q253" s="115">
        <f t="shared" si="15"/>
        <v>0</v>
      </c>
      <c r="R253" s="122"/>
      <c r="S253" s="122"/>
      <c r="T253" s="122"/>
      <c r="U253" s="122"/>
      <c r="V253" s="122"/>
      <c r="W253" s="122"/>
      <c r="X253" s="128"/>
      <c r="Y253" s="128"/>
      <c r="Z253" s="128"/>
      <c r="AA253" s="122"/>
      <c r="AB253" s="122"/>
      <c r="AC253" s="122"/>
      <c r="AD253" s="122"/>
      <c r="AE253" s="118"/>
      <c r="AF253" s="77"/>
      <c r="AG253" s="76" t="str">
        <f t="shared" si="16"/>
        <v/>
      </c>
    </row>
    <row r="254" spans="2:33" x14ac:dyDescent="0.25">
      <c r="B254" s="182"/>
      <c r="C254" s="116"/>
      <c r="D254" s="117"/>
      <c r="E254" s="118"/>
      <c r="F254" s="126"/>
      <c r="G254" s="127"/>
      <c r="H254" s="119"/>
      <c r="I254" s="119">
        <f t="shared" si="10"/>
        <v>0</v>
      </c>
      <c r="J254" s="115">
        <f t="shared" si="11"/>
        <v>0</v>
      </c>
      <c r="K254" s="80" t="str">
        <f t="shared" si="12"/>
        <v/>
      </c>
      <c r="L254" s="120"/>
      <c r="M254" s="8">
        <v>300</v>
      </c>
      <c r="N254" s="115">
        <v>60</v>
      </c>
      <c r="O254" s="78" t="str">
        <f t="shared" si="13"/>
        <v/>
      </c>
      <c r="P254" s="121">
        <f t="shared" si="17"/>
        <v>0</v>
      </c>
      <c r="Q254" s="115">
        <f t="shared" si="15"/>
        <v>0</v>
      </c>
      <c r="R254" s="122"/>
      <c r="S254" s="122"/>
      <c r="T254" s="122"/>
      <c r="U254" s="122"/>
      <c r="V254" s="122"/>
      <c r="W254" s="122"/>
      <c r="X254" s="128"/>
      <c r="Y254" s="128"/>
      <c r="Z254" s="128"/>
      <c r="AA254" s="122"/>
      <c r="AB254" s="122"/>
      <c r="AC254" s="122"/>
      <c r="AD254" s="122"/>
      <c r="AE254" s="118"/>
      <c r="AF254" s="77"/>
      <c r="AG254" s="76" t="str">
        <f t="shared" si="16"/>
        <v/>
      </c>
    </row>
    <row r="255" spans="2:33" x14ac:dyDescent="0.25">
      <c r="B255" s="182"/>
      <c r="C255" s="116"/>
      <c r="D255" s="117"/>
      <c r="E255" s="118"/>
      <c r="F255" s="126"/>
      <c r="G255" s="127"/>
      <c r="H255" s="119"/>
      <c r="I255" s="119">
        <f t="shared" si="10"/>
        <v>0</v>
      </c>
      <c r="J255" s="115">
        <f t="shared" si="11"/>
        <v>0</v>
      </c>
      <c r="K255" s="80" t="str">
        <f t="shared" si="12"/>
        <v/>
      </c>
      <c r="L255" s="120"/>
      <c r="M255" s="8">
        <v>300</v>
      </c>
      <c r="N255" s="115">
        <v>60</v>
      </c>
      <c r="O255" s="78" t="str">
        <f t="shared" si="13"/>
        <v/>
      </c>
      <c r="P255" s="121">
        <f t="shared" si="17"/>
        <v>0</v>
      </c>
      <c r="Q255" s="115">
        <f t="shared" si="15"/>
        <v>0</v>
      </c>
      <c r="R255" s="122"/>
      <c r="S255" s="122"/>
      <c r="T255" s="122"/>
      <c r="U255" s="122"/>
      <c r="V255" s="122"/>
      <c r="W255" s="122"/>
      <c r="X255" s="128"/>
      <c r="Y255" s="128"/>
      <c r="Z255" s="128"/>
      <c r="AA255" s="122"/>
      <c r="AB255" s="122"/>
      <c r="AC255" s="122"/>
      <c r="AD255" s="122"/>
      <c r="AE255" s="118"/>
      <c r="AF255" s="77"/>
      <c r="AG255" s="76" t="str">
        <f t="shared" si="16"/>
        <v/>
      </c>
    </row>
    <row r="256" spans="2:33" x14ac:dyDescent="0.25">
      <c r="B256" s="182"/>
      <c r="C256" s="116"/>
      <c r="D256" s="117"/>
      <c r="E256" s="118"/>
      <c r="F256" s="126"/>
      <c r="G256" s="127"/>
      <c r="H256" s="119"/>
      <c r="I256" s="119">
        <f t="shared" si="10"/>
        <v>0</v>
      </c>
      <c r="J256" s="115">
        <f t="shared" si="11"/>
        <v>0</v>
      </c>
      <c r="K256" s="80" t="str">
        <f t="shared" si="12"/>
        <v/>
      </c>
      <c r="L256" s="120"/>
      <c r="M256" s="8">
        <v>300</v>
      </c>
      <c r="N256" s="115">
        <v>60</v>
      </c>
      <c r="O256" s="78" t="str">
        <f t="shared" si="13"/>
        <v/>
      </c>
      <c r="P256" s="121">
        <f t="shared" si="17"/>
        <v>0</v>
      </c>
      <c r="Q256" s="115">
        <f t="shared" si="15"/>
        <v>0</v>
      </c>
      <c r="R256" s="122"/>
      <c r="S256" s="122"/>
      <c r="T256" s="122"/>
      <c r="U256" s="122"/>
      <c r="V256" s="122"/>
      <c r="W256" s="122"/>
      <c r="X256" s="128"/>
      <c r="Y256" s="128"/>
      <c r="Z256" s="128"/>
      <c r="AA256" s="122"/>
      <c r="AB256" s="122"/>
      <c r="AC256" s="122"/>
      <c r="AD256" s="122"/>
      <c r="AE256" s="118"/>
      <c r="AF256" s="77"/>
      <c r="AG256" s="76" t="str">
        <f t="shared" si="16"/>
        <v/>
      </c>
    </row>
    <row r="257" spans="2:33" x14ac:dyDescent="0.25">
      <c r="B257" s="182"/>
      <c r="C257" s="116"/>
      <c r="D257" s="117"/>
      <c r="E257" s="118"/>
      <c r="F257" s="126"/>
      <c r="G257" s="127"/>
      <c r="H257" s="119"/>
      <c r="I257" s="119">
        <f t="shared" si="10"/>
        <v>0</v>
      </c>
      <c r="J257" s="115">
        <f t="shared" si="11"/>
        <v>0</v>
      </c>
      <c r="K257" s="80" t="str">
        <f t="shared" si="12"/>
        <v/>
      </c>
      <c r="L257" s="120"/>
      <c r="M257" s="8">
        <v>300</v>
      </c>
      <c r="N257" s="115">
        <v>60</v>
      </c>
      <c r="O257" s="78" t="str">
        <f t="shared" si="13"/>
        <v/>
      </c>
      <c r="P257" s="121">
        <f t="shared" si="17"/>
        <v>0</v>
      </c>
      <c r="Q257" s="115">
        <f t="shared" si="15"/>
        <v>0</v>
      </c>
      <c r="R257" s="122"/>
      <c r="S257" s="122"/>
      <c r="T257" s="122"/>
      <c r="U257" s="122"/>
      <c r="V257" s="122"/>
      <c r="W257" s="122"/>
      <c r="X257" s="128"/>
      <c r="Y257" s="128"/>
      <c r="Z257" s="128"/>
      <c r="AA257" s="122"/>
      <c r="AB257" s="122"/>
      <c r="AC257" s="122"/>
      <c r="AD257" s="122"/>
      <c r="AE257" s="118"/>
      <c r="AF257" s="77"/>
      <c r="AG257" s="76" t="str">
        <f t="shared" si="16"/>
        <v/>
      </c>
    </row>
    <row r="258" spans="2:33" x14ac:dyDescent="0.25">
      <c r="B258" s="182"/>
      <c r="C258" s="116"/>
      <c r="D258" s="117"/>
      <c r="E258" s="118"/>
      <c r="F258" s="126"/>
      <c r="G258" s="127"/>
      <c r="H258" s="119"/>
      <c r="I258" s="119">
        <f t="shared" si="10"/>
        <v>0</v>
      </c>
      <c r="J258" s="115">
        <f t="shared" si="11"/>
        <v>0</v>
      </c>
      <c r="K258" s="80" t="str">
        <f t="shared" si="12"/>
        <v/>
      </c>
      <c r="L258" s="120"/>
      <c r="M258" s="8">
        <v>300</v>
      </c>
      <c r="N258" s="115">
        <v>60</v>
      </c>
      <c r="O258" s="78" t="str">
        <f t="shared" si="13"/>
        <v/>
      </c>
      <c r="P258" s="121">
        <f t="shared" si="17"/>
        <v>0</v>
      </c>
      <c r="Q258" s="115">
        <f t="shared" si="15"/>
        <v>0</v>
      </c>
      <c r="R258" s="122"/>
      <c r="S258" s="122"/>
      <c r="T258" s="122"/>
      <c r="U258" s="122"/>
      <c r="V258" s="122"/>
      <c r="W258" s="122"/>
      <c r="X258" s="128"/>
      <c r="Y258" s="128"/>
      <c r="Z258" s="128"/>
      <c r="AA258" s="122"/>
      <c r="AB258" s="122"/>
      <c r="AC258" s="122"/>
      <c r="AD258" s="122"/>
      <c r="AE258" s="118"/>
      <c r="AF258" s="77"/>
      <c r="AG258" s="76" t="str">
        <f t="shared" si="16"/>
        <v/>
      </c>
    </row>
    <row r="259" spans="2:33" x14ac:dyDescent="0.25">
      <c r="B259" s="182"/>
      <c r="C259" s="116"/>
      <c r="D259" s="117"/>
      <c r="E259" s="118"/>
      <c r="F259" s="126"/>
      <c r="G259" s="127"/>
      <c r="H259" s="119"/>
      <c r="I259" s="119">
        <f t="shared" si="10"/>
        <v>0</v>
      </c>
      <c r="J259" s="115">
        <f t="shared" si="11"/>
        <v>0</v>
      </c>
      <c r="K259" s="80" t="str">
        <f t="shared" si="12"/>
        <v/>
      </c>
      <c r="L259" s="120"/>
      <c r="M259" s="8">
        <v>300</v>
      </c>
      <c r="N259" s="115">
        <v>60</v>
      </c>
      <c r="O259" s="78" t="str">
        <f t="shared" si="13"/>
        <v/>
      </c>
      <c r="P259" s="121">
        <f t="shared" si="17"/>
        <v>0</v>
      </c>
      <c r="Q259" s="115">
        <f t="shared" si="15"/>
        <v>0</v>
      </c>
      <c r="R259" s="122"/>
      <c r="S259" s="122"/>
      <c r="T259" s="122"/>
      <c r="U259" s="122"/>
      <c r="V259" s="122"/>
      <c r="W259" s="122"/>
      <c r="X259" s="128"/>
      <c r="Y259" s="128"/>
      <c r="Z259" s="128"/>
      <c r="AA259" s="122"/>
      <c r="AB259" s="122"/>
      <c r="AC259" s="122"/>
      <c r="AD259" s="122"/>
      <c r="AE259" s="118"/>
      <c r="AF259" s="77"/>
      <c r="AG259" s="76" t="str">
        <f t="shared" si="16"/>
        <v/>
      </c>
    </row>
    <row r="260" spans="2:33" x14ac:dyDescent="0.25">
      <c r="B260" s="182"/>
      <c r="C260" s="116"/>
      <c r="D260" s="117"/>
      <c r="E260" s="118"/>
      <c r="F260" s="126"/>
      <c r="G260" s="127"/>
      <c r="H260" s="119"/>
      <c r="I260" s="119">
        <f t="shared" si="10"/>
        <v>0</v>
      </c>
      <c r="J260" s="115">
        <f t="shared" si="11"/>
        <v>0</v>
      </c>
      <c r="K260" s="80" t="str">
        <f t="shared" si="12"/>
        <v/>
      </c>
      <c r="L260" s="120"/>
      <c r="M260" s="8">
        <v>300</v>
      </c>
      <c r="N260" s="115">
        <v>60</v>
      </c>
      <c r="O260" s="78" t="str">
        <f t="shared" si="13"/>
        <v/>
      </c>
      <c r="P260" s="121">
        <f t="shared" si="17"/>
        <v>0</v>
      </c>
      <c r="Q260" s="115">
        <f t="shared" si="15"/>
        <v>0</v>
      </c>
      <c r="R260" s="122"/>
      <c r="S260" s="122"/>
      <c r="T260" s="122"/>
      <c r="U260" s="122"/>
      <c r="V260" s="122"/>
      <c r="W260" s="122"/>
      <c r="X260" s="128"/>
      <c r="Y260" s="128"/>
      <c r="Z260" s="128"/>
      <c r="AA260" s="122"/>
      <c r="AB260" s="122"/>
      <c r="AC260" s="122"/>
      <c r="AD260" s="122"/>
      <c r="AE260" s="118"/>
      <c r="AF260" s="77"/>
      <c r="AG260" s="76" t="str">
        <f t="shared" si="16"/>
        <v/>
      </c>
    </row>
    <row r="261" spans="2:33" x14ac:dyDescent="0.25">
      <c r="B261" s="182"/>
      <c r="C261" s="116"/>
      <c r="D261" s="117"/>
      <c r="E261" s="118"/>
      <c r="F261" s="126"/>
      <c r="G261" s="127"/>
      <c r="H261" s="119"/>
      <c r="I261" s="119">
        <f t="shared" si="10"/>
        <v>0</v>
      </c>
      <c r="J261" s="115">
        <f t="shared" si="11"/>
        <v>0</v>
      </c>
      <c r="K261" s="80" t="str">
        <f t="shared" si="12"/>
        <v/>
      </c>
      <c r="L261" s="120"/>
      <c r="M261" s="8">
        <v>300</v>
      </c>
      <c r="N261" s="115">
        <v>60</v>
      </c>
      <c r="O261" s="78" t="str">
        <f t="shared" si="13"/>
        <v/>
      </c>
      <c r="P261" s="121">
        <f t="shared" si="17"/>
        <v>0</v>
      </c>
      <c r="Q261" s="115">
        <f t="shared" si="15"/>
        <v>0</v>
      </c>
      <c r="R261" s="122"/>
      <c r="S261" s="122"/>
      <c r="T261" s="122"/>
      <c r="U261" s="122"/>
      <c r="V261" s="122"/>
      <c r="W261" s="122"/>
      <c r="X261" s="128"/>
      <c r="Y261" s="128"/>
      <c r="Z261" s="128"/>
      <c r="AA261" s="122"/>
      <c r="AB261" s="122"/>
      <c r="AC261" s="122"/>
      <c r="AD261" s="122"/>
      <c r="AE261" s="118"/>
      <c r="AF261" s="77"/>
      <c r="AG261" s="76" t="str">
        <f t="shared" si="16"/>
        <v/>
      </c>
    </row>
    <row r="262" spans="2:33" x14ac:dyDescent="0.25">
      <c r="B262" s="182"/>
      <c r="C262" s="116"/>
      <c r="D262" s="117"/>
      <c r="E262" s="118"/>
      <c r="F262" s="126"/>
      <c r="G262" s="127"/>
      <c r="H262" s="119"/>
      <c r="I262" s="119">
        <f t="shared" si="10"/>
        <v>0</v>
      </c>
      <c r="J262" s="115">
        <f t="shared" si="11"/>
        <v>0</v>
      </c>
      <c r="K262" s="80" t="str">
        <f t="shared" si="12"/>
        <v/>
      </c>
      <c r="L262" s="120"/>
      <c r="M262" s="8">
        <v>300</v>
      </c>
      <c r="N262" s="115">
        <v>60</v>
      </c>
      <c r="O262" s="78" t="str">
        <f t="shared" si="13"/>
        <v/>
      </c>
      <c r="P262" s="121">
        <f t="shared" si="17"/>
        <v>0</v>
      </c>
      <c r="Q262" s="115">
        <f t="shared" si="15"/>
        <v>0</v>
      </c>
      <c r="R262" s="122"/>
      <c r="S262" s="122"/>
      <c r="T262" s="122"/>
      <c r="U262" s="122"/>
      <c r="V262" s="122"/>
      <c r="W262" s="122"/>
      <c r="X262" s="128"/>
      <c r="Y262" s="128"/>
      <c r="Z262" s="128"/>
      <c r="AA262" s="122"/>
      <c r="AB262" s="122"/>
      <c r="AC262" s="122"/>
      <c r="AD262" s="122"/>
      <c r="AE262" s="118"/>
      <c r="AF262" s="77"/>
      <c r="AG262" s="76" t="str">
        <f t="shared" si="16"/>
        <v/>
      </c>
    </row>
    <row r="263" spans="2:33" x14ac:dyDescent="0.25">
      <c r="B263" s="182"/>
      <c r="C263" s="116"/>
      <c r="D263" s="117"/>
      <c r="E263" s="118"/>
      <c r="F263" s="126"/>
      <c r="G263" s="127"/>
      <c r="H263" s="119"/>
      <c r="I263" s="119">
        <f t="shared" si="10"/>
        <v>0</v>
      </c>
      <c r="J263" s="115">
        <f t="shared" si="11"/>
        <v>0</v>
      </c>
      <c r="K263" s="80" t="str">
        <f t="shared" si="12"/>
        <v/>
      </c>
      <c r="L263" s="120"/>
      <c r="M263" s="8">
        <v>300</v>
      </c>
      <c r="N263" s="115">
        <v>60</v>
      </c>
      <c r="O263" s="78" t="str">
        <f t="shared" si="13"/>
        <v/>
      </c>
      <c r="P263" s="121">
        <f t="shared" si="17"/>
        <v>0</v>
      </c>
      <c r="Q263" s="115">
        <f t="shared" si="15"/>
        <v>0</v>
      </c>
      <c r="R263" s="122"/>
      <c r="S263" s="122"/>
      <c r="T263" s="122"/>
      <c r="U263" s="122"/>
      <c r="V263" s="122"/>
      <c r="W263" s="122"/>
      <c r="X263" s="128"/>
      <c r="Y263" s="128"/>
      <c r="Z263" s="128"/>
      <c r="AA263" s="122"/>
      <c r="AB263" s="122"/>
      <c r="AC263" s="122"/>
      <c r="AD263" s="122"/>
      <c r="AE263" s="118"/>
      <c r="AF263" s="77"/>
      <c r="AG263" s="76" t="str">
        <f t="shared" si="16"/>
        <v/>
      </c>
    </row>
    <row r="264" spans="2:33" x14ac:dyDescent="0.25">
      <c r="B264" s="182"/>
      <c r="C264" s="116"/>
      <c r="D264" s="117"/>
      <c r="E264" s="118"/>
      <c r="F264" s="126"/>
      <c r="G264" s="127"/>
      <c r="H264" s="119"/>
      <c r="I264" s="119">
        <f t="shared" si="10"/>
        <v>0</v>
      </c>
      <c r="J264" s="115">
        <f t="shared" si="11"/>
        <v>0</v>
      </c>
      <c r="K264" s="80" t="str">
        <f t="shared" si="12"/>
        <v/>
      </c>
      <c r="L264" s="120"/>
      <c r="M264" s="8">
        <v>300</v>
      </c>
      <c r="N264" s="115">
        <v>60</v>
      </c>
      <c r="O264" s="78" t="str">
        <f t="shared" si="13"/>
        <v/>
      </c>
      <c r="P264" s="121">
        <f t="shared" si="17"/>
        <v>0</v>
      </c>
      <c r="Q264" s="115">
        <f t="shared" si="15"/>
        <v>0</v>
      </c>
      <c r="R264" s="122"/>
      <c r="S264" s="122"/>
      <c r="T264" s="122"/>
      <c r="U264" s="122"/>
      <c r="V264" s="122"/>
      <c r="W264" s="122"/>
      <c r="X264" s="128"/>
      <c r="Y264" s="128"/>
      <c r="Z264" s="128"/>
      <c r="AA264" s="122"/>
      <c r="AB264" s="122"/>
      <c r="AC264" s="122"/>
      <c r="AD264" s="122"/>
      <c r="AE264" s="118"/>
      <c r="AF264" s="77"/>
      <c r="AG264" s="76" t="str">
        <f t="shared" si="16"/>
        <v/>
      </c>
    </row>
    <row r="265" spans="2:33" x14ac:dyDescent="0.25">
      <c r="B265" s="182"/>
      <c r="C265" s="116"/>
      <c r="D265" s="117"/>
      <c r="E265" s="118"/>
      <c r="F265" s="126"/>
      <c r="G265" s="127"/>
      <c r="H265" s="119"/>
      <c r="I265" s="119">
        <f t="shared" si="10"/>
        <v>0</v>
      </c>
      <c r="J265" s="115">
        <f t="shared" si="11"/>
        <v>0</v>
      </c>
      <c r="K265" s="80" t="str">
        <f t="shared" si="12"/>
        <v/>
      </c>
      <c r="L265" s="120"/>
      <c r="M265" s="8">
        <v>300</v>
      </c>
      <c r="N265" s="115">
        <v>60</v>
      </c>
      <c r="O265" s="78" t="str">
        <f t="shared" si="13"/>
        <v/>
      </c>
      <c r="P265" s="121">
        <f t="shared" si="17"/>
        <v>0</v>
      </c>
      <c r="Q265" s="115">
        <f t="shared" si="15"/>
        <v>0</v>
      </c>
      <c r="R265" s="122"/>
      <c r="S265" s="122"/>
      <c r="T265" s="122"/>
      <c r="U265" s="122"/>
      <c r="V265" s="122"/>
      <c r="W265" s="122"/>
      <c r="X265" s="128"/>
      <c r="Y265" s="128"/>
      <c r="Z265" s="128"/>
      <c r="AA265" s="122"/>
      <c r="AB265" s="122"/>
      <c r="AC265" s="122"/>
      <c r="AD265" s="122"/>
      <c r="AE265" s="118"/>
      <c r="AF265" s="77"/>
      <c r="AG265" s="76" t="str">
        <f t="shared" si="16"/>
        <v/>
      </c>
    </row>
    <row r="266" spans="2:33" x14ac:dyDescent="0.25">
      <c r="B266" s="182"/>
      <c r="C266" s="116"/>
      <c r="D266" s="117"/>
      <c r="E266" s="118"/>
      <c r="F266" s="126"/>
      <c r="G266" s="127"/>
      <c r="H266" s="119"/>
      <c r="I266" s="119">
        <f t="shared" si="10"/>
        <v>0</v>
      </c>
      <c r="J266" s="115">
        <f t="shared" si="11"/>
        <v>0</v>
      </c>
      <c r="K266" s="80" t="str">
        <f t="shared" si="12"/>
        <v/>
      </c>
      <c r="L266" s="120"/>
      <c r="M266" s="8">
        <v>300</v>
      </c>
      <c r="N266" s="115">
        <v>60</v>
      </c>
      <c r="O266" s="78" t="str">
        <f t="shared" si="13"/>
        <v/>
      </c>
      <c r="P266" s="121">
        <f t="shared" si="17"/>
        <v>0</v>
      </c>
      <c r="Q266" s="115">
        <f t="shared" si="15"/>
        <v>0</v>
      </c>
      <c r="R266" s="122"/>
      <c r="S266" s="122"/>
      <c r="T266" s="122"/>
      <c r="U266" s="122"/>
      <c r="V266" s="122"/>
      <c r="W266" s="122"/>
      <c r="X266" s="128"/>
      <c r="Y266" s="128"/>
      <c r="Z266" s="128"/>
      <c r="AA266" s="122"/>
      <c r="AB266" s="122"/>
      <c r="AC266" s="122"/>
      <c r="AD266" s="122"/>
      <c r="AE266" s="118"/>
      <c r="AF266" s="77"/>
      <c r="AG266" s="76" t="str">
        <f t="shared" si="16"/>
        <v/>
      </c>
    </row>
    <row r="267" spans="2:33" x14ac:dyDescent="0.25">
      <c r="B267" s="182"/>
      <c r="C267" s="116"/>
      <c r="D267" s="117"/>
      <c r="E267" s="118"/>
      <c r="F267" s="126"/>
      <c r="G267" s="127"/>
      <c r="H267" s="119"/>
      <c r="I267" s="119">
        <f t="shared" si="10"/>
        <v>0</v>
      </c>
      <c r="J267" s="115">
        <f t="shared" si="11"/>
        <v>0</v>
      </c>
      <c r="K267" s="80" t="str">
        <f t="shared" si="12"/>
        <v/>
      </c>
      <c r="L267" s="120"/>
      <c r="M267" s="8">
        <v>300</v>
      </c>
      <c r="N267" s="115">
        <v>60</v>
      </c>
      <c r="O267" s="78" t="str">
        <f t="shared" si="13"/>
        <v/>
      </c>
      <c r="P267" s="121">
        <f t="shared" si="17"/>
        <v>0</v>
      </c>
      <c r="Q267" s="115">
        <f t="shared" si="15"/>
        <v>0</v>
      </c>
      <c r="R267" s="122"/>
      <c r="S267" s="122"/>
      <c r="T267" s="122"/>
      <c r="U267" s="122"/>
      <c r="V267" s="122"/>
      <c r="W267" s="122"/>
      <c r="X267" s="128"/>
      <c r="Y267" s="128"/>
      <c r="Z267" s="128"/>
      <c r="AA267" s="122"/>
      <c r="AB267" s="122"/>
      <c r="AC267" s="122"/>
      <c r="AD267" s="122"/>
      <c r="AE267" s="118"/>
      <c r="AF267" s="77"/>
      <c r="AG267" s="76" t="str">
        <f t="shared" si="16"/>
        <v/>
      </c>
    </row>
    <row r="268" spans="2:33" x14ac:dyDescent="0.25">
      <c r="B268" s="182"/>
      <c r="C268" s="116"/>
      <c r="D268" s="117"/>
      <c r="E268" s="118"/>
      <c r="F268" s="126"/>
      <c r="G268" s="127"/>
      <c r="H268" s="119"/>
      <c r="I268" s="119">
        <f t="shared" si="10"/>
        <v>0</v>
      </c>
      <c r="J268" s="115">
        <f t="shared" si="11"/>
        <v>0</v>
      </c>
      <c r="K268" s="80" t="str">
        <f t="shared" si="12"/>
        <v/>
      </c>
      <c r="L268" s="120"/>
      <c r="M268" s="8">
        <v>300</v>
      </c>
      <c r="N268" s="115">
        <v>60</v>
      </c>
      <c r="O268" s="78" t="str">
        <f t="shared" si="13"/>
        <v/>
      </c>
      <c r="P268" s="121">
        <f t="shared" si="17"/>
        <v>0</v>
      </c>
      <c r="Q268" s="115">
        <f t="shared" si="15"/>
        <v>0</v>
      </c>
      <c r="R268" s="122"/>
      <c r="S268" s="122"/>
      <c r="T268" s="122"/>
      <c r="U268" s="122"/>
      <c r="V268" s="122"/>
      <c r="W268" s="122"/>
      <c r="X268" s="128"/>
      <c r="Y268" s="128"/>
      <c r="Z268" s="128"/>
      <c r="AA268" s="122"/>
      <c r="AB268" s="122"/>
      <c r="AC268" s="122"/>
      <c r="AD268" s="122"/>
      <c r="AE268" s="118"/>
      <c r="AF268" s="77"/>
      <c r="AG268" s="76" t="str">
        <f t="shared" si="16"/>
        <v/>
      </c>
    </row>
    <row r="269" spans="2:33" x14ac:dyDescent="0.25">
      <c r="B269" s="182"/>
      <c r="C269" s="116"/>
      <c r="D269" s="117"/>
      <c r="E269" s="118"/>
      <c r="F269" s="126"/>
      <c r="G269" s="127"/>
      <c r="H269" s="119"/>
      <c r="I269" s="119">
        <f t="shared" si="10"/>
        <v>0</v>
      </c>
      <c r="J269" s="115">
        <f t="shared" si="11"/>
        <v>0</v>
      </c>
      <c r="K269" s="80" t="str">
        <f t="shared" si="12"/>
        <v/>
      </c>
      <c r="L269" s="120"/>
      <c r="M269" s="8">
        <v>300</v>
      </c>
      <c r="N269" s="115">
        <v>60</v>
      </c>
      <c r="O269" s="78" t="str">
        <f t="shared" si="13"/>
        <v/>
      </c>
      <c r="P269" s="121">
        <f t="shared" si="17"/>
        <v>0</v>
      </c>
      <c r="Q269" s="115">
        <f t="shared" si="15"/>
        <v>0</v>
      </c>
      <c r="R269" s="122"/>
      <c r="S269" s="122"/>
      <c r="T269" s="122"/>
      <c r="U269" s="122"/>
      <c r="V269" s="122"/>
      <c r="W269" s="122"/>
      <c r="X269" s="128"/>
      <c r="Y269" s="128"/>
      <c r="Z269" s="128"/>
      <c r="AA269" s="122"/>
      <c r="AB269" s="122"/>
      <c r="AC269" s="122"/>
      <c r="AD269" s="122"/>
      <c r="AE269" s="118"/>
      <c r="AF269" s="77"/>
      <c r="AG269" s="76" t="str">
        <f t="shared" si="16"/>
        <v/>
      </c>
    </row>
    <row r="270" spans="2:33" x14ac:dyDescent="0.25">
      <c r="B270" s="182"/>
      <c r="C270" s="116"/>
      <c r="D270" s="117"/>
      <c r="E270" s="118"/>
      <c r="F270" s="126"/>
      <c r="G270" s="127"/>
      <c r="H270" s="119"/>
      <c r="I270" s="119">
        <f t="shared" si="10"/>
        <v>0</v>
      </c>
      <c r="J270" s="115">
        <f t="shared" si="11"/>
        <v>0</v>
      </c>
      <c r="K270" s="80" t="str">
        <f t="shared" si="12"/>
        <v/>
      </c>
      <c r="L270" s="120"/>
      <c r="M270" s="8">
        <v>300</v>
      </c>
      <c r="N270" s="115">
        <v>60</v>
      </c>
      <c r="O270" s="78" t="str">
        <f t="shared" si="13"/>
        <v/>
      </c>
      <c r="P270" s="121">
        <f t="shared" si="17"/>
        <v>0</v>
      </c>
      <c r="Q270" s="115">
        <f t="shared" si="15"/>
        <v>0</v>
      </c>
      <c r="R270" s="122"/>
      <c r="S270" s="122"/>
      <c r="T270" s="122"/>
      <c r="U270" s="122"/>
      <c r="V270" s="122"/>
      <c r="W270" s="122"/>
      <c r="X270" s="128"/>
      <c r="Y270" s="128"/>
      <c r="Z270" s="128"/>
      <c r="AA270" s="122"/>
      <c r="AB270" s="122"/>
      <c r="AC270" s="122"/>
      <c r="AD270" s="122"/>
      <c r="AE270" s="118"/>
      <c r="AF270" s="77"/>
      <c r="AG270" s="76" t="str">
        <f t="shared" si="16"/>
        <v/>
      </c>
    </row>
    <row r="271" spans="2:33" x14ac:dyDescent="0.25">
      <c r="B271" s="182"/>
      <c r="C271" s="116"/>
      <c r="D271" s="117"/>
      <c r="E271" s="118"/>
      <c r="F271" s="126"/>
      <c r="G271" s="127"/>
      <c r="H271" s="119"/>
      <c r="I271" s="119">
        <f t="shared" si="10"/>
        <v>0</v>
      </c>
      <c r="J271" s="115">
        <f t="shared" si="11"/>
        <v>0</v>
      </c>
      <c r="K271" s="80" t="str">
        <f t="shared" si="12"/>
        <v/>
      </c>
      <c r="L271" s="120"/>
      <c r="M271" s="8">
        <v>300</v>
      </c>
      <c r="N271" s="115">
        <v>60</v>
      </c>
      <c r="O271" s="78" t="str">
        <f t="shared" si="13"/>
        <v/>
      </c>
      <c r="P271" s="121">
        <f t="shared" si="17"/>
        <v>0</v>
      </c>
      <c r="Q271" s="115">
        <f t="shared" si="15"/>
        <v>0</v>
      </c>
      <c r="R271" s="122"/>
      <c r="S271" s="122"/>
      <c r="T271" s="122"/>
      <c r="U271" s="122"/>
      <c r="V271" s="122"/>
      <c r="W271" s="122"/>
      <c r="X271" s="128"/>
      <c r="Y271" s="128"/>
      <c r="Z271" s="128"/>
      <c r="AA271" s="122"/>
      <c r="AB271" s="122"/>
      <c r="AC271" s="122"/>
      <c r="AD271" s="122"/>
      <c r="AE271" s="118"/>
      <c r="AF271" s="77"/>
      <c r="AG271" s="76" t="str">
        <f t="shared" si="16"/>
        <v/>
      </c>
    </row>
    <row r="272" spans="2:33" x14ac:dyDescent="0.25">
      <c r="B272" s="182"/>
      <c r="C272" s="116"/>
      <c r="D272" s="117"/>
      <c r="E272" s="118"/>
      <c r="F272" s="126"/>
      <c r="G272" s="127"/>
      <c r="H272" s="119"/>
      <c r="I272" s="119">
        <f t="shared" si="10"/>
        <v>0</v>
      </c>
      <c r="J272" s="115">
        <f t="shared" si="11"/>
        <v>0</v>
      </c>
      <c r="K272" s="80" t="str">
        <f t="shared" si="12"/>
        <v/>
      </c>
      <c r="L272" s="120"/>
      <c r="M272" s="8">
        <v>300</v>
      </c>
      <c r="N272" s="115">
        <v>60</v>
      </c>
      <c r="O272" s="78" t="str">
        <f t="shared" si="13"/>
        <v/>
      </c>
      <c r="P272" s="121">
        <f t="shared" si="17"/>
        <v>0</v>
      </c>
      <c r="Q272" s="115">
        <f t="shared" si="15"/>
        <v>0</v>
      </c>
      <c r="R272" s="122"/>
      <c r="S272" s="122"/>
      <c r="T272" s="122"/>
      <c r="U272" s="122"/>
      <c r="V272" s="122"/>
      <c r="W272" s="122"/>
      <c r="X272" s="128"/>
      <c r="Y272" s="128"/>
      <c r="Z272" s="128"/>
      <c r="AA272" s="122"/>
      <c r="AB272" s="122"/>
      <c r="AC272" s="122"/>
      <c r="AD272" s="122"/>
      <c r="AE272" s="118"/>
      <c r="AF272" s="77"/>
      <c r="AG272" s="76" t="str">
        <f t="shared" si="16"/>
        <v/>
      </c>
    </row>
    <row r="273" spans="2:33" x14ac:dyDescent="0.25">
      <c r="B273" s="182"/>
      <c r="C273" s="116"/>
      <c r="D273" s="117"/>
      <c r="E273" s="118"/>
      <c r="F273" s="126"/>
      <c r="G273" s="127"/>
      <c r="H273" s="119"/>
      <c r="I273" s="119">
        <f t="shared" si="10"/>
        <v>0</v>
      </c>
      <c r="J273" s="115">
        <f t="shared" si="11"/>
        <v>0</v>
      </c>
      <c r="K273" s="80" t="str">
        <f t="shared" si="12"/>
        <v/>
      </c>
      <c r="L273" s="120"/>
      <c r="M273" s="8">
        <v>300</v>
      </c>
      <c r="N273" s="115">
        <v>60</v>
      </c>
      <c r="O273" s="78" t="str">
        <f t="shared" si="13"/>
        <v/>
      </c>
      <c r="P273" s="121">
        <f t="shared" si="17"/>
        <v>0</v>
      </c>
      <c r="Q273" s="115">
        <f t="shared" si="15"/>
        <v>0</v>
      </c>
      <c r="R273" s="122"/>
      <c r="S273" s="122"/>
      <c r="T273" s="122"/>
      <c r="U273" s="122"/>
      <c r="V273" s="122"/>
      <c r="W273" s="122"/>
      <c r="X273" s="128"/>
      <c r="Y273" s="128"/>
      <c r="Z273" s="128"/>
      <c r="AA273" s="122"/>
      <c r="AB273" s="122"/>
      <c r="AC273" s="122"/>
      <c r="AD273" s="122"/>
      <c r="AE273" s="118"/>
      <c r="AF273" s="77"/>
      <c r="AG273" s="76" t="str">
        <f t="shared" si="16"/>
        <v/>
      </c>
    </row>
    <row r="274" spans="2:33" x14ac:dyDescent="0.25">
      <c r="B274" s="182"/>
      <c r="C274" s="116"/>
      <c r="D274" s="117"/>
      <c r="E274" s="118"/>
      <c r="F274" s="126"/>
      <c r="G274" s="127"/>
      <c r="H274" s="119"/>
      <c r="I274" s="119">
        <f t="shared" si="10"/>
        <v>0</v>
      </c>
      <c r="J274" s="115">
        <f t="shared" si="11"/>
        <v>0</v>
      </c>
      <c r="K274" s="80" t="str">
        <f t="shared" si="12"/>
        <v/>
      </c>
      <c r="L274" s="120"/>
      <c r="M274" s="8">
        <v>300</v>
      </c>
      <c r="N274" s="115">
        <v>60</v>
      </c>
      <c r="O274" s="78" t="str">
        <f t="shared" si="13"/>
        <v/>
      </c>
      <c r="P274" s="121">
        <f t="shared" si="17"/>
        <v>0</v>
      </c>
      <c r="Q274" s="115">
        <f t="shared" si="15"/>
        <v>0</v>
      </c>
      <c r="R274" s="122"/>
      <c r="S274" s="122"/>
      <c r="T274" s="122"/>
      <c r="U274" s="122"/>
      <c r="V274" s="122"/>
      <c r="W274" s="122"/>
      <c r="X274" s="128"/>
      <c r="Y274" s="128"/>
      <c r="Z274" s="128"/>
      <c r="AA274" s="122"/>
      <c r="AB274" s="122"/>
      <c r="AC274" s="122"/>
      <c r="AD274" s="122"/>
      <c r="AE274" s="118"/>
      <c r="AF274" s="77"/>
      <c r="AG274" s="76" t="str">
        <f t="shared" si="16"/>
        <v/>
      </c>
    </row>
    <row r="275" spans="2:33" x14ac:dyDescent="0.25">
      <c r="B275" s="182"/>
      <c r="C275" s="116"/>
      <c r="D275" s="117"/>
      <c r="E275" s="118"/>
      <c r="F275" s="126"/>
      <c r="G275" s="127"/>
      <c r="H275" s="119"/>
      <c r="I275" s="119">
        <f t="shared" si="10"/>
        <v>0</v>
      </c>
      <c r="J275" s="115">
        <f t="shared" si="11"/>
        <v>0</v>
      </c>
      <c r="K275" s="80" t="str">
        <f t="shared" si="12"/>
        <v/>
      </c>
      <c r="L275" s="120"/>
      <c r="M275" s="8">
        <v>300</v>
      </c>
      <c r="N275" s="115">
        <v>60</v>
      </c>
      <c r="O275" s="78" t="str">
        <f t="shared" si="13"/>
        <v/>
      </c>
      <c r="P275" s="121">
        <f t="shared" si="17"/>
        <v>0</v>
      </c>
      <c r="Q275" s="115">
        <f t="shared" si="15"/>
        <v>0</v>
      </c>
      <c r="R275" s="122"/>
      <c r="S275" s="122"/>
      <c r="T275" s="122"/>
      <c r="U275" s="122"/>
      <c r="V275" s="122"/>
      <c r="W275" s="122"/>
      <c r="X275" s="128"/>
      <c r="Y275" s="128"/>
      <c r="Z275" s="128"/>
      <c r="AA275" s="122"/>
      <c r="AB275" s="122"/>
      <c r="AC275" s="122"/>
      <c r="AD275" s="122"/>
      <c r="AE275" s="118"/>
      <c r="AF275" s="77"/>
      <c r="AG275" s="76" t="str">
        <f t="shared" ref="AG275:AG338" si="18">IFERROR(K275*O275*AF275,"")</f>
        <v/>
      </c>
    </row>
    <row r="276" spans="2:33" x14ac:dyDescent="0.25">
      <c r="B276" s="182"/>
      <c r="C276" s="116"/>
      <c r="D276" s="117"/>
      <c r="E276" s="118"/>
      <c r="F276" s="126"/>
      <c r="G276" s="127"/>
      <c r="H276" s="119"/>
      <c r="I276" s="119">
        <f t="shared" si="10"/>
        <v>0</v>
      </c>
      <c r="J276" s="115">
        <f t="shared" si="11"/>
        <v>0</v>
      </c>
      <c r="K276" s="80" t="str">
        <f t="shared" si="12"/>
        <v/>
      </c>
      <c r="L276" s="120"/>
      <c r="M276" s="8">
        <v>300</v>
      </c>
      <c r="N276" s="115">
        <v>60</v>
      </c>
      <c r="O276" s="78" t="str">
        <f t="shared" si="13"/>
        <v/>
      </c>
      <c r="P276" s="121">
        <f t="shared" si="17"/>
        <v>0</v>
      </c>
      <c r="Q276" s="115">
        <f t="shared" si="15"/>
        <v>0</v>
      </c>
      <c r="R276" s="122"/>
      <c r="S276" s="122"/>
      <c r="T276" s="122"/>
      <c r="U276" s="122"/>
      <c r="V276" s="122"/>
      <c r="W276" s="122"/>
      <c r="X276" s="128"/>
      <c r="Y276" s="128"/>
      <c r="Z276" s="128"/>
      <c r="AA276" s="122"/>
      <c r="AB276" s="122"/>
      <c r="AC276" s="122"/>
      <c r="AD276" s="122"/>
      <c r="AE276" s="118"/>
      <c r="AF276" s="77"/>
      <c r="AG276" s="76" t="str">
        <f t="shared" si="18"/>
        <v/>
      </c>
    </row>
    <row r="277" spans="2:33" x14ac:dyDescent="0.25">
      <c r="B277" s="182"/>
      <c r="C277" s="116"/>
      <c r="D277" s="117"/>
      <c r="E277" s="118"/>
      <c r="F277" s="126"/>
      <c r="G277" s="127"/>
      <c r="H277" s="119"/>
      <c r="I277" s="119">
        <f t="shared" si="10"/>
        <v>0</v>
      </c>
      <c r="J277" s="115">
        <f t="shared" si="11"/>
        <v>0</v>
      </c>
      <c r="K277" s="80" t="str">
        <f t="shared" si="12"/>
        <v/>
      </c>
      <c r="L277" s="120"/>
      <c r="M277" s="8">
        <v>300</v>
      </c>
      <c r="N277" s="115">
        <v>60</v>
      </c>
      <c r="O277" s="78" t="str">
        <f t="shared" si="13"/>
        <v/>
      </c>
      <c r="P277" s="121">
        <f t="shared" si="17"/>
        <v>0</v>
      </c>
      <c r="Q277" s="115">
        <f t="shared" si="15"/>
        <v>0</v>
      </c>
      <c r="R277" s="122"/>
      <c r="S277" s="122"/>
      <c r="T277" s="122"/>
      <c r="U277" s="122"/>
      <c r="V277" s="122"/>
      <c r="W277" s="122"/>
      <c r="X277" s="128"/>
      <c r="Y277" s="128"/>
      <c r="Z277" s="128"/>
      <c r="AA277" s="122"/>
      <c r="AB277" s="122"/>
      <c r="AC277" s="122"/>
      <c r="AD277" s="122"/>
      <c r="AE277" s="118"/>
      <c r="AF277" s="77"/>
      <c r="AG277" s="76" t="str">
        <f t="shared" si="18"/>
        <v/>
      </c>
    </row>
    <row r="278" spans="2:33" x14ac:dyDescent="0.25">
      <c r="B278" s="182"/>
      <c r="C278" s="116"/>
      <c r="D278" s="117"/>
      <c r="E278" s="118"/>
      <c r="F278" s="126"/>
      <c r="G278" s="127"/>
      <c r="H278" s="119"/>
      <c r="I278" s="119">
        <f t="shared" si="10"/>
        <v>0</v>
      </c>
      <c r="J278" s="115">
        <f t="shared" si="11"/>
        <v>0</v>
      </c>
      <c r="K278" s="80" t="str">
        <f t="shared" si="12"/>
        <v/>
      </c>
      <c r="L278" s="120"/>
      <c r="M278" s="8">
        <v>300</v>
      </c>
      <c r="N278" s="115">
        <v>60</v>
      </c>
      <c r="O278" s="78" t="str">
        <f t="shared" si="13"/>
        <v/>
      </c>
      <c r="P278" s="121">
        <f t="shared" si="17"/>
        <v>0</v>
      </c>
      <c r="Q278" s="115">
        <f t="shared" si="15"/>
        <v>0</v>
      </c>
      <c r="R278" s="122"/>
      <c r="S278" s="122"/>
      <c r="T278" s="122"/>
      <c r="U278" s="122"/>
      <c r="V278" s="122"/>
      <c r="W278" s="122"/>
      <c r="X278" s="128"/>
      <c r="Y278" s="128"/>
      <c r="Z278" s="128"/>
      <c r="AA278" s="122"/>
      <c r="AB278" s="122"/>
      <c r="AC278" s="122"/>
      <c r="AD278" s="122"/>
      <c r="AE278" s="118"/>
      <c r="AF278" s="77"/>
      <c r="AG278" s="76" t="str">
        <f t="shared" si="18"/>
        <v/>
      </c>
    </row>
    <row r="279" spans="2:33" x14ac:dyDescent="0.25">
      <c r="B279" s="182"/>
      <c r="C279" s="116"/>
      <c r="D279" s="117"/>
      <c r="E279" s="118"/>
      <c r="F279" s="126"/>
      <c r="G279" s="127"/>
      <c r="H279" s="119"/>
      <c r="I279" s="119">
        <f t="shared" ref="I279:I342" si="19">H279+G279</f>
        <v>0</v>
      </c>
      <c r="J279" s="115">
        <f t="shared" ref="J279:J342" si="20">I279-D279-E279-F279</f>
        <v>0</v>
      </c>
      <c r="K279" s="80" t="str">
        <f t="shared" si="12"/>
        <v/>
      </c>
      <c r="L279" s="120"/>
      <c r="M279" s="8">
        <v>300</v>
      </c>
      <c r="N279" s="115">
        <v>60</v>
      </c>
      <c r="O279" s="78" t="str">
        <f t="shared" si="13"/>
        <v/>
      </c>
      <c r="P279" s="121">
        <f t="shared" si="17"/>
        <v>0</v>
      </c>
      <c r="Q279" s="115">
        <f t="shared" ref="Q279:Q342" si="21">L279</f>
        <v>0</v>
      </c>
      <c r="R279" s="122"/>
      <c r="S279" s="122"/>
      <c r="T279" s="122"/>
      <c r="U279" s="122"/>
      <c r="V279" s="122"/>
      <c r="W279" s="122"/>
      <c r="X279" s="128"/>
      <c r="Y279" s="128"/>
      <c r="Z279" s="128"/>
      <c r="AA279" s="122"/>
      <c r="AB279" s="122"/>
      <c r="AC279" s="122"/>
      <c r="AD279" s="122"/>
      <c r="AE279" s="118"/>
      <c r="AF279" s="77"/>
      <c r="AG279" s="76" t="str">
        <f t="shared" si="18"/>
        <v/>
      </c>
    </row>
    <row r="280" spans="2:33" x14ac:dyDescent="0.25">
      <c r="B280" s="182"/>
      <c r="C280" s="116"/>
      <c r="D280" s="117"/>
      <c r="E280" s="118"/>
      <c r="F280" s="126"/>
      <c r="G280" s="127"/>
      <c r="H280" s="119"/>
      <c r="I280" s="119">
        <f t="shared" si="19"/>
        <v>0</v>
      </c>
      <c r="J280" s="115">
        <f t="shared" si="20"/>
        <v>0</v>
      </c>
      <c r="K280" s="80" t="str">
        <f t="shared" si="12"/>
        <v/>
      </c>
      <c r="L280" s="120"/>
      <c r="M280" s="8">
        <v>300</v>
      </c>
      <c r="N280" s="115">
        <v>60</v>
      </c>
      <c r="O280" s="78" t="str">
        <f t="shared" si="13"/>
        <v/>
      </c>
      <c r="P280" s="121">
        <f t="shared" si="17"/>
        <v>0</v>
      </c>
      <c r="Q280" s="115">
        <f t="shared" si="21"/>
        <v>0</v>
      </c>
      <c r="R280" s="122"/>
      <c r="S280" s="122"/>
      <c r="T280" s="122"/>
      <c r="U280" s="122"/>
      <c r="V280" s="122"/>
      <c r="W280" s="122"/>
      <c r="X280" s="128"/>
      <c r="Y280" s="128"/>
      <c r="Z280" s="128"/>
      <c r="AA280" s="122"/>
      <c r="AB280" s="122"/>
      <c r="AC280" s="122"/>
      <c r="AD280" s="122"/>
      <c r="AE280" s="118"/>
      <c r="AF280" s="77"/>
      <c r="AG280" s="76" t="str">
        <f t="shared" si="18"/>
        <v/>
      </c>
    </row>
    <row r="281" spans="2:33" x14ac:dyDescent="0.25">
      <c r="B281" s="182"/>
      <c r="C281" s="116"/>
      <c r="D281" s="117"/>
      <c r="E281" s="118"/>
      <c r="F281" s="126"/>
      <c r="G281" s="127"/>
      <c r="H281" s="119"/>
      <c r="I281" s="119">
        <f t="shared" si="19"/>
        <v>0</v>
      </c>
      <c r="J281" s="115">
        <f t="shared" si="20"/>
        <v>0</v>
      </c>
      <c r="K281" s="80" t="str">
        <f t="shared" si="12"/>
        <v/>
      </c>
      <c r="L281" s="120"/>
      <c r="M281" s="8">
        <v>300</v>
      </c>
      <c r="N281" s="115">
        <v>60</v>
      </c>
      <c r="O281" s="78" t="str">
        <f t="shared" si="13"/>
        <v/>
      </c>
      <c r="P281" s="121">
        <f t="shared" si="17"/>
        <v>0</v>
      </c>
      <c r="Q281" s="115">
        <f t="shared" si="21"/>
        <v>0</v>
      </c>
      <c r="R281" s="122"/>
      <c r="S281" s="122"/>
      <c r="T281" s="122"/>
      <c r="U281" s="122"/>
      <c r="V281" s="122"/>
      <c r="W281" s="122"/>
      <c r="X281" s="128"/>
      <c r="Y281" s="128"/>
      <c r="Z281" s="128"/>
      <c r="AA281" s="122"/>
      <c r="AB281" s="122"/>
      <c r="AC281" s="122"/>
      <c r="AD281" s="122"/>
      <c r="AE281" s="118"/>
      <c r="AF281" s="77"/>
      <c r="AG281" s="76" t="str">
        <f t="shared" si="18"/>
        <v/>
      </c>
    </row>
    <row r="282" spans="2:33" x14ac:dyDescent="0.25">
      <c r="B282" s="182"/>
      <c r="C282" s="116"/>
      <c r="D282" s="117"/>
      <c r="E282" s="118"/>
      <c r="F282" s="126"/>
      <c r="G282" s="127"/>
      <c r="H282" s="119"/>
      <c r="I282" s="119">
        <f t="shared" si="19"/>
        <v>0</v>
      </c>
      <c r="J282" s="115">
        <f t="shared" si="20"/>
        <v>0</v>
      </c>
      <c r="K282" s="80" t="str">
        <f t="shared" ref="K282:K345" si="22">IFERROR(J282/I282,"")</f>
        <v/>
      </c>
      <c r="L282" s="120"/>
      <c r="M282" s="8">
        <v>300</v>
      </c>
      <c r="N282" s="115">
        <v>60</v>
      </c>
      <c r="O282" s="78" t="str">
        <f t="shared" ref="O282:O345" si="23">IFERROR(((L282/M282)*N282/J282),"")</f>
        <v/>
      </c>
      <c r="P282" s="121">
        <f t="shared" si="17"/>
        <v>0</v>
      </c>
      <c r="Q282" s="115">
        <f t="shared" si="21"/>
        <v>0</v>
      </c>
      <c r="R282" s="122"/>
      <c r="S282" s="122"/>
      <c r="T282" s="122"/>
      <c r="U282" s="122"/>
      <c r="V282" s="122"/>
      <c r="W282" s="122"/>
      <c r="X282" s="128"/>
      <c r="Y282" s="128"/>
      <c r="Z282" s="128"/>
      <c r="AA282" s="122"/>
      <c r="AB282" s="122"/>
      <c r="AC282" s="122"/>
      <c r="AD282" s="122"/>
      <c r="AE282" s="118"/>
      <c r="AF282" s="77"/>
      <c r="AG282" s="76" t="str">
        <f t="shared" si="18"/>
        <v/>
      </c>
    </row>
    <row r="283" spans="2:33" x14ac:dyDescent="0.25">
      <c r="B283" s="182"/>
      <c r="C283" s="116"/>
      <c r="D283" s="117"/>
      <c r="E283" s="118"/>
      <c r="F283" s="126"/>
      <c r="G283" s="127"/>
      <c r="H283" s="119"/>
      <c r="I283" s="119">
        <f t="shared" si="19"/>
        <v>0</v>
      </c>
      <c r="J283" s="115">
        <f t="shared" si="20"/>
        <v>0</v>
      </c>
      <c r="K283" s="80" t="str">
        <f t="shared" si="22"/>
        <v/>
      </c>
      <c r="L283" s="120"/>
      <c r="M283" s="8">
        <v>300</v>
      </c>
      <c r="N283" s="115">
        <v>60</v>
      </c>
      <c r="O283" s="78" t="str">
        <f t="shared" si="23"/>
        <v/>
      </c>
      <c r="P283" s="121">
        <f t="shared" si="17"/>
        <v>0</v>
      </c>
      <c r="Q283" s="115">
        <f t="shared" si="21"/>
        <v>0</v>
      </c>
      <c r="R283" s="122"/>
      <c r="S283" s="122"/>
      <c r="T283" s="122"/>
      <c r="U283" s="122"/>
      <c r="V283" s="122"/>
      <c r="W283" s="122"/>
      <c r="X283" s="128"/>
      <c r="Y283" s="128"/>
      <c r="Z283" s="128"/>
      <c r="AA283" s="122"/>
      <c r="AB283" s="122"/>
      <c r="AC283" s="122"/>
      <c r="AD283" s="122"/>
      <c r="AE283" s="118"/>
      <c r="AF283" s="77"/>
      <c r="AG283" s="76" t="str">
        <f t="shared" si="18"/>
        <v/>
      </c>
    </row>
    <row r="284" spans="2:33" x14ac:dyDescent="0.25">
      <c r="B284" s="182"/>
      <c r="C284" s="116"/>
      <c r="D284" s="117"/>
      <c r="E284" s="118"/>
      <c r="F284" s="126"/>
      <c r="G284" s="127"/>
      <c r="H284" s="119"/>
      <c r="I284" s="119">
        <f t="shared" si="19"/>
        <v>0</v>
      </c>
      <c r="J284" s="115">
        <f t="shared" si="20"/>
        <v>0</v>
      </c>
      <c r="K284" s="80" t="str">
        <f t="shared" si="22"/>
        <v/>
      </c>
      <c r="L284" s="120"/>
      <c r="M284" s="8">
        <v>300</v>
      </c>
      <c r="N284" s="115">
        <v>60</v>
      </c>
      <c r="O284" s="78" t="str">
        <f t="shared" si="23"/>
        <v/>
      </c>
      <c r="P284" s="121">
        <f t="shared" si="17"/>
        <v>0</v>
      </c>
      <c r="Q284" s="115">
        <f t="shared" si="21"/>
        <v>0</v>
      </c>
      <c r="R284" s="122"/>
      <c r="S284" s="122"/>
      <c r="T284" s="122"/>
      <c r="U284" s="122"/>
      <c r="V284" s="122"/>
      <c r="W284" s="122"/>
      <c r="X284" s="128"/>
      <c r="Y284" s="128"/>
      <c r="Z284" s="128"/>
      <c r="AA284" s="122"/>
      <c r="AB284" s="122"/>
      <c r="AC284" s="122"/>
      <c r="AD284" s="122"/>
      <c r="AE284" s="118"/>
      <c r="AF284" s="77"/>
      <c r="AG284" s="76" t="str">
        <f t="shared" si="18"/>
        <v/>
      </c>
    </row>
    <row r="285" spans="2:33" x14ac:dyDescent="0.25">
      <c r="B285" s="182"/>
      <c r="C285" s="116"/>
      <c r="D285" s="117"/>
      <c r="E285" s="118"/>
      <c r="F285" s="126"/>
      <c r="G285" s="127"/>
      <c r="H285" s="119"/>
      <c r="I285" s="119">
        <f t="shared" si="19"/>
        <v>0</v>
      </c>
      <c r="J285" s="115">
        <f t="shared" si="20"/>
        <v>0</v>
      </c>
      <c r="K285" s="80" t="str">
        <f t="shared" si="22"/>
        <v/>
      </c>
      <c r="L285" s="120"/>
      <c r="M285" s="8">
        <v>300</v>
      </c>
      <c r="N285" s="115">
        <v>60</v>
      </c>
      <c r="O285" s="78" t="str">
        <f t="shared" si="23"/>
        <v/>
      </c>
      <c r="P285" s="121">
        <f t="shared" si="17"/>
        <v>0</v>
      </c>
      <c r="Q285" s="115">
        <f t="shared" si="21"/>
        <v>0</v>
      </c>
      <c r="R285" s="122"/>
      <c r="S285" s="122"/>
      <c r="T285" s="122"/>
      <c r="U285" s="122"/>
      <c r="V285" s="122"/>
      <c r="W285" s="122"/>
      <c r="X285" s="128"/>
      <c r="Y285" s="128"/>
      <c r="Z285" s="128"/>
      <c r="AA285" s="122"/>
      <c r="AB285" s="122"/>
      <c r="AC285" s="122"/>
      <c r="AD285" s="122"/>
      <c r="AE285" s="118"/>
      <c r="AF285" s="77"/>
      <c r="AG285" s="76" t="str">
        <f t="shared" si="18"/>
        <v/>
      </c>
    </row>
    <row r="286" spans="2:33" x14ac:dyDescent="0.25">
      <c r="B286" s="182"/>
      <c r="C286" s="116"/>
      <c r="D286" s="117"/>
      <c r="E286" s="118"/>
      <c r="F286" s="126"/>
      <c r="G286" s="127"/>
      <c r="H286" s="119"/>
      <c r="I286" s="119">
        <f t="shared" si="19"/>
        <v>0</v>
      </c>
      <c r="J286" s="115">
        <f t="shared" si="20"/>
        <v>0</v>
      </c>
      <c r="K286" s="80" t="str">
        <f t="shared" si="22"/>
        <v/>
      </c>
      <c r="L286" s="120"/>
      <c r="M286" s="8">
        <v>300</v>
      </c>
      <c r="N286" s="115">
        <v>60</v>
      </c>
      <c r="O286" s="78" t="str">
        <f t="shared" si="23"/>
        <v/>
      </c>
      <c r="P286" s="121">
        <f t="shared" si="17"/>
        <v>0</v>
      </c>
      <c r="Q286" s="115">
        <f t="shared" si="21"/>
        <v>0</v>
      </c>
      <c r="R286" s="122"/>
      <c r="S286" s="122"/>
      <c r="T286" s="122"/>
      <c r="U286" s="122"/>
      <c r="V286" s="122"/>
      <c r="W286" s="122"/>
      <c r="X286" s="128"/>
      <c r="Y286" s="128"/>
      <c r="Z286" s="128"/>
      <c r="AA286" s="122"/>
      <c r="AB286" s="122"/>
      <c r="AC286" s="122"/>
      <c r="AD286" s="122"/>
      <c r="AE286" s="118"/>
      <c r="AF286" s="77"/>
      <c r="AG286" s="76" t="str">
        <f t="shared" si="18"/>
        <v/>
      </c>
    </row>
    <row r="287" spans="2:33" x14ac:dyDescent="0.25">
      <c r="B287" s="182"/>
      <c r="C287" s="116"/>
      <c r="D287" s="117"/>
      <c r="E287" s="118"/>
      <c r="F287" s="126"/>
      <c r="G287" s="127"/>
      <c r="H287" s="119"/>
      <c r="I287" s="119">
        <f t="shared" si="19"/>
        <v>0</v>
      </c>
      <c r="J287" s="115">
        <f t="shared" si="20"/>
        <v>0</v>
      </c>
      <c r="K287" s="80" t="str">
        <f t="shared" si="22"/>
        <v/>
      </c>
      <c r="L287" s="120"/>
      <c r="M287" s="8">
        <v>300</v>
      </c>
      <c r="N287" s="115">
        <v>60</v>
      </c>
      <c r="O287" s="78" t="str">
        <f t="shared" si="23"/>
        <v/>
      </c>
      <c r="P287" s="121">
        <f t="shared" si="17"/>
        <v>0</v>
      </c>
      <c r="Q287" s="115">
        <f t="shared" si="21"/>
        <v>0</v>
      </c>
      <c r="R287" s="122"/>
      <c r="S287" s="122"/>
      <c r="T287" s="122"/>
      <c r="U287" s="122"/>
      <c r="V287" s="122"/>
      <c r="W287" s="122"/>
      <c r="X287" s="128"/>
      <c r="Y287" s="128"/>
      <c r="Z287" s="128"/>
      <c r="AA287" s="122"/>
      <c r="AB287" s="122"/>
      <c r="AC287" s="122"/>
      <c r="AD287" s="122"/>
      <c r="AE287" s="118"/>
      <c r="AF287" s="77"/>
      <c r="AG287" s="76" t="str">
        <f t="shared" si="18"/>
        <v/>
      </c>
    </row>
    <row r="288" spans="2:33" x14ac:dyDescent="0.25">
      <c r="B288" s="182"/>
      <c r="C288" s="116"/>
      <c r="D288" s="117"/>
      <c r="E288" s="118"/>
      <c r="F288" s="126"/>
      <c r="G288" s="127"/>
      <c r="H288" s="119"/>
      <c r="I288" s="119">
        <f t="shared" si="19"/>
        <v>0</v>
      </c>
      <c r="J288" s="115">
        <f t="shared" si="20"/>
        <v>0</v>
      </c>
      <c r="K288" s="80" t="str">
        <f t="shared" si="22"/>
        <v/>
      </c>
      <c r="L288" s="120"/>
      <c r="M288" s="8">
        <v>300</v>
      </c>
      <c r="N288" s="115">
        <v>60</v>
      </c>
      <c r="O288" s="78" t="str">
        <f t="shared" si="23"/>
        <v/>
      </c>
      <c r="P288" s="121">
        <f t="shared" si="17"/>
        <v>0</v>
      </c>
      <c r="Q288" s="115">
        <f t="shared" si="21"/>
        <v>0</v>
      </c>
      <c r="R288" s="122"/>
      <c r="S288" s="122"/>
      <c r="T288" s="122"/>
      <c r="U288" s="122"/>
      <c r="V288" s="122"/>
      <c r="W288" s="122"/>
      <c r="X288" s="128"/>
      <c r="Y288" s="128"/>
      <c r="Z288" s="128"/>
      <c r="AA288" s="122"/>
      <c r="AB288" s="122"/>
      <c r="AC288" s="122"/>
      <c r="AD288" s="122"/>
      <c r="AE288" s="118"/>
      <c r="AF288" s="77"/>
      <c r="AG288" s="76" t="str">
        <f t="shared" si="18"/>
        <v/>
      </c>
    </row>
    <row r="289" spans="2:33" x14ac:dyDescent="0.25">
      <c r="B289" s="182"/>
      <c r="C289" s="116"/>
      <c r="D289" s="117"/>
      <c r="E289" s="118"/>
      <c r="F289" s="126"/>
      <c r="G289" s="127"/>
      <c r="H289" s="119"/>
      <c r="I289" s="119">
        <f t="shared" si="19"/>
        <v>0</v>
      </c>
      <c r="J289" s="115">
        <f t="shared" si="20"/>
        <v>0</v>
      </c>
      <c r="K289" s="80" t="str">
        <f t="shared" si="22"/>
        <v/>
      </c>
      <c r="L289" s="120"/>
      <c r="M289" s="8">
        <v>300</v>
      </c>
      <c r="N289" s="115">
        <v>60</v>
      </c>
      <c r="O289" s="78" t="str">
        <f t="shared" si="23"/>
        <v/>
      </c>
      <c r="P289" s="121">
        <f t="shared" ref="P289:P352" si="24">L289-AE289</f>
        <v>0</v>
      </c>
      <c r="Q289" s="115">
        <f t="shared" si="21"/>
        <v>0</v>
      </c>
      <c r="R289" s="122"/>
      <c r="S289" s="122"/>
      <c r="T289" s="122"/>
      <c r="U289" s="122"/>
      <c r="V289" s="122"/>
      <c r="W289" s="122"/>
      <c r="X289" s="128"/>
      <c r="Y289" s="128"/>
      <c r="Z289" s="128"/>
      <c r="AA289" s="122"/>
      <c r="AB289" s="122"/>
      <c r="AC289" s="122"/>
      <c r="AD289" s="122"/>
      <c r="AE289" s="118"/>
      <c r="AF289" s="77"/>
      <c r="AG289" s="76" t="str">
        <f t="shared" si="18"/>
        <v/>
      </c>
    </row>
    <row r="290" spans="2:33" x14ac:dyDescent="0.25">
      <c r="B290" s="182"/>
      <c r="C290" s="116"/>
      <c r="D290" s="117"/>
      <c r="E290" s="118"/>
      <c r="F290" s="126"/>
      <c r="G290" s="127"/>
      <c r="H290" s="119"/>
      <c r="I290" s="119">
        <f t="shared" si="19"/>
        <v>0</v>
      </c>
      <c r="J290" s="115">
        <f t="shared" si="20"/>
        <v>0</v>
      </c>
      <c r="K290" s="80" t="str">
        <f t="shared" si="22"/>
        <v/>
      </c>
      <c r="L290" s="120"/>
      <c r="M290" s="8">
        <v>300</v>
      </c>
      <c r="N290" s="115">
        <v>60</v>
      </c>
      <c r="O290" s="78" t="str">
        <f t="shared" si="23"/>
        <v/>
      </c>
      <c r="P290" s="121">
        <f t="shared" si="24"/>
        <v>0</v>
      </c>
      <c r="Q290" s="115">
        <f t="shared" si="21"/>
        <v>0</v>
      </c>
      <c r="R290" s="122"/>
      <c r="S290" s="122"/>
      <c r="T290" s="122"/>
      <c r="U290" s="122"/>
      <c r="V290" s="122"/>
      <c r="W290" s="122"/>
      <c r="X290" s="128"/>
      <c r="Y290" s="128"/>
      <c r="Z290" s="128"/>
      <c r="AA290" s="122"/>
      <c r="AB290" s="122"/>
      <c r="AC290" s="122"/>
      <c r="AD290" s="122"/>
      <c r="AE290" s="118"/>
      <c r="AF290" s="77"/>
      <c r="AG290" s="76" t="str">
        <f t="shared" si="18"/>
        <v/>
      </c>
    </row>
    <row r="291" spans="2:33" x14ac:dyDescent="0.25">
      <c r="B291" s="182"/>
      <c r="C291" s="116"/>
      <c r="D291" s="117"/>
      <c r="E291" s="118"/>
      <c r="F291" s="126"/>
      <c r="G291" s="127"/>
      <c r="H291" s="119"/>
      <c r="I291" s="119">
        <f t="shared" si="19"/>
        <v>0</v>
      </c>
      <c r="J291" s="115">
        <f t="shared" si="20"/>
        <v>0</v>
      </c>
      <c r="K291" s="80" t="str">
        <f t="shared" si="22"/>
        <v/>
      </c>
      <c r="L291" s="120"/>
      <c r="M291" s="8">
        <v>300</v>
      </c>
      <c r="N291" s="115">
        <v>60</v>
      </c>
      <c r="O291" s="78" t="str">
        <f t="shared" si="23"/>
        <v/>
      </c>
      <c r="P291" s="121">
        <f t="shared" si="24"/>
        <v>0</v>
      </c>
      <c r="Q291" s="115">
        <f t="shared" si="21"/>
        <v>0</v>
      </c>
      <c r="R291" s="122"/>
      <c r="S291" s="122"/>
      <c r="T291" s="122"/>
      <c r="U291" s="122"/>
      <c r="V291" s="122"/>
      <c r="W291" s="122"/>
      <c r="X291" s="128"/>
      <c r="Y291" s="128"/>
      <c r="Z291" s="128"/>
      <c r="AA291" s="122"/>
      <c r="AB291" s="122"/>
      <c r="AC291" s="122"/>
      <c r="AD291" s="122"/>
      <c r="AE291" s="118"/>
      <c r="AF291" s="77"/>
      <c r="AG291" s="76" t="str">
        <f t="shared" si="18"/>
        <v/>
      </c>
    </row>
    <row r="292" spans="2:33" x14ac:dyDescent="0.25">
      <c r="B292" s="182"/>
      <c r="C292" s="116"/>
      <c r="D292" s="117"/>
      <c r="E292" s="118"/>
      <c r="F292" s="126"/>
      <c r="G292" s="127"/>
      <c r="H292" s="119"/>
      <c r="I292" s="119">
        <f t="shared" si="19"/>
        <v>0</v>
      </c>
      <c r="J292" s="115">
        <f t="shared" si="20"/>
        <v>0</v>
      </c>
      <c r="K292" s="80" t="str">
        <f t="shared" si="22"/>
        <v/>
      </c>
      <c r="L292" s="120"/>
      <c r="M292" s="8">
        <v>300</v>
      </c>
      <c r="N292" s="115">
        <v>60</v>
      </c>
      <c r="O292" s="78" t="str">
        <f t="shared" si="23"/>
        <v/>
      </c>
      <c r="P292" s="121">
        <f t="shared" si="24"/>
        <v>0</v>
      </c>
      <c r="Q292" s="115">
        <f t="shared" si="21"/>
        <v>0</v>
      </c>
      <c r="R292" s="122"/>
      <c r="S292" s="122"/>
      <c r="T292" s="122"/>
      <c r="U292" s="122"/>
      <c r="V292" s="122"/>
      <c r="W292" s="122"/>
      <c r="X292" s="128"/>
      <c r="Y292" s="128"/>
      <c r="Z292" s="128"/>
      <c r="AA292" s="122"/>
      <c r="AB292" s="122"/>
      <c r="AC292" s="122"/>
      <c r="AD292" s="122"/>
      <c r="AE292" s="118"/>
      <c r="AF292" s="77"/>
      <c r="AG292" s="76" t="str">
        <f t="shared" si="18"/>
        <v/>
      </c>
    </row>
    <row r="293" spans="2:33" x14ac:dyDescent="0.25">
      <c r="B293" s="182"/>
      <c r="C293" s="116"/>
      <c r="D293" s="117"/>
      <c r="E293" s="118"/>
      <c r="F293" s="126"/>
      <c r="G293" s="127"/>
      <c r="H293" s="119"/>
      <c r="I293" s="119">
        <f t="shared" si="19"/>
        <v>0</v>
      </c>
      <c r="J293" s="115">
        <f t="shared" si="20"/>
        <v>0</v>
      </c>
      <c r="K293" s="80" t="str">
        <f t="shared" si="22"/>
        <v/>
      </c>
      <c r="L293" s="120"/>
      <c r="M293" s="8">
        <v>300</v>
      </c>
      <c r="N293" s="115">
        <v>60</v>
      </c>
      <c r="O293" s="78" t="str">
        <f t="shared" si="23"/>
        <v/>
      </c>
      <c r="P293" s="121">
        <f t="shared" si="24"/>
        <v>0</v>
      </c>
      <c r="Q293" s="115">
        <f t="shared" si="21"/>
        <v>0</v>
      </c>
      <c r="R293" s="122"/>
      <c r="S293" s="122"/>
      <c r="T293" s="122"/>
      <c r="U293" s="122"/>
      <c r="V293" s="122"/>
      <c r="W293" s="122"/>
      <c r="X293" s="128"/>
      <c r="Y293" s="128"/>
      <c r="Z293" s="128"/>
      <c r="AA293" s="122"/>
      <c r="AB293" s="122"/>
      <c r="AC293" s="122"/>
      <c r="AD293" s="122"/>
      <c r="AE293" s="118"/>
      <c r="AF293" s="77"/>
      <c r="AG293" s="76" t="str">
        <f t="shared" si="18"/>
        <v/>
      </c>
    </row>
    <row r="294" spans="2:33" x14ac:dyDescent="0.25">
      <c r="B294" s="182"/>
      <c r="C294" s="116"/>
      <c r="D294" s="117"/>
      <c r="E294" s="118"/>
      <c r="F294" s="126"/>
      <c r="G294" s="127"/>
      <c r="H294" s="119"/>
      <c r="I294" s="119">
        <f t="shared" si="19"/>
        <v>0</v>
      </c>
      <c r="J294" s="115">
        <f t="shared" si="20"/>
        <v>0</v>
      </c>
      <c r="K294" s="80" t="str">
        <f t="shared" si="22"/>
        <v/>
      </c>
      <c r="L294" s="120"/>
      <c r="M294" s="8">
        <v>300</v>
      </c>
      <c r="N294" s="115">
        <v>60</v>
      </c>
      <c r="O294" s="78" t="str">
        <f t="shared" si="23"/>
        <v/>
      </c>
      <c r="P294" s="121">
        <f t="shared" si="24"/>
        <v>0</v>
      </c>
      <c r="Q294" s="115">
        <f t="shared" si="21"/>
        <v>0</v>
      </c>
      <c r="R294" s="122"/>
      <c r="S294" s="122"/>
      <c r="T294" s="122"/>
      <c r="U294" s="122"/>
      <c r="V294" s="122"/>
      <c r="W294" s="122"/>
      <c r="X294" s="128"/>
      <c r="Y294" s="128"/>
      <c r="Z294" s="128"/>
      <c r="AA294" s="122"/>
      <c r="AB294" s="122"/>
      <c r="AC294" s="122"/>
      <c r="AD294" s="122"/>
      <c r="AE294" s="118"/>
      <c r="AF294" s="77"/>
      <c r="AG294" s="76" t="str">
        <f t="shared" si="18"/>
        <v/>
      </c>
    </row>
    <row r="295" spans="2:33" x14ac:dyDescent="0.25">
      <c r="B295" s="182"/>
      <c r="C295" s="116"/>
      <c r="D295" s="117"/>
      <c r="E295" s="118"/>
      <c r="F295" s="126"/>
      <c r="G295" s="127"/>
      <c r="H295" s="119"/>
      <c r="I295" s="119">
        <f t="shared" si="19"/>
        <v>0</v>
      </c>
      <c r="J295" s="115">
        <f t="shared" si="20"/>
        <v>0</v>
      </c>
      <c r="K295" s="80" t="str">
        <f t="shared" si="22"/>
        <v/>
      </c>
      <c r="L295" s="120"/>
      <c r="M295" s="8">
        <v>300</v>
      </c>
      <c r="N295" s="115">
        <v>60</v>
      </c>
      <c r="O295" s="78" t="str">
        <f t="shared" si="23"/>
        <v/>
      </c>
      <c r="P295" s="121">
        <f t="shared" si="24"/>
        <v>0</v>
      </c>
      <c r="Q295" s="115">
        <f t="shared" si="21"/>
        <v>0</v>
      </c>
      <c r="R295" s="122"/>
      <c r="S295" s="122"/>
      <c r="T295" s="122"/>
      <c r="U295" s="122"/>
      <c r="V295" s="122"/>
      <c r="W295" s="122"/>
      <c r="X295" s="128"/>
      <c r="Y295" s="128"/>
      <c r="Z295" s="128"/>
      <c r="AA295" s="122"/>
      <c r="AB295" s="122"/>
      <c r="AC295" s="122"/>
      <c r="AD295" s="122"/>
      <c r="AE295" s="118"/>
      <c r="AF295" s="77"/>
      <c r="AG295" s="76" t="str">
        <f t="shared" si="18"/>
        <v/>
      </c>
    </row>
    <row r="296" spans="2:33" x14ac:dyDescent="0.25">
      <c r="B296" s="182"/>
      <c r="C296" s="116"/>
      <c r="D296" s="117"/>
      <c r="E296" s="118"/>
      <c r="F296" s="126"/>
      <c r="G296" s="127"/>
      <c r="H296" s="119"/>
      <c r="I296" s="119">
        <f t="shared" si="19"/>
        <v>0</v>
      </c>
      <c r="J296" s="115">
        <f t="shared" si="20"/>
        <v>0</v>
      </c>
      <c r="K296" s="80" t="str">
        <f t="shared" si="22"/>
        <v/>
      </c>
      <c r="L296" s="120"/>
      <c r="M296" s="8">
        <v>300</v>
      </c>
      <c r="N296" s="115">
        <v>60</v>
      </c>
      <c r="O296" s="78" t="str">
        <f t="shared" si="23"/>
        <v/>
      </c>
      <c r="P296" s="121">
        <f t="shared" si="24"/>
        <v>0</v>
      </c>
      <c r="Q296" s="115">
        <f t="shared" si="21"/>
        <v>0</v>
      </c>
      <c r="R296" s="122"/>
      <c r="S296" s="122"/>
      <c r="T296" s="122"/>
      <c r="U296" s="122"/>
      <c r="V296" s="122"/>
      <c r="W296" s="122"/>
      <c r="X296" s="128"/>
      <c r="Y296" s="128"/>
      <c r="Z296" s="128"/>
      <c r="AA296" s="122"/>
      <c r="AB296" s="122"/>
      <c r="AC296" s="122"/>
      <c r="AD296" s="122"/>
      <c r="AE296" s="118"/>
      <c r="AF296" s="77"/>
      <c r="AG296" s="76" t="str">
        <f t="shared" si="18"/>
        <v/>
      </c>
    </row>
    <row r="297" spans="2:33" x14ac:dyDescent="0.25">
      <c r="B297" s="182"/>
      <c r="C297" s="116"/>
      <c r="D297" s="117"/>
      <c r="E297" s="118"/>
      <c r="F297" s="126"/>
      <c r="G297" s="127"/>
      <c r="H297" s="119"/>
      <c r="I297" s="119">
        <f t="shared" si="19"/>
        <v>0</v>
      </c>
      <c r="J297" s="115">
        <f t="shared" si="20"/>
        <v>0</v>
      </c>
      <c r="K297" s="80" t="str">
        <f t="shared" si="22"/>
        <v/>
      </c>
      <c r="L297" s="120"/>
      <c r="M297" s="8">
        <v>300</v>
      </c>
      <c r="N297" s="115">
        <v>60</v>
      </c>
      <c r="O297" s="78" t="str">
        <f t="shared" si="23"/>
        <v/>
      </c>
      <c r="P297" s="121">
        <f t="shared" si="24"/>
        <v>0</v>
      </c>
      <c r="Q297" s="115">
        <f t="shared" si="21"/>
        <v>0</v>
      </c>
      <c r="R297" s="122"/>
      <c r="S297" s="122"/>
      <c r="T297" s="122"/>
      <c r="U297" s="122"/>
      <c r="V297" s="122"/>
      <c r="W297" s="122"/>
      <c r="X297" s="128"/>
      <c r="Y297" s="128"/>
      <c r="Z297" s="128"/>
      <c r="AA297" s="122"/>
      <c r="AB297" s="122"/>
      <c r="AC297" s="122"/>
      <c r="AD297" s="122"/>
      <c r="AE297" s="118"/>
      <c r="AF297" s="77"/>
      <c r="AG297" s="76" t="str">
        <f t="shared" si="18"/>
        <v/>
      </c>
    </row>
    <row r="298" spans="2:33" x14ac:dyDescent="0.25">
      <c r="B298" s="182"/>
      <c r="C298" s="116"/>
      <c r="D298" s="117"/>
      <c r="E298" s="118"/>
      <c r="F298" s="126"/>
      <c r="G298" s="127"/>
      <c r="H298" s="119"/>
      <c r="I298" s="119">
        <f t="shared" si="19"/>
        <v>0</v>
      </c>
      <c r="J298" s="115">
        <f t="shared" si="20"/>
        <v>0</v>
      </c>
      <c r="K298" s="80" t="str">
        <f t="shared" si="22"/>
        <v/>
      </c>
      <c r="L298" s="120"/>
      <c r="M298" s="8">
        <v>300</v>
      </c>
      <c r="N298" s="115">
        <v>60</v>
      </c>
      <c r="O298" s="78" t="str">
        <f t="shared" si="23"/>
        <v/>
      </c>
      <c r="P298" s="121">
        <f t="shared" si="24"/>
        <v>0</v>
      </c>
      <c r="Q298" s="115">
        <f t="shared" si="21"/>
        <v>0</v>
      </c>
      <c r="R298" s="122"/>
      <c r="S298" s="122"/>
      <c r="T298" s="122"/>
      <c r="U298" s="122"/>
      <c r="V298" s="122"/>
      <c r="W298" s="122"/>
      <c r="X298" s="128"/>
      <c r="Y298" s="128"/>
      <c r="Z298" s="128"/>
      <c r="AA298" s="122"/>
      <c r="AB298" s="122"/>
      <c r="AC298" s="122"/>
      <c r="AD298" s="122"/>
      <c r="AE298" s="118"/>
      <c r="AF298" s="77"/>
      <c r="AG298" s="76" t="str">
        <f t="shared" si="18"/>
        <v/>
      </c>
    </row>
    <row r="299" spans="2:33" x14ac:dyDescent="0.25">
      <c r="B299" s="182"/>
      <c r="C299" s="116"/>
      <c r="D299" s="117"/>
      <c r="E299" s="118"/>
      <c r="F299" s="126"/>
      <c r="G299" s="127"/>
      <c r="H299" s="119"/>
      <c r="I299" s="119">
        <f t="shared" si="19"/>
        <v>0</v>
      </c>
      <c r="J299" s="115">
        <f t="shared" si="20"/>
        <v>0</v>
      </c>
      <c r="K299" s="80" t="str">
        <f t="shared" si="22"/>
        <v/>
      </c>
      <c r="L299" s="120"/>
      <c r="M299" s="8">
        <v>300</v>
      </c>
      <c r="N299" s="115">
        <v>60</v>
      </c>
      <c r="O299" s="78" t="str">
        <f t="shared" si="23"/>
        <v/>
      </c>
      <c r="P299" s="121">
        <f t="shared" si="24"/>
        <v>0</v>
      </c>
      <c r="Q299" s="115">
        <f t="shared" si="21"/>
        <v>0</v>
      </c>
      <c r="R299" s="122"/>
      <c r="S299" s="122"/>
      <c r="T299" s="122"/>
      <c r="U299" s="122"/>
      <c r="V299" s="122"/>
      <c r="W299" s="122"/>
      <c r="X299" s="128"/>
      <c r="Y299" s="128"/>
      <c r="Z299" s="128"/>
      <c r="AA299" s="122"/>
      <c r="AB299" s="122"/>
      <c r="AC299" s="122"/>
      <c r="AD299" s="122"/>
      <c r="AE299" s="118"/>
      <c r="AF299" s="77"/>
      <c r="AG299" s="76" t="str">
        <f t="shared" si="18"/>
        <v/>
      </c>
    </row>
    <row r="300" spans="2:33" x14ac:dyDescent="0.25">
      <c r="B300" s="182"/>
      <c r="C300" s="116"/>
      <c r="D300" s="117"/>
      <c r="E300" s="118"/>
      <c r="F300" s="126"/>
      <c r="G300" s="127"/>
      <c r="H300" s="119"/>
      <c r="I300" s="119">
        <f t="shared" si="19"/>
        <v>0</v>
      </c>
      <c r="J300" s="115">
        <f t="shared" si="20"/>
        <v>0</v>
      </c>
      <c r="K300" s="80" t="str">
        <f t="shared" si="22"/>
        <v/>
      </c>
      <c r="L300" s="120"/>
      <c r="M300" s="8">
        <v>300</v>
      </c>
      <c r="N300" s="115">
        <v>60</v>
      </c>
      <c r="O300" s="78" t="str">
        <f t="shared" si="23"/>
        <v/>
      </c>
      <c r="P300" s="121">
        <f t="shared" si="24"/>
        <v>0</v>
      </c>
      <c r="Q300" s="115">
        <f t="shared" si="21"/>
        <v>0</v>
      </c>
      <c r="R300" s="122"/>
      <c r="S300" s="122"/>
      <c r="T300" s="122"/>
      <c r="U300" s="122"/>
      <c r="V300" s="122"/>
      <c r="W300" s="122"/>
      <c r="X300" s="128"/>
      <c r="Y300" s="128"/>
      <c r="Z300" s="128"/>
      <c r="AA300" s="122"/>
      <c r="AB300" s="122"/>
      <c r="AC300" s="122"/>
      <c r="AD300" s="122"/>
      <c r="AE300" s="118"/>
      <c r="AF300" s="77"/>
      <c r="AG300" s="76" t="str">
        <f t="shared" si="18"/>
        <v/>
      </c>
    </row>
    <row r="301" spans="2:33" x14ac:dyDescent="0.25">
      <c r="B301" s="182"/>
      <c r="C301" s="116"/>
      <c r="D301" s="117"/>
      <c r="E301" s="118"/>
      <c r="F301" s="126"/>
      <c r="G301" s="127"/>
      <c r="H301" s="119"/>
      <c r="I301" s="119">
        <f t="shared" si="19"/>
        <v>0</v>
      </c>
      <c r="J301" s="115">
        <f t="shared" si="20"/>
        <v>0</v>
      </c>
      <c r="K301" s="80" t="str">
        <f t="shared" si="22"/>
        <v/>
      </c>
      <c r="L301" s="120"/>
      <c r="M301" s="8">
        <v>300</v>
      </c>
      <c r="N301" s="115">
        <v>60</v>
      </c>
      <c r="O301" s="78" t="str">
        <f t="shared" si="23"/>
        <v/>
      </c>
      <c r="P301" s="121">
        <f t="shared" si="24"/>
        <v>0</v>
      </c>
      <c r="Q301" s="115">
        <f t="shared" si="21"/>
        <v>0</v>
      </c>
      <c r="R301" s="122"/>
      <c r="S301" s="122"/>
      <c r="T301" s="122"/>
      <c r="U301" s="122"/>
      <c r="V301" s="122"/>
      <c r="W301" s="122"/>
      <c r="X301" s="128"/>
      <c r="Y301" s="128"/>
      <c r="Z301" s="128"/>
      <c r="AA301" s="122"/>
      <c r="AB301" s="122"/>
      <c r="AC301" s="122"/>
      <c r="AD301" s="122"/>
      <c r="AE301" s="118"/>
      <c r="AF301" s="77"/>
      <c r="AG301" s="76" t="str">
        <f t="shared" si="18"/>
        <v/>
      </c>
    </row>
    <row r="302" spans="2:33" x14ac:dyDescent="0.25">
      <c r="B302" s="182"/>
      <c r="C302" s="116"/>
      <c r="D302" s="117"/>
      <c r="E302" s="118"/>
      <c r="F302" s="126"/>
      <c r="G302" s="127"/>
      <c r="H302" s="119"/>
      <c r="I302" s="119">
        <f t="shared" si="19"/>
        <v>0</v>
      </c>
      <c r="J302" s="115">
        <f t="shared" si="20"/>
        <v>0</v>
      </c>
      <c r="K302" s="80" t="str">
        <f t="shared" si="22"/>
        <v/>
      </c>
      <c r="L302" s="120"/>
      <c r="M302" s="8">
        <v>300</v>
      </c>
      <c r="N302" s="115">
        <v>60</v>
      </c>
      <c r="O302" s="78" t="str">
        <f t="shared" si="23"/>
        <v/>
      </c>
      <c r="P302" s="121">
        <f t="shared" si="24"/>
        <v>0</v>
      </c>
      <c r="Q302" s="115">
        <f t="shared" si="21"/>
        <v>0</v>
      </c>
      <c r="R302" s="122"/>
      <c r="S302" s="122"/>
      <c r="T302" s="122"/>
      <c r="U302" s="122"/>
      <c r="V302" s="122"/>
      <c r="W302" s="122"/>
      <c r="X302" s="128"/>
      <c r="Y302" s="128"/>
      <c r="Z302" s="128"/>
      <c r="AA302" s="122"/>
      <c r="AB302" s="122"/>
      <c r="AC302" s="122"/>
      <c r="AD302" s="122"/>
      <c r="AE302" s="118"/>
      <c r="AF302" s="77"/>
      <c r="AG302" s="76" t="str">
        <f t="shared" si="18"/>
        <v/>
      </c>
    </row>
    <row r="303" spans="2:33" x14ac:dyDescent="0.25">
      <c r="B303" s="182"/>
      <c r="C303" s="116"/>
      <c r="D303" s="117"/>
      <c r="E303" s="118"/>
      <c r="F303" s="126"/>
      <c r="G303" s="127"/>
      <c r="H303" s="119"/>
      <c r="I303" s="119">
        <f t="shared" si="19"/>
        <v>0</v>
      </c>
      <c r="J303" s="115">
        <f t="shared" si="20"/>
        <v>0</v>
      </c>
      <c r="K303" s="80" t="str">
        <f t="shared" si="22"/>
        <v/>
      </c>
      <c r="L303" s="120"/>
      <c r="M303" s="8">
        <v>300</v>
      </c>
      <c r="N303" s="115">
        <v>60</v>
      </c>
      <c r="O303" s="78" t="str">
        <f t="shared" si="23"/>
        <v/>
      </c>
      <c r="P303" s="121">
        <f t="shared" si="24"/>
        <v>0</v>
      </c>
      <c r="Q303" s="115">
        <f t="shared" si="21"/>
        <v>0</v>
      </c>
      <c r="R303" s="122"/>
      <c r="S303" s="122"/>
      <c r="T303" s="122"/>
      <c r="U303" s="122"/>
      <c r="V303" s="122"/>
      <c r="W303" s="122"/>
      <c r="X303" s="128"/>
      <c r="Y303" s="128"/>
      <c r="Z303" s="128"/>
      <c r="AA303" s="122"/>
      <c r="AB303" s="122"/>
      <c r="AC303" s="122"/>
      <c r="AD303" s="122"/>
      <c r="AE303" s="118"/>
      <c r="AF303" s="77"/>
      <c r="AG303" s="76" t="str">
        <f t="shared" si="18"/>
        <v/>
      </c>
    </row>
    <row r="304" spans="2:33" x14ac:dyDescent="0.25">
      <c r="B304" s="182"/>
      <c r="C304" s="116"/>
      <c r="D304" s="117"/>
      <c r="E304" s="118"/>
      <c r="F304" s="126"/>
      <c r="G304" s="127"/>
      <c r="H304" s="119"/>
      <c r="I304" s="119">
        <f t="shared" si="19"/>
        <v>0</v>
      </c>
      <c r="J304" s="115">
        <f t="shared" si="20"/>
        <v>0</v>
      </c>
      <c r="K304" s="80" t="str">
        <f t="shared" si="22"/>
        <v/>
      </c>
      <c r="L304" s="120"/>
      <c r="M304" s="8">
        <v>300</v>
      </c>
      <c r="N304" s="115">
        <v>60</v>
      </c>
      <c r="O304" s="78" t="str">
        <f t="shared" si="23"/>
        <v/>
      </c>
      <c r="P304" s="121">
        <f t="shared" si="24"/>
        <v>0</v>
      </c>
      <c r="Q304" s="115">
        <f t="shared" si="21"/>
        <v>0</v>
      </c>
      <c r="R304" s="122"/>
      <c r="S304" s="122"/>
      <c r="T304" s="122"/>
      <c r="U304" s="122"/>
      <c r="V304" s="122"/>
      <c r="W304" s="122"/>
      <c r="X304" s="128"/>
      <c r="Y304" s="128"/>
      <c r="Z304" s="128"/>
      <c r="AA304" s="122"/>
      <c r="AB304" s="122"/>
      <c r="AC304" s="122"/>
      <c r="AD304" s="122"/>
      <c r="AE304" s="118"/>
      <c r="AF304" s="77"/>
      <c r="AG304" s="76" t="str">
        <f t="shared" si="18"/>
        <v/>
      </c>
    </row>
    <row r="305" spans="2:33" x14ac:dyDescent="0.25">
      <c r="B305" s="182"/>
      <c r="C305" s="116"/>
      <c r="D305" s="117"/>
      <c r="E305" s="118"/>
      <c r="F305" s="126"/>
      <c r="G305" s="127"/>
      <c r="H305" s="119"/>
      <c r="I305" s="119">
        <f t="shared" si="19"/>
        <v>0</v>
      </c>
      <c r="J305" s="115">
        <f t="shared" si="20"/>
        <v>0</v>
      </c>
      <c r="K305" s="80" t="str">
        <f t="shared" si="22"/>
        <v/>
      </c>
      <c r="L305" s="120"/>
      <c r="M305" s="8">
        <v>300</v>
      </c>
      <c r="N305" s="115">
        <v>60</v>
      </c>
      <c r="O305" s="78" t="str">
        <f t="shared" si="23"/>
        <v/>
      </c>
      <c r="P305" s="121">
        <f t="shared" si="24"/>
        <v>0</v>
      </c>
      <c r="Q305" s="115">
        <f t="shared" si="21"/>
        <v>0</v>
      </c>
      <c r="R305" s="122"/>
      <c r="S305" s="122"/>
      <c r="T305" s="122"/>
      <c r="U305" s="122"/>
      <c r="V305" s="122"/>
      <c r="W305" s="122"/>
      <c r="X305" s="128"/>
      <c r="Y305" s="128"/>
      <c r="Z305" s="128"/>
      <c r="AA305" s="122"/>
      <c r="AB305" s="122"/>
      <c r="AC305" s="122"/>
      <c r="AD305" s="122"/>
      <c r="AE305" s="118"/>
      <c r="AF305" s="77"/>
      <c r="AG305" s="76" t="str">
        <f t="shared" si="18"/>
        <v/>
      </c>
    </row>
    <row r="306" spans="2:33" x14ac:dyDescent="0.25">
      <c r="B306" s="182"/>
      <c r="C306" s="116"/>
      <c r="D306" s="117"/>
      <c r="E306" s="118"/>
      <c r="F306" s="126"/>
      <c r="G306" s="127"/>
      <c r="H306" s="119"/>
      <c r="I306" s="119">
        <f t="shared" si="19"/>
        <v>0</v>
      </c>
      <c r="J306" s="115">
        <f t="shared" si="20"/>
        <v>0</v>
      </c>
      <c r="K306" s="80" t="str">
        <f t="shared" si="22"/>
        <v/>
      </c>
      <c r="L306" s="120"/>
      <c r="M306" s="8">
        <v>300</v>
      </c>
      <c r="N306" s="115">
        <v>60</v>
      </c>
      <c r="O306" s="78" t="str">
        <f t="shared" si="23"/>
        <v/>
      </c>
      <c r="P306" s="121">
        <f t="shared" si="24"/>
        <v>0</v>
      </c>
      <c r="Q306" s="115">
        <f t="shared" si="21"/>
        <v>0</v>
      </c>
      <c r="R306" s="122"/>
      <c r="S306" s="122"/>
      <c r="T306" s="122"/>
      <c r="U306" s="122"/>
      <c r="V306" s="122"/>
      <c r="W306" s="122"/>
      <c r="X306" s="128"/>
      <c r="Y306" s="128"/>
      <c r="Z306" s="128"/>
      <c r="AA306" s="122"/>
      <c r="AB306" s="122"/>
      <c r="AC306" s="122"/>
      <c r="AD306" s="122"/>
      <c r="AE306" s="118"/>
      <c r="AF306" s="77"/>
      <c r="AG306" s="76" t="str">
        <f t="shared" si="18"/>
        <v/>
      </c>
    </row>
    <row r="307" spans="2:33" x14ac:dyDescent="0.25">
      <c r="B307" s="182"/>
      <c r="C307" s="116"/>
      <c r="D307" s="117"/>
      <c r="E307" s="118"/>
      <c r="F307" s="126"/>
      <c r="G307" s="127"/>
      <c r="H307" s="119"/>
      <c r="I307" s="119">
        <f t="shared" si="19"/>
        <v>0</v>
      </c>
      <c r="J307" s="115">
        <f t="shared" si="20"/>
        <v>0</v>
      </c>
      <c r="K307" s="80" t="str">
        <f t="shared" si="22"/>
        <v/>
      </c>
      <c r="L307" s="120"/>
      <c r="M307" s="8">
        <v>300</v>
      </c>
      <c r="N307" s="115">
        <v>60</v>
      </c>
      <c r="O307" s="78" t="str">
        <f t="shared" si="23"/>
        <v/>
      </c>
      <c r="P307" s="121">
        <f t="shared" si="24"/>
        <v>0</v>
      </c>
      <c r="Q307" s="115">
        <f t="shared" si="21"/>
        <v>0</v>
      </c>
      <c r="R307" s="122"/>
      <c r="S307" s="122"/>
      <c r="T307" s="122"/>
      <c r="U307" s="122"/>
      <c r="V307" s="122"/>
      <c r="W307" s="122"/>
      <c r="X307" s="128"/>
      <c r="Y307" s="128"/>
      <c r="Z307" s="128"/>
      <c r="AA307" s="122"/>
      <c r="AB307" s="122"/>
      <c r="AC307" s="122"/>
      <c r="AD307" s="122"/>
      <c r="AE307" s="118"/>
      <c r="AF307" s="77"/>
      <c r="AG307" s="76" t="str">
        <f t="shared" si="18"/>
        <v/>
      </c>
    </row>
    <row r="308" spans="2:33" x14ac:dyDescent="0.25">
      <c r="B308" s="182"/>
      <c r="C308" s="116"/>
      <c r="D308" s="117"/>
      <c r="E308" s="118"/>
      <c r="F308" s="126"/>
      <c r="G308" s="127"/>
      <c r="H308" s="119"/>
      <c r="I308" s="119">
        <f t="shared" si="19"/>
        <v>0</v>
      </c>
      <c r="J308" s="115">
        <f t="shared" si="20"/>
        <v>0</v>
      </c>
      <c r="K308" s="80" t="str">
        <f t="shared" si="22"/>
        <v/>
      </c>
      <c r="L308" s="120"/>
      <c r="M308" s="8">
        <v>300</v>
      </c>
      <c r="N308" s="115">
        <v>60</v>
      </c>
      <c r="O308" s="78" t="str">
        <f t="shared" si="23"/>
        <v/>
      </c>
      <c r="P308" s="121">
        <f t="shared" si="24"/>
        <v>0</v>
      </c>
      <c r="Q308" s="115">
        <f t="shared" si="21"/>
        <v>0</v>
      </c>
      <c r="R308" s="122"/>
      <c r="S308" s="122"/>
      <c r="T308" s="122"/>
      <c r="U308" s="122"/>
      <c r="V308" s="122"/>
      <c r="W308" s="122"/>
      <c r="X308" s="128"/>
      <c r="Y308" s="128"/>
      <c r="Z308" s="128"/>
      <c r="AA308" s="122"/>
      <c r="AB308" s="122"/>
      <c r="AC308" s="122"/>
      <c r="AD308" s="122"/>
      <c r="AE308" s="118"/>
      <c r="AF308" s="77"/>
      <c r="AG308" s="76" t="str">
        <f t="shared" si="18"/>
        <v/>
      </c>
    </row>
    <row r="309" spans="2:33" x14ac:dyDescent="0.25">
      <c r="B309" s="182"/>
      <c r="C309" s="116"/>
      <c r="D309" s="117"/>
      <c r="E309" s="118"/>
      <c r="F309" s="126"/>
      <c r="G309" s="127"/>
      <c r="H309" s="119"/>
      <c r="I309" s="119">
        <f t="shared" si="19"/>
        <v>0</v>
      </c>
      <c r="J309" s="115">
        <f t="shared" si="20"/>
        <v>0</v>
      </c>
      <c r="K309" s="80" t="str">
        <f t="shared" si="22"/>
        <v/>
      </c>
      <c r="L309" s="120"/>
      <c r="M309" s="8">
        <v>300</v>
      </c>
      <c r="N309" s="115">
        <v>60</v>
      </c>
      <c r="O309" s="78" t="str">
        <f t="shared" si="23"/>
        <v/>
      </c>
      <c r="P309" s="121">
        <f t="shared" si="24"/>
        <v>0</v>
      </c>
      <c r="Q309" s="115">
        <f t="shared" si="21"/>
        <v>0</v>
      </c>
      <c r="R309" s="122"/>
      <c r="S309" s="122"/>
      <c r="T309" s="122"/>
      <c r="U309" s="122"/>
      <c r="V309" s="122"/>
      <c r="W309" s="122"/>
      <c r="X309" s="128"/>
      <c r="Y309" s="128"/>
      <c r="Z309" s="128"/>
      <c r="AA309" s="122"/>
      <c r="AB309" s="122"/>
      <c r="AC309" s="122"/>
      <c r="AD309" s="122"/>
      <c r="AE309" s="118"/>
      <c r="AF309" s="77"/>
      <c r="AG309" s="76" t="str">
        <f t="shared" si="18"/>
        <v/>
      </c>
    </row>
    <row r="310" spans="2:33" x14ac:dyDescent="0.25">
      <c r="B310" s="182"/>
      <c r="C310" s="116"/>
      <c r="D310" s="117"/>
      <c r="E310" s="118"/>
      <c r="F310" s="126"/>
      <c r="G310" s="127"/>
      <c r="H310" s="119"/>
      <c r="I310" s="119">
        <f t="shared" si="19"/>
        <v>0</v>
      </c>
      <c r="J310" s="115">
        <f t="shared" si="20"/>
        <v>0</v>
      </c>
      <c r="K310" s="80" t="str">
        <f t="shared" si="22"/>
        <v/>
      </c>
      <c r="L310" s="120"/>
      <c r="M310" s="8">
        <v>300</v>
      </c>
      <c r="N310" s="115">
        <v>60</v>
      </c>
      <c r="O310" s="78" t="str">
        <f t="shared" si="23"/>
        <v/>
      </c>
      <c r="P310" s="121">
        <f t="shared" si="24"/>
        <v>0</v>
      </c>
      <c r="Q310" s="115">
        <f t="shared" si="21"/>
        <v>0</v>
      </c>
      <c r="R310" s="122"/>
      <c r="S310" s="122"/>
      <c r="T310" s="122"/>
      <c r="U310" s="122"/>
      <c r="V310" s="122"/>
      <c r="W310" s="122"/>
      <c r="X310" s="128"/>
      <c r="Y310" s="128"/>
      <c r="Z310" s="128"/>
      <c r="AA310" s="122"/>
      <c r="AB310" s="122"/>
      <c r="AC310" s="122"/>
      <c r="AD310" s="122"/>
      <c r="AE310" s="118"/>
      <c r="AF310" s="77"/>
      <c r="AG310" s="76" t="str">
        <f t="shared" si="18"/>
        <v/>
      </c>
    </row>
    <row r="311" spans="2:33" x14ac:dyDescent="0.25">
      <c r="B311" s="182"/>
      <c r="C311" s="116"/>
      <c r="D311" s="117"/>
      <c r="E311" s="118"/>
      <c r="F311" s="126"/>
      <c r="G311" s="127"/>
      <c r="H311" s="119"/>
      <c r="I311" s="119">
        <f t="shared" si="19"/>
        <v>0</v>
      </c>
      <c r="J311" s="115">
        <f t="shared" si="20"/>
        <v>0</v>
      </c>
      <c r="K311" s="80" t="str">
        <f t="shared" si="22"/>
        <v/>
      </c>
      <c r="L311" s="120"/>
      <c r="M311" s="8">
        <v>300</v>
      </c>
      <c r="N311" s="115">
        <v>60</v>
      </c>
      <c r="O311" s="78" t="str">
        <f t="shared" si="23"/>
        <v/>
      </c>
      <c r="P311" s="121">
        <f t="shared" si="24"/>
        <v>0</v>
      </c>
      <c r="Q311" s="115">
        <f t="shared" si="21"/>
        <v>0</v>
      </c>
      <c r="R311" s="122"/>
      <c r="S311" s="122"/>
      <c r="T311" s="122"/>
      <c r="U311" s="122"/>
      <c r="V311" s="122"/>
      <c r="W311" s="122"/>
      <c r="X311" s="128"/>
      <c r="Y311" s="128"/>
      <c r="Z311" s="128"/>
      <c r="AA311" s="122"/>
      <c r="AB311" s="122"/>
      <c r="AC311" s="122"/>
      <c r="AD311" s="122"/>
      <c r="AE311" s="118"/>
      <c r="AF311" s="77"/>
      <c r="AG311" s="76" t="str">
        <f t="shared" si="18"/>
        <v/>
      </c>
    </row>
    <row r="312" spans="2:33" x14ac:dyDescent="0.25">
      <c r="B312" s="182"/>
      <c r="C312" s="116"/>
      <c r="D312" s="117"/>
      <c r="E312" s="118"/>
      <c r="F312" s="126"/>
      <c r="G312" s="127"/>
      <c r="H312" s="119"/>
      <c r="I312" s="119">
        <f t="shared" si="19"/>
        <v>0</v>
      </c>
      <c r="J312" s="115">
        <f t="shared" si="20"/>
        <v>0</v>
      </c>
      <c r="K312" s="80" t="str">
        <f t="shared" si="22"/>
        <v/>
      </c>
      <c r="L312" s="120"/>
      <c r="M312" s="8">
        <v>300</v>
      </c>
      <c r="N312" s="115">
        <v>60</v>
      </c>
      <c r="O312" s="78" t="str">
        <f t="shared" si="23"/>
        <v/>
      </c>
      <c r="P312" s="121">
        <f t="shared" si="24"/>
        <v>0</v>
      </c>
      <c r="Q312" s="115">
        <f t="shared" si="21"/>
        <v>0</v>
      </c>
      <c r="R312" s="122"/>
      <c r="S312" s="122"/>
      <c r="T312" s="122"/>
      <c r="U312" s="122"/>
      <c r="V312" s="122"/>
      <c r="W312" s="122"/>
      <c r="X312" s="128"/>
      <c r="Y312" s="128"/>
      <c r="Z312" s="128"/>
      <c r="AA312" s="122"/>
      <c r="AB312" s="122"/>
      <c r="AC312" s="122"/>
      <c r="AD312" s="122"/>
      <c r="AE312" s="118"/>
      <c r="AF312" s="77"/>
      <c r="AG312" s="76" t="str">
        <f t="shared" si="18"/>
        <v/>
      </c>
    </row>
    <row r="313" spans="2:33" x14ac:dyDescent="0.25">
      <c r="B313" s="182"/>
      <c r="C313" s="116"/>
      <c r="D313" s="117"/>
      <c r="E313" s="118"/>
      <c r="F313" s="126"/>
      <c r="G313" s="127"/>
      <c r="H313" s="119"/>
      <c r="I313" s="119">
        <f t="shared" si="19"/>
        <v>0</v>
      </c>
      <c r="J313" s="115">
        <f t="shared" si="20"/>
        <v>0</v>
      </c>
      <c r="K313" s="80" t="str">
        <f t="shared" si="22"/>
        <v/>
      </c>
      <c r="L313" s="120"/>
      <c r="M313" s="8">
        <v>300</v>
      </c>
      <c r="N313" s="115">
        <v>60</v>
      </c>
      <c r="O313" s="78" t="str">
        <f t="shared" si="23"/>
        <v/>
      </c>
      <c r="P313" s="121">
        <f t="shared" si="24"/>
        <v>0</v>
      </c>
      <c r="Q313" s="115">
        <f t="shared" si="21"/>
        <v>0</v>
      </c>
      <c r="R313" s="122"/>
      <c r="S313" s="122"/>
      <c r="T313" s="122"/>
      <c r="U313" s="122"/>
      <c r="V313" s="122"/>
      <c r="W313" s="122"/>
      <c r="X313" s="128"/>
      <c r="Y313" s="128"/>
      <c r="Z313" s="128"/>
      <c r="AA313" s="122"/>
      <c r="AB313" s="122"/>
      <c r="AC313" s="122"/>
      <c r="AD313" s="122"/>
      <c r="AE313" s="118"/>
      <c r="AF313" s="77"/>
      <c r="AG313" s="76" t="str">
        <f t="shared" si="18"/>
        <v/>
      </c>
    </row>
    <row r="314" spans="2:33" x14ac:dyDescent="0.25">
      <c r="B314" s="182"/>
      <c r="C314" s="116"/>
      <c r="D314" s="117"/>
      <c r="E314" s="118"/>
      <c r="F314" s="126"/>
      <c r="G314" s="127"/>
      <c r="H314" s="119"/>
      <c r="I314" s="119">
        <f t="shared" si="19"/>
        <v>0</v>
      </c>
      <c r="J314" s="115">
        <f t="shared" si="20"/>
        <v>0</v>
      </c>
      <c r="K314" s="80" t="str">
        <f t="shared" si="22"/>
        <v/>
      </c>
      <c r="L314" s="120"/>
      <c r="M314" s="8">
        <v>300</v>
      </c>
      <c r="N314" s="115">
        <v>60</v>
      </c>
      <c r="O314" s="78" t="str">
        <f t="shared" si="23"/>
        <v/>
      </c>
      <c r="P314" s="121">
        <f t="shared" si="24"/>
        <v>0</v>
      </c>
      <c r="Q314" s="115">
        <f t="shared" si="21"/>
        <v>0</v>
      </c>
      <c r="R314" s="122"/>
      <c r="S314" s="122"/>
      <c r="T314" s="122"/>
      <c r="U314" s="122"/>
      <c r="V314" s="122"/>
      <c r="W314" s="122"/>
      <c r="X314" s="128"/>
      <c r="Y314" s="128"/>
      <c r="Z314" s="128"/>
      <c r="AA314" s="122"/>
      <c r="AB314" s="122"/>
      <c r="AC314" s="122"/>
      <c r="AD314" s="122"/>
      <c r="AE314" s="118"/>
      <c r="AF314" s="77"/>
      <c r="AG314" s="76" t="str">
        <f t="shared" si="18"/>
        <v/>
      </c>
    </row>
    <row r="315" spans="2:33" x14ac:dyDescent="0.25">
      <c r="B315" s="182"/>
      <c r="C315" s="116"/>
      <c r="D315" s="117"/>
      <c r="E315" s="118"/>
      <c r="F315" s="126"/>
      <c r="G315" s="127"/>
      <c r="H315" s="119"/>
      <c r="I315" s="119">
        <f t="shared" si="19"/>
        <v>0</v>
      </c>
      <c r="J315" s="115">
        <f t="shared" si="20"/>
        <v>0</v>
      </c>
      <c r="K315" s="80" t="str">
        <f t="shared" si="22"/>
        <v/>
      </c>
      <c r="L315" s="120"/>
      <c r="M315" s="8">
        <v>300</v>
      </c>
      <c r="N315" s="115">
        <v>60</v>
      </c>
      <c r="O315" s="78" t="str">
        <f t="shared" si="23"/>
        <v/>
      </c>
      <c r="P315" s="121">
        <f t="shared" si="24"/>
        <v>0</v>
      </c>
      <c r="Q315" s="115">
        <f t="shared" si="21"/>
        <v>0</v>
      </c>
      <c r="R315" s="122"/>
      <c r="S315" s="122"/>
      <c r="T315" s="122"/>
      <c r="U315" s="122"/>
      <c r="V315" s="122"/>
      <c r="W315" s="122"/>
      <c r="X315" s="128"/>
      <c r="Y315" s="128"/>
      <c r="Z315" s="128"/>
      <c r="AA315" s="122"/>
      <c r="AB315" s="122"/>
      <c r="AC315" s="122"/>
      <c r="AD315" s="122"/>
      <c r="AE315" s="118"/>
      <c r="AF315" s="77"/>
      <c r="AG315" s="76" t="str">
        <f t="shared" si="18"/>
        <v/>
      </c>
    </row>
    <row r="316" spans="2:33" x14ac:dyDescent="0.25">
      <c r="B316" s="182"/>
      <c r="C316" s="116"/>
      <c r="D316" s="117"/>
      <c r="E316" s="118"/>
      <c r="F316" s="126"/>
      <c r="G316" s="127"/>
      <c r="H316" s="119"/>
      <c r="I316" s="119">
        <f t="shared" si="19"/>
        <v>0</v>
      </c>
      <c r="J316" s="115">
        <f t="shared" si="20"/>
        <v>0</v>
      </c>
      <c r="K316" s="80" t="str">
        <f t="shared" si="22"/>
        <v/>
      </c>
      <c r="L316" s="120"/>
      <c r="M316" s="8">
        <v>300</v>
      </c>
      <c r="N316" s="115">
        <v>60</v>
      </c>
      <c r="O316" s="78" t="str">
        <f t="shared" si="23"/>
        <v/>
      </c>
      <c r="P316" s="121">
        <f t="shared" si="24"/>
        <v>0</v>
      </c>
      <c r="Q316" s="115">
        <f t="shared" si="21"/>
        <v>0</v>
      </c>
      <c r="R316" s="122"/>
      <c r="S316" s="122"/>
      <c r="T316" s="122"/>
      <c r="U316" s="122"/>
      <c r="V316" s="122"/>
      <c r="W316" s="122"/>
      <c r="X316" s="128"/>
      <c r="Y316" s="128"/>
      <c r="Z316" s="128"/>
      <c r="AA316" s="122"/>
      <c r="AB316" s="122"/>
      <c r="AC316" s="122"/>
      <c r="AD316" s="122"/>
      <c r="AE316" s="118"/>
      <c r="AF316" s="77"/>
      <c r="AG316" s="76" t="str">
        <f t="shared" si="18"/>
        <v/>
      </c>
    </row>
    <row r="317" spans="2:33" x14ac:dyDescent="0.25">
      <c r="B317" s="182"/>
      <c r="C317" s="116"/>
      <c r="D317" s="117"/>
      <c r="E317" s="118"/>
      <c r="F317" s="126"/>
      <c r="G317" s="127"/>
      <c r="H317" s="119"/>
      <c r="I317" s="119">
        <f t="shared" si="19"/>
        <v>0</v>
      </c>
      <c r="J317" s="115">
        <f t="shared" si="20"/>
        <v>0</v>
      </c>
      <c r="K317" s="80" t="str">
        <f t="shared" si="22"/>
        <v/>
      </c>
      <c r="L317" s="120"/>
      <c r="M317" s="8">
        <v>300</v>
      </c>
      <c r="N317" s="115">
        <v>60</v>
      </c>
      <c r="O317" s="78" t="str">
        <f t="shared" si="23"/>
        <v/>
      </c>
      <c r="P317" s="121">
        <f t="shared" si="24"/>
        <v>0</v>
      </c>
      <c r="Q317" s="115">
        <f t="shared" si="21"/>
        <v>0</v>
      </c>
      <c r="R317" s="122"/>
      <c r="S317" s="122"/>
      <c r="T317" s="122"/>
      <c r="U317" s="122"/>
      <c r="V317" s="122"/>
      <c r="W317" s="122"/>
      <c r="X317" s="128"/>
      <c r="Y317" s="128"/>
      <c r="Z317" s="128"/>
      <c r="AA317" s="122"/>
      <c r="AB317" s="122"/>
      <c r="AC317" s="122"/>
      <c r="AD317" s="122"/>
      <c r="AE317" s="118"/>
      <c r="AF317" s="77"/>
      <c r="AG317" s="76" t="str">
        <f t="shared" si="18"/>
        <v/>
      </c>
    </row>
    <row r="318" spans="2:33" x14ac:dyDescent="0.25">
      <c r="B318" s="182"/>
      <c r="C318" s="116"/>
      <c r="D318" s="117"/>
      <c r="E318" s="118"/>
      <c r="F318" s="126"/>
      <c r="G318" s="127"/>
      <c r="H318" s="119"/>
      <c r="I318" s="119">
        <f t="shared" si="19"/>
        <v>0</v>
      </c>
      <c r="J318" s="115">
        <f t="shared" si="20"/>
        <v>0</v>
      </c>
      <c r="K318" s="80" t="str">
        <f t="shared" si="22"/>
        <v/>
      </c>
      <c r="L318" s="120"/>
      <c r="M318" s="8">
        <v>300</v>
      </c>
      <c r="N318" s="115">
        <v>60</v>
      </c>
      <c r="O318" s="78" t="str">
        <f t="shared" si="23"/>
        <v/>
      </c>
      <c r="P318" s="121">
        <f t="shared" si="24"/>
        <v>0</v>
      </c>
      <c r="Q318" s="115">
        <f t="shared" si="21"/>
        <v>0</v>
      </c>
      <c r="R318" s="122"/>
      <c r="S318" s="122"/>
      <c r="T318" s="122"/>
      <c r="U318" s="122"/>
      <c r="V318" s="122"/>
      <c r="W318" s="122"/>
      <c r="X318" s="128"/>
      <c r="Y318" s="128"/>
      <c r="Z318" s="128"/>
      <c r="AA318" s="122"/>
      <c r="AB318" s="122"/>
      <c r="AC318" s="122"/>
      <c r="AD318" s="122"/>
      <c r="AE318" s="118"/>
      <c r="AF318" s="77"/>
      <c r="AG318" s="76" t="str">
        <f t="shared" si="18"/>
        <v/>
      </c>
    </row>
    <row r="319" spans="2:33" x14ac:dyDescent="0.25">
      <c r="B319" s="182"/>
      <c r="C319" s="116"/>
      <c r="D319" s="117"/>
      <c r="E319" s="118"/>
      <c r="F319" s="126"/>
      <c r="G319" s="127"/>
      <c r="H319" s="119"/>
      <c r="I319" s="119">
        <f t="shared" si="19"/>
        <v>0</v>
      </c>
      <c r="J319" s="115">
        <f t="shared" si="20"/>
        <v>0</v>
      </c>
      <c r="K319" s="80" t="str">
        <f t="shared" si="22"/>
        <v/>
      </c>
      <c r="L319" s="120"/>
      <c r="M319" s="8">
        <v>300</v>
      </c>
      <c r="N319" s="115">
        <v>60</v>
      </c>
      <c r="O319" s="78" t="str">
        <f t="shared" si="23"/>
        <v/>
      </c>
      <c r="P319" s="121">
        <f t="shared" si="24"/>
        <v>0</v>
      </c>
      <c r="Q319" s="115">
        <f t="shared" si="21"/>
        <v>0</v>
      </c>
      <c r="R319" s="122"/>
      <c r="S319" s="122"/>
      <c r="T319" s="122"/>
      <c r="U319" s="122"/>
      <c r="V319" s="122"/>
      <c r="W319" s="122"/>
      <c r="X319" s="128"/>
      <c r="Y319" s="128"/>
      <c r="Z319" s="128"/>
      <c r="AA319" s="122"/>
      <c r="AB319" s="122"/>
      <c r="AC319" s="122"/>
      <c r="AD319" s="122"/>
      <c r="AE319" s="118"/>
      <c r="AF319" s="77"/>
      <c r="AG319" s="76" t="str">
        <f t="shared" si="18"/>
        <v/>
      </c>
    </row>
    <row r="320" spans="2:33" x14ac:dyDescent="0.25">
      <c r="B320" s="182"/>
      <c r="C320" s="116"/>
      <c r="D320" s="117"/>
      <c r="E320" s="118"/>
      <c r="F320" s="126"/>
      <c r="G320" s="127"/>
      <c r="H320" s="119"/>
      <c r="I320" s="119">
        <f t="shared" si="19"/>
        <v>0</v>
      </c>
      <c r="J320" s="115">
        <f t="shared" si="20"/>
        <v>0</v>
      </c>
      <c r="K320" s="80" t="str">
        <f t="shared" si="22"/>
        <v/>
      </c>
      <c r="L320" s="120"/>
      <c r="M320" s="8">
        <v>300</v>
      </c>
      <c r="N320" s="115">
        <v>60</v>
      </c>
      <c r="O320" s="78" t="str">
        <f t="shared" si="23"/>
        <v/>
      </c>
      <c r="P320" s="121">
        <f t="shared" si="24"/>
        <v>0</v>
      </c>
      <c r="Q320" s="115">
        <f t="shared" si="21"/>
        <v>0</v>
      </c>
      <c r="R320" s="122"/>
      <c r="S320" s="122"/>
      <c r="T320" s="122"/>
      <c r="U320" s="122"/>
      <c r="V320" s="122"/>
      <c r="W320" s="122"/>
      <c r="X320" s="128"/>
      <c r="Y320" s="128"/>
      <c r="Z320" s="128"/>
      <c r="AA320" s="122"/>
      <c r="AB320" s="122"/>
      <c r="AC320" s="122"/>
      <c r="AD320" s="122"/>
      <c r="AE320" s="118"/>
      <c r="AF320" s="77"/>
      <c r="AG320" s="76" t="str">
        <f t="shared" si="18"/>
        <v/>
      </c>
    </row>
    <row r="321" spans="2:33" x14ac:dyDescent="0.25">
      <c r="B321" s="182"/>
      <c r="C321" s="116"/>
      <c r="D321" s="117"/>
      <c r="E321" s="118"/>
      <c r="F321" s="126"/>
      <c r="G321" s="127"/>
      <c r="H321" s="119"/>
      <c r="I321" s="119">
        <f t="shared" si="19"/>
        <v>0</v>
      </c>
      <c r="J321" s="115">
        <f t="shared" si="20"/>
        <v>0</v>
      </c>
      <c r="K321" s="80" t="str">
        <f t="shared" si="22"/>
        <v/>
      </c>
      <c r="L321" s="120"/>
      <c r="M321" s="8">
        <v>300</v>
      </c>
      <c r="N321" s="115">
        <v>60</v>
      </c>
      <c r="O321" s="78" t="str">
        <f t="shared" si="23"/>
        <v/>
      </c>
      <c r="P321" s="121">
        <f t="shared" si="24"/>
        <v>0</v>
      </c>
      <c r="Q321" s="115">
        <f t="shared" si="21"/>
        <v>0</v>
      </c>
      <c r="R321" s="122"/>
      <c r="S321" s="122"/>
      <c r="T321" s="122"/>
      <c r="U321" s="122"/>
      <c r="V321" s="122"/>
      <c r="W321" s="122"/>
      <c r="X321" s="128"/>
      <c r="Y321" s="128"/>
      <c r="Z321" s="128"/>
      <c r="AA321" s="122"/>
      <c r="AB321" s="122"/>
      <c r="AC321" s="122"/>
      <c r="AD321" s="122"/>
      <c r="AE321" s="118"/>
      <c r="AF321" s="77"/>
      <c r="AG321" s="76" t="str">
        <f t="shared" si="18"/>
        <v/>
      </c>
    </row>
    <row r="322" spans="2:33" x14ac:dyDescent="0.25">
      <c r="B322" s="182"/>
      <c r="C322" s="116"/>
      <c r="D322" s="117"/>
      <c r="E322" s="118"/>
      <c r="F322" s="126"/>
      <c r="G322" s="127"/>
      <c r="H322" s="119"/>
      <c r="I322" s="119">
        <f t="shared" si="19"/>
        <v>0</v>
      </c>
      <c r="J322" s="115">
        <f t="shared" si="20"/>
        <v>0</v>
      </c>
      <c r="K322" s="80" t="str">
        <f t="shared" si="22"/>
        <v/>
      </c>
      <c r="L322" s="120"/>
      <c r="M322" s="8">
        <v>300</v>
      </c>
      <c r="N322" s="115">
        <v>60</v>
      </c>
      <c r="O322" s="78" t="str">
        <f t="shared" si="23"/>
        <v/>
      </c>
      <c r="P322" s="121">
        <f t="shared" si="24"/>
        <v>0</v>
      </c>
      <c r="Q322" s="115">
        <f t="shared" si="21"/>
        <v>0</v>
      </c>
      <c r="R322" s="122"/>
      <c r="S322" s="122"/>
      <c r="T322" s="122"/>
      <c r="U322" s="122"/>
      <c r="V322" s="122"/>
      <c r="W322" s="122"/>
      <c r="X322" s="128"/>
      <c r="Y322" s="128"/>
      <c r="Z322" s="128"/>
      <c r="AA322" s="122"/>
      <c r="AB322" s="122"/>
      <c r="AC322" s="122"/>
      <c r="AD322" s="122"/>
      <c r="AE322" s="118"/>
      <c r="AF322" s="77"/>
      <c r="AG322" s="76" t="str">
        <f t="shared" si="18"/>
        <v/>
      </c>
    </row>
    <row r="323" spans="2:33" x14ac:dyDescent="0.25">
      <c r="B323" s="182"/>
      <c r="C323" s="116"/>
      <c r="D323" s="117"/>
      <c r="E323" s="118"/>
      <c r="F323" s="126"/>
      <c r="G323" s="127"/>
      <c r="H323" s="119"/>
      <c r="I323" s="119">
        <f t="shared" si="19"/>
        <v>0</v>
      </c>
      <c r="J323" s="115">
        <f t="shared" si="20"/>
        <v>0</v>
      </c>
      <c r="K323" s="80" t="str">
        <f t="shared" si="22"/>
        <v/>
      </c>
      <c r="L323" s="120"/>
      <c r="M323" s="8">
        <v>300</v>
      </c>
      <c r="N323" s="115">
        <v>60</v>
      </c>
      <c r="O323" s="78" t="str">
        <f t="shared" si="23"/>
        <v/>
      </c>
      <c r="P323" s="121">
        <f t="shared" si="24"/>
        <v>0</v>
      </c>
      <c r="Q323" s="115">
        <f t="shared" si="21"/>
        <v>0</v>
      </c>
      <c r="R323" s="122"/>
      <c r="S323" s="122"/>
      <c r="T323" s="122"/>
      <c r="U323" s="122"/>
      <c r="V323" s="122"/>
      <c r="W323" s="122"/>
      <c r="X323" s="128"/>
      <c r="Y323" s="128"/>
      <c r="Z323" s="128"/>
      <c r="AA323" s="122"/>
      <c r="AB323" s="122"/>
      <c r="AC323" s="122"/>
      <c r="AD323" s="122"/>
      <c r="AE323" s="118"/>
      <c r="AF323" s="77"/>
      <c r="AG323" s="76" t="str">
        <f t="shared" si="18"/>
        <v/>
      </c>
    </row>
    <row r="324" spans="2:33" x14ac:dyDescent="0.25">
      <c r="B324" s="182"/>
      <c r="C324" s="116"/>
      <c r="D324" s="117"/>
      <c r="E324" s="118"/>
      <c r="F324" s="126"/>
      <c r="G324" s="127"/>
      <c r="H324" s="119"/>
      <c r="I324" s="119">
        <f t="shared" si="19"/>
        <v>0</v>
      </c>
      <c r="J324" s="115">
        <f t="shared" si="20"/>
        <v>0</v>
      </c>
      <c r="K324" s="80" t="str">
        <f t="shared" si="22"/>
        <v/>
      </c>
      <c r="L324" s="120"/>
      <c r="M324" s="8">
        <v>300</v>
      </c>
      <c r="N324" s="115">
        <v>60</v>
      </c>
      <c r="O324" s="78" t="str">
        <f t="shared" si="23"/>
        <v/>
      </c>
      <c r="P324" s="121">
        <f t="shared" si="24"/>
        <v>0</v>
      </c>
      <c r="Q324" s="115">
        <f t="shared" si="21"/>
        <v>0</v>
      </c>
      <c r="R324" s="122"/>
      <c r="S324" s="122"/>
      <c r="T324" s="122"/>
      <c r="U324" s="122"/>
      <c r="V324" s="122"/>
      <c r="W324" s="122"/>
      <c r="X324" s="128"/>
      <c r="Y324" s="128"/>
      <c r="Z324" s="128"/>
      <c r="AA324" s="122"/>
      <c r="AB324" s="122"/>
      <c r="AC324" s="122"/>
      <c r="AD324" s="122"/>
      <c r="AE324" s="118"/>
      <c r="AF324" s="77"/>
      <c r="AG324" s="76" t="str">
        <f t="shared" si="18"/>
        <v/>
      </c>
    </row>
    <row r="325" spans="2:33" x14ac:dyDescent="0.25">
      <c r="B325" s="182"/>
      <c r="C325" s="116"/>
      <c r="D325" s="117"/>
      <c r="E325" s="118"/>
      <c r="F325" s="126"/>
      <c r="G325" s="127"/>
      <c r="H325" s="119"/>
      <c r="I325" s="119">
        <f t="shared" si="19"/>
        <v>0</v>
      </c>
      <c r="J325" s="115">
        <f t="shared" si="20"/>
        <v>0</v>
      </c>
      <c r="K325" s="80" t="str">
        <f t="shared" si="22"/>
        <v/>
      </c>
      <c r="L325" s="120"/>
      <c r="M325" s="8">
        <v>300</v>
      </c>
      <c r="N325" s="115">
        <v>60</v>
      </c>
      <c r="O325" s="78" t="str">
        <f t="shared" si="23"/>
        <v/>
      </c>
      <c r="P325" s="121">
        <f t="shared" si="24"/>
        <v>0</v>
      </c>
      <c r="Q325" s="115">
        <f t="shared" si="21"/>
        <v>0</v>
      </c>
      <c r="R325" s="122"/>
      <c r="S325" s="122"/>
      <c r="T325" s="122"/>
      <c r="U325" s="122"/>
      <c r="V325" s="122"/>
      <c r="W325" s="122"/>
      <c r="X325" s="128"/>
      <c r="Y325" s="128"/>
      <c r="Z325" s="128"/>
      <c r="AA325" s="122"/>
      <c r="AB325" s="122"/>
      <c r="AC325" s="122"/>
      <c r="AD325" s="122"/>
      <c r="AE325" s="118"/>
      <c r="AF325" s="77"/>
      <c r="AG325" s="76" t="str">
        <f t="shared" si="18"/>
        <v/>
      </c>
    </row>
    <row r="326" spans="2:33" x14ac:dyDescent="0.25">
      <c r="B326" s="182"/>
      <c r="C326" s="116"/>
      <c r="D326" s="117"/>
      <c r="E326" s="118"/>
      <c r="F326" s="126"/>
      <c r="G326" s="127"/>
      <c r="H326" s="119"/>
      <c r="I326" s="119">
        <f t="shared" si="19"/>
        <v>0</v>
      </c>
      <c r="J326" s="115">
        <f t="shared" si="20"/>
        <v>0</v>
      </c>
      <c r="K326" s="80" t="str">
        <f t="shared" si="22"/>
        <v/>
      </c>
      <c r="L326" s="120"/>
      <c r="M326" s="8">
        <v>300</v>
      </c>
      <c r="N326" s="115">
        <v>60</v>
      </c>
      <c r="O326" s="78" t="str">
        <f t="shared" si="23"/>
        <v/>
      </c>
      <c r="P326" s="121">
        <f t="shared" si="24"/>
        <v>0</v>
      </c>
      <c r="Q326" s="115">
        <f t="shared" si="21"/>
        <v>0</v>
      </c>
      <c r="R326" s="122"/>
      <c r="S326" s="122"/>
      <c r="T326" s="122"/>
      <c r="U326" s="122"/>
      <c r="V326" s="122"/>
      <c r="W326" s="122"/>
      <c r="X326" s="128"/>
      <c r="Y326" s="128"/>
      <c r="Z326" s="128"/>
      <c r="AA326" s="122"/>
      <c r="AB326" s="122"/>
      <c r="AC326" s="122"/>
      <c r="AD326" s="122"/>
      <c r="AE326" s="118"/>
      <c r="AF326" s="77"/>
      <c r="AG326" s="76" t="str">
        <f t="shared" si="18"/>
        <v/>
      </c>
    </row>
    <row r="327" spans="2:33" x14ac:dyDescent="0.25">
      <c r="B327" s="182"/>
      <c r="C327" s="116"/>
      <c r="D327" s="117"/>
      <c r="E327" s="118"/>
      <c r="F327" s="126"/>
      <c r="G327" s="127"/>
      <c r="H327" s="119"/>
      <c r="I327" s="119">
        <f t="shared" si="19"/>
        <v>0</v>
      </c>
      <c r="J327" s="115">
        <f t="shared" si="20"/>
        <v>0</v>
      </c>
      <c r="K327" s="80" t="str">
        <f t="shared" si="22"/>
        <v/>
      </c>
      <c r="L327" s="120"/>
      <c r="M327" s="8">
        <v>300</v>
      </c>
      <c r="N327" s="115">
        <v>60</v>
      </c>
      <c r="O327" s="78" t="str">
        <f t="shared" si="23"/>
        <v/>
      </c>
      <c r="P327" s="121">
        <f t="shared" si="24"/>
        <v>0</v>
      </c>
      <c r="Q327" s="115">
        <f t="shared" si="21"/>
        <v>0</v>
      </c>
      <c r="R327" s="122"/>
      <c r="S327" s="122"/>
      <c r="T327" s="122"/>
      <c r="U327" s="122"/>
      <c r="V327" s="122"/>
      <c r="W327" s="122"/>
      <c r="X327" s="128"/>
      <c r="Y327" s="128"/>
      <c r="Z327" s="128"/>
      <c r="AA327" s="122"/>
      <c r="AB327" s="122"/>
      <c r="AC327" s="122"/>
      <c r="AD327" s="122"/>
      <c r="AE327" s="118"/>
      <c r="AF327" s="77"/>
      <c r="AG327" s="76" t="str">
        <f t="shared" si="18"/>
        <v/>
      </c>
    </row>
    <row r="328" spans="2:33" x14ac:dyDescent="0.25">
      <c r="B328" s="182"/>
      <c r="C328" s="116"/>
      <c r="D328" s="117"/>
      <c r="E328" s="118"/>
      <c r="F328" s="126"/>
      <c r="G328" s="127"/>
      <c r="H328" s="119"/>
      <c r="I328" s="119">
        <f t="shared" si="19"/>
        <v>0</v>
      </c>
      <c r="J328" s="115">
        <f t="shared" si="20"/>
        <v>0</v>
      </c>
      <c r="K328" s="80" t="str">
        <f t="shared" si="22"/>
        <v/>
      </c>
      <c r="L328" s="120"/>
      <c r="M328" s="8">
        <v>300</v>
      </c>
      <c r="N328" s="115">
        <v>60</v>
      </c>
      <c r="O328" s="78" t="str">
        <f t="shared" si="23"/>
        <v/>
      </c>
      <c r="P328" s="121">
        <f t="shared" si="24"/>
        <v>0</v>
      </c>
      <c r="Q328" s="115">
        <f t="shared" si="21"/>
        <v>0</v>
      </c>
      <c r="R328" s="122"/>
      <c r="S328" s="122"/>
      <c r="T328" s="122"/>
      <c r="U328" s="122"/>
      <c r="V328" s="122"/>
      <c r="W328" s="122"/>
      <c r="X328" s="128"/>
      <c r="Y328" s="128"/>
      <c r="Z328" s="128"/>
      <c r="AA328" s="122"/>
      <c r="AB328" s="122"/>
      <c r="AC328" s="122"/>
      <c r="AD328" s="122"/>
      <c r="AE328" s="118"/>
      <c r="AF328" s="77"/>
      <c r="AG328" s="76" t="str">
        <f t="shared" si="18"/>
        <v/>
      </c>
    </row>
    <row r="329" spans="2:33" x14ac:dyDescent="0.25">
      <c r="B329" s="182"/>
      <c r="C329" s="116"/>
      <c r="D329" s="117"/>
      <c r="E329" s="118"/>
      <c r="F329" s="126"/>
      <c r="G329" s="127"/>
      <c r="H329" s="119"/>
      <c r="I329" s="119">
        <f t="shared" si="19"/>
        <v>0</v>
      </c>
      <c r="J329" s="115">
        <f t="shared" si="20"/>
        <v>0</v>
      </c>
      <c r="K329" s="80" t="str">
        <f t="shared" si="22"/>
        <v/>
      </c>
      <c r="L329" s="120"/>
      <c r="M329" s="8">
        <v>300</v>
      </c>
      <c r="N329" s="115">
        <v>60</v>
      </c>
      <c r="O329" s="78" t="str">
        <f t="shared" si="23"/>
        <v/>
      </c>
      <c r="P329" s="121">
        <f t="shared" si="24"/>
        <v>0</v>
      </c>
      <c r="Q329" s="115">
        <f t="shared" si="21"/>
        <v>0</v>
      </c>
      <c r="R329" s="122"/>
      <c r="S329" s="122"/>
      <c r="T329" s="122"/>
      <c r="U329" s="122"/>
      <c r="V329" s="122"/>
      <c r="W329" s="122"/>
      <c r="X329" s="128"/>
      <c r="Y329" s="128"/>
      <c r="Z329" s="128"/>
      <c r="AA329" s="122"/>
      <c r="AB329" s="122"/>
      <c r="AC329" s="122"/>
      <c r="AD329" s="122"/>
      <c r="AE329" s="118"/>
      <c r="AF329" s="77"/>
      <c r="AG329" s="76" t="str">
        <f t="shared" si="18"/>
        <v/>
      </c>
    </row>
    <row r="330" spans="2:33" x14ac:dyDescent="0.25">
      <c r="B330" s="182"/>
      <c r="C330" s="116"/>
      <c r="D330" s="117"/>
      <c r="E330" s="118"/>
      <c r="F330" s="126"/>
      <c r="G330" s="127"/>
      <c r="H330" s="119"/>
      <c r="I330" s="119">
        <f t="shared" si="19"/>
        <v>0</v>
      </c>
      <c r="J330" s="115">
        <f t="shared" si="20"/>
        <v>0</v>
      </c>
      <c r="K330" s="80" t="str">
        <f t="shared" si="22"/>
        <v/>
      </c>
      <c r="L330" s="120"/>
      <c r="M330" s="8">
        <v>300</v>
      </c>
      <c r="N330" s="115">
        <v>60</v>
      </c>
      <c r="O330" s="78" t="str">
        <f t="shared" si="23"/>
        <v/>
      </c>
      <c r="P330" s="121">
        <f t="shared" si="24"/>
        <v>0</v>
      </c>
      <c r="Q330" s="115">
        <f t="shared" si="21"/>
        <v>0</v>
      </c>
      <c r="R330" s="122"/>
      <c r="S330" s="122"/>
      <c r="T330" s="122"/>
      <c r="U330" s="122"/>
      <c r="V330" s="122"/>
      <c r="W330" s="122"/>
      <c r="X330" s="128"/>
      <c r="Y330" s="128"/>
      <c r="Z330" s="128"/>
      <c r="AA330" s="122"/>
      <c r="AB330" s="122"/>
      <c r="AC330" s="122"/>
      <c r="AD330" s="122"/>
      <c r="AE330" s="118"/>
      <c r="AF330" s="77"/>
      <c r="AG330" s="76" t="str">
        <f t="shared" si="18"/>
        <v/>
      </c>
    </row>
    <row r="331" spans="2:33" x14ac:dyDescent="0.25">
      <c r="B331" s="182"/>
      <c r="C331" s="116"/>
      <c r="D331" s="117"/>
      <c r="E331" s="118"/>
      <c r="F331" s="126"/>
      <c r="G331" s="127"/>
      <c r="H331" s="119"/>
      <c r="I331" s="119">
        <f t="shared" si="19"/>
        <v>0</v>
      </c>
      <c r="J331" s="115">
        <f t="shared" si="20"/>
        <v>0</v>
      </c>
      <c r="K331" s="80" t="str">
        <f t="shared" si="22"/>
        <v/>
      </c>
      <c r="L331" s="120"/>
      <c r="M331" s="8">
        <v>300</v>
      </c>
      <c r="N331" s="115">
        <v>60</v>
      </c>
      <c r="O331" s="78" t="str">
        <f t="shared" si="23"/>
        <v/>
      </c>
      <c r="P331" s="121">
        <f t="shared" si="24"/>
        <v>0</v>
      </c>
      <c r="Q331" s="115">
        <f t="shared" si="21"/>
        <v>0</v>
      </c>
      <c r="R331" s="122"/>
      <c r="S331" s="122"/>
      <c r="T331" s="122"/>
      <c r="U331" s="122"/>
      <c r="V331" s="122"/>
      <c r="W331" s="122"/>
      <c r="X331" s="128"/>
      <c r="Y331" s="128"/>
      <c r="Z331" s="128"/>
      <c r="AA331" s="122"/>
      <c r="AB331" s="122"/>
      <c r="AC331" s="122"/>
      <c r="AD331" s="122"/>
      <c r="AE331" s="118"/>
      <c r="AF331" s="77"/>
      <c r="AG331" s="76" t="str">
        <f t="shared" si="18"/>
        <v/>
      </c>
    </row>
    <row r="332" spans="2:33" x14ac:dyDescent="0.25">
      <c r="B332" s="182"/>
      <c r="C332" s="116"/>
      <c r="D332" s="117"/>
      <c r="E332" s="118"/>
      <c r="F332" s="126"/>
      <c r="G332" s="127"/>
      <c r="H332" s="119"/>
      <c r="I332" s="119">
        <f t="shared" si="19"/>
        <v>0</v>
      </c>
      <c r="J332" s="115">
        <f t="shared" si="20"/>
        <v>0</v>
      </c>
      <c r="K332" s="80" t="str">
        <f t="shared" si="22"/>
        <v/>
      </c>
      <c r="L332" s="120"/>
      <c r="M332" s="8">
        <v>300</v>
      </c>
      <c r="N332" s="115">
        <v>60</v>
      </c>
      <c r="O332" s="78" t="str">
        <f t="shared" si="23"/>
        <v/>
      </c>
      <c r="P332" s="121">
        <f t="shared" si="24"/>
        <v>0</v>
      </c>
      <c r="Q332" s="115">
        <f t="shared" si="21"/>
        <v>0</v>
      </c>
      <c r="R332" s="122"/>
      <c r="S332" s="122"/>
      <c r="T332" s="122"/>
      <c r="U332" s="122"/>
      <c r="V332" s="122"/>
      <c r="W332" s="122"/>
      <c r="X332" s="128"/>
      <c r="Y332" s="128"/>
      <c r="Z332" s="128"/>
      <c r="AA332" s="122"/>
      <c r="AB332" s="122"/>
      <c r="AC332" s="122"/>
      <c r="AD332" s="122"/>
      <c r="AE332" s="118"/>
      <c r="AF332" s="77"/>
      <c r="AG332" s="76" t="str">
        <f t="shared" si="18"/>
        <v/>
      </c>
    </row>
    <row r="333" spans="2:33" x14ac:dyDescent="0.25">
      <c r="B333" s="182"/>
      <c r="C333" s="116"/>
      <c r="D333" s="117"/>
      <c r="E333" s="118"/>
      <c r="F333" s="126"/>
      <c r="G333" s="127"/>
      <c r="H333" s="119"/>
      <c r="I333" s="119">
        <f t="shared" si="19"/>
        <v>0</v>
      </c>
      <c r="J333" s="115">
        <f t="shared" si="20"/>
        <v>0</v>
      </c>
      <c r="K333" s="80" t="str">
        <f t="shared" si="22"/>
        <v/>
      </c>
      <c r="L333" s="120"/>
      <c r="M333" s="8">
        <v>300</v>
      </c>
      <c r="N333" s="115">
        <v>60</v>
      </c>
      <c r="O333" s="78" t="str">
        <f t="shared" si="23"/>
        <v/>
      </c>
      <c r="P333" s="121">
        <f t="shared" si="24"/>
        <v>0</v>
      </c>
      <c r="Q333" s="115">
        <f t="shared" si="21"/>
        <v>0</v>
      </c>
      <c r="R333" s="122"/>
      <c r="S333" s="122"/>
      <c r="T333" s="122"/>
      <c r="U333" s="122"/>
      <c r="V333" s="122"/>
      <c r="W333" s="122"/>
      <c r="X333" s="128"/>
      <c r="Y333" s="128"/>
      <c r="Z333" s="128"/>
      <c r="AA333" s="122"/>
      <c r="AB333" s="122"/>
      <c r="AC333" s="122"/>
      <c r="AD333" s="122"/>
      <c r="AE333" s="118"/>
      <c r="AF333" s="77"/>
      <c r="AG333" s="76" t="str">
        <f t="shared" si="18"/>
        <v/>
      </c>
    </row>
    <row r="334" spans="2:33" x14ac:dyDescent="0.25">
      <c r="B334" s="182"/>
      <c r="C334" s="116"/>
      <c r="D334" s="117"/>
      <c r="E334" s="118"/>
      <c r="F334" s="126"/>
      <c r="G334" s="127"/>
      <c r="H334" s="119"/>
      <c r="I334" s="119">
        <f t="shared" si="19"/>
        <v>0</v>
      </c>
      <c r="J334" s="115">
        <f t="shared" si="20"/>
        <v>0</v>
      </c>
      <c r="K334" s="80" t="str">
        <f t="shared" si="22"/>
        <v/>
      </c>
      <c r="L334" s="120"/>
      <c r="M334" s="8">
        <v>300</v>
      </c>
      <c r="N334" s="115">
        <v>60</v>
      </c>
      <c r="O334" s="78" t="str">
        <f t="shared" si="23"/>
        <v/>
      </c>
      <c r="P334" s="121">
        <f t="shared" si="24"/>
        <v>0</v>
      </c>
      <c r="Q334" s="115">
        <f t="shared" si="21"/>
        <v>0</v>
      </c>
      <c r="R334" s="122"/>
      <c r="S334" s="122"/>
      <c r="T334" s="122"/>
      <c r="U334" s="122"/>
      <c r="V334" s="122"/>
      <c r="W334" s="122"/>
      <c r="X334" s="128"/>
      <c r="Y334" s="128"/>
      <c r="Z334" s="128"/>
      <c r="AA334" s="122"/>
      <c r="AB334" s="122"/>
      <c r="AC334" s="122"/>
      <c r="AD334" s="122"/>
      <c r="AE334" s="118"/>
      <c r="AF334" s="77"/>
      <c r="AG334" s="76" t="str">
        <f t="shared" si="18"/>
        <v/>
      </c>
    </row>
    <row r="335" spans="2:33" x14ac:dyDescent="0.25">
      <c r="B335" s="182"/>
      <c r="C335" s="116"/>
      <c r="D335" s="117"/>
      <c r="E335" s="118"/>
      <c r="F335" s="126"/>
      <c r="G335" s="127"/>
      <c r="H335" s="119"/>
      <c r="I335" s="119">
        <f t="shared" si="19"/>
        <v>0</v>
      </c>
      <c r="J335" s="115">
        <f t="shared" si="20"/>
        <v>0</v>
      </c>
      <c r="K335" s="80" t="str">
        <f t="shared" si="22"/>
        <v/>
      </c>
      <c r="L335" s="120"/>
      <c r="M335" s="8">
        <v>300</v>
      </c>
      <c r="N335" s="115">
        <v>60</v>
      </c>
      <c r="O335" s="78" t="str">
        <f t="shared" si="23"/>
        <v/>
      </c>
      <c r="P335" s="121">
        <f t="shared" si="24"/>
        <v>0</v>
      </c>
      <c r="Q335" s="115">
        <f t="shared" si="21"/>
        <v>0</v>
      </c>
      <c r="R335" s="122"/>
      <c r="S335" s="122"/>
      <c r="T335" s="122"/>
      <c r="U335" s="122"/>
      <c r="V335" s="122"/>
      <c r="W335" s="122"/>
      <c r="X335" s="128"/>
      <c r="Y335" s="128"/>
      <c r="Z335" s="128"/>
      <c r="AA335" s="122"/>
      <c r="AB335" s="122"/>
      <c r="AC335" s="122"/>
      <c r="AD335" s="122"/>
      <c r="AE335" s="118"/>
      <c r="AF335" s="77"/>
      <c r="AG335" s="76" t="str">
        <f t="shared" si="18"/>
        <v/>
      </c>
    </row>
    <row r="336" spans="2:33" x14ac:dyDescent="0.25">
      <c r="B336" s="182"/>
      <c r="C336" s="116"/>
      <c r="D336" s="117"/>
      <c r="E336" s="118"/>
      <c r="F336" s="126"/>
      <c r="G336" s="127"/>
      <c r="H336" s="119"/>
      <c r="I336" s="119">
        <f t="shared" si="19"/>
        <v>0</v>
      </c>
      <c r="J336" s="115">
        <f t="shared" si="20"/>
        <v>0</v>
      </c>
      <c r="K336" s="80" t="str">
        <f t="shared" si="22"/>
        <v/>
      </c>
      <c r="L336" s="120"/>
      <c r="M336" s="8">
        <v>300</v>
      </c>
      <c r="N336" s="115">
        <v>60</v>
      </c>
      <c r="O336" s="78" t="str">
        <f t="shared" si="23"/>
        <v/>
      </c>
      <c r="P336" s="121">
        <f t="shared" si="24"/>
        <v>0</v>
      </c>
      <c r="Q336" s="115">
        <f t="shared" si="21"/>
        <v>0</v>
      </c>
      <c r="R336" s="122"/>
      <c r="S336" s="122"/>
      <c r="T336" s="122"/>
      <c r="U336" s="122"/>
      <c r="V336" s="122"/>
      <c r="W336" s="122"/>
      <c r="X336" s="128"/>
      <c r="Y336" s="128"/>
      <c r="Z336" s="128"/>
      <c r="AA336" s="122"/>
      <c r="AB336" s="122"/>
      <c r="AC336" s="122"/>
      <c r="AD336" s="122"/>
      <c r="AE336" s="118"/>
      <c r="AF336" s="77"/>
      <c r="AG336" s="76" t="str">
        <f t="shared" si="18"/>
        <v/>
      </c>
    </row>
    <row r="337" spans="2:33" x14ac:dyDescent="0.25">
      <c r="B337" s="182"/>
      <c r="C337" s="116"/>
      <c r="D337" s="117"/>
      <c r="E337" s="118"/>
      <c r="F337" s="126"/>
      <c r="G337" s="127"/>
      <c r="H337" s="119"/>
      <c r="I337" s="119">
        <f t="shared" si="19"/>
        <v>0</v>
      </c>
      <c r="J337" s="115">
        <f t="shared" si="20"/>
        <v>0</v>
      </c>
      <c r="K337" s="80" t="str">
        <f t="shared" si="22"/>
        <v/>
      </c>
      <c r="L337" s="120"/>
      <c r="M337" s="8">
        <v>300</v>
      </c>
      <c r="N337" s="115">
        <v>60</v>
      </c>
      <c r="O337" s="78" t="str">
        <f t="shared" si="23"/>
        <v/>
      </c>
      <c r="P337" s="121">
        <f t="shared" si="24"/>
        <v>0</v>
      </c>
      <c r="Q337" s="115">
        <f t="shared" si="21"/>
        <v>0</v>
      </c>
      <c r="R337" s="122"/>
      <c r="S337" s="122"/>
      <c r="T337" s="122"/>
      <c r="U337" s="122"/>
      <c r="V337" s="122"/>
      <c r="W337" s="122"/>
      <c r="X337" s="128"/>
      <c r="Y337" s="128"/>
      <c r="Z337" s="128"/>
      <c r="AA337" s="122"/>
      <c r="AB337" s="122"/>
      <c r="AC337" s="122"/>
      <c r="AD337" s="122"/>
      <c r="AE337" s="118"/>
      <c r="AF337" s="77"/>
      <c r="AG337" s="76" t="str">
        <f t="shared" si="18"/>
        <v/>
      </c>
    </row>
    <row r="338" spans="2:33" x14ac:dyDescent="0.25">
      <c r="B338" s="182"/>
      <c r="C338" s="116"/>
      <c r="D338" s="117"/>
      <c r="E338" s="118"/>
      <c r="F338" s="126"/>
      <c r="G338" s="127"/>
      <c r="H338" s="119"/>
      <c r="I338" s="119">
        <f t="shared" si="19"/>
        <v>0</v>
      </c>
      <c r="J338" s="115">
        <f t="shared" si="20"/>
        <v>0</v>
      </c>
      <c r="K338" s="80" t="str">
        <f t="shared" si="22"/>
        <v/>
      </c>
      <c r="L338" s="120"/>
      <c r="M338" s="8">
        <v>300</v>
      </c>
      <c r="N338" s="115">
        <v>60</v>
      </c>
      <c r="O338" s="78" t="str">
        <f t="shared" si="23"/>
        <v/>
      </c>
      <c r="P338" s="121">
        <f t="shared" si="24"/>
        <v>0</v>
      </c>
      <c r="Q338" s="115">
        <f t="shared" si="21"/>
        <v>0</v>
      </c>
      <c r="R338" s="122"/>
      <c r="S338" s="122"/>
      <c r="T338" s="122"/>
      <c r="U338" s="122"/>
      <c r="V338" s="122"/>
      <c r="W338" s="122"/>
      <c r="X338" s="128"/>
      <c r="Y338" s="128"/>
      <c r="Z338" s="128"/>
      <c r="AA338" s="122"/>
      <c r="AB338" s="122"/>
      <c r="AC338" s="122"/>
      <c r="AD338" s="122"/>
      <c r="AE338" s="118"/>
      <c r="AF338" s="77"/>
      <c r="AG338" s="76" t="str">
        <f t="shared" si="18"/>
        <v/>
      </c>
    </row>
    <row r="339" spans="2:33" x14ac:dyDescent="0.25">
      <c r="B339" s="182"/>
      <c r="C339" s="116"/>
      <c r="D339" s="117"/>
      <c r="E339" s="118"/>
      <c r="F339" s="126"/>
      <c r="G339" s="127"/>
      <c r="H339" s="119"/>
      <c r="I339" s="119">
        <f t="shared" si="19"/>
        <v>0</v>
      </c>
      <c r="J339" s="115">
        <f t="shared" si="20"/>
        <v>0</v>
      </c>
      <c r="K339" s="80" t="str">
        <f t="shared" si="22"/>
        <v/>
      </c>
      <c r="L339" s="120"/>
      <c r="M339" s="8">
        <v>300</v>
      </c>
      <c r="N339" s="115">
        <v>60</v>
      </c>
      <c r="O339" s="78" t="str">
        <f t="shared" si="23"/>
        <v/>
      </c>
      <c r="P339" s="121">
        <f t="shared" si="24"/>
        <v>0</v>
      </c>
      <c r="Q339" s="115">
        <f t="shared" si="21"/>
        <v>0</v>
      </c>
      <c r="R339" s="122"/>
      <c r="S339" s="122"/>
      <c r="T339" s="122"/>
      <c r="U339" s="122"/>
      <c r="V339" s="122"/>
      <c r="W339" s="122"/>
      <c r="X339" s="128"/>
      <c r="Y339" s="128"/>
      <c r="Z339" s="128"/>
      <c r="AA339" s="122"/>
      <c r="AB339" s="122"/>
      <c r="AC339" s="122"/>
      <c r="AD339" s="122"/>
      <c r="AE339" s="118"/>
      <c r="AF339" s="77"/>
      <c r="AG339" s="76" t="str">
        <f t="shared" ref="AG339:AG402" si="25">IFERROR(K339*O339*AF339,"")</f>
        <v/>
      </c>
    </row>
    <row r="340" spans="2:33" x14ac:dyDescent="0.25">
      <c r="B340" s="182"/>
      <c r="C340" s="116"/>
      <c r="D340" s="117"/>
      <c r="E340" s="118"/>
      <c r="F340" s="126"/>
      <c r="G340" s="127"/>
      <c r="H340" s="119"/>
      <c r="I340" s="119">
        <f t="shared" si="19"/>
        <v>0</v>
      </c>
      <c r="J340" s="115">
        <f t="shared" si="20"/>
        <v>0</v>
      </c>
      <c r="K340" s="80" t="str">
        <f t="shared" si="22"/>
        <v/>
      </c>
      <c r="L340" s="120"/>
      <c r="M340" s="8">
        <v>300</v>
      </c>
      <c r="N340" s="115">
        <v>60</v>
      </c>
      <c r="O340" s="78" t="str">
        <f t="shared" si="23"/>
        <v/>
      </c>
      <c r="P340" s="121">
        <f t="shared" si="24"/>
        <v>0</v>
      </c>
      <c r="Q340" s="115">
        <f t="shared" si="21"/>
        <v>0</v>
      </c>
      <c r="R340" s="122"/>
      <c r="S340" s="122"/>
      <c r="T340" s="122"/>
      <c r="U340" s="122"/>
      <c r="V340" s="122"/>
      <c r="W340" s="122"/>
      <c r="X340" s="128"/>
      <c r="Y340" s="128"/>
      <c r="Z340" s="128"/>
      <c r="AA340" s="122"/>
      <c r="AB340" s="122"/>
      <c r="AC340" s="122"/>
      <c r="AD340" s="122"/>
      <c r="AE340" s="118"/>
      <c r="AF340" s="77"/>
      <c r="AG340" s="76" t="str">
        <f t="shared" si="25"/>
        <v/>
      </c>
    </row>
    <row r="341" spans="2:33" x14ac:dyDescent="0.25">
      <c r="B341" s="182"/>
      <c r="C341" s="116"/>
      <c r="D341" s="117"/>
      <c r="E341" s="118"/>
      <c r="F341" s="126"/>
      <c r="G341" s="127"/>
      <c r="H341" s="119"/>
      <c r="I341" s="119">
        <f t="shared" si="19"/>
        <v>0</v>
      </c>
      <c r="J341" s="115">
        <f t="shared" si="20"/>
        <v>0</v>
      </c>
      <c r="K341" s="80" t="str">
        <f t="shared" si="22"/>
        <v/>
      </c>
      <c r="L341" s="120"/>
      <c r="M341" s="8">
        <v>300</v>
      </c>
      <c r="N341" s="115">
        <v>60</v>
      </c>
      <c r="O341" s="78" t="str">
        <f t="shared" si="23"/>
        <v/>
      </c>
      <c r="P341" s="121">
        <f t="shared" si="24"/>
        <v>0</v>
      </c>
      <c r="Q341" s="115">
        <f t="shared" si="21"/>
        <v>0</v>
      </c>
      <c r="R341" s="122"/>
      <c r="S341" s="122"/>
      <c r="T341" s="122"/>
      <c r="U341" s="122"/>
      <c r="V341" s="122"/>
      <c r="W341" s="122"/>
      <c r="X341" s="128"/>
      <c r="Y341" s="128"/>
      <c r="Z341" s="128"/>
      <c r="AA341" s="122"/>
      <c r="AB341" s="122"/>
      <c r="AC341" s="122"/>
      <c r="AD341" s="122"/>
      <c r="AE341" s="118"/>
      <c r="AF341" s="77"/>
      <c r="AG341" s="76" t="str">
        <f t="shared" si="25"/>
        <v/>
      </c>
    </row>
    <row r="342" spans="2:33" x14ac:dyDescent="0.25">
      <c r="B342" s="182"/>
      <c r="C342" s="116"/>
      <c r="D342" s="117"/>
      <c r="E342" s="118"/>
      <c r="F342" s="126"/>
      <c r="G342" s="127"/>
      <c r="H342" s="119"/>
      <c r="I342" s="119">
        <f t="shared" si="19"/>
        <v>0</v>
      </c>
      <c r="J342" s="115">
        <f t="shared" si="20"/>
        <v>0</v>
      </c>
      <c r="K342" s="80" t="str">
        <f t="shared" si="22"/>
        <v/>
      </c>
      <c r="L342" s="120"/>
      <c r="M342" s="8">
        <v>300</v>
      </c>
      <c r="N342" s="115">
        <v>60</v>
      </c>
      <c r="O342" s="78" t="str">
        <f t="shared" si="23"/>
        <v/>
      </c>
      <c r="P342" s="121">
        <f t="shared" si="24"/>
        <v>0</v>
      </c>
      <c r="Q342" s="115">
        <f t="shared" si="21"/>
        <v>0</v>
      </c>
      <c r="R342" s="122"/>
      <c r="S342" s="122"/>
      <c r="T342" s="122"/>
      <c r="U342" s="122"/>
      <c r="V342" s="122"/>
      <c r="W342" s="122"/>
      <c r="X342" s="128"/>
      <c r="Y342" s="128"/>
      <c r="Z342" s="128"/>
      <c r="AA342" s="122"/>
      <c r="AB342" s="122"/>
      <c r="AC342" s="122"/>
      <c r="AD342" s="122"/>
      <c r="AE342" s="118"/>
      <c r="AF342" s="77"/>
      <c r="AG342" s="76" t="str">
        <f t="shared" si="25"/>
        <v/>
      </c>
    </row>
    <row r="343" spans="2:33" x14ac:dyDescent="0.25">
      <c r="B343" s="182"/>
      <c r="C343" s="116"/>
      <c r="D343" s="117"/>
      <c r="E343" s="118"/>
      <c r="F343" s="126"/>
      <c r="G343" s="127"/>
      <c r="H343" s="119"/>
      <c r="I343" s="119">
        <f t="shared" ref="I343:I406" si="26">H343+G343</f>
        <v>0</v>
      </c>
      <c r="J343" s="115">
        <f t="shared" ref="J343:J406" si="27">I343-D343-E343-F343</f>
        <v>0</v>
      </c>
      <c r="K343" s="80" t="str">
        <f t="shared" si="22"/>
        <v/>
      </c>
      <c r="L343" s="120"/>
      <c r="M343" s="8">
        <v>300</v>
      </c>
      <c r="N343" s="115">
        <v>60</v>
      </c>
      <c r="O343" s="78" t="str">
        <f t="shared" si="23"/>
        <v/>
      </c>
      <c r="P343" s="121">
        <f t="shared" si="24"/>
        <v>0</v>
      </c>
      <c r="Q343" s="115">
        <f t="shared" ref="Q343:Q406" si="28">L343</f>
        <v>0</v>
      </c>
      <c r="R343" s="122"/>
      <c r="S343" s="122"/>
      <c r="T343" s="122"/>
      <c r="U343" s="122"/>
      <c r="V343" s="122"/>
      <c r="W343" s="122"/>
      <c r="X343" s="128"/>
      <c r="Y343" s="128"/>
      <c r="Z343" s="128"/>
      <c r="AA343" s="122"/>
      <c r="AB343" s="122"/>
      <c r="AC343" s="122"/>
      <c r="AD343" s="122"/>
      <c r="AE343" s="118"/>
      <c r="AF343" s="77"/>
      <c r="AG343" s="76" t="str">
        <f t="shared" si="25"/>
        <v/>
      </c>
    </row>
    <row r="344" spans="2:33" x14ac:dyDescent="0.25">
      <c r="B344" s="182"/>
      <c r="C344" s="116"/>
      <c r="D344" s="117"/>
      <c r="E344" s="118"/>
      <c r="F344" s="126"/>
      <c r="G344" s="127"/>
      <c r="H344" s="119"/>
      <c r="I344" s="119">
        <f t="shared" si="26"/>
        <v>0</v>
      </c>
      <c r="J344" s="115">
        <f t="shared" si="27"/>
        <v>0</v>
      </c>
      <c r="K344" s="80" t="str">
        <f t="shared" si="22"/>
        <v/>
      </c>
      <c r="L344" s="120"/>
      <c r="M344" s="8">
        <v>300</v>
      </c>
      <c r="N344" s="115">
        <v>60</v>
      </c>
      <c r="O344" s="78" t="str">
        <f t="shared" si="23"/>
        <v/>
      </c>
      <c r="P344" s="121">
        <f t="shared" si="24"/>
        <v>0</v>
      </c>
      <c r="Q344" s="115">
        <f t="shared" si="28"/>
        <v>0</v>
      </c>
      <c r="R344" s="122"/>
      <c r="S344" s="122"/>
      <c r="T344" s="122"/>
      <c r="U344" s="122"/>
      <c r="V344" s="122"/>
      <c r="W344" s="122"/>
      <c r="X344" s="128"/>
      <c r="Y344" s="128"/>
      <c r="Z344" s="128"/>
      <c r="AA344" s="122"/>
      <c r="AB344" s="122"/>
      <c r="AC344" s="122"/>
      <c r="AD344" s="122"/>
      <c r="AE344" s="118"/>
      <c r="AF344" s="77"/>
      <c r="AG344" s="76" t="str">
        <f t="shared" si="25"/>
        <v/>
      </c>
    </row>
    <row r="345" spans="2:33" x14ac:dyDescent="0.25">
      <c r="B345" s="182"/>
      <c r="C345" s="116"/>
      <c r="D345" s="117"/>
      <c r="E345" s="118"/>
      <c r="F345" s="126"/>
      <c r="G345" s="127"/>
      <c r="H345" s="119"/>
      <c r="I345" s="119">
        <f t="shared" si="26"/>
        <v>0</v>
      </c>
      <c r="J345" s="115">
        <f t="shared" si="27"/>
        <v>0</v>
      </c>
      <c r="K345" s="80" t="str">
        <f t="shared" si="22"/>
        <v/>
      </c>
      <c r="L345" s="120"/>
      <c r="M345" s="8">
        <v>300</v>
      </c>
      <c r="N345" s="115">
        <v>60</v>
      </c>
      <c r="O345" s="78" t="str">
        <f t="shared" si="23"/>
        <v/>
      </c>
      <c r="P345" s="121">
        <f t="shared" si="24"/>
        <v>0</v>
      </c>
      <c r="Q345" s="115">
        <f t="shared" si="28"/>
        <v>0</v>
      </c>
      <c r="R345" s="122"/>
      <c r="S345" s="122"/>
      <c r="T345" s="122"/>
      <c r="U345" s="122"/>
      <c r="V345" s="122"/>
      <c r="W345" s="122"/>
      <c r="X345" s="128"/>
      <c r="Y345" s="128"/>
      <c r="Z345" s="128"/>
      <c r="AA345" s="122"/>
      <c r="AB345" s="122"/>
      <c r="AC345" s="122"/>
      <c r="AD345" s="122"/>
      <c r="AE345" s="118"/>
      <c r="AF345" s="77"/>
      <c r="AG345" s="76" t="str">
        <f t="shared" si="25"/>
        <v/>
      </c>
    </row>
    <row r="346" spans="2:33" x14ac:dyDescent="0.25">
      <c r="B346" s="182"/>
      <c r="C346" s="116"/>
      <c r="D346" s="117"/>
      <c r="E346" s="118"/>
      <c r="F346" s="126"/>
      <c r="G346" s="127"/>
      <c r="H346" s="119"/>
      <c r="I346" s="119">
        <f t="shared" si="26"/>
        <v>0</v>
      </c>
      <c r="J346" s="115">
        <f t="shared" si="27"/>
        <v>0</v>
      </c>
      <c r="K346" s="80" t="str">
        <f t="shared" ref="K346:K409" si="29">IFERROR(J346/I346,"")</f>
        <v/>
      </c>
      <c r="L346" s="120"/>
      <c r="M346" s="8">
        <v>300</v>
      </c>
      <c r="N346" s="115">
        <v>60</v>
      </c>
      <c r="O346" s="78" t="str">
        <f t="shared" ref="O346:O409" si="30">IFERROR(((L346/M346)*N346/J346),"")</f>
        <v/>
      </c>
      <c r="P346" s="121">
        <f t="shared" si="24"/>
        <v>0</v>
      </c>
      <c r="Q346" s="115">
        <f t="shared" si="28"/>
        <v>0</v>
      </c>
      <c r="R346" s="122"/>
      <c r="S346" s="122"/>
      <c r="T346" s="122"/>
      <c r="U346" s="122"/>
      <c r="V346" s="122"/>
      <c r="W346" s="122"/>
      <c r="X346" s="128"/>
      <c r="Y346" s="128"/>
      <c r="Z346" s="128"/>
      <c r="AA346" s="122"/>
      <c r="AB346" s="122"/>
      <c r="AC346" s="122"/>
      <c r="AD346" s="122"/>
      <c r="AE346" s="118"/>
      <c r="AF346" s="77"/>
      <c r="AG346" s="76" t="str">
        <f t="shared" si="25"/>
        <v/>
      </c>
    </row>
    <row r="347" spans="2:33" x14ac:dyDescent="0.25">
      <c r="B347" s="182"/>
      <c r="C347" s="116"/>
      <c r="D347" s="117"/>
      <c r="E347" s="118"/>
      <c r="F347" s="126"/>
      <c r="G347" s="127"/>
      <c r="H347" s="119"/>
      <c r="I347" s="119">
        <f t="shared" si="26"/>
        <v>0</v>
      </c>
      <c r="J347" s="115">
        <f t="shared" si="27"/>
        <v>0</v>
      </c>
      <c r="K347" s="80" t="str">
        <f t="shared" si="29"/>
        <v/>
      </c>
      <c r="L347" s="120"/>
      <c r="M347" s="8">
        <v>300</v>
      </c>
      <c r="N347" s="115">
        <v>60</v>
      </c>
      <c r="O347" s="78" t="str">
        <f t="shared" si="30"/>
        <v/>
      </c>
      <c r="P347" s="121">
        <f t="shared" si="24"/>
        <v>0</v>
      </c>
      <c r="Q347" s="115">
        <f t="shared" si="28"/>
        <v>0</v>
      </c>
      <c r="R347" s="122"/>
      <c r="S347" s="122"/>
      <c r="T347" s="122"/>
      <c r="U347" s="122"/>
      <c r="V347" s="122"/>
      <c r="W347" s="122"/>
      <c r="X347" s="128"/>
      <c r="Y347" s="128"/>
      <c r="Z347" s="128"/>
      <c r="AA347" s="122"/>
      <c r="AB347" s="122"/>
      <c r="AC347" s="122"/>
      <c r="AD347" s="122"/>
      <c r="AE347" s="118"/>
      <c r="AF347" s="77"/>
      <c r="AG347" s="76" t="str">
        <f t="shared" si="25"/>
        <v/>
      </c>
    </row>
    <row r="348" spans="2:33" x14ac:dyDescent="0.25">
      <c r="B348" s="182"/>
      <c r="C348" s="116"/>
      <c r="D348" s="117"/>
      <c r="E348" s="118"/>
      <c r="F348" s="126"/>
      <c r="G348" s="127"/>
      <c r="H348" s="119"/>
      <c r="I348" s="119">
        <f t="shared" si="26"/>
        <v>0</v>
      </c>
      <c r="J348" s="115">
        <f t="shared" si="27"/>
        <v>0</v>
      </c>
      <c r="K348" s="80" t="str">
        <f t="shared" si="29"/>
        <v/>
      </c>
      <c r="L348" s="120"/>
      <c r="M348" s="8">
        <v>300</v>
      </c>
      <c r="N348" s="115">
        <v>60</v>
      </c>
      <c r="O348" s="78" t="str">
        <f t="shared" si="30"/>
        <v/>
      </c>
      <c r="P348" s="121">
        <f t="shared" si="24"/>
        <v>0</v>
      </c>
      <c r="Q348" s="115">
        <f t="shared" si="28"/>
        <v>0</v>
      </c>
      <c r="R348" s="122"/>
      <c r="S348" s="122"/>
      <c r="T348" s="122"/>
      <c r="U348" s="122"/>
      <c r="V348" s="122"/>
      <c r="W348" s="122"/>
      <c r="X348" s="128"/>
      <c r="Y348" s="128"/>
      <c r="Z348" s="128"/>
      <c r="AA348" s="122"/>
      <c r="AB348" s="122"/>
      <c r="AC348" s="122"/>
      <c r="AD348" s="122"/>
      <c r="AE348" s="118"/>
      <c r="AF348" s="77"/>
      <c r="AG348" s="76" t="str">
        <f t="shared" si="25"/>
        <v/>
      </c>
    </row>
    <row r="349" spans="2:33" x14ac:dyDescent="0.25">
      <c r="B349" s="182"/>
      <c r="C349" s="116"/>
      <c r="D349" s="117"/>
      <c r="E349" s="118"/>
      <c r="F349" s="126"/>
      <c r="G349" s="127"/>
      <c r="H349" s="119"/>
      <c r="I349" s="119">
        <f t="shared" si="26"/>
        <v>0</v>
      </c>
      <c r="J349" s="115">
        <f t="shared" si="27"/>
        <v>0</v>
      </c>
      <c r="K349" s="80" t="str">
        <f t="shared" si="29"/>
        <v/>
      </c>
      <c r="L349" s="120"/>
      <c r="M349" s="8">
        <v>300</v>
      </c>
      <c r="N349" s="115">
        <v>60</v>
      </c>
      <c r="O349" s="78" t="str">
        <f t="shared" si="30"/>
        <v/>
      </c>
      <c r="P349" s="121">
        <f t="shared" si="24"/>
        <v>0</v>
      </c>
      <c r="Q349" s="115">
        <f t="shared" si="28"/>
        <v>0</v>
      </c>
      <c r="R349" s="122"/>
      <c r="S349" s="122"/>
      <c r="T349" s="122"/>
      <c r="U349" s="122"/>
      <c r="V349" s="122"/>
      <c r="W349" s="122"/>
      <c r="X349" s="128"/>
      <c r="Y349" s="128"/>
      <c r="Z349" s="128"/>
      <c r="AA349" s="122"/>
      <c r="AB349" s="122"/>
      <c r="AC349" s="122"/>
      <c r="AD349" s="122"/>
      <c r="AE349" s="118"/>
      <c r="AF349" s="77"/>
      <c r="AG349" s="76" t="str">
        <f t="shared" si="25"/>
        <v/>
      </c>
    </row>
    <row r="350" spans="2:33" x14ac:dyDescent="0.25">
      <c r="B350" s="182"/>
      <c r="C350" s="116"/>
      <c r="D350" s="117"/>
      <c r="E350" s="118"/>
      <c r="F350" s="126"/>
      <c r="G350" s="127"/>
      <c r="H350" s="119"/>
      <c r="I350" s="119">
        <f t="shared" si="26"/>
        <v>0</v>
      </c>
      <c r="J350" s="115">
        <f t="shared" si="27"/>
        <v>0</v>
      </c>
      <c r="K350" s="80" t="str">
        <f t="shared" si="29"/>
        <v/>
      </c>
      <c r="L350" s="120"/>
      <c r="M350" s="8">
        <v>300</v>
      </c>
      <c r="N350" s="115">
        <v>60</v>
      </c>
      <c r="O350" s="78" t="str">
        <f t="shared" si="30"/>
        <v/>
      </c>
      <c r="P350" s="121">
        <f t="shared" si="24"/>
        <v>0</v>
      </c>
      <c r="Q350" s="115">
        <f t="shared" si="28"/>
        <v>0</v>
      </c>
      <c r="R350" s="122"/>
      <c r="S350" s="122"/>
      <c r="T350" s="122"/>
      <c r="U350" s="122"/>
      <c r="V350" s="122"/>
      <c r="W350" s="122"/>
      <c r="X350" s="128"/>
      <c r="Y350" s="128"/>
      <c r="Z350" s="128"/>
      <c r="AA350" s="122"/>
      <c r="AB350" s="122"/>
      <c r="AC350" s="122"/>
      <c r="AD350" s="122"/>
      <c r="AE350" s="118"/>
      <c r="AF350" s="77"/>
      <c r="AG350" s="76" t="str">
        <f t="shared" si="25"/>
        <v/>
      </c>
    </row>
    <row r="351" spans="2:33" x14ac:dyDescent="0.25">
      <c r="B351" s="182"/>
      <c r="C351" s="116"/>
      <c r="D351" s="117"/>
      <c r="E351" s="118"/>
      <c r="F351" s="126"/>
      <c r="G351" s="127"/>
      <c r="H351" s="119"/>
      <c r="I351" s="119">
        <f t="shared" si="26"/>
        <v>0</v>
      </c>
      <c r="J351" s="115">
        <f t="shared" si="27"/>
        <v>0</v>
      </c>
      <c r="K351" s="80" t="str">
        <f t="shared" si="29"/>
        <v/>
      </c>
      <c r="L351" s="120"/>
      <c r="M351" s="8">
        <v>300</v>
      </c>
      <c r="N351" s="115">
        <v>60</v>
      </c>
      <c r="O351" s="78" t="str">
        <f t="shared" si="30"/>
        <v/>
      </c>
      <c r="P351" s="121">
        <f t="shared" si="24"/>
        <v>0</v>
      </c>
      <c r="Q351" s="115">
        <f t="shared" si="28"/>
        <v>0</v>
      </c>
      <c r="R351" s="122"/>
      <c r="S351" s="122"/>
      <c r="T351" s="122"/>
      <c r="U351" s="122"/>
      <c r="V351" s="122"/>
      <c r="W351" s="122"/>
      <c r="X351" s="128"/>
      <c r="Y351" s="128"/>
      <c r="Z351" s="128"/>
      <c r="AA351" s="122"/>
      <c r="AB351" s="122"/>
      <c r="AC351" s="122"/>
      <c r="AD351" s="122"/>
      <c r="AE351" s="118"/>
      <c r="AF351" s="77"/>
      <c r="AG351" s="76" t="str">
        <f t="shared" si="25"/>
        <v/>
      </c>
    </row>
    <row r="352" spans="2:33" x14ac:dyDescent="0.25">
      <c r="B352" s="182"/>
      <c r="C352" s="116"/>
      <c r="D352" s="117"/>
      <c r="E352" s="118"/>
      <c r="F352" s="126"/>
      <c r="G352" s="127"/>
      <c r="H352" s="119"/>
      <c r="I352" s="119">
        <f t="shared" si="26"/>
        <v>0</v>
      </c>
      <c r="J352" s="115">
        <f t="shared" si="27"/>
        <v>0</v>
      </c>
      <c r="K352" s="80" t="str">
        <f t="shared" si="29"/>
        <v/>
      </c>
      <c r="L352" s="120"/>
      <c r="M352" s="8">
        <v>300</v>
      </c>
      <c r="N352" s="115">
        <v>60</v>
      </c>
      <c r="O352" s="78" t="str">
        <f t="shared" si="30"/>
        <v/>
      </c>
      <c r="P352" s="121">
        <f t="shared" si="24"/>
        <v>0</v>
      </c>
      <c r="Q352" s="115">
        <f t="shared" si="28"/>
        <v>0</v>
      </c>
      <c r="R352" s="122"/>
      <c r="S352" s="122"/>
      <c r="T352" s="122"/>
      <c r="U352" s="122"/>
      <c r="V352" s="122"/>
      <c r="W352" s="122"/>
      <c r="X352" s="128"/>
      <c r="Y352" s="128"/>
      <c r="Z352" s="128"/>
      <c r="AA352" s="122"/>
      <c r="AB352" s="122"/>
      <c r="AC352" s="122"/>
      <c r="AD352" s="122"/>
      <c r="AE352" s="118"/>
      <c r="AF352" s="77"/>
      <c r="AG352" s="76" t="str">
        <f t="shared" si="25"/>
        <v/>
      </c>
    </row>
    <row r="353" spans="2:33" x14ac:dyDescent="0.25">
      <c r="B353" s="182"/>
      <c r="C353" s="116"/>
      <c r="D353" s="117"/>
      <c r="E353" s="118"/>
      <c r="F353" s="126"/>
      <c r="G353" s="127"/>
      <c r="H353" s="119"/>
      <c r="I353" s="119">
        <f t="shared" si="26"/>
        <v>0</v>
      </c>
      <c r="J353" s="115">
        <f t="shared" si="27"/>
        <v>0</v>
      </c>
      <c r="K353" s="80" t="str">
        <f t="shared" si="29"/>
        <v/>
      </c>
      <c r="L353" s="120"/>
      <c r="M353" s="8">
        <v>300</v>
      </c>
      <c r="N353" s="115">
        <v>60</v>
      </c>
      <c r="O353" s="78" t="str">
        <f t="shared" si="30"/>
        <v/>
      </c>
      <c r="P353" s="121">
        <f t="shared" ref="P353:P416" si="31">L353-AE353</f>
        <v>0</v>
      </c>
      <c r="Q353" s="115">
        <f t="shared" si="28"/>
        <v>0</v>
      </c>
      <c r="R353" s="122"/>
      <c r="S353" s="122"/>
      <c r="T353" s="122"/>
      <c r="U353" s="122"/>
      <c r="V353" s="122"/>
      <c r="W353" s="122"/>
      <c r="X353" s="128"/>
      <c r="Y353" s="128"/>
      <c r="Z353" s="128"/>
      <c r="AA353" s="122"/>
      <c r="AB353" s="122"/>
      <c r="AC353" s="122"/>
      <c r="AD353" s="122"/>
      <c r="AE353" s="118"/>
      <c r="AF353" s="77"/>
      <c r="AG353" s="76" t="str">
        <f t="shared" si="25"/>
        <v/>
      </c>
    </row>
    <row r="354" spans="2:33" x14ac:dyDescent="0.25">
      <c r="B354" s="182"/>
      <c r="C354" s="116"/>
      <c r="D354" s="117"/>
      <c r="E354" s="118"/>
      <c r="F354" s="126"/>
      <c r="G354" s="127"/>
      <c r="H354" s="119"/>
      <c r="I354" s="119">
        <f t="shared" si="26"/>
        <v>0</v>
      </c>
      <c r="J354" s="115">
        <f t="shared" si="27"/>
        <v>0</v>
      </c>
      <c r="K354" s="80" t="str">
        <f t="shared" si="29"/>
        <v/>
      </c>
      <c r="L354" s="120"/>
      <c r="M354" s="8">
        <v>300</v>
      </c>
      <c r="N354" s="115">
        <v>60</v>
      </c>
      <c r="O354" s="78" t="str">
        <f t="shared" si="30"/>
        <v/>
      </c>
      <c r="P354" s="121">
        <f t="shared" si="31"/>
        <v>0</v>
      </c>
      <c r="Q354" s="115">
        <f t="shared" si="28"/>
        <v>0</v>
      </c>
      <c r="R354" s="122"/>
      <c r="S354" s="122"/>
      <c r="T354" s="122"/>
      <c r="U354" s="122"/>
      <c r="V354" s="122"/>
      <c r="W354" s="122"/>
      <c r="X354" s="128"/>
      <c r="Y354" s="128"/>
      <c r="Z354" s="128"/>
      <c r="AA354" s="122"/>
      <c r="AB354" s="122"/>
      <c r="AC354" s="122"/>
      <c r="AD354" s="122"/>
      <c r="AE354" s="118"/>
      <c r="AF354" s="77"/>
      <c r="AG354" s="76" t="str">
        <f t="shared" si="25"/>
        <v/>
      </c>
    </row>
    <row r="355" spans="2:33" x14ac:dyDescent="0.25">
      <c r="B355" s="182"/>
      <c r="C355" s="116"/>
      <c r="D355" s="117"/>
      <c r="E355" s="118"/>
      <c r="F355" s="126"/>
      <c r="G355" s="127"/>
      <c r="H355" s="119"/>
      <c r="I355" s="119">
        <f t="shared" si="26"/>
        <v>0</v>
      </c>
      <c r="J355" s="115">
        <f t="shared" si="27"/>
        <v>0</v>
      </c>
      <c r="K355" s="80" t="str">
        <f t="shared" si="29"/>
        <v/>
      </c>
      <c r="L355" s="120"/>
      <c r="M355" s="8">
        <v>300</v>
      </c>
      <c r="N355" s="115">
        <v>60</v>
      </c>
      <c r="O355" s="78" t="str">
        <f t="shared" si="30"/>
        <v/>
      </c>
      <c r="P355" s="121">
        <f t="shared" si="31"/>
        <v>0</v>
      </c>
      <c r="Q355" s="115">
        <f t="shared" si="28"/>
        <v>0</v>
      </c>
      <c r="R355" s="122"/>
      <c r="S355" s="122"/>
      <c r="T355" s="122"/>
      <c r="U355" s="122"/>
      <c r="V355" s="122"/>
      <c r="W355" s="122"/>
      <c r="X355" s="128"/>
      <c r="Y355" s="128"/>
      <c r="Z355" s="128"/>
      <c r="AA355" s="122"/>
      <c r="AB355" s="122"/>
      <c r="AC355" s="122"/>
      <c r="AD355" s="122"/>
      <c r="AE355" s="118"/>
      <c r="AF355" s="77"/>
      <c r="AG355" s="76" t="str">
        <f t="shared" si="25"/>
        <v/>
      </c>
    </row>
    <row r="356" spans="2:33" x14ac:dyDescent="0.25">
      <c r="B356" s="182"/>
      <c r="C356" s="116"/>
      <c r="D356" s="117"/>
      <c r="E356" s="118"/>
      <c r="F356" s="126"/>
      <c r="G356" s="127"/>
      <c r="H356" s="119"/>
      <c r="I356" s="119">
        <f t="shared" si="26"/>
        <v>0</v>
      </c>
      <c r="J356" s="115">
        <f t="shared" si="27"/>
        <v>0</v>
      </c>
      <c r="K356" s="80" t="str">
        <f t="shared" si="29"/>
        <v/>
      </c>
      <c r="L356" s="120"/>
      <c r="M356" s="8">
        <v>300</v>
      </c>
      <c r="N356" s="115">
        <v>60</v>
      </c>
      <c r="O356" s="78" t="str">
        <f t="shared" si="30"/>
        <v/>
      </c>
      <c r="P356" s="121">
        <f t="shared" si="31"/>
        <v>0</v>
      </c>
      <c r="Q356" s="115">
        <f t="shared" si="28"/>
        <v>0</v>
      </c>
      <c r="R356" s="122"/>
      <c r="S356" s="122"/>
      <c r="T356" s="122"/>
      <c r="U356" s="122"/>
      <c r="V356" s="122"/>
      <c r="W356" s="122"/>
      <c r="X356" s="128"/>
      <c r="Y356" s="128"/>
      <c r="Z356" s="128"/>
      <c r="AA356" s="122"/>
      <c r="AB356" s="122"/>
      <c r="AC356" s="122"/>
      <c r="AD356" s="122"/>
      <c r="AE356" s="118"/>
      <c r="AF356" s="77"/>
      <c r="AG356" s="76" t="str">
        <f t="shared" si="25"/>
        <v/>
      </c>
    </row>
    <row r="357" spans="2:33" x14ac:dyDescent="0.25">
      <c r="B357" s="182"/>
      <c r="C357" s="116"/>
      <c r="D357" s="117"/>
      <c r="E357" s="118"/>
      <c r="F357" s="126"/>
      <c r="G357" s="127"/>
      <c r="H357" s="119"/>
      <c r="I357" s="119">
        <f t="shared" si="26"/>
        <v>0</v>
      </c>
      <c r="J357" s="115">
        <f t="shared" si="27"/>
        <v>0</v>
      </c>
      <c r="K357" s="80" t="str">
        <f t="shared" si="29"/>
        <v/>
      </c>
      <c r="L357" s="120"/>
      <c r="M357" s="8">
        <v>300</v>
      </c>
      <c r="N357" s="115">
        <v>60</v>
      </c>
      <c r="O357" s="78" t="str">
        <f t="shared" si="30"/>
        <v/>
      </c>
      <c r="P357" s="121">
        <f t="shared" si="31"/>
        <v>0</v>
      </c>
      <c r="Q357" s="115">
        <f t="shared" si="28"/>
        <v>0</v>
      </c>
      <c r="R357" s="122"/>
      <c r="S357" s="122"/>
      <c r="T357" s="122"/>
      <c r="U357" s="122"/>
      <c r="V357" s="122"/>
      <c r="W357" s="122"/>
      <c r="X357" s="128"/>
      <c r="Y357" s="128"/>
      <c r="Z357" s="128"/>
      <c r="AA357" s="122"/>
      <c r="AB357" s="122"/>
      <c r="AC357" s="122"/>
      <c r="AD357" s="122"/>
      <c r="AE357" s="118"/>
      <c r="AF357" s="77"/>
      <c r="AG357" s="76" t="str">
        <f t="shared" si="25"/>
        <v/>
      </c>
    </row>
    <row r="358" spans="2:33" x14ac:dyDescent="0.25">
      <c r="B358" s="182"/>
      <c r="C358" s="116"/>
      <c r="D358" s="117"/>
      <c r="E358" s="118"/>
      <c r="F358" s="126"/>
      <c r="G358" s="127"/>
      <c r="H358" s="119"/>
      <c r="I358" s="119">
        <f t="shared" si="26"/>
        <v>0</v>
      </c>
      <c r="J358" s="115">
        <f t="shared" si="27"/>
        <v>0</v>
      </c>
      <c r="K358" s="80" t="str">
        <f t="shared" si="29"/>
        <v/>
      </c>
      <c r="L358" s="120"/>
      <c r="M358" s="8">
        <v>300</v>
      </c>
      <c r="N358" s="115">
        <v>60</v>
      </c>
      <c r="O358" s="78" t="str">
        <f t="shared" si="30"/>
        <v/>
      </c>
      <c r="P358" s="121">
        <f t="shared" si="31"/>
        <v>0</v>
      </c>
      <c r="Q358" s="115">
        <f t="shared" si="28"/>
        <v>0</v>
      </c>
      <c r="R358" s="122"/>
      <c r="S358" s="122"/>
      <c r="T358" s="122"/>
      <c r="U358" s="122"/>
      <c r="V358" s="122"/>
      <c r="W358" s="122"/>
      <c r="X358" s="128"/>
      <c r="Y358" s="128"/>
      <c r="Z358" s="128"/>
      <c r="AA358" s="122"/>
      <c r="AB358" s="122"/>
      <c r="AC358" s="122"/>
      <c r="AD358" s="122"/>
      <c r="AE358" s="118"/>
      <c r="AF358" s="77"/>
      <c r="AG358" s="76" t="str">
        <f t="shared" si="25"/>
        <v/>
      </c>
    </row>
    <row r="359" spans="2:33" x14ac:dyDescent="0.25">
      <c r="B359" s="182"/>
      <c r="C359" s="116"/>
      <c r="D359" s="117"/>
      <c r="E359" s="118"/>
      <c r="F359" s="126"/>
      <c r="G359" s="127"/>
      <c r="H359" s="119"/>
      <c r="I359" s="119">
        <f t="shared" si="26"/>
        <v>0</v>
      </c>
      <c r="J359" s="115">
        <f t="shared" si="27"/>
        <v>0</v>
      </c>
      <c r="K359" s="80" t="str">
        <f t="shared" si="29"/>
        <v/>
      </c>
      <c r="L359" s="120"/>
      <c r="M359" s="8">
        <v>300</v>
      </c>
      <c r="N359" s="115">
        <v>60</v>
      </c>
      <c r="O359" s="78" t="str">
        <f t="shared" si="30"/>
        <v/>
      </c>
      <c r="P359" s="121">
        <f t="shared" si="31"/>
        <v>0</v>
      </c>
      <c r="Q359" s="115">
        <f t="shared" si="28"/>
        <v>0</v>
      </c>
      <c r="R359" s="122"/>
      <c r="S359" s="122"/>
      <c r="T359" s="122"/>
      <c r="U359" s="122"/>
      <c r="V359" s="122"/>
      <c r="W359" s="122"/>
      <c r="X359" s="128"/>
      <c r="Y359" s="128"/>
      <c r="Z359" s="128"/>
      <c r="AA359" s="122"/>
      <c r="AB359" s="122"/>
      <c r="AC359" s="122"/>
      <c r="AD359" s="122"/>
      <c r="AE359" s="118"/>
      <c r="AF359" s="77"/>
      <c r="AG359" s="76" t="str">
        <f t="shared" si="25"/>
        <v/>
      </c>
    </row>
    <row r="360" spans="2:33" x14ac:dyDescent="0.25">
      <c r="B360" s="182"/>
      <c r="C360" s="116"/>
      <c r="D360" s="117"/>
      <c r="E360" s="118"/>
      <c r="F360" s="126"/>
      <c r="G360" s="127"/>
      <c r="H360" s="119"/>
      <c r="I360" s="119">
        <f t="shared" si="26"/>
        <v>0</v>
      </c>
      <c r="J360" s="115">
        <f t="shared" si="27"/>
        <v>0</v>
      </c>
      <c r="K360" s="80" t="str">
        <f t="shared" si="29"/>
        <v/>
      </c>
      <c r="L360" s="120"/>
      <c r="M360" s="8">
        <v>300</v>
      </c>
      <c r="N360" s="115">
        <v>60</v>
      </c>
      <c r="O360" s="78" t="str">
        <f t="shared" si="30"/>
        <v/>
      </c>
      <c r="P360" s="121">
        <f t="shared" si="31"/>
        <v>0</v>
      </c>
      <c r="Q360" s="115">
        <f t="shared" si="28"/>
        <v>0</v>
      </c>
      <c r="R360" s="122"/>
      <c r="S360" s="122"/>
      <c r="T360" s="122"/>
      <c r="U360" s="122"/>
      <c r="V360" s="122"/>
      <c r="W360" s="122"/>
      <c r="X360" s="128"/>
      <c r="Y360" s="128"/>
      <c r="Z360" s="128"/>
      <c r="AA360" s="122"/>
      <c r="AB360" s="122"/>
      <c r="AC360" s="122"/>
      <c r="AD360" s="122"/>
      <c r="AE360" s="118"/>
      <c r="AF360" s="77"/>
      <c r="AG360" s="76" t="str">
        <f t="shared" si="25"/>
        <v/>
      </c>
    </row>
    <row r="361" spans="2:33" x14ac:dyDescent="0.25">
      <c r="B361" s="182"/>
      <c r="C361" s="116"/>
      <c r="D361" s="117"/>
      <c r="E361" s="118"/>
      <c r="F361" s="126"/>
      <c r="G361" s="127"/>
      <c r="H361" s="119"/>
      <c r="I361" s="119">
        <f t="shared" si="26"/>
        <v>0</v>
      </c>
      <c r="J361" s="115">
        <f t="shared" si="27"/>
        <v>0</v>
      </c>
      <c r="K361" s="80" t="str">
        <f t="shared" si="29"/>
        <v/>
      </c>
      <c r="L361" s="120"/>
      <c r="M361" s="8">
        <v>300</v>
      </c>
      <c r="N361" s="115">
        <v>60</v>
      </c>
      <c r="O361" s="78" t="str">
        <f t="shared" si="30"/>
        <v/>
      </c>
      <c r="P361" s="121">
        <f t="shared" si="31"/>
        <v>0</v>
      </c>
      <c r="Q361" s="115">
        <f t="shared" si="28"/>
        <v>0</v>
      </c>
      <c r="R361" s="122"/>
      <c r="S361" s="122"/>
      <c r="T361" s="122"/>
      <c r="U361" s="122"/>
      <c r="V361" s="122"/>
      <c r="W361" s="122"/>
      <c r="X361" s="128"/>
      <c r="Y361" s="128"/>
      <c r="Z361" s="128"/>
      <c r="AA361" s="122"/>
      <c r="AB361" s="122"/>
      <c r="AC361" s="122"/>
      <c r="AD361" s="122"/>
      <c r="AE361" s="118"/>
      <c r="AF361" s="77"/>
      <c r="AG361" s="76" t="str">
        <f t="shared" si="25"/>
        <v/>
      </c>
    </row>
    <row r="362" spans="2:33" x14ac:dyDescent="0.25">
      <c r="B362" s="182"/>
      <c r="C362" s="116"/>
      <c r="D362" s="117"/>
      <c r="E362" s="118"/>
      <c r="F362" s="126"/>
      <c r="G362" s="127"/>
      <c r="H362" s="119"/>
      <c r="I362" s="119">
        <f t="shared" si="26"/>
        <v>0</v>
      </c>
      <c r="J362" s="115">
        <f t="shared" si="27"/>
        <v>0</v>
      </c>
      <c r="K362" s="80" t="str">
        <f t="shared" si="29"/>
        <v/>
      </c>
      <c r="L362" s="120"/>
      <c r="M362" s="8">
        <v>300</v>
      </c>
      <c r="N362" s="115">
        <v>60</v>
      </c>
      <c r="O362" s="78" t="str">
        <f t="shared" si="30"/>
        <v/>
      </c>
      <c r="P362" s="121">
        <f t="shared" si="31"/>
        <v>0</v>
      </c>
      <c r="Q362" s="115">
        <f t="shared" si="28"/>
        <v>0</v>
      </c>
      <c r="R362" s="122"/>
      <c r="S362" s="122"/>
      <c r="T362" s="122"/>
      <c r="U362" s="122"/>
      <c r="V362" s="122"/>
      <c r="W362" s="122"/>
      <c r="X362" s="128"/>
      <c r="Y362" s="128"/>
      <c r="Z362" s="128"/>
      <c r="AA362" s="122"/>
      <c r="AB362" s="122"/>
      <c r="AC362" s="122"/>
      <c r="AD362" s="122"/>
      <c r="AE362" s="118"/>
      <c r="AF362" s="77"/>
      <c r="AG362" s="76" t="str">
        <f t="shared" si="25"/>
        <v/>
      </c>
    </row>
    <row r="363" spans="2:33" x14ac:dyDescent="0.25">
      <c r="B363" s="182"/>
      <c r="C363" s="116"/>
      <c r="D363" s="117"/>
      <c r="E363" s="118"/>
      <c r="F363" s="126"/>
      <c r="G363" s="127"/>
      <c r="H363" s="119"/>
      <c r="I363" s="119">
        <f t="shared" si="26"/>
        <v>0</v>
      </c>
      <c r="J363" s="115">
        <f t="shared" si="27"/>
        <v>0</v>
      </c>
      <c r="K363" s="80" t="str">
        <f t="shared" si="29"/>
        <v/>
      </c>
      <c r="L363" s="120"/>
      <c r="M363" s="8">
        <v>300</v>
      </c>
      <c r="N363" s="115">
        <v>60</v>
      </c>
      <c r="O363" s="78" t="str">
        <f t="shared" si="30"/>
        <v/>
      </c>
      <c r="P363" s="121">
        <f t="shared" si="31"/>
        <v>0</v>
      </c>
      <c r="Q363" s="115">
        <f t="shared" si="28"/>
        <v>0</v>
      </c>
      <c r="R363" s="122"/>
      <c r="S363" s="122"/>
      <c r="T363" s="122"/>
      <c r="U363" s="122"/>
      <c r="V363" s="122"/>
      <c r="W363" s="122"/>
      <c r="X363" s="128"/>
      <c r="Y363" s="128"/>
      <c r="Z363" s="128"/>
      <c r="AA363" s="122"/>
      <c r="AB363" s="122"/>
      <c r="AC363" s="122"/>
      <c r="AD363" s="122"/>
      <c r="AE363" s="118"/>
      <c r="AF363" s="77"/>
      <c r="AG363" s="76" t="str">
        <f t="shared" si="25"/>
        <v/>
      </c>
    </row>
    <row r="364" spans="2:33" x14ac:dyDescent="0.25">
      <c r="B364" s="182"/>
      <c r="C364" s="116"/>
      <c r="D364" s="117"/>
      <c r="E364" s="118"/>
      <c r="F364" s="126"/>
      <c r="G364" s="127"/>
      <c r="H364" s="119"/>
      <c r="I364" s="119">
        <f t="shared" si="26"/>
        <v>0</v>
      </c>
      <c r="J364" s="115">
        <f t="shared" si="27"/>
        <v>0</v>
      </c>
      <c r="K364" s="80" t="str">
        <f t="shared" si="29"/>
        <v/>
      </c>
      <c r="L364" s="120"/>
      <c r="M364" s="8">
        <v>300</v>
      </c>
      <c r="N364" s="115">
        <v>60</v>
      </c>
      <c r="O364" s="78" t="str">
        <f t="shared" si="30"/>
        <v/>
      </c>
      <c r="P364" s="121">
        <f t="shared" si="31"/>
        <v>0</v>
      </c>
      <c r="Q364" s="115">
        <f t="shared" si="28"/>
        <v>0</v>
      </c>
      <c r="R364" s="122"/>
      <c r="S364" s="122"/>
      <c r="T364" s="122"/>
      <c r="U364" s="122"/>
      <c r="V364" s="122"/>
      <c r="W364" s="122"/>
      <c r="X364" s="128"/>
      <c r="Y364" s="128"/>
      <c r="Z364" s="128"/>
      <c r="AA364" s="122"/>
      <c r="AB364" s="122"/>
      <c r="AC364" s="122"/>
      <c r="AD364" s="122"/>
      <c r="AE364" s="118"/>
      <c r="AF364" s="77"/>
      <c r="AG364" s="76" t="str">
        <f t="shared" si="25"/>
        <v/>
      </c>
    </row>
    <row r="365" spans="2:33" x14ac:dyDescent="0.25">
      <c r="B365" s="182"/>
      <c r="C365" s="116"/>
      <c r="D365" s="117"/>
      <c r="E365" s="118"/>
      <c r="F365" s="126"/>
      <c r="G365" s="127"/>
      <c r="H365" s="119"/>
      <c r="I365" s="119">
        <f t="shared" si="26"/>
        <v>0</v>
      </c>
      <c r="J365" s="115">
        <f t="shared" si="27"/>
        <v>0</v>
      </c>
      <c r="K365" s="80" t="str">
        <f t="shared" si="29"/>
        <v/>
      </c>
      <c r="L365" s="120"/>
      <c r="M365" s="8">
        <v>300</v>
      </c>
      <c r="N365" s="115">
        <v>60</v>
      </c>
      <c r="O365" s="78" t="str">
        <f t="shared" si="30"/>
        <v/>
      </c>
      <c r="P365" s="121">
        <f t="shared" si="31"/>
        <v>0</v>
      </c>
      <c r="Q365" s="115">
        <f t="shared" si="28"/>
        <v>0</v>
      </c>
      <c r="R365" s="122"/>
      <c r="S365" s="122"/>
      <c r="T365" s="122"/>
      <c r="U365" s="122"/>
      <c r="V365" s="122"/>
      <c r="W365" s="122"/>
      <c r="X365" s="128"/>
      <c r="Y365" s="128"/>
      <c r="Z365" s="128"/>
      <c r="AA365" s="122"/>
      <c r="AB365" s="122"/>
      <c r="AC365" s="122"/>
      <c r="AD365" s="122"/>
      <c r="AE365" s="118"/>
      <c r="AF365" s="77"/>
      <c r="AG365" s="76" t="str">
        <f t="shared" si="25"/>
        <v/>
      </c>
    </row>
    <row r="366" spans="2:33" x14ac:dyDescent="0.25">
      <c r="B366" s="182"/>
      <c r="C366" s="116"/>
      <c r="D366" s="117"/>
      <c r="E366" s="118"/>
      <c r="F366" s="126"/>
      <c r="G366" s="127"/>
      <c r="H366" s="119"/>
      <c r="I366" s="119">
        <f t="shared" si="26"/>
        <v>0</v>
      </c>
      <c r="J366" s="115">
        <f t="shared" si="27"/>
        <v>0</v>
      </c>
      <c r="K366" s="80" t="str">
        <f t="shared" si="29"/>
        <v/>
      </c>
      <c r="L366" s="120"/>
      <c r="M366" s="8">
        <v>300</v>
      </c>
      <c r="N366" s="115">
        <v>60</v>
      </c>
      <c r="O366" s="78" t="str">
        <f t="shared" si="30"/>
        <v/>
      </c>
      <c r="P366" s="121">
        <f t="shared" si="31"/>
        <v>0</v>
      </c>
      <c r="Q366" s="115">
        <f t="shared" si="28"/>
        <v>0</v>
      </c>
      <c r="R366" s="122"/>
      <c r="S366" s="122"/>
      <c r="T366" s="122"/>
      <c r="U366" s="122"/>
      <c r="V366" s="122"/>
      <c r="W366" s="122"/>
      <c r="X366" s="128"/>
      <c r="Y366" s="128"/>
      <c r="Z366" s="128"/>
      <c r="AA366" s="122"/>
      <c r="AB366" s="122"/>
      <c r="AC366" s="122"/>
      <c r="AD366" s="122"/>
      <c r="AE366" s="118"/>
      <c r="AF366" s="77"/>
      <c r="AG366" s="76" t="str">
        <f t="shared" si="25"/>
        <v/>
      </c>
    </row>
    <row r="367" spans="2:33" x14ac:dyDescent="0.25">
      <c r="B367" s="182"/>
      <c r="C367" s="116"/>
      <c r="D367" s="117"/>
      <c r="E367" s="118"/>
      <c r="F367" s="126"/>
      <c r="G367" s="127"/>
      <c r="H367" s="119"/>
      <c r="I367" s="119">
        <f t="shared" si="26"/>
        <v>0</v>
      </c>
      <c r="J367" s="115">
        <f t="shared" si="27"/>
        <v>0</v>
      </c>
      <c r="K367" s="80" t="str">
        <f t="shared" si="29"/>
        <v/>
      </c>
      <c r="L367" s="120"/>
      <c r="M367" s="8">
        <v>300</v>
      </c>
      <c r="N367" s="115">
        <v>60</v>
      </c>
      <c r="O367" s="78" t="str">
        <f t="shared" si="30"/>
        <v/>
      </c>
      <c r="P367" s="121">
        <f t="shared" si="31"/>
        <v>0</v>
      </c>
      <c r="Q367" s="115">
        <f t="shared" si="28"/>
        <v>0</v>
      </c>
      <c r="R367" s="122"/>
      <c r="S367" s="122"/>
      <c r="T367" s="122"/>
      <c r="U367" s="122"/>
      <c r="V367" s="122"/>
      <c r="W367" s="122"/>
      <c r="X367" s="128"/>
      <c r="Y367" s="128"/>
      <c r="Z367" s="128"/>
      <c r="AA367" s="122"/>
      <c r="AB367" s="122"/>
      <c r="AC367" s="122"/>
      <c r="AD367" s="122"/>
      <c r="AE367" s="118"/>
      <c r="AF367" s="77"/>
      <c r="AG367" s="76" t="str">
        <f t="shared" si="25"/>
        <v/>
      </c>
    </row>
    <row r="368" spans="2:33" x14ac:dyDescent="0.25">
      <c r="B368" s="182"/>
      <c r="C368" s="116"/>
      <c r="D368" s="117"/>
      <c r="E368" s="118"/>
      <c r="F368" s="126"/>
      <c r="G368" s="127"/>
      <c r="H368" s="119"/>
      <c r="I368" s="119">
        <f t="shared" si="26"/>
        <v>0</v>
      </c>
      <c r="J368" s="115">
        <f t="shared" si="27"/>
        <v>0</v>
      </c>
      <c r="K368" s="80" t="str">
        <f t="shared" si="29"/>
        <v/>
      </c>
      <c r="L368" s="120"/>
      <c r="M368" s="8">
        <v>300</v>
      </c>
      <c r="N368" s="115">
        <v>60</v>
      </c>
      <c r="O368" s="78" t="str">
        <f t="shared" si="30"/>
        <v/>
      </c>
      <c r="P368" s="121">
        <f t="shared" si="31"/>
        <v>0</v>
      </c>
      <c r="Q368" s="115">
        <f t="shared" si="28"/>
        <v>0</v>
      </c>
      <c r="R368" s="122"/>
      <c r="S368" s="122"/>
      <c r="T368" s="122"/>
      <c r="U368" s="122"/>
      <c r="V368" s="122"/>
      <c r="W368" s="122"/>
      <c r="X368" s="128"/>
      <c r="Y368" s="128"/>
      <c r="Z368" s="128"/>
      <c r="AA368" s="122"/>
      <c r="AB368" s="122"/>
      <c r="AC368" s="122"/>
      <c r="AD368" s="122"/>
      <c r="AE368" s="118"/>
      <c r="AF368" s="77"/>
      <c r="AG368" s="76" t="str">
        <f t="shared" si="25"/>
        <v/>
      </c>
    </row>
    <row r="369" spans="2:33" x14ac:dyDescent="0.25">
      <c r="B369" s="182"/>
      <c r="C369" s="116"/>
      <c r="D369" s="117"/>
      <c r="E369" s="118"/>
      <c r="F369" s="126"/>
      <c r="G369" s="127"/>
      <c r="H369" s="119"/>
      <c r="I369" s="119">
        <f t="shared" si="26"/>
        <v>0</v>
      </c>
      <c r="J369" s="115">
        <f t="shared" si="27"/>
        <v>0</v>
      </c>
      <c r="K369" s="80" t="str">
        <f t="shared" si="29"/>
        <v/>
      </c>
      <c r="L369" s="120"/>
      <c r="M369" s="8">
        <v>300</v>
      </c>
      <c r="N369" s="115">
        <v>60</v>
      </c>
      <c r="O369" s="78" t="str">
        <f t="shared" si="30"/>
        <v/>
      </c>
      <c r="P369" s="121">
        <f t="shared" si="31"/>
        <v>0</v>
      </c>
      <c r="Q369" s="115">
        <f t="shared" si="28"/>
        <v>0</v>
      </c>
      <c r="R369" s="122"/>
      <c r="S369" s="122"/>
      <c r="T369" s="122"/>
      <c r="U369" s="122"/>
      <c r="V369" s="122"/>
      <c r="W369" s="122"/>
      <c r="X369" s="128"/>
      <c r="Y369" s="128"/>
      <c r="Z369" s="128"/>
      <c r="AA369" s="122"/>
      <c r="AB369" s="122"/>
      <c r="AC369" s="122"/>
      <c r="AD369" s="122"/>
      <c r="AE369" s="118"/>
      <c r="AF369" s="77"/>
      <c r="AG369" s="76" t="str">
        <f t="shared" si="25"/>
        <v/>
      </c>
    </row>
    <row r="370" spans="2:33" x14ac:dyDescent="0.25">
      <c r="B370" s="182"/>
      <c r="C370" s="116"/>
      <c r="D370" s="117"/>
      <c r="E370" s="118"/>
      <c r="F370" s="126"/>
      <c r="G370" s="127"/>
      <c r="H370" s="119"/>
      <c r="I370" s="119">
        <f t="shared" si="26"/>
        <v>0</v>
      </c>
      <c r="J370" s="115">
        <f t="shared" si="27"/>
        <v>0</v>
      </c>
      <c r="K370" s="80" t="str">
        <f t="shared" si="29"/>
        <v/>
      </c>
      <c r="L370" s="120"/>
      <c r="M370" s="8">
        <v>300</v>
      </c>
      <c r="N370" s="115">
        <v>60</v>
      </c>
      <c r="O370" s="78" t="str">
        <f t="shared" si="30"/>
        <v/>
      </c>
      <c r="P370" s="121">
        <f t="shared" si="31"/>
        <v>0</v>
      </c>
      <c r="Q370" s="115">
        <f t="shared" si="28"/>
        <v>0</v>
      </c>
      <c r="R370" s="122"/>
      <c r="S370" s="122"/>
      <c r="T370" s="122"/>
      <c r="U370" s="122"/>
      <c r="V370" s="122"/>
      <c r="W370" s="122"/>
      <c r="X370" s="128"/>
      <c r="Y370" s="128"/>
      <c r="Z370" s="128"/>
      <c r="AA370" s="122"/>
      <c r="AB370" s="122"/>
      <c r="AC370" s="122"/>
      <c r="AD370" s="122"/>
      <c r="AE370" s="118"/>
      <c r="AF370" s="77"/>
      <c r="AG370" s="76" t="str">
        <f t="shared" si="25"/>
        <v/>
      </c>
    </row>
    <row r="371" spans="2:33" x14ac:dyDescent="0.25">
      <c r="B371" s="182"/>
      <c r="C371" s="116"/>
      <c r="D371" s="117"/>
      <c r="E371" s="118"/>
      <c r="F371" s="126"/>
      <c r="G371" s="127"/>
      <c r="H371" s="119"/>
      <c r="I371" s="119">
        <f t="shared" si="26"/>
        <v>0</v>
      </c>
      <c r="J371" s="115">
        <f t="shared" si="27"/>
        <v>0</v>
      </c>
      <c r="K371" s="80" t="str">
        <f t="shared" si="29"/>
        <v/>
      </c>
      <c r="L371" s="120"/>
      <c r="M371" s="8">
        <v>300</v>
      </c>
      <c r="N371" s="115">
        <v>60</v>
      </c>
      <c r="O371" s="78" t="str">
        <f t="shared" si="30"/>
        <v/>
      </c>
      <c r="P371" s="121">
        <f t="shared" si="31"/>
        <v>0</v>
      </c>
      <c r="Q371" s="115">
        <f t="shared" si="28"/>
        <v>0</v>
      </c>
      <c r="R371" s="122"/>
      <c r="S371" s="122"/>
      <c r="T371" s="122"/>
      <c r="U371" s="122"/>
      <c r="V371" s="122"/>
      <c r="W371" s="122"/>
      <c r="X371" s="128"/>
      <c r="Y371" s="128"/>
      <c r="Z371" s="128"/>
      <c r="AA371" s="122"/>
      <c r="AB371" s="122"/>
      <c r="AC371" s="122"/>
      <c r="AD371" s="122"/>
      <c r="AE371" s="118"/>
      <c r="AF371" s="77"/>
      <c r="AG371" s="76" t="str">
        <f t="shared" si="25"/>
        <v/>
      </c>
    </row>
    <row r="372" spans="2:33" x14ac:dyDescent="0.25">
      <c r="B372" s="182"/>
      <c r="C372" s="116"/>
      <c r="D372" s="117"/>
      <c r="E372" s="118"/>
      <c r="F372" s="126"/>
      <c r="G372" s="127"/>
      <c r="H372" s="119"/>
      <c r="I372" s="119">
        <f t="shared" si="26"/>
        <v>0</v>
      </c>
      <c r="J372" s="115">
        <f t="shared" si="27"/>
        <v>0</v>
      </c>
      <c r="K372" s="80" t="str">
        <f t="shared" si="29"/>
        <v/>
      </c>
      <c r="L372" s="120"/>
      <c r="M372" s="8">
        <v>300</v>
      </c>
      <c r="N372" s="115">
        <v>60</v>
      </c>
      <c r="O372" s="78" t="str">
        <f t="shared" si="30"/>
        <v/>
      </c>
      <c r="P372" s="121">
        <f t="shared" si="31"/>
        <v>0</v>
      </c>
      <c r="Q372" s="115">
        <f t="shared" si="28"/>
        <v>0</v>
      </c>
      <c r="R372" s="122"/>
      <c r="S372" s="122"/>
      <c r="T372" s="122"/>
      <c r="U372" s="122"/>
      <c r="V372" s="122"/>
      <c r="W372" s="122"/>
      <c r="X372" s="128"/>
      <c r="Y372" s="128"/>
      <c r="Z372" s="128"/>
      <c r="AA372" s="122"/>
      <c r="AB372" s="122"/>
      <c r="AC372" s="122"/>
      <c r="AD372" s="122"/>
      <c r="AE372" s="118"/>
      <c r="AF372" s="77"/>
      <c r="AG372" s="76" t="str">
        <f t="shared" si="25"/>
        <v/>
      </c>
    </row>
    <row r="373" spans="2:33" x14ac:dyDescent="0.25">
      <c r="B373" s="182"/>
      <c r="C373" s="116"/>
      <c r="D373" s="117"/>
      <c r="E373" s="118"/>
      <c r="F373" s="126"/>
      <c r="G373" s="127"/>
      <c r="H373" s="119"/>
      <c r="I373" s="119">
        <f t="shared" si="26"/>
        <v>0</v>
      </c>
      <c r="J373" s="115">
        <f t="shared" si="27"/>
        <v>0</v>
      </c>
      <c r="K373" s="80" t="str">
        <f t="shared" si="29"/>
        <v/>
      </c>
      <c r="L373" s="120"/>
      <c r="M373" s="8">
        <v>300</v>
      </c>
      <c r="N373" s="115">
        <v>60</v>
      </c>
      <c r="O373" s="78" t="str">
        <f t="shared" si="30"/>
        <v/>
      </c>
      <c r="P373" s="121">
        <f t="shared" si="31"/>
        <v>0</v>
      </c>
      <c r="Q373" s="115">
        <f t="shared" si="28"/>
        <v>0</v>
      </c>
      <c r="R373" s="122"/>
      <c r="S373" s="122"/>
      <c r="T373" s="122"/>
      <c r="U373" s="122"/>
      <c r="V373" s="122"/>
      <c r="W373" s="122"/>
      <c r="X373" s="128"/>
      <c r="Y373" s="128"/>
      <c r="Z373" s="128"/>
      <c r="AA373" s="122"/>
      <c r="AB373" s="122"/>
      <c r="AC373" s="122"/>
      <c r="AD373" s="122"/>
      <c r="AE373" s="118"/>
      <c r="AF373" s="77"/>
      <c r="AG373" s="76" t="str">
        <f t="shared" si="25"/>
        <v/>
      </c>
    </row>
    <row r="374" spans="2:33" x14ac:dyDescent="0.25">
      <c r="B374" s="182"/>
      <c r="C374" s="116"/>
      <c r="D374" s="117"/>
      <c r="E374" s="118"/>
      <c r="F374" s="126"/>
      <c r="G374" s="127"/>
      <c r="H374" s="119"/>
      <c r="I374" s="119">
        <f t="shared" si="26"/>
        <v>0</v>
      </c>
      <c r="J374" s="115">
        <f t="shared" si="27"/>
        <v>0</v>
      </c>
      <c r="K374" s="80" t="str">
        <f t="shared" si="29"/>
        <v/>
      </c>
      <c r="L374" s="120"/>
      <c r="M374" s="8">
        <v>300</v>
      </c>
      <c r="N374" s="115">
        <v>60</v>
      </c>
      <c r="O374" s="78" t="str">
        <f t="shared" si="30"/>
        <v/>
      </c>
      <c r="P374" s="121">
        <f t="shared" si="31"/>
        <v>0</v>
      </c>
      <c r="Q374" s="115">
        <f t="shared" si="28"/>
        <v>0</v>
      </c>
      <c r="R374" s="122"/>
      <c r="S374" s="122"/>
      <c r="T374" s="122"/>
      <c r="U374" s="122"/>
      <c r="V374" s="122"/>
      <c r="W374" s="122"/>
      <c r="X374" s="128"/>
      <c r="Y374" s="128"/>
      <c r="Z374" s="128"/>
      <c r="AA374" s="122"/>
      <c r="AB374" s="122"/>
      <c r="AC374" s="122"/>
      <c r="AD374" s="122"/>
      <c r="AE374" s="118"/>
      <c r="AF374" s="77"/>
      <c r="AG374" s="76" t="str">
        <f t="shared" si="25"/>
        <v/>
      </c>
    </row>
    <row r="375" spans="2:33" x14ac:dyDescent="0.25">
      <c r="B375" s="182"/>
      <c r="C375" s="116"/>
      <c r="D375" s="117"/>
      <c r="E375" s="118"/>
      <c r="F375" s="126"/>
      <c r="G375" s="127"/>
      <c r="H375" s="119"/>
      <c r="I375" s="119">
        <f t="shared" si="26"/>
        <v>0</v>
      </c>
      <c r="J375" s="115">
        <f t="shared" si="27"/>
        <v>0</v>
      </c>
      <c r="K375" s="80" t="str">
        <f t="shared" si="29"/>
        <v/>
      </c>
      <c r="L375" s="120"/>
      <c r="M375" s="8">
        <v>300</v>
      </c>
      <c r="N375" s="115">
        <v>60</v>
      </c>
      <c r="O375" s="78" t="str">
        <f t="shared" si="30"/>
        <v/>
      </c>
      <c r="P375" s="121">
        <f t="shared" si="31"/>
        <v>0</v>
      </c>
      <c r="Q375" s="115">
        <f t="shared" si="28"/>
        <v>0</v>
      </c>
      <c r="R375" s="122"/>
      <c r="S375" s="122"/>
      <c r="T375" s="122"/>
      <c r="U375" s="122"/>
      <c r="V375" s="122"/>
      <c r="W375" s="122"/>
      <c r="X375" s="128"/>
      <c r="Y375" s="128"/>
      <c r="Z375" s="128"/>
      <c r="AA375" s="122"/>
      <c r="AB375" s="122"/>
      <c r="AC375" s="122"/>
      <c r="AD375" s="122"/>
      <c r="AE375" s="118"/>
      <c r="AF375" s="77"/>
      <c r="AG375" s="76" t="str">
        <f t="shared" si="25"/>
        <v/>
      </c>
    </row>
    <row r="376" spans="2:33" x14ac:dyDescent="0.25">
      <c r="B376" s="182"/>
      <c r="C376" s="116"/>
      <c r="D376" s="117"/>
      <c r="E376" s="118"/>
      <c r="F376" s="126"/>
      <c r="G376" s="127"/>
      <c r="H376" s="119"/>
      <c r="I376" s="119">
        <f t="shared" si="26"/>
        <v>0</v>
      </c>
      <c r="J376" s="115">
        <f t="shared" si="27"/>
        <v>0</v>
      </c>
      <c r="K376" s="80" t="str">
        <f t="shared" si="29"/>
        <v/>
      </c>
      <c r="L376" s="120"/>
      <c r="M376" s="8">
        <v>300</v>
      </c>
      <c r="N376" s="115">
        <v>60</v>
      </c>
      <c r="O376" s="78" t="str">
        <f t="shared" si="30"/>
        <v/>
      </c>
      <c r="P376" s="121">
        <f t="shared" si="31"/>
        <v>0</v>
      </c>
      <c r="Q376" s="115">
        <f t="shared" si="28"/>
        <v>0</v>
      </c>
      <c r="R376" s="122"/>
      <c r="S376" s="122"/>
      <c r="T376" s="122"/>
      <c r="U376" s="122"/>
      <c r="V376" s="122"/>
      <c r="W376" s="122"/>
      <c r="X376" s="128"/>
      <c r="Y376" s="128"/>
      <c r="Z376" s="128"/>
      <c r="AA376" s="122"/>
      <c r="AB376" s="122"/>
      <c r="AC376" s="122"/>
      <c r="AD376" s="122"/>
      <c r="AE376" s="118"/>
      <c r="AF376" s="77"/>
      <c r="AG376" s="76" t="str">
        <f t="shared" si="25"/>
        <v/>
      </c>
    </row>
    <row r="377" spans="2:33" x14ac:dyDescent="0.25">
      <c r="B377" s="182"/>
      <c r="C377" s="116"/>
      <c r="D377" s="117"/>
      <c r="E377" s="118"/>
      <c r="F377" s="126"/>
      <c r="G377" s="127"/>
      <c r="H377" s="119"/>
      <c r="I377" s="119">
        <f t="shared" si="26"/>
        <v>0</v>
      </c>
      <c r="J377" s="115">
        <f t="shared" si="27"/>
        <v>0</v>
      </c>
      <c r="K377" s="80" t="str">
        <f t="shared" si="29"/>
        <v/>
      </c>
      <c r="L377" s="120"/>
      <c r="M377" s="8">
        <v>300</v>
      </c>
      <c r="N377" s="115">
        <v>60</v>
      </c>
      <c r="O377" s="78" t="str">
        <f t="shared" si="30"/>
        <v/>
      </c>
      <c r="P377" s="121">
        <f t="shared" si="31"/>
        <v>0</v>
      </c>
      <c r="Q377" s="115">
        <f t="shared" si="28"/>
        <v>0</v>
      </c>
      <c r="R377" s="122"/>
      <c r="S377" s="122"/>
      <c r="T377" s="122"/>
      <c r="U377" s="122"/>
      <c r="V377" s="122"/>
      <c r="W377" s="122"/>
      <c r="X377" s="128"/>
      <c r="Y377" s="128"/>
      <c r="Z377" s="128"/>
      <c r="AA377" s="122"/>
      <c r="AB377" s="122"/>
      <c r="AC377" s="122"/>
      <c r="AD377" s="122"/>
      <c r="AE377" s="118"/>
      <c r="AF377" s="77"/>
      <c r="AG377" s="76" t="str">
        <f t="shared" si="25"/>
        <v/>
      </c>
    </row>
    <row r="378" spans="2:33" x14ac:dyDescent="0.25">
      <c r="B378" s="182"/>
      <c r="C378" s="116"/>
      <c r="D378" s="117"/>
      <c r="E378" s="118"/>
      <c r="F378" s="126"/>
      <c r="G378" s="127"/>
      <c r="H378" s="119"/>
      <c r="I378" s="119">
        <f t="shared" si="26"/>
        <v>0</v>
      </c>
      <c r="J378" s="115">
        <f t="shared" si="27"/>
        <v>0</v>
      </c>
      <c r="K378" s="80" t="str">
        <f t="shared" si="29"/>
        <v/>
      </c>
      <c r="L378" s="120"/>
      <c r="M378" s="8">
        <v>300</v>
      </c>
      <c r="N378" s="115">
        <v>60</v>
      </c>
      <c r="O378" s="78" t="str">
        <f t="shared" si="30"/>
        <v/>
      </c>
      <c r="P378" s="121">
        <f t="shared" si="31"/>
        <v>0</v>
      </c>
      <c r="Q378" s="115">
        <f t="shared" si="28"/>
        <v>0</v>
      </c>
      <c r="R378" s="122"/>
      <c r="S378" s="122"/>
      <c r="T378" s="122"/>
      <c r="U378" s="122"/>
      <c r="V378" s="122"/>
      <c r="W378" s="122"/>
      <c r="X378" s="128"/>
      <c r="Y378" s="128"/>
      <c r="Z378" s="128"/>
      <c r="AA378" s="122"/>
      <c r="AB378" s="122"/>
      <c r="AC378" s="122"/>
      <c r="AD378" s="122"/>
      <c r="AE378" s="118"/>
      <c r="AF378" s="77"/>
      <c r="AG378" s="76" t="str">
        <f t="shared" si="25"/>
        <v/>
      </c>
    </row>
    <row r="379" spans="2:33" x14ac:dyDescent="0.25">
      <c r="B379" s="182"/>
      <c r="C379" s="116"/>
      <c r="D379" s="117"/>
      <c r="E379" s="118"/>
      <c r="F379" s="126"/>
      <c r="G379" s="127"/>
      <c r="H379" s="119"/>
      <c r="I379" s="119">
        <f t="shared" si="26"/>
        <v>0</v>
      </c>
      <c r="J379" s="115">
        <f t="shared" si="27"/>
        <v>0</v>
      </c>
      <c r="K379" s="80" t="str">
        <f t="shared" si="29"/>
        <v/>
      </c>
      <c r="L379" s="120"/>
      <c r="M379" s="8">
        <v>300</v>
      </c>
      <c r="N379" s="115">
        <v>60</v>
      </c>
      <c r="O379" s="78" t="str">
        <f t="shared" si="30"/>
        <v/>
      </c>
      <c r="P379" s="121">
        <f t="shared" si="31"/>
        <v>0</v>
      </c>
      <c r="Q379" s="115">
        <f t="shared" si="28"/>
        <v>0</v>
      </c>
      <c r="R379" s="122"/>
      <c r="S379" s="122"/>
      <c r="T379" s="122"/>
      <c r="U379" s="122"/>
      <c r="V379" s="122"/>
      <c r="W379" s="122"/>
      <c r="X379" s="128"/>
      <c r="Y379" s="128"/>
      <c r="Z379" s="128"/>
      <c r="AA379" s="122"/>
      <c r="AB379" s="122"/>
      <c r="AC379" s="122"/>
      <c r="AD379" s="122"/>
      <c r="AE379" s="118"/>
      <c r="AF379" s="77"/>
      <c r="AG379" s="76" t="str">
        <f t="shared" si="25"/>
        <v/>
      </c>
    </row>
    <row r="380" spans="2:33" x14ac:dyDescent="0.25">
      <c r="B380" s="182"/>
      <c r="C380" s="116"/>
      <c r="D380" s="117"/>
      <c r="E380" s="118"/>
      <c r="F380" s="126"/>
      <c r="G380" s="127"/>
      <c r="H380" s="119"/>
      <c r="I380" s="119">
        <f t="shared" si="26"/>
        <v>0</v>
      </c>
      <c r="J380" s="115">
        <f t="shared" si="27"/>
        <v>0</v>
      </c>
      <c r="K380" s="80" t="str">
        <f t="shared" si="29"/>
        <v/>
      </c>
      <c r="L380" s="120"/>
      <c r="M380" s="8">
        <v>300</v>
      </c>
      <c r="N380" s="115">
        <v>60</v>
      </c>
      <c r="O380" s="78" t="str">
        <f t="shared" si="30"/>
        <v/>
      </c>
      <c r="P380" s="121">
        <f t="shared" si="31"/>
        <v>0</v>
      </c>
      <c r="Q380" s="115">
        <f t="shared" si="28"/>
        <v>0</v>
      </c>
      <c r="R380" s="122"/>
      <c r="S380" s="122"/>
      <c r="T380" s="122"/>
      <c r="U380" s="122"/>
      <c r="V380" s="122"/>
      <c r="W380" s="122"/>
      <c r="X380" s="128"/>
      <c r="Y380" s="128"/>
      <c r="Z380" s="128"/>
      <c r="AA380" s="122"/>
      <c r="AB380" s="122"/>
      <c r="AC380" s="122"/>
      <c r="AD380" s="122"/>
      <c r="AE380" s="118"/>
      <c r="AF380" s="77"/>
      <c r="AG380" s="76" t="str">
        <f t="shared" si="25"/>
        <v/>
      </c>
    </row>
    <row r="381" spans="2:33" x14ac:dyDescent="0.25">
      <c r="B381" s="182"/>
      <c r="C381" s="116"/>
      <c r="D381" s="117"/>
      <c r="E381" s="118"/>
      <c r="F381" s="126"/>
      <c r="G381" s="127"/>
      <c r="H381" s="119"/>
      <c r="I381" s="119">
        <f t="shared" si="26"/>
        <v>0</v>
      </c>
      <c r="J381" s="115">
        <f t="shared" si="27"/>
        <v>0</v>
      </c>
      <c r="K381" s="80" t="str">
        <f t="shared" si="29"/>
        <v/>
      </c>
      <c r="L381" s="120"/>
      <c r="M381" s="8">
        <v>300</v>
      </c>
      <c r="N381" s="115">
        <v>60</v>
      </c>
      <c r="O381" s="78" t="str">
        <f t="shared" si="30"/>
        <v/>
      </c>
      <c r="P381" s="121">
        <f t="shared" si="31"/>
        <v>0</v>
      </c>
      <c r="Q381" s="115">
        <f t="shared" si="28"/>
        <v>0</v>
      </c>
      <c r="R381" s="122"/>
      <c r="S381" s="122"/>
      <c r="T381" s="122"/>
      <c r="U381" s="122"/>
      <c r="V381" s="122"/>
      <c r="W381" s="122"/>
      <c r="X381" s="128"/>
      <c r="Y381" s="128"/>
      <c r="Z381" s="128"/>
      <c r="AA381" s="122"/>
      <c r="AB381" s="122"/>
      <c r="AC381" s="122"/>
      <c r="AD381" s="122"/>
      <c r="AE381" s="118"/>
      <c r="AF381" s="77"/>
      <c r="AG381" s="76" t="str">
        <f t="shared" si="25"/>
        <v/>
      </c>
    </row>
    <row r="382" spans="2:33" x14ac:dyDescent="0.25">
      <c r="B382" s="182"/>
      <c r="C382" s="116"/>
      <c r="D382" s="117"/>
      <c r="E382" s="118"/>
      <c r="F382" s="126"/>
      <c r="G382" s="127"/>
      <c r="H382" s="119"/>
      <c r="I382" s="119">
        <f t="shared" si="26"/>
        <v>0</v>
      </c>
      <c r="J382" s="115">
        <f t="shared" si="27"/>
        <v>0</v>
      </c>
      <c r="K382" s="80" t="str">
        <f t="shared" si="29"/>
        <v/>
      </c>
      <c r="L382" s="120"/>
      <c r="M382" s="8">
        <v>300</v>
      </c>
      <c r="N382" s="115">
        <v>60</v>
      </c>
      <c r="O382" s="78" t="str">
        <f t="shared" si="30"/>
        <v/>
      </c>
      <c r="P382" s="121">
        <f t="shared" si="31"/>
        <v>0</v>
      </c>
      <c r="Q382" s="115">
        <f t="shared" si="28"/>
        <v>0</v>
      </c>
      <c r="R382" s="122"/>
      <c r="S382" s="122"/>
      <c r="T382" s="122"/>
      <c r="U382" s="122"/>
      <c r="V382" s="122"/>
      <c r="W382" s="122"/>
      <c r="X382" s="128"/>
      <c r="Y382" s="128"/>
      <c r="Z382" s="128"/>
      <c r="AA382" s="122"/>
      <c r="AB382" s="122"/>
      <c r="AC382" s="122"/>
      <c r="AD382" s="122"/>
      <c r="AE382" s="118"/>
      <c r="AF382" s="77"/>
      <c r="AG382" s="76" t="str">
        <f t="shared" si="25"/>
        <v/>
      </c>
    </row>
    <row r="383" spans="2:33" x14ac:dyDescent="0.25">
      <c r="B383" s="182"/>
      <c r="C383" s="116"/>
      <c r="D383" s="117"/>
      <c r="E383" s="118"/>
      <c r="F383" s="126"/>
      <c r="G383" s="127"/>
      <c r="H383" s="119"/>
      <c r="I383" s="119">
        <f t="shared" si="26"/>
        <v>0</v>
      </c>
      <c r="J383" s="115">
        <f t="shared" si="27"/>
        <v>0</v>
      </c>
      <c r="K383" s="80" t="str">
        <f t="shared" si="29"/>
        <v/>
      </c>
      <c r="L383" s="120"/>
      <c r="M383" s="8">
        <v>300</v>
      </c>
      <c r="N383" s="115">
        <v>60</v>
      </c>
      <c r="O383" s="78" t="str">
        <f t="shared" si="30"/>
        <v/>
      </c>
      <c r="P383" s="121">
        <f t="shared" si="31"/>
        <v>0</v>
      </c>
      <c r="Q383" s="115">
        <f t="shared" si="28"/>
        <v>0</v>
      </c>
      <c r="R383" s="122"/>
      <c r="S383" s="122"/>
      <c r="T383" s="122"/>
      <c r="U383" s="122"/>
      <c r="V383" s="122"/>
      <c r="W383" s="122"/>
      <c r="X383" s="128"/>
      <c r="Y383" s="128"/>
      <c r="Z383" s="128"/>
      <c r="AA383" s="122"/>
      <c r="AB383" s="122"/>
      <c r="AC383" s="122"/>
      <c r="AD383" s="122"/>
      <c r="AE383" s="118"/>
      <c r="AF383" s="77"/>
      <c r="AG383" s="76" t="str">
        <f t="shared" si="25"/>
        <v/>
      </c>
    </row>
    <row r="384" spans="2:33" x14ac:dyDescent="0.25">
      <c r="B384" s="182"/>
      <c r="C384" s="116"/>
      <c r="D384" s="117"/>
      <c r="E384" s="118"/>
      <c r="F384" s="126"/>
      <c r="G384" s="127"/>
      <c r="H384" s="119"/>
      <c r="I384" s="119">
        <f t="shared" si="26"/>
        <v>0</v>
      </c>
      <c r="J384" s="115">
        <f t="shared" si="27"/>
        <v>0</v>
      </c>
      <c r="K384" s="80" t="str">
        <f t="shared" si="29"/>
        <v/>
      </c>
      <c r="L384" s="120"/>
      <c r="M384" s="8">
        <v>300</v>
      </c>
      <c r="N384" s="115">
        <v>60</v>
      </c>
      <c r="O384" s="78" t="str">
        <f t="shared" si="30"/>
        <v/>
      </c>
      <c r="P384" s="121">
        <f t="shared" si="31"/>
        <v>0</v>
      </c>
      <c r="Q384" s="115">
        <f t="shared" si="28"/>
        <v>0</v>
      </c>
      <c r="R384" s="122"/>
      <c r="S384" s="122"/>
      <c r="T384" s="122"/>
      <c r="U384" s="122"/>
      <c r="V384" s="122"/>
      <c r="W384" s="122"/>
      <c r="X384" s="128"/>
      <c r="Y384" s="128"/>
      <c r="Z384" s="128"/>
      <c r="AA384" s="122"/>
      <c r="AB384" s="122"/>
      <c r="AC384" s="122"/>
      <c r="AD384" s="122"/>
      <c r="AE384" s="118"/>
      <c r="AF384" s="77"/>
      <c r="AG384" s="76" t="str">
        <f t="shared" si="25"/>
        <v/>
      </c>
    </row>
    <row r="385" spans="2:33" x14ac:dyDescent="0.25">
      <c r="B385" s="182"/>
      <c r="C385" s="116"/>
      <c r="D385" s="117"/>
      <c r="E385" s="118"/>
      <c r="F385" s="126"/>
      <c r="G385" s="127"/>
      <c r="H385" s="119"/>
      <c r="I385" s="119">
        <f t="shared" si="26"/>
        <v>0</v>
      </c>
      <c r="J385" s="115">
        <f t="shared" si="27"/>
        <v>0</v>
      </c>
      <c r="K385" s="80" t="str">
        <f t="shared" si="29"/>
        <v/>
      </c>
      <c r="L385" s="120"/>
      <c r="M385" s="8">
        <v>300</v>
      </c>
      <c r="N385" s="115">
        <v>60</v>
      </c>
      <c r="O385" s="78" t="str">
        <f t="shared" si="30"/>
        <v/>
      </c>
      <c r="P385" s="121">
        <f t="shared" si="31"/>
        <v>0</v>
      </c>
      <c r="Q385" s="115">
        <f t="shared" si="28"/>
        <v>0</v>
      </c>
      <c r="R385" s="122"/>
      <c r="S385" s="122"/>
      <c r="T385" s="122"/>
      <c r="U385" s="122"/>
      <c r="V385" s="122"/>
      <c r="W385" s="122"/>
      <c r="X385" s="128"/>
      <c r="Y385" s="128"/>
      <c r="Z385" s="128"/>
      <c r="AA385" s="122"/>
      <c r="AB385" s="122"/>
      <c r="AC385" s="122"/>
      <c r="AD385" s="122"/>
      <c r="AE385" s="118"/>
      <c r="AF385" s="77"/>
      <c r="AG385" s="76" t="str">
        <f t="shared" si="25"/>
        <v/>
      </c>
    </row>
    <row r="386" spans="2:33" x14ac:dyDescent="0.25">
      <c r="B386" s="182"/>
      <c r="C386" s="116"/>
      <c r="D386" s="117"/>
      <c r="E386" s="118"/>
      <c r="F386" s="126"/>
      <c r="G386" s="127"/>
      <c r="H386" s="119"/>
      <c r="I386" s="119">
        <f t="shared" si="26"/>
        <v>0</v>
      </c>
      <c r="J386" s="115">
        <f t="shared" si="27"/>
        <v>0</v>
      </c>
      <c r="K386" s="80" t="str">
        <f t="shared" si="29"/>
        <v/>
      </c>
      <c r="L386" s="120"/>
      <c r="M386" s="8">
        <v>300</v>
      </c>
      <c r="N386" s="115">
        <v>60</v>
      </c>
      <c r="O386" s="78" t="str">
        <f t="shared" si="30"/>
        <v/>
      </c>
      <c r="P386" s="121">
        <f t="shared" si="31"/>
        <v>0</v>
      </c>
      <c r="Q386" s="115">
        <f t="shared" si="28"/>
        <v>0</v>
      </c>
      <c r="R386" s="122"/>
      <c r="S386" s="122"/>
      <c r="T386" s="122"/>
      <c r="U386" s="122"/>
      <c r="V386" s="122"/>
      <c r="W386" s="122"/>
      <c r="X386" s="128"/>
      <c r="Y386" s="128"/>
      <c r="Z386" s="128"/>
      <c r="AA386" s="122"/>
      <c r="AB386" s="122"/>
      <c r="AC386" s="122"/>
      <c r="AD386" s="122"/>
      <c r="AE386" s="118"/>
      <c r="AF386" s="77"/>
      <c r="AG386" s="76" t="str">
        <f t="shared" si="25"/>
        <v/>
      </c>
    </row>
    <row r="387" spans="2:33" x14ac:dyDescent="0.25">
      <c r="B387" s="182"/>
      <c r="C387" s="116"/>
      <c r="D387" s="117"/>
      <c r="E387" s="118"/>
      <c r="F387" s="126"/>
      <c r="G387" s="127"/>
      <c r="H387" s="119"/>
      <c r="I387" s="119">
        <f t="shared" si="26"/>
        <v>0</v>
      </c>
      <c r="J387" s="115">
        <f t="shared" si="27"/>
        <v>0</v>
      </c>
      <c r="K387" s="80" t="str">
        <f t="shared" si="29"/>
        <v/>
      </c>
      <c r="L387" s="120"/>
      <c r="M387" s="8">
        <v>300</v>
      </c>
      <c r="N387" s="115">
        <v>60</v>
      </c>
      <c r="O387" s="78" t="str">
        <f t="shared" si="30"/>
        <v/>
      </c>
      <c r="P387" s="121">
        <f t="shared" si="31"/>
        <v>0</v>
      </c>
      <c r="Q387" s="115">
        <f t="shared" si="28"/>
        <v>0</v>
      </c>
      <c r="R387" s="122"/>
      <c r="S387" s="122"/>
      <c r="T387" s="122"/>
      <c r="U387" s="122"/>
      <c r="V387" s="122"/>
      <c r="W387" s="122"/>
      <c r="X387" s="128"/>
      <c r="Y387" s="128"/>
      <c r="Z387" s="128"/>
      <c r="AA387" s="122"/>
      <c r="AB387" s="122"/>
      <c r="AC387" s="122"/>
      <c r="AD387" s="122"/>
      <c r="AE387" s="118"/>
      <c r="AF387" s="77"/>
      <c r="AG387" s="76" t="str">
        <f t="shared" si="25"/>
        <v/>
      </c>
    </row>
    <row r="388" spans="2:33" x14ac:dyDescent="0.25">
      <c r="B388" s="182"/>
      <c r="C388" s="116"/>
      <c r="D388" s="117"/>
      <c r="E388" s="118"/>
      <c r="F388" s="126"/>
      <c r="G388" s="127"/>
      <c r="H388" s="119"/>
      <c r="I388" s="119">
        <f t="shared" si="26"/>
        <v>0</v>
      </c>
      <c r="J388" s="115">
        <f t="shared" si="27"/>
        <v>0</v>
      </c>
      <c r="K388" s="80" t="str">
        <f t="shared" si="29"/>
        <v/>
      </c>
      <c r="L388" s="120"/>
      <c r="M388" s="8">
        <v>300</v>
      </c>
      <c r="N388" s="115">
        <v>60</v>
      </c>
      <c r="O388" s="78" t="str">
        <f t="shared" si="30"/>
        <v/>
      </c>
      <c r="P388" s="121">
        <f t="shared" si="31"/>
        <v>0</v>
      </c>
      <c r="Q388" s="115">
        <f t="shared" si="28"/>
        <v>0</v>
      </c>
      <c r="R388" s="122"/>
      <c r="S388" s="122"/>
      <c r="T388" s="122"/>
      <c r="U388" s="122"/>
      <c r="V388" s="122"/>
      <c r="W388" s="122"/>
      <c r="X388" s="128"/>
      <c r="Y388" s="128"/>
      <c r="Z388" s="128"/>
      <c r="AA388" s="122"/>
      <c r="AB388" s="122"/>
      <c r="AC388" s="122"/>
      <c r="AD388" s="122"/>
      <c r="AE388" s="118"/>
      <c r="AF388" s="77"/>
      <c r="AG388" s="76" t="str">
        <f t="shared" si="25"/>
        <v/>
      </c>
    </row>
    <row r="389" spans="2:33" x14ac:dyDescent="0.25">
      <c r="B389" s="182"/>
      <c r="C389" s="116"/>
      <c r="D389" s="117"/>
      <c r="E389" s="118"/>
      <c r="F389" s="126"/>
      <c r="G389" s="127"/>
      <c r="H389" s="119"/>
      <c r="I389" s="119">
        <f t="shared" si="26"/>
        <v>0</v>
      </c>
      <c r="J389" s="115">
        <f t="shared" si="27"/>
        <v>0</v>
      </c>
      <c r="K389" s="80" t="str">
        <f t="shared" si="29"/>
        <v/>
      </c>
      <c r="L389" s="120"/>
      <c r="M389" s="8">
        <v>300</v>
      </c>
      <c r="N389" s="115">
        <v>60</v>
      </c>
      <c r="O389" s="78" t="str">
        <f t="shared" si="30"/>
        <v/>
      </c>
      <c r="P389" s="121">
        <f t="shared" si="31"/>
        <v>0</v>
      </c>
      <c r="Q389" s="115">
        <f t="shared" si="28"/>
        <v>0</v>
      </c>
      <c r="R389" s="122"/>
      <c r="S389" s="122"/>
      <c r="T389" s="122"/>
      <c r="U389" s="122"/>
      <c r="V389" s="122"/>
      <c r="W389" s="122"/>
      <c r="X389" s="128"/>
      <c r="Y389" s="128"/>
      <c r="Z389" s="128"/>
      <c r="AA389" s="122"/>
      <c r="AB389" s="122"/>
      <c r="AC389" s="122"/>
      <c r="AD389" s="122"/>
      <c r="AE389" s="118"/>
      <c r="AF389" s="77"/>
      <c r="AG389" s="76" t="str">
        <f t="shared" si="25"/>
        <v/>
      </c>
    </row>
    <row r="390" spans="2:33" x14ac:dyDescent="0.25">
      <c r="B390" s="182"/>
      <c r="C390" s="116"/>
      <c r="D390" s="117"/>
      <c r="E390" s="118"/>
      <c r="F390" s="126"/>
      <c r="G390" s="127"/>
      <c r="H390" s="119"/>
      <c r="I390" s="119">
        <f t="shared" si="26"/>
        <v>0</v>
      </c>
      <c r="J390" s="115">
        <f t="shared" si="27"/>
        <v>0</v>
      </c>
      <c r="K390" s="80" t="str">
        <f t="shared" si="29"/>
        <v/>
      </c>
      <c r="L390" s="120"/>
      <c r="M390" s="8">
        <v>300</v>
      </c>
      <c r="N390" s="115">
        <v>60</v>
      </c>
      <c r="O390" s="78" t="str">
        <f t="shared" si="30"/>
        <v/>
      </c>
      <c r="P390" s="121">
        <f t="shared" si="31"/>
        <v>0</v>
      </c>
      <c r="Q390" s="115">
        <f t="shared" si="28"/>
        <v>0</v>
      </c>
      <c r="R390" s="122"/>
      <c r="S390" s="122"/>
      <c r="T390" s="122"/>
      <c r="U390" s="122"/>
      <c r="V390" s="122"/>
      <c r="W390" s="122"/>
      <c r="X390" s="128"/>
      <c r="Y390" s="128"/>
      <c r="Z390" s="128"/>
      <c r="AA390" s="122"/>
      <c r="AB390" s="122"/>
      <c r="AC390" s="122"/>
      <c r="AD390" s="122"/>
      <c r="AE390" s="118"/>
      <c r="AF390" s="77"/>
      <c r="AG390" s="76" t="str">
        <f t="shared" si="25"/>
        <v/>
      </c>
    </row>
    <row r="391" spans="2:33" x14ac:dyDescent="0.25">
      <c r="B391" s="182"/>
      <c r="C391" s="116"/>
      <c r="D391" s="117"/>
      <c r="E391" s="118"/>
      <c r="F391" s="126"/>
      <c r="G391" s="127"/>
      <c r="H391" s="119"/>
      <c r="I391" s="119">
        <f t="shared" si="26"/>
        <v>0</v>
      </c>
      <c r="J391" s="115">
        <f t="shared" si="27"/>
        <v>0</v>
      </c>
      <c r="K391" s="80" t="str">
        <f t="shared" si="29"/>
        <v/>
      </c>
      <c r="L391" s="120"/>
      <c r="M391" s="8">
        <v>300</v>
      </c>
      <c r="N391" s="115">
        <v>60</v>
      </c>
      <c r="O391" s="78" t="str">
        <f t="shared" si="30"/>
        <v/>
      </c>
      <c r="P391" s="121">
        <f t="shared" si="31"/>
        <v>0</v>
      </c>
      <c r="Q391" s="115">
        <f t="shared" si="28"/>
        <v>0</v>
      </c>
      <c r="R391" s="122"/>
      <c r="S391" s="122"/>
      <c r="T391" s="122"/>
      <c r="U391" s="122"/>
      <c r="V391" s="122"/>
      <c r="W391" s="122"/>
      <c r="X391" s="128"/>
      <c r="Y391" s="128"/>
      <c r="Z391" s="128"/>
      <c r="AA391" s="122"/>
      <c r="AB391" s="122"/>
      <c r="AC391" s="122"/>
      <c r="AD391" s="122"/>
      <c r="AE391" s="118"/>
      <c r="AF391" s="77"/>
      <c r="AG391" s="76" t="str">
        <f t="shared" si="25"/>
        <v/>
      </c>
    </row>
    <row r="392" spans="2:33" x14ac:dyDescent="0.25">
      <c r="B392" s="182"/>
      <c r="C392" s="116"/>
      <c r="D392" s="117"/>
      <c r="E392" s="118"/>
      <c r="F392" s="126"/>
      <c r="G392" s="127"/>
      <c r="H392" s="119"/>
      <c r="I392" s="119">
        <f t="shared" si="26"/>
        <v>0</v>
      </c>
      <c r="J392" s="115">
        <f t="shared" si="27"/>
        <v>0</v>
      </c>
      <c r="K392" s="80" t="str">
        <f t="shared" si="29"/>
        <v/>
      </c>
      <c r="L392" s="120"/>
      <c r="M392" s="8">
        <v>300</v>
      </c>
      <c r="N392" s="115">
        <v>60</v>
      </c>
      <c r="O392" s="78" t="str">
        <f t="shared" si="30"/>
        <v/>
      </c>
      <c r="P392" s="121">
        <f t="shared" si="31"/>
        <v>0</v>
      </c>
      <c r="Q392" s="115">
        <f t="shared" si="28"/>
        <v>0</v>
      </c>
      <c r="R392" s="122"/>
      <c r="S392" s="122"/>
      <c r="T392" s="122"/>
      <c r="U392" s="122"/>
      <c r="V392" s="122"/>
      <c r="W392" s="122"/>
      <c r="X392" s="128"/>
      <c r="Y392" s="128"/>
      <c r="Z392" s="128"/>
      <c r="AA392" s="122"/>
      <c r="AB392" s="122"/>
      <c r="AC392" s="122"/>
      <c r="AD392" s="122"/>
      <c r="AE392" s="118"/>
      <c r="AF392" s="77"/>
      <c r="AG392" s="76" t="str">
        <f t="shared" si="25"/>
        <v/>
      </c>
    </row>
    <row r="393" spans="2:33" x14ac:dyDescent="0.25">
      <c r="B393" s="182"/>
      <c r="C393" s="116"/>
      <c r="D393" s="117"/>
      <c r="E393" s="118"/>
      <c r="F393" s="126"/>
      <c r="G393" s="127"/>
      <c r="H393" s="119"/>
      <c r="I393" s="119">
        <f t="shared" si="26"/>
        <v>0</v>
      </c>
      <c r="J393" s="115">
        <f t="shared" si="27"/>
        <v>0</v>
      </c>
      <c r="K393" s="80" t="str">
        <f t="shared" si="29"/>
        <v/>
      </c>
      <c r="L393" s="120"/>
      <c r="M393" s="8">
        <v>300</v>
      </c>
      <c r="N393" s="115">
        <v>60</v>
      </c>
      <c r="O393" s="78" t="str">
        <f t="shared" si="30"/>
        <v/>
      </c>
      <c r="P393" s="121">
        <f t="shared" si="31"/>
        <v>0</v>
      </c>
      <c r="Q393" s="115">
        <f t="shared" si="28"/>
        <v>0</v>
      </c>
      <c r="R393" s="122"/>
      <c r="S393" s="122"/>
      <c r="T393" s="122"/>
      <c r="U393" s="122"/>
      <c r="V393" s="122"/>
      <c r="W393" s="122"/>
      <c r="X393" s="128"/>
      <c r="Y393" s="128"/>
      <c r="Z393" s="128"/>
      <c r="AA393" s="122"/>
      <c r="AB393" s="122"/>
      <c r="AC393" s="122"/>
      <c r="AD393" s="122"/>
      <c r="AE393" s="118"/>
      <c r="AF393" s="77"/>
      <c r="AG393" s="76" t="str">
        <f t="shared" si="25"/>
        <v/>
      </c>
    </row>
    <row r="394" spans="2:33" x14ac:dyDescent="0.25">
      <c r="B394" s="182"/>
      <c r="C394" s="116"/>
      <c r="D394" s="117"/>
      <c r="E394" s="118"/>
      <c r="F394" s="126"/>
      <c r="G394" s="127"/>
      <c r="H394" s="119"/>
      <c r="I394" s="119">
        <f t="shared" si="26"/>
        <v>0</v>
      </c>
      <c r="J394" s="115">
        <f t="shared" si="27"/>
        <v>0</v>
      </c>
      <c r="K394" s="80" t="str">
        <f t="shared" si="29"/>
        <v/>
      </c>
      <c r="L394" s="120"/>
      <c r="M394" s="8">
        <v>300</v>
      </c>
      <c r="N394" s="115">
        <v>60</v>
      </c>
      <c r="O394" s="78" t="str">
        <f t="shared" si="30"/>
        <v/>
      </c>
      <c r="P394" s="121">
        <f t="shared" si="31"/>
        <v>0</v>
      </c>
      <c r="Q394" s="115">
        <f t="shared" si="28"/>
        <v>0</v>
      </c>
      <c r="R394" s="122"/>
      <c r="S394" s="122"/>
      <c r="T394" s="122"/>
      <c r="U394" s="122"/>
      <c r="V394" s="122"/>
      <c r="W394" s="122"/>
      <c r="X394" s="128"/>
      <c r="Y394" s="128"/>
      <c r="Z394" s="128"/>
      <c r="AA394" s="122"/>
      <c r="AB394" s="122"/>
      <c r="AC394" s="122"/>
      <c r="AD394" s="122"/>
      <c r="AE394" s="118"/>
      <c r="AF394" s="77"/>
      <c r="AG394" s="76" t="str">
        <f t="shared" si="25"/>
        <v/>
      </c>
    </row>
    <row r="395" spans="2:33" x14ac:dyDescent="0.25">
      <c r="B395" s="182"/>
      <c r="C395" s="116"/>
      <c r="D395" s="117"/>
      <c r="E395" s="118"/>
      <c r="F395" s="126"/>
      <c r="G395" s="127"/>
      <c r="H395" s="119"/>
      <c r="I395" s="119">
        <f t="shared" si="26"/>
        <v>0</v>
      </c>
      <c r="J395" s="115">
        <f t="shared" si="27"/>
        <v>0</v>
      </c>
      <c r="K395" s="80" t="str">
        <f t="shared" si="29"/>
        <v/>
      </c>
      <c r="L395" s="120"/>
      <c r="M395" s="8">
        <v>300</v>
      </c>
      <c r="N395" s="115">
        <v>60</v>
      </c>
      <c r="O395" s="78" t="str">
        <f t="shared" si="30"/>
        <v/>
      </c>
      <c r="P395" s="121">
        <f t="shared" si="31"/>
        <v>0</v>
      </c>
      <c r="Q395" s="115">
        <f t="shared" si="28"/>
        <v>0</v>
      </c>
      <c r="R395" s="122"/>
      <c r="S395" s="122"/>
      <c r="T395" s="122"/>
      <c r="U395" s="122"/>
      <c r="V395" s="122"/>
      <c r="W395" s="122"/>
      <c r="X395" s="128"/>
      <c r="Y395" s="128"/>
      <c r="Z395" s="128"/>
      <c r="AA395" s="122"/>
      <c r="AB395" s="122"/>
      <c r="AC395" s="122"/>
      <c r="AD395" s="122"/>
      <c r="AE395" s="118"/>
      <c r="AF395" s="77"/>
      <c r="AG395" s="76" t="str">
        <f t="shared" si="25"/>
        <v/>
      </c>
    </row>
    <row r="396" spans="2:33" x14ac:dyDescent="0.25">
      <c r="B396" s="182"/>
      <c r="C396" s="116"/>
      <c r="D396" s="117"/>
      <c r="E396" s="118"/>
      <c r="F396" s="126"/>
      <c r="G396" s="127"/>
      <c r="H396" s="119"/>
      <c r="I396" s="119">
        <f t="shared" si="26"/>
        <v>0</v>
      </c>
      <c r="J396" s="115">
        <f t="shared" si="27"/>
        <v>0</v>
      </c>
      <c r="K396" s="80" t="str">
        <f t="shared" si="29"/>
        <v/>
      </c>
      <c r="L396" s="120"/>
      <c r="M396" s="8">
        <v>300</v>
      </c>
      <c r="N396" s="115">
        <v>60</v>
      </c>
      <c r="O396" s="78" t="str">
        <f t="shared" si="30"/>
        <v/>
      </c>
      <c r="P396" s="121">
        <f t="shared" si="31"/>
        <v>0</v>
      </c>
      <c r="Q396" s="115">
        <f t="shared" si="28"/>
        <v>0</v>
      </c>
      <c r="R396" s="122"/>
      <c r="S396" s="122"/>
      <c r="T396" s="122"/>
      <c r="U396" s="122"/>
      <c r="V396" s="122"/>
      <c r="W396" s="122"/>
      <c r="X396" s="128"/>
      <c r="Y396" s="128"/>
      <c r="Z396" s="128"/>
      <c r="AA396" s="122"/>
      <c r="AB396" s="122"/>
      <c r="AC396" s="122"/>
      <c r="AD396" s="122"/>
      <c r="AE396" s="118"/>
      <c r="AF396" s="77"/>
      <c r="AG396" s="76" t="str">
        <f t="shared" si="25"/>
        <v/>
      </c>
    </row>
    <row r="397" spans="2:33" x14ac:dyDescent="0.25">
      <c r="B397" s="182"/>
      <c r="C397" s="116"/>
      <c r="D397" s="117"/>
      <c r="E397" s="118"/>
      <c r="F397" s="126"/>
      <c r="G397" s="127"/>
      <c r="H397" s="119"/>
      <c r="I397" s="119">
        <f t="shared" si="26"/>
        <v>0</v>
      </c>
      <c r="J397" s="115">
        <f t="shared" si="27"/>
        <v>0</v>
      </c>
      <c r="K397" s="80" t="str">
        <f t="shared" si="29"/>
        <v/>
      </c>
      <c r="L397" s="120"/>
      <c r="M397" s="8">
        <v>300</v>
      </c>
      <c r="N397" s="115">
        <v>60</v>
      </c>
      <c r="O397" s="78" t="str">
        <f t="shared" si="30"/>
        <v/>
      </c>
      <c r="P397" s="121">
        <f t="shared" si="31"/>
        <v>0</v>
      </c>
      <c r="Q397" s="115">
        <f t="shared" si="28"/>
        <v>0</v>
      </c>
      <c r="R397" s="122"/>
      <c r="S397" s="122"/>
      <c r="T397" s="122"/>
      <c r="U397" s="122"/>
      <c r="V397" s="122"/>
      <c r="W397" s="122"/>
      <c r="X397" s="128"/>
      <c r="Y397" s="128"/>
      <c r="Z397" s="128"/>
      <c r="AA397" s="122"/>
      <c r="AB397" s="122"/>
      <c r="AC397" s="122"/>
      <c r="AD397" s="122"/>
      <c r="AE397" s="118"/>
      <c r="AF397" s="77"/>
      <c r="AG397" s="76" t="str">
        <f t="shared" si="25"/>
        <v/>
      </c>
    </row>
    <row r="398" spans="2:33" x14ac:dyDescent="0.25">
      <c r="B398" s="182"/>
      <c r="C398" s="116"/>
      <c r="D398" s="117"/>
      <c r="E398" s="118"/>
      <c r="F398" s="126"/>
      <c r="G398" s="127"/>
      <c r="H398" s="119"/>
      <c r="I398" s="119">
        <f t="shared" si="26"/>
        <v>0</v>
      </c>
      <c r="J398" s="115">
        <f t="shared" si="27"/>
        <v>0</v>
      </c>
      <c r="K398" s="80" t="str">
        <f t="shared" si="29"/>
        <v/>
      </c>
      <c r="L398" s="120"/>
      <c r="M398" s="8">
        <v>300</v>
      </c>
      <c r="N398" s="115">
        <v>60</v>
      </c>
      <c r="O398" s="78" t="str">
        <f t="shared" si="30"/>
        <v/>
      </c>
      <c r="P398" s="121">
        <f t="shared" si="31"/>
        <v>0</v>
      </c>
      <c r="Q398" s="115">
        <f t="shared" si="28"/>
        <v>0</v>
      </c>
      <c r="R398" s="122"/>
      <c r="S398" s="122"/>
      <c r="T398" s="122"/>
      <c r="U398" s="122"/>
      <c r="V398" s="122"/>
      <c r="W398" s="122"/>
      <c r="X398" s="128"/>
      <c r="Y398" s="128"/>
      <c r="Z398" s="128"/>
      <c r="AA398" s="122"/>
      <c r="AB398" s="122"/>
      <c r="AC398" s="122"/>
      <c r="AD398" s="122"/>
      <c r="AE398" s="118"/>
      <c r="AF398" s="77"/>
      <c r="AG398" s="76" t="str">
        <f t="shared" si="25"/>
        <v/>
      </c>
    </row>
    <row r="399" spans="2:33" x14ac:dyDescent="0.25">
      <c r="B399" s="182"/>
      <c r="C399" s="116"/>
      <c r="D399" s="117"/>
      <c r="E399" s="118"/>
      <c r="F399" s="126"/>
      <c r="G399" s="127"/>
      <c r="H399" s="119"/>
      <c r="I399" s="119">
        <f t="shared" si="26"/>
        <v>0</v>
      </c>
      <c r="J399" s="115">
        <f t="shared" si="27"/>
        <v>0</v>
      </c>
      <c r="K399" s="80" t="str">
        <f t="shared" si="29"/>
        <v/>
      </c>
      <c r="L399" s="120"/>
      <c r="M399" s="8">
        <v>300</v>
      </c>
      <c r="N399" s="115">
        <v>60</v>
      </c>
      <c r="O399" s="78" t="str">
        <f t="shared" si="30"/>
        <v/>
      </c>
      <c r="P399" s="121">
        <f t="shared" si="31"/>
        <v>0</v>
      </c>
      <c r="Q399" s="115">
        <f t="shared" si="28"/>
        <v>0</v>
      </c>
      <c r="R399" s="122"/>
      <c r="S399" s="122"/>
      <c r="T399" s="122"/>
      <c r="U399" s="122"/>
      <c r="V399" s="122"/>
      <c r="W399" s="122"/>
      <c r="X399" s="128"/>
      <c r="Y399" s="128"/>
      <c r="Z399" s="128"/>
      <c r="AA399" s="122"/>
      <c r="AB399" s="122"/>
      <c r="AC399" s="122"/>
      <c r="AD399" s="122"/>
      <c r="AE399" s="118"/>
      <c r="AF399" s="77"/>
      <c r="AG399" s="76" t="str">
        <f t="shared" si="25"/>
        <v/>
      </c>
    </row>
    <row r="400" spans="2:33" x14ac:dyDescent="0.25">
      <c r="B400" s="182"/>
      <c r="C400" s="116"/>
      <c r="D400" s="117"/>
      <c r="E400" s="118"/>
      <c r="F400" s="126"/>
      <c r="G400" s="127"/>
      <c r="H400" s="119"/>
      <c r="I400" s="119">
        <f t="shared" si="26"/>
        <v>0</v>
      </c>
      <c r="J400" s="115">
        <f t="shared" si="27"/>
        <v>0</v>
      </c>
      <c r="K400" s="80" t="str">
        <f t="shared" si="29"/>
        <v/>
      </c>
      <c r="L400" s="120"/>
      <c r="M400" s="8">
        <v>300</v>
      </c>
      <c r="N400" s="115">
        <v>60</v>
      </c>
      <c r="O400" s="78" t="str">
        <f t="shared" si="30"/>
        <v/>
      </c>
      <c r="P400" s="121">
        <f t="shared" si="31"/>
        <v>0</v>
      </c>
      <c r="Q400" s="115">
        <f t="shared" si="28"/>
        <v>0</v>
      </c>
      <c r="R400" s="122"/>
      <c r="S400" s="122"/>
      <c r="T400" s="122"/>
      <c r="U400" s="122"/>
      <c r="V400" s="122"/>
      <c r="W400" s="122"/>
      <c r="X400" s="128"/>
      <c r="Y400" s="128"/>
      <c r="Z400" s="128"/>
      <c r="AA400" s="122"/>
      <c r="AB400" s="122"/>
      <c r="AC400" s="122"/>
      <c r="AD400" s="122"/>
      <c r="AE400" s="118"/>
      <c r="AF400" s="77"/>
      <c r="AG400" s="76" t="str">
        <f t="shared" si="25"/>
        <v/>
      </c>
    </row>
    <row r="401" spans="2:33" x14ac:dyDescent="0.25">
      <c r="B401" s="182"/>
      <c r="C401" s="116"/>
      <c r="D401" s="117"/>
      <c r="E401" s="118"/>
      <c r="F401" s="126"/>
      <c r="G401" s="127"/>
      <c r="H401" s="119"/>
      <c r="I401" s="119">
        <f t="shared" si="26"/>
        <v>0</v>
      </c>
      <c r="J401" s="115">
        <f t="shared" si="27"/>
        <v>0</v>
      </c>
      <c r="K401" s="80" t="str">
        <f t="shared" si="29"/>
        <v/>
      </c>
      <c r="L401" s="120"/>
      <c r="M401" s="8">
        <v>300</v>
      </c>
      <c r="N401" s="115">
        <v>60</v>
      </c>
      <c r="O401" s="78" t="str">
        <f t="shared" si="30"/>
        <v/>
      </c>
      <c r="P401" s="121">
        <f t="shared" si="31"/>
        <v>0</v>
      </c>
      <c r="Q401" s="115">
        <f t="shared" si="28"/>
        <v>0</v>
      </c>
      <c r="R401" s="122"/>
      <c r="S401" s="122"/>
      <c r="T401" s="122"/>
      <c r="U401" s="122"/>
      <c r="V401" s="122"/>
      <c r="W401" s="122"/>
      <c r="X401" s="128"/>
      <c r="Y401" s="128"/>
      <c r="Z401" s="128"/>
      <c r="AA401" s="122"/>
      <c r="AB401" s="122"/>
      <c r="AC401" s="122"/>
      <c r="AD401" s="122"/>
      <c r="AE401" s="118"/>
      <c r="AF401" s="77"/>
      <c r="AG401" s="76" t="str">
        <f t="shared" si="25"/>
        <v/>
      </c>
    </row>
    <row r="402" spans="2:33" x14ac:dyDescent="0.25">
      <c r="B402" s="182"/>
      <c r="C402" s="116"/>
      <c r="D402" s="117"/>
      <c r="E402" s="118"/>
      <c r="F402" s="126"/>
      <c r="G402" s="127"/>
      <c r="H402" s="119"/>
      <c r="I402" s="119">
        <f t="shared" si="26"/>
        <v>0</v>
      </c>
      <c r="J402" s="115">
        <f t="shared" si="27"/>
        <v>0</v>
      </c>
      <c r="K402" s="80" t="str">
        <f t="shared" si="29"/>
        <v/>
      </c>
      <c r="L402" s="120"/>
      <c r="M402" s="8">
        <v>300</v>
      </c>
      <c r="N402" s="115">
        <v>60</v>
      </c>
      <c r="O402" s="78" t="str">
        <f t="shared" si="30"/>
        <v/>
      </c>
      <c r="P402" s="121">
        <f t="shared" si="31"/>
        <v>0</v>
      </c>
      <c r="Q402" s="115">
        <f t="shared" si="28"/>
        <v>0</v>
      </c>
      <c r="R402" s="122"/>
      <c r="S402" s="122"/>
      <c r="T402" s="122"/>
      <c r="U402" s="122"/>
      <c r="V402" s="122"/>
      <c r="W402" s="122"/>
      <c r="X402" s="128"/>
      <c r="Y402" s="128"/>
      <c r="Z402" s="128"/>
      <c r="AA402" s="122"/>
      <c r="AB402" s="122"/>
      <c r="AC402" s="122"/>
      <c r="AD402" s="122"/>
      <c r="AE402" s="118"/>
      <c r="AF402" s="77"/>
      <c r="AG402" s="76" t="str">
        <f t="shared" si="25"/>
        <v/>
      </c>
    </row>
    <row r="403" spans="2:33" x14ac:dyDescent="0.25">
      <c r="B403" s="182"/>
      <c r="C403" s="116"/>
      <c r="D403" s="117"/>
      <c r="E403" s="118"/>
      <c r="F403" s="126"/>
      <c r="G403" s="127"/>
      <c r="H403" s="119"/>
      <c r="I403" s="119">
        <f t="shared" si="26"/>
        <v>0</v>
      </c>
      <c r="J403" s="115">
        <f t="shared" si="27"/>
        <v>0</v>
      </c>
      <c r="K403" s="80" t="str">
        <f t="shared" si="29"/>
        <v/>
      </c>
      <c r="L403" s="120"/>
      <c r="M403" s="8">
        <v>300</v>
      </c>
      <c r="N403" s="115">
        <v>60</v>
      </c>
      <c r="O403" s="78" t="str">
        <f t="shared" si="30"/>
        <v/>
      </c>
      <c r="P403" s="121">
        <f t="shared" si="31"/>
        <v>0</v>
      </c>
      <c r="Q403" s="115">
        <f t="shared" si="28"/>
        <v>0</v>
      </c>
      <c r="R403" s="122"/>
      <c r="S403" s="122"/>
      <c r="T403" s="122"/>
      <c r="U403" s="122"/>
      <c r="V403" s="122"/>
      <c r="W403" s="122"/>
      <c r="X403" s="128"/>
      <c r="Y403" s="128"/>
      <c r="Z403" s="128"/>
      <c r="AA403" s="122"/>
      <c r="AB403" s="122"/>
      <c r="AC403" s="122"/>
      <c r="AD403" s="122"/>
      <c r="AE403" s="118"/>
      <c r="AF403" s="77"/>
      <c r="AG403" s="76" t="str">
        <f t="shared" ref="AG403:AG466" si="32">IFERROR(K403*O403*AF403,"")</f>
        <v/>
      </c>
    </row>
    <row r="404" spans="2:33" x14ac:dyDescent="0.25">
      <c r="B404" s="182"/>
      <c r="C404" s="116"/>
      <c r="D404" s="117"/>
      <c r="E404" s="118"/>
      <c r="F404" s="126"/>
      <c r="G404" s="127"/>
      <c r="H404" s="119"/>
      <c r="I404" s="119">
        <f t="shared" si="26"/>
        <v>0</v>
      </c>
      <c r="J404" s="115">
        <f t="shared" si="27"/>
        <v>0</v>
      </c>
      <c r="K404" s="80" t="str">
        <f t="shared" si="29"/>
        <v/>
      </c>
      <c r="L404" s="120"/>
      <c r="M404" s="8">
        <v>300</v>
      </c>
      <c r="N404" s="115">
        <v>60</v>
      </c>
      <c r="O404" s="78" t="str">
        <f t="shared" si="30"/>
        <v/>
      </c>
      <c r="P404" s="121">
        <f t="shared" si="31"/>
        <v>0</v>
      </c>
      <c r="Q404" s="115">
        <f t="shared" si="28"/>
        <v>0</v>
      </c>
      <c r="R404" s="122"/>
      <c r="S404" s="122"/>
      <c r="T404" s="122"/>
      <c r="U404" s="122"/>
      <c r="V404" s="122"/>
      <c r="W404" s="122"/>
      <c r="X404" s="128"/>
      <c r="Y404" s="128"/>
      <c r="Z404" s="128"/>
      <c r="AA404" s="122"/>
      <c r="AB404" s="122"/>
      <c r="AC404" s="122"/>
      <c r="AD404" s="122"/>
      <c r="AE404" s="118"/>
      <c r="AF404" s="77"/>
      <c r="AG404" s="76" t="str">
        <f t="shared" si="32"/>
        <v/>
      </c>
    </row>
    <row r="405" spans="2:33" x14ac:dyDescent="0.25">
      <c r="B405" s="182"/>
      <c r="C405" s="116"/>
      <c r="D405" s="117"/>
      <c r="E405" s="118"/>
      <c r="F405" s="126"/>
      <c r="G405" s="127"/>
      <c r="H405" s="119"/>
      <c r="I405" s="119">
        <f t="shared" si="26"/>
        <v>0</v>
      </c>
      <c r="J405" s="115">
        <f t="shared" si="27"/>
        <v>0</v>
      </c>
      <c r="K405" s="80" t="str">
        <f t="shared" si="29"/>
        <v/>
      </c>
      <c r="L405" s="120"/>
      <c r="M405" s="8">
        <v>300</v>
      </c>
      <c r="N405" s="115">
        <v>60</v>
      </c>
      <c r="O405" s="78" t="str">
        <f t="shared" si="30"/>
        <v/>
      </c>
      <c r="P405" s="121">
        <f t="shared" si="31"/>
        <v>0</v>
      </c>
      <c r="Q405" s="115">
        <f t="shared" si="28"/>
        <v>0</v>
      </c>
      <c r="R405" s="122"/>
      <c r="S405" s="122"/>
      <c r="T405" s="122"/>
      <c r="U405" s="122"/>
      <c r="V405" s="122"/>
      <c r="W405" s="122"/>
      <c r="X405" s="128"/>
      <c r="Y405" s="128"/>
      <c r="Z405" s="128"/>
      <c r="AA405" s="122"/>
      <c r="AB405" s="122"/>
      <c r="AC405" s="122"/>
      <c r="AD405" s="122"/>
      <c r="AE405" s="118"/>
      <c r="AF405" s="77"/>
      <c r="AG405" s="76" t="str">
        <f t="shared" si="32"/>
        <v/>
      </c>
    </row>
    <row r="406" spans="2:33" x14ac:dyDescent="0.25">
      <c r="B406" s="182"/>
      <c r="C406" s="116"/>
      <c r="D406" s="117"/>
      <c r="E406" s="118"/>
      <c r="F406" s="126"/>
      <c r="G406" s="127"/>
      <c r="H406" s="119"/>
      <c r="I406" s="119">
        <f t="shared" si="26"/>
        <v>0</v>
      </c>
      <c r="J406" s="115">
        <f t="shared" si="27"/>
        <v>0</v>
      </c>
      <c r="K406" s="80" t="str">
        <f t="shared" si="29"/>
        <v/>
      </c>
      <c r="L406" s="120"/>
      <c r="M406" s="8">
        <v>300</v>
      </c>
      <c r="N406" s="115">
        <v>60</v>
      </c>
      <c r="O406" s="78" t="str">
        <f t="shared" si="30"/>
        <v/>
      </c>
      <c r="P406" s="121">
        <f t="shared" si="31"/>
        <v>0</v>
      </c>
      <c r="Q406" s="115">
        <f t="shared" si="28"/>
        <v>0</v>
      </c>
      <c r="R406" s="122"/>
      <c r="S406" s="122"/>
      <c r="T406" s="122"/>
      <c r="U406" s="122"/>
      <c r="V406" s="122"/>
      <c r="W406" s="122"/>
      <c r="X406" s="128"/>
      <c r="Y406" s="128"/>
      <c r="Z406" s="128"/>
      <c r="AA406" s="122"/>
      <c r="AB406" s="122"/>
      <c r="AC406" s="122"/>
      <c r="AD406" s="122"/>
      <c r="AE406" s="118"/>
      <c r="AF406" s="77"/>
      <c r="AG406" s="76" t="str">
        <f t="shared" si="32"/>
        <v/>
      </c>
    </row>
    <row r="407" spans="2:33" x14ac:dyDescent="0.25">
      <c r="B407" s="182"/>
      <c r="C407" s="116"/>
      <c r="D407" s="117"/>
      <c r="E407" s="118"/>
      <c r="F407" s="126"/>
      <c r="G407" s="127"/>
      <c r="H407" s="119"/>
      <c r="I407" s="119">
        <f t="shared" ref="I407:I470" si="33">H407+G407</f>
        <v>0</v>
      </c>
      <c r="J407" s="115">
        <f t="shared" ref="J407:J470" si="34">I407-D407-E407-F407</f>
        <v>0</v>
      </c>
      <c r="K407" s="80" t="str">
        <f t="shared" si="29"/>
        <v/>
      </c>
      <c r="L407" s="120"/>
      <c r="M407" s="8">
        <v>300</v>
      </c>
      <c r="N407" s="115">
        <v>60</v>
      </c>
      <c r="O407" s="78" t="str">
        <f t="shared" si="30"/>
        <v/>
      </c>
      <c r="P407" s="121">
        <f t="shared" si="31"/>
        <v>0</v>
      </c>
      <c r="Q407" s="115">
        <f t="shared" ref="Q407:Q470" si="35">L407</f>
        <v>0</v>
      </c>
      <c r="R407" s="122"/>
      <c r="S407" s="122"/>
      <c r="T407" s="122"/>
      <c r="U407" s="122"/>
      <c r="V407" s="122"/>
      <c r="W407" s="122"/>
      <c r="X407" s="128"/>
      <c r="Y407" s="128"/>
      <c r="Z407" s="128"/>
      <c r="AA407" s="122"/>
      <c r="AB407" s="122"/>
      <c r="AC407" s="122"/>
      <c r="AD407" s="122"/>
      <c r="AE407" s="118"/>
      <c r="AF407" s="77"/>
      <c r="AG407" s="76" t="str">
        <f t="shared" si="32"/>
        <v/>
      </c>
    </row>
    <row r="408" spans="2:33" x14ac:dyDescent="0.25">
      <c r="B408" s="182"/>
      <c r="C408" s="116"/>
      <c r="D408" s="117"/>
      <c r="E408" s="118"/>
      <c r="F408" s="126"/>
      <c r="G408" s="127"/>
      <c r="H408" s="119"/>
      <c r="I408" s="119">
        <f t="shared" si="33"/>
        <v>0</v>
      </c>
      <c r="J408" s="115">
        <f t="shared" si="34"/>
        <v>0</v>
      </c>
      <c r="K408" s="80" t="str">
        <f t="shared" si="29"/>
        <v/>
      </c>
      <c r="L408" s="120"/>
      <c r="M408" s="8">
        <v>300</v>
      </c>
      <c r="N408" s="115">
        <v>60</v>
      </c>
      <c r="O408" s="78" t="str">
        <f t="shared" si="30"/>
        <v/>
      </c>
      <c r="P408" s="121">
        <f t="shared" si="31"/>
        <v>0</v>
      </c>
      <c r="Q408" s="115">
        <f t="shared" si="35"/>
        <v>0</v>
      </c>
      <c r="R408" s="122"/>
      <c r="S408" s="122"/>
      <c r="T408" s="122"/>
      <c r="U408" s="122"/>
      <c r="V408" s="122"/>
      <c r="W408" s="122"/>
      <c r="X408" s="128"/>
      <c r="Y408" s="128"/>
      <c r="Z408" s="128"/>
      <c r="AA408" s="122"/>
      <c r="AB408" s="122"/>
      <c r="AC408" s="122"/>
      <c r="AD408" s="122"/>
      <c r="AE408" s="118"/>
      <c r="AF408" s="77"/>
      <c r="AG408" s="76" t="str">
        <f t="shared" si="32"/>
        <v/>
      </c>
    </row>
    <row r="409" spans="2:33" x14ac:dyDescent="0.25">
      <c r="B409" s="182"/>
      <c r="C409" s="116"/>
      <c r="D409" s="117"/>
      <c r="E409" s="118"/>
      <c r="F409" s="126"/>
      <c r="G409" s="127"/>
      <c r="H409" s="119"/>
      <c r="I409" s="119">
        <f t="shared" si="33"/>
        <v>0</v>
      </c>
      <c r="J409" s="115">
        <f t="shared" si="34"/>
        <v>0</v>
      </c>
      <c r="K409" s="80" t="str">
        <f t="shared" si="29"/>
        <v/>
      </c>
      <c r="L409" s="120"/>
      <c r="M409" s="8">
        <v>300</v>
      </c>
      <c r="N409" s="115">
        <v>60</v>
      </c>
      <c r="O409" s="78" t="str">
        <f t="shared" si="30"/>
        <v/>
      </c>
      <c r="P409" s="121">
        <f t="shared" si="31"/>
        <v>0</v>
      </c>
      <c r="Q409" s="115">
        <f t="shared" si="35"/>
        <v>0</v>
      </c>
      <c r="R409" s="122"/>
      <c r="S409" s="122"/>
      <c r="T409" s="122"/>
      <c r="U409" s="122"/>
      <c r="V409" s="122"/>
      <c r="W409" s="122"/>
      <c r="X409" s="128"/>
      <c r="Y409" s="128"/>
      <c r="Z409" s="128"/>
      <c r="AA409" s="122"/>
      <c r="AB409" s="122"/>
      <c r="AC409" s="122"/>
      <c r="AD409" s="122"/>
      <c r="AE409" s="118"/>
      <c r="AF409" s="77"/>
      <c r="AG409" s="76" t="str">
        <f t="shared" si="32"/>
        <v/>
      </c>
    </row>
    <row r="410" spans="2:33" x14ac:dyDescent="0.25">
      <c r="B410" s="182"/>
      <c r="C410" s="116"/>
      <c r="D410" s="117"/>
      <c r="E410" s="118"/>
      <c r="F410" s="126"/>
      <c r="G410" s="127"/>
      <c r="H410" s="119"/>
      <c r="I410" s="119">
        <f t="shared" si="33"/>
        <v>0</v>
      </c>
      <c r="J410" s="115">
        <f t="shared" si="34"/>
        <v>0</v>
      </c>
      <c r="K410" s="80" t="str">
        <f t="shared" ref="K410:K473" si="36">IFERROR(J410/I410,"")</f>
        <v/>
      </c>
      <c r="L410" s="120"/>
      <c r="M410" s="8">
        <v>300</v>
      </c>
      <c r="N410" s="115">
        <v>60</v>
      </c>
      <c r="O410" s="78" t="str">
        <f t="shared" ref="O410:O473" si="37">IFERROR(((L410/M410)*N410/J410),"")</f>
        <v/>
      </c>
      <c r="P410" s="121">
        <f t="shared" si="31"/>
        <v>0</v>
      </c>
      <c r="Q410" s="115">
        <f t="shared" si="35"/>
        <v>0</v>
      </c>
      <c r="R410" s="122"/>
      <c r="S410" s="122"/>
      <c r="T410" s="122"/>
      <c r="U410" s="122"/>
      <c r="V410" s="122"/>
      <c r="W410" s="122"/>
      <c r="X410" s="128"/>
      <c r="Y410" s="128"/>
      <c r="Z410" s="128"/>
      <c r="AA410" s="122"/>
      <c r="AB410" s="122"/>
      <c r="AC410" s="122"/>
      <c r="AD410" s="122"/>
      <c r="AE410" s="118"/>
      <c r="AF410" s="77"/>
      <c r="AG410" s="76" t="str">
        <f t="shared" si="32"/>
        <v/>
      </c>
    </row>
    <row r="411" spans="2:33" x14ac:dyDescent="0.25">
      <c r="B411" s="182"/>
      <c r="C411" s="116"/>
      <c r="D411" s="117"/>
      <c r="E411" s="118"/>
      <c r="F411" s="126"/>
      <c r="G411" s="127"/>
      <c r="H411" s="119"/>
      <c r="I411" s="119">
        <f t="shared" si="33"/>
        <v>0</v>
      </c>
      <c r="J411" s="115">
        <f t="shared" si="34"/>
        <v>0</v>
      </c>
      <c r="K411" s="80" t="str">
        <f t="shared" si="36"/>
        <v/>
      </c>
      <c r="L411" s="120"/>
      <c r="M411" s="8">
        <v>300</v>
      </c>
      <c r="N411" s="115">
        <v>60</v>
      </c>
      <c r="O411" s="78" t="str">
        <f t="shared" si="37"/>
        <v/>
      </c>
      <c r="P411" s="121">
        <f t="shared" si="31"/>
        <v>0</v>
      </c>
      <c r="Q411" s="115">
        <f t="shared" si="35"/>
        <v>0</v>
      </c>
      <c r="R411" s="122"/>
      <c r="S411" s="122"/>
      <c r="T411" s="122"/>
      <c r="U411" s="122"/>
      <c r="V411" s="122"/>
      <c r="W411" s="122"/>
      <c r="X411" s="128"/>
      <c r="Y411" s="128"/>
      <c r="Z411" s="128"/>
      <c r="AA411" s="122"/>
      <c r="AB411" s="122"/>
      <c r="AC411" s="122"/>
      <c r="AD411" s="122"/>
      <c r="AE411" s="118"/>
      <c r="AF411" s="77"/>
      <c r="AG411" s="76" t="str">
        <f t="shared" si="32"/>
        <v/>
      </c>
    </row>
    <row r="412" spans="2:33" x14ac:dyDescent="0.25">
      <c r="B412" s="182"/>
      <c r="C412" s="116"/>
      <c r="D412" s="117"/>
      <c r="E412" s="118"/>
      <c r="F412" s="126"/>
      <c r="G412" s="127"/>
      <c r="H412" s="119"/>
      <c r="I412" s="119">
        <f t="shared" si="33"/>
        <v>0</v>
      </c>
      <c r="J412" s="115">
        <f t="shared" si="34"/>
        <v>0</v>
      </c>
      <c r="K412" s="80" t="str">
        <f t="shared" si="36"/>
        <v/>
      </c>
      <c r="L412" s="120"/>
      <c r="M412" s="8">
        <v>300</v>
      </c>
      <c r="N412" s="115">
        <v>60</v>
      </c>
      <c r="O412" s="78" t="str">
        <f t="shared" si="37"/>
        <v/>
      </c>
      <c r="P412" s="121">
        <f t="shared" si="31"/>
        <v>0</v>
      </c>
      <c r="Q412" s="115">
        <f t="shared" si="35"/>
        <v>0</v>
      </c>
      <c r="R412" s="122"/>
      <c r="S412" s="122"/>
      <c r="T412" s="122"/>
      <c r="U412" s="122"/>
      <c r="V412" s="122"/>
      <c r="W412" s="122"/>
      <c r="X412" s="128"/>
      <c r="Y412" s="128"/>
      <c r="Z412" s="128"/>
      <c r="AA412" s="122"/>
      <c r="AB412" s="122"/>
      <c r="AC412" s="122"/>
      <c r="AD412" s="122"/>
      <c r="AE412" s="118"/>
      <c r="AF412" s="77"/>
      <c r="AG412" s="76" t="str">
        <f t="shared" si="32"/>
        <v/>
      </c>
    </row>
    <row r="413" spans="2:33" x14ac:dyDescent="0.25">
      <c r="B413" s="182"/>
      <c r="C413" s="116"/>
      <c r="D413" s="117"/>
      <c r="E413" s="118"/>
      <c r="F413" s="126"/>
      <c r="G413" s="127"/>
      <c r="H413" s="119"/>
      <c r="I413" s="119">
        <f t="shared" si="33"/>
        <v>0</v>
      </c>
      <c r="J413" s="115">
        <f t="shared" si="34"/>
        <v>0</v>
      </c>
      <c r="K413" s="80" t="str">
        <f t="shared" si="36"/>
        <v/>
      </c>
      <c r="L413" s="120"/>
      <c r="M413" s="8">
        <v>300</v>
      </c>
      <c r="N413" s="115">
        <v>60</v>
      </c>
      <c r="O413" s="78" t="str">
        <f t="shared" si="37"/>
        <v/>
      </c>
      <c r="P413" s="121">
        <f t="shared" si="31"/>
        <v>0</v>
      </c>
      <c r="Q413" s="115">
        <f t="shared" si="35"/>
        <v>0</v>
      </c>
      <c r="R413" s="122"/>
      <c r="S413" s="122"/>
      <c r="T413" s="122"/>
      <c r="U413" s="122"/>
      <c r="V413" s="122"/>
      <c r="W413" s="122"/>
      <c r="X413" s="128"/>
      <c r="Y413" s="128"/>
      <c r="Z413" s="128"/>
      <c r="AA413" s="122"/>
      <c r="AB413" s="122"/>
      <c r="AC413" s="122"/>
      <c r="AD413" s="122"/>
      <c r="AE413" s="118"/>
      <c r="AF413" s="77"/>
      <c r="AG413" s="76" t="str">
        <f t="shared" si="32"/>
        <v/>
      </c>
    </row>
    <row r="414" spans="2:33" x14ac:dyDescent="0.25">
      <c r="B414" s="182"/>
      <c r="C414" s="116"/>
      <c r="D414" s="117"/>
      <c r="E414" s="118"/>
      <c r="F414" s="126"/>
      <c r="G414" s="127"/>
      <c r="H414" s="119"/>
      <c r="I414" s="119">
        <f t="shared" si="33"/>
        <v>0</v>
      </c>
      <c r="J414" s="115">
        <f t="shared" si="34"/>
        <v>0</v>
      </c>
      <c r="K414" s="80" t="str">
        <f t="shared" si="36"/>
        <v/>
      </c>
      <c r="L414" s="120"/>
      <c r="M414" s="8">
        <v>300</v>
      </c>
      <c r="N414" s="115">
        <v>60</v>
      </c>
      <c r="O414" s="78" t="str">
        <f t="shared" si="37"/>
        <v/>
      </c>
      <c r="P414" s="121">
        <f t="shared" si="31"/>
        <v>0</v>
      </c>
      <c r="Q414" s="115">
        <f t="shared" si="35"/>
        <v>0</v>
      </c>
      <c r="R414" s="122"/>
      <c r="S414" s="122"/>
      <c r="T414" s="122"/>
      <c r="U414" s="122"/>
      <c r="V414" s="122"/>
      <c r="W414" s="122"/>
      <c r="X414" s="128"/>
      <c r="Y414" s="128"/>
      <c r="Z414" s="128"/>
      <c r="AA414" s="122"/>
      <c r="AB414" s="122"/>
      <c r="AC414" s="122"/>
      <c r="AD414" s="122"/>
      <c r="AE414" s="118"/>
      <c r="AF414" s="77"/>
      <c r="AG414" s="76" t="str">
        <f t="shared" si="32"/>
        <v/>
      </c>
    </row>
    <row r="415" spans="2:33" x14ac:dyDescent="0.25">
      <c r="B415" s="182"/>
      <c r="C415" s="116"/>
      <c r="D415" s="117"/>
      <c r="E415" s="118"/>
      <c r="F415" s="126"/>
      <c r="G415" s="127"/>
      <c r="H415" s="119"/>
      <c r="I415" s="119">
        <f t="shared" si="33"/>
        <v>0</v>
      </c>
      <c r="J415" s="115">
        <f t="shared" si="34"/>
        <v>0</v>
      </c>
      <c r="K415" s="80" t="str">
        <f t="shared" si="36"/>
        <v/>
      </c>
      <c r="L415" s="120"/>
      <c r="M415" s="8">
        <v>300</v>
      </c>
      <c r="N415" s="115">
        <v>60</v>
      </c>
      <c r="O415" s="78" t="str">
        <f t="shared" si="37"/>
        <v/>
      </c>
      <c r="P415" s="121">
        <f t="shared" si="31"/>
        <v>0</v>
      </c>
      <c r="Q415" s="115">
        <f t="shared" si="35"/>
        <v>0</v>
      </c>
      <c r="R415" s="122"/>
      <c r="S415" s="122"/>
      <c r="T415" s="122"/>
      <c r="U415" s="122"/>
      <c r="V415" s="122"/>
      <c r="W415" s="122"/>
      <c r="X415" s="128"/>
      <c r="Y415" s="128"/>
      <c r="Z415" s="128"/>
      <c r="AA415" s="122"/>
      <c r="AB415" s="122"/>
      <c r="AC415" s="122"/>
      <c r="AD415" s="122"/>
      <c r="AE415" s="118"/>
      <c r="AF415" s="77"/>
      <c r="AG415" s="76" t="str">
        <f t="shared" si="32"/>
        <v/>
      </c>
    </row>
    <row r="416" spans="2:33" x14ac:dyDescent="0.25">
      <c r="B416" s="182"/>
      <c r="C416" s="116"/>
      <c r="D416" s="117"/>
      <c r="E416" s="118"/>
      <c r="F416" s="126"/>
      <c r="G416" s="127"/>
      <c r="H416" s="119"/>
      <c r="I416" s="119">
        <f t="shared" si="33"/>
        <v>0</v>
      </c>
      <c r="J416" s="115">
        <f t="shared" si="34"/>
        <v>0</v>
      </c>
      <c r="K416" s="80" t="str">
        <f t="shared" si="36"/>
        <v/>
      </c>
      <c r="L416" s="120"/>
      <c r="M416" s="8">
        <v>300</v>
      </c>
      <c r="N416" s="115">
        <v>60</v>
      </c>
      <c r="O416" s="78" t="str">
        <f t="shared" si="37"/>
        <v/>
      </c>
      <c r="P416" s="121">
        <f t="shared" si="31"/>
        <v>0</v>
      </c>
      <c r="Q416" s="115">
        <f t="shared" si="35"/>
        <v>0</v>
      </c>
      <c r="R416" s="122"/>
      <c r="S416" s="122"/>
      <c r="T416" s="122"/>
      <c r="U416" s="122"/>
      <c r="V416" s="122"/>
      <c r="W416" s="122"/>
      <c r="X416" s="128"/>
      <c r="Y416" s="128"/>
      <c r="Z416" s="128"/>
      <c r="AA416" s="122"/>
      <c r="AB416" s="122"/>
      <c r="AC416" s="122"/>
      <c r="AD416" s="122"/>
      <c r="AE416" s="118"/>
      <c r="AF416" s="77"/>
      <c r="AG416" s="76" t="str">
        <f t="shared" si="32"/>
        <v/>
      </c>
    </row>
    <row r="417" spans="2:33" x14ac:dyDescent="0.25">
      <c r="B417" s="182"/>
      <c r="C417" s="116"/>
      <c r="D417" s="117"/>
      <c r="E417" s="118"/>
      <c r="F417" s="126"/>
      <c r="G417" s="127"/>
      <c r="H417" s="119"/>
      <c r="I417" s="119">
        <f t="shared" si="33"/>
        <v>0</v>
      </c>
      <c r="J417" s="115">
        <f t="shared" si="34"/>
        <v>0</v>
      </c>
      <c r="K417" s="80" t="str">
        <f t="shared" si="36"/>
        <v/>
      </c>
      <c r="L417" s="120"/>
      <c r="M417" s="8">
        <v>300</v>
      </c>
      <c r="N417" s="115">
        <v>60</v>
      </c>
      <c r="O417" s="78" t="str">
        <f t="shared" si="37"/>
        <v/>
      </c>
      <c r="P417" s="121">
        <f t="shared" ref="P417:P479" si="38">L417-AE417</f>
        <v>0</v>
      </c>
      <c r="Q417" s="115">
        <f t="shared" si="35"/>
        <v>0</v>
      </c>
      <c r="R417" s="122"/>
      <c r="S417" s="122"/>
      <c r="T417" s="122"/>
      <c r="U417" s="122"/>
      <c r="V417" s="122"/>
      <c r="W417" s="122"/>
      <c r="X417" s="128"/>
      <c r="Y417" s="128"/>
      <c r="Z417" s="128"/>
      <c r="AA417" s="122"/>
      <c r="AB417" s="122"/>
      <c r="AC417" s="122"/>
      <c r="AD417" s="122"/>
      <c r="AE417" s="118"/>
      <c r="AF417" s="77"/>
      <c r="AG417" s="76" t="str">
        <f t="shared" si="32"/>
        <v/>
      </c>
    </row>
    <row r="418" spans="2:33" x14ac:dyDescent="0.25">
      <c r="B418" s="182"/>
      <c r="C418" s="116"/>
      <c r="D418" s="117"/>
      <c r="E418" s="118"/>
      <c r="F418" s="126"/>
      <c r="G418" s="127"/>
      <c r="H418" s="119"/>
      <c r="I418" s="119">
        <f t="shared" si="33"/>
        <v>0</v>
      </c>
      <c r="J418" s="115">
        <f t="shared" si="34"/>
        <v>0</v>
      </c>
      <c r="K418" s="80" t="str">
        <f t="shared" si="36"/>
        <v/>
      </c>
      <c r="L418" s="120"/>
      <c r="M418" s="8">
        <v>300</v>
      </c>
      <c r="N418" s="115">
        <v>60</v>
      </c>
      <c r="O418" s="78" t="str">
        <f t="shared" si="37"/>
        <v/>
      </c>
      <c r="P418" s="121">
        <f t="shared" si="38"/>
        <v>0</v>
      </c>
      <c r="Q418" s="115">
        <f t="shared" si="35"/>
        <v>0</v>
      </c>
      <c r="R418" s="122"/>
      <c r="S418" s="122"/>
      <c r="T418" s="122"/>
      <c r="U418" s="122"/>
      <c r="V418" s="122"/>
      <c r="W418" s="122"/>
      <c r="X418" s="128"/>
      <c r="Y418" s="128"/>
      <c r="Z418" s="128"/>
      <c r="AA418" s="122"/>
      <c r="AB418" s="122"/>
      <c r="AC418" s="122"/>
      <c r="AD418" s="122"/>
      <c r="AE418" s="118"/>
      <c r="AF418" s="77"/>
      <c r="AG418" s="76" t="str">
        <f t="shared" si="32"/>
        <v/>
      </c>
    </row>
    <row r="419" spans="2:33" x14ac:dyDescent="0.25">
      <c r="B419" s="182"/>
      <c r="C419" s="116"/>
      <c r="D419" s="117"/>
      <c r="E419" s="118"/>
      <c r="F419" s="126"/>
      <c r="G419" s="127"/>
      <c r="H419" s="119"/>
      <c r="I419" s="119">
        <f t="shared" si="33"/>
        <v>0</v>
      </c>
      <c r="J419" s="115">
        <f t="shared" si="34"/>
        <v>0</v>
      </c>
      <c r="K419" s="80" t="str">
        <f t="shared" si="36"/>
        <v/>
      </c>
      <c r="L419" s="120"/>
      <c r="M419" s="8">
        <v>300</v>
      </c>
      <c r="N419" s="115">
        <v>60</v>
      </c>
      <c r="O419" s="78" t="str">
        <f t="shared" si="37"/>
        <v/>
      </c>
      <c r="P419" s="121">
        <f t="shared" si="38"/>
        <v>0</v>
      </c>
      <c r="Q419" s="115">
        <f t="shared" si="35"/>
        <v>0</v>
      </c>
      <c r="R419" s="122"/>
      <c r="S419" s="122"/>
      <c r="T419" s="122"/>
      <c r="U419" s="122"/>
      <c r="V419" s="122"/>
      <c r="W419" s="122"/>
      <c r="X419" s="128"/>
      <c r="Y419" s="128"/>
      <c r="Z419" s="128"/>
      <c r="AA419" s="122"/>
      <c r="AB419" s="122"/>
      <c r="AC419" s="122"/>
      <c r="AD419" s="122"/>
      <c r="AE419" s="118"/>
      <c r="AF419" s="77"/>
      <c r="AG419" s="76" t="str">
        <f t="shared" si="32"/>
        <v/>
      </c>
    </row>
    <row r="420" spans="2:33" x14ac:dyDescent="0.25">
      <c r="B420" s="182"/>
      <c r="C420" s="116"/>
      <c r="D420" s="117"/>
      <c r="E420" s="118"/>
      <c r="F420" s="126"/>
      <c r="G420" s="127"/>
      <c r="H420" s="119"/>
      <c r="I420" s="119">
        <f t="shared" si="33"/>
        <v>0</v>
      </c>
      <c r="J420" s="115">
        <f t="shared" si="34"/>
        <v>0</v>
      </c>
      <c r="K420" s="80" t="str">
        <f t="shared" si="36"/>
        <v/>
      </c>
      <c r="L420" s="120"/>
      <c r="M420" s="8">
        <v>300</v>
      </c>
      <c r="N420" s="115">
        <v>60</v>
      </c>
      <c r="O420" s="78" t="str">
        <f t="shared" si="37"/>
        <v/>
      </c>
      <c r="P420" s="121">
        <f t="shared" si="38"/>
        <v>0</v>
      </c>
      <c r="Q420" s="115">
        <f t="shared" si="35"/>
        <v>0</v>
      </c>
      <c r="R420" s="122"/>
      <c r="S420" s="122"/>
      <c r="T420" s="122"/>
      <c r="U420" s="122"/>
      <c r="V420" s="122"/>
      <c r="W420" s="122"/>
      <c r="X420" s="128"/>
      <c r="Y420" s="128"/>
      <c r="Z420" s="128"/>
      <c r="AA420" s="122"/>
      <c r="AB420" s="122"/>
      <c r="AC420" s="122"/>
      <c r="AD420" s="122"/>
      <c r="AE420" s="118"/>
      <c r="AF420" s="77"/>
      <c r="AG420" s="76" t="str">
        <f t="shared" si="32"/>
        <v/>
      </c>
    </row>
    <row r="421" spans="2:33" x14ac:dyDescent="0.25">
      <c r="B421" s="182"/>
      <c r="C421" s="116"/>
      <c r="D421" s="117"/>
      <c r="E421" s="118"/>
      <c r="F421" s="126"/>
      <c r="G421" s="127"/>
      <c r="H421" s="119"/>
      <c r="I421" s="119">
        <f t="shared" si="33"/>
        <v>0</v>
      </c>
      <c r="J421" s="115">
        <f t="shared" si="34"/>
        <v>0</v>
      </c>
      <c r="K421" s="80" t="str">
        <f t="shared" si="36"/>
        <v/>
      </c>
      <c r="L421" s="120"/>
      <c r="M421" s="8">
        <v>300</v>
      </c>
      <c r="N421" s="115">
        <v>60</v>
      </c>
      <c r="O421" s="78" t="str">
        <f t="shared" si="37"/>
        <v/>
      </c>
      <c r="P421" s="121">
        <f t="shared" si="38"/>
        <v>0</v>
      </c>
      <c r="Q421" s="115">
        <f t="shared" si="35"/>
        <v>0</v>
      </c>
      <c r="R421" s="122"/>
      <c r="S421" s="122"/>
      <c r="T421" s="122"/>
      <c r="U421" s="122"/>
      <c r="V421" s="122"/>
      <c r="W421" s="122"/>
      <c r="X421" s="128"/>
      <c r="Y421" s="128"/>
      <c r="Z421" s="128"/>
      <c r="AA421" s="122"/>
      <c r="AB421" s="122"/>
      <c r="AC421" s="122"/>
      <c r="AD421" s="122"/>
      <c r="AE421" s="118"/>
      <c r="AF421" s="77"/>
      <c r="AG421" s="76" t="str">
        <f t="shared" si="32"/>
        <v/>
      </c>
    </row>
    <row r="422" spans="2:33" x14ac:dyDescent="0.25">
      <c r="B422" s="182"/>
      <c r="C422" s="116"/>
      <c r="D422" s="117"/>
      <c r="E422" s="118"/>
      <c r="F422" s="126"/>
      <c r="G422" s="127"/>
      <c r="H422" s="119"/>
      <c r="I422" s="119">
        <f t="shared" si="33"/>
        <v>0</v>
      </c>
      <c r="J422" s="115">
        <f t="shared" si="34"/>
        <v>0</v>
      </c>
      <c r="K422" s="80" t="str">
        <f t="shared" si="36"/>
        <v/>
      </c>
      <c r="L422" s="120"/>
      <c r="M422" s="8">
        <v>300</v>
      </c>
      <c r="N422" s="115">
        <v>60</v>
      </c>
      <c r="O422" s="78" t="str">
        <f t="shared" si="37"/>
        <v/>
      </c>
      <c r="P422" s="121">
        <f t="shared" si="38"/>
        <v>0</v>
      </c>
      <c r="Q422" s="115">
        <f t="shared" si="35"/>
        <v>0</v>
      </c>
      <c r="R422" s="122"/>
      <c r="S422" s="122"/>
      <c r="T422" s="122"/>
      <c r="U422" s="122"/>
      <c r="V422" s="122"/>
      <c r="W422" s="122"/>
      <c r="X422" s="128"/>
      <c r="Y422" s="128"/>
      <c r="Z422" s="128"/>
      <c r="AA422" s="122"/>
      <c r="AB422" s="122"/>
      <c r="AC422" s="122"/>
      <c r="AD422" s="122"/>
      <c r="AE422" s="118"/>
      <c r="AF422" s="77"/>
      <c r="AG422" s="76" t="str">
        <f t="shared" si="32"/>
        <v/>
      </c>
    </row>
    <row r="423" spans="2:33" x14ac:dyDescent="0.25">
      <c r="B423" s="182"/>
      <c r="C423" s="116"/>
      <c r="D423" s="117"/>
      <c r="E423" s="118"/>
      <c r="F423" s="126"/>
      <c r="G423" s="127"/>
      <c r="H423" s="119"/>
      <c r="I423" s="119">
        <f t="shared" si="33"/>
        <v>0</v>
      </c>
      <c r="J423" s="115">
        <f t="shared" si="34"/>
        <v>0</v>
      </c>
      <c r="K423" s="80" t="str">
        <f t="shared" si="36"/>
        <v/>
      </c>
      <c r="L423" s="120"/>
      <c r="M423" s="8">
        <v>300</v>
      </c>
      <c r="N423" s="115">
        <v>60</v>
      </c>
      <c r="O423" s="78" t="str">
        <f t="shared" si="37"/>
        <v/>
      </c>
      <c r="P423" s="121">
        <f t="shared" si="38"/>
        <v>0</v>
      </c>
      <c r="Q423" s="115">
        <f t="shared" si="35"/>
        <v>0</v>
      </c>
      <c r="R423" s="122"/>
      <c r="S423" s="122"/>
      <c r="T423" s="122"/>
      <c r="U423" s="122"/>
      <c r="V423" s="122"/>
      <c r="W423" s="122"/>
      <c r="X423" s="128"/>
      <c r="Y423" s="128"/>
      <c r="Z423" s="128"/>
      <c r="AA423" s="122"/>
      <c r="AB423" s="122"/>
      <c r="AC423" s="122"/>
      <c r="AD423" s="122"/>
      <c r="AE423" s="118"/>
      <c r="AF423" s="77"/>
      <c r="AG423" s="76" t="str">
        <f t="shared" si="32"/>
        <v/>
      </c>
    </row>
    <row r="424" spans="2:33" x14ac:dyDescent="0.25">
      <c r="B424" s="182"/>
      <c r="C424" s="116"/>
      <c r="D424" s="117"/>
      <c r="E424" s="118"/>
      <c r="F424" s="126"/>
      <c r="G424" s="127"/>
      <c r="H424" s="119"/>
      <c r="I424" s="119">
        <f t="shared" si="33"/>
        <v>0</v>
      </c>
      <c r="J424" s="115">
        <f t="shared" si="34"/>
        <v>0</v>
      </c>
      <c r="K424" s="80" t="str">
        <f t="shared" si="36"/>
        <v/>
      </c>
      <c r="L424" s="120"/>
      <c r="M424" s="8">
        <v>300</v>
      </c>
      <c r="N424" s="115">
        <v>60</v>
      </c>
      <c r="O424" s="78" t="str">
        <f t="shared" si="37"/>
        <v/>
      </c>
      <c r="P424" s="121">
        <f t="shared" si="38"/>
        <v>0</v>
      </c>
      <c r="Q424" s="115">
        <f t="shared" si="35"/>
        <v>0</v>
      </c>
      <c r="R424" s="122"/>
      <c r="S424" s="122"/>
      <c r="T424" s="122"/>
      <c r="U424" s="122"/>
      <c r="V424" s="122"/>
      <c r="W424" s="122"/>
      <c r="X424" s="128"/>
      <c r="Y424" s="128"/>
      <c r="Z424" s="128"/>
      <c r="AA424" s="122"/>
      <c r="AB424" s="122"/>
      <c r="AC424" s="122"/>
      <c r="AD424" s="122"/>
      <c r="AE424" s="118"/>
      <c r="AF424" s="77"/>
      <c r="AG424" s="76" t="str">
        <f t="shared" si="32"/>
        <v/>
      </c>
    </row>
    <row r="425" spans="2:33" x14ac:dyDescent="0.25">
      <c r="B425" s="182"/>
      <c r="C425" s="116"/>
      <c r="D425" s="117"/>
      <c r="E425" s="118"/>
      <c r="F425" s="126"/>
      <c r="G425" s="127"/>
      <c r="H425" s="119"/>
      <c r="I425" s="119">
        <f t="shared" si="33"/>
        <v>0</v>
      </c>
      <c r="J425" s="115">
        <f t="shared" si="34"/>
        <v>0</v>
      </c>
      <c r="K425" s="80" t="str">
        <f t="shared" si="36"/>
        <v/>
      </c>
      <c r="L425" s="120"/>
      <c r="M425" s="8">
        <v>300</v>
      </c>
      <c r="N425" s="115">
        <v>60</v>
      </c>
      <c r="O425" s="78" t="str">
        <f t="shared" si="37"/>
        <v/>
      </c>
      <c r="P425" s="121">
        <f t="shared" si="38"/>
        <v>0</v>
      </c>
      <c r="Q425" s="115">
        <f t="shared" si="35"/>
        <v>0</v>
      </c>
      <c r="R425" s="122"/>
      <c r="S425" s="122"/>
      <c r="T425" s="122"/>
      <c r="U425" s="122"/>
      <c r="V425" s="122"/>
      <c r="W425" s="122"/>
      <c r="X425" s="128"/>
      <c r="Y425" s="128"/>
      <c r="Z425" s="128"/>
      <c r="AA425" s="122"/>
      <c r="AB425" s="122"/>
      <c r="AC425" s="122"/>
      <c r="AD425" s="122"/>
      <c r="AE425" s="118"/>
      <c r="AF425" s="77"/>
      <c r="AG425" s="76" t="str">
        <f t="shared" si="32"/>
        <v/>
      </c>
    </row>
    <row r="426" spans="2:33" x14ac:dyDescent="0.25">
      <c r="B426" s="182"/>
      <c r="C426" s="116"/>
      <c r="D426" s="117"/>
      <c r="E426" s="118"/>
      <c r="F426" s="126"/>
      <c r="G426" s="127"/>
      <c r="H426" s="119"/>
      <c r="I426" s="119">
        <f t="shared" si="33"/>
        <v>0</v>
      </c>
      <c r="J426" s="115">
        <f t="shared" si="34"/>
        <v>0</v>
      </c>
      <c r="K426" s="80" t="str">
        <f t="shared" si="36"/>
        <v/>
      </c>
      <c r="L426" s="120"/>
      <c r="M426" s="8">
        <v>300</v>
      </c>
      <c r="N426" s="115">
        <v>60</v>
      </c>
      <c r="O426" s="78" t="str">
        <f t="shared" si="37"/>
        <v/>
      </c>
      <c r="P426" s="121">
        <f t="shared" si="38"/>
        <v>0</v>
      </c>
      <c r="Q426" s="115">
        <f t="shared" si="35"/>
        <v>0</v>
      </c>
      <c r="R426" s="122"/>
      <c r="S426" s="122"/>
      <c r="T426" s="122"/>
      <c r="U426" s="122"/>
      <c r="V426" s="122"/>
      <c r="W426" s="122"/>
      <c r="X426" s="128"/>
      <c r="Y426" s="128"/>
      <c r="Z426" s="128"/>
      <c r="AA426" s="122"/>
      <c r="AB426" s="122"/>
      <c r="AC426" s="122"/>
      <c r="AD426" s="122"/>
      <c r="AE426" s="118"/>
      <c r="AF426" s="77"/>
      <c r="AG426" s="76" t="str">
        <f t="shared" si="32"/>
        <v/>
      </c>
    </row>
    <row r="427" spans="2:33" x14ac:dyDescent="0.25">
      <c r="B427" s="182"/>
      <c r="C427" s="116"/>
      <c r="D427" s="117"/>
      <c r="E427" s="118"/>
      <c r="F427" s="126"/>
      <c r="G427" s="127"/>
      <c r="H427" s="119"/>
      <c r="I427" s="119">
        <f t="shared" si="33"/>
        <v>0</v>
      </c>
      <c r="J427" s="115">
        <f t="shared" si="34"/>
        <v>0</v>
      </c>
      <c r="K427" s="80" t="str">
        <f t="shared" si="36"/>
        <v/>
      </c>
      <c r="L427" s="120"/>
      <c r="M427" s="8">
        <v>300</v>
      </c>
      <c r="N427" s="115">
        <v>60</v>
      </c>
      <c r="O427" s="78" t="str">
        <f t="shared" si="37"/>
        <v/>
      </c>
      <c r="P427" s="121">
        <f t="shared" si="38"/>
        <v>0</v>
      </c>
      <c r="Q427" s="115">
        <f t="shared" si="35"/>
        <v>0</v>
      </c>
      <c r="R427" s="122"/>
      <c r="S427" s="122"/>
      <c r="T427" s="122"/>
      <c r="U427" s="122"/>
      <c r="V427" s="122"/>
      <c r="W427" s="122"/>
      <c r="X427" s="128"/>
      <c r="Y427" s="128"/>
      <c r="Z427" s="128"/>
      <c r="AA427" s="122"/>
      <c r="AB427" s="122"/>
      <c r="AC427" s="122"/>
      <c r="AD427" s="122"/>
      <c r="AE427" s="118"/>
      <c r="AF427" s="77"/>
      <c r="AG427" s="76" t="str">
        <f t="shared" si="32"/>
        <v/>
      </c>
    </row>
    <row r="428" spans="2:33" x14ac:dyDescent="0.25">
      <c r="B428" s="182"/>
      <c r="C428" s="116"/>
      <c r="D428" s="117"/>
      <c r="E428" s="118"/>
      <c r="F428" s="126"/>
      <c r="G428" s="127"/>
      <c r="H428" s="119"/>
      <c r="I428" s="119">
        <f t="shared" si="33"/>
        <v>0</v>
      </c>
      <c r="J428" s="115">
        <f t="shared" si="34"/>
        <v>0</v>
      </c>
      <c r="K428" s="80" t="str">
        <f t="shared" si="36"/>
        <v/>
      </c>
      <c r="L428" s="120"/>
      <c r="M428" s="8">
        <v>300</v>
      </c>
      <c r="N428" s="115">
        <v>60</v>
      </c>
      <c r="O428" s="78" t="str">
        <f t="shared" si="37"/>
        <v/>
      </c>
      <c r="P428" s="121">
        <f t="shared" si="38"/>
        <v>0</v>
      </c>
      <c r="Q428" s="115">
        <f t="shared" si="35"/>
        <v>0</v>
      </c>
      <c r="R428" s="122"/>
      <c r="S428" s="122"/>
      <c r="T428" s="122"/>
      <c r="U428" s="122"/>
      <c r="V428" s="122"/>
      <c r="W428" s="122"/>
      <c r="X428" s="128"/>
      <c r="Y428" s="128"/>
      <c r="Z428" s="128"/>
      <c r="AA428" s="122"/>
      <c r="AB428" s="122"/>
      <c r="AC428" s="122"/>
      <c r="AD428" s="122"/>
      <c r="AE428" s="118"/>
      <c r="AF428" s="77"/>
      <c r="AG428" s="76" t="str">
        <f t="shared" si="32"/>
        <v/>
      </c>
    </row>
    <row r="429" spans="2:33" x14ac:dyDescent="0.25">
      <c r="B429" s="182"/>
      <c r="C429" s="116"/>
      <c r="D429" s="117"/>
      <c r="E429" s="118"/>
      <c r="F429" s="126"/>
      <c r="G429" s="127"/>
      <c r="H429" s="119"/>
      <c r="I429" s="119">
        <f t="shared" si="33"/>
        <v>0</v>
      </c>
      <c r="J429" s="115">
        <f t="shared" si="34"/>
        <v>0</v>
      </c>
      <c r="K429" s="80" t="str">
        <f t="shared" si="36"/>
        <v/>
      </c>
      <c r="L429" s="120"/>
      <c r="M429" s="8">
        <v>300</v>
      </c>
      <c r="N429" s="115">
        <v>60</v>
      </c>
      <c r="O429" s="78" t="str">
        <f t="shared" si="37"/>
        <v/>
      </c>
      <c r="P429" s="121">
        <f t="shared" si="38"/>
        <v>0</v>
      </c>
      <c r="Q429" s="115">
        <f t="shared" si="35"/>
        <v>0</v>
      </c>
      <c r="R429" s="122"/>
      <c r="S429" s="122"/>
      <c r="T429" s="122"/>
      <c r="U429" s="122"/>
      <c r="V429" s="122"/>
      <c r="W429" s="122"/>
      <c r="X429" s="128"/>
      <c r="Y429" s="128"/>
      <c r="Z429" s="128"/>
      <c r="AA429" s="122"/>
      <c r="AB429" s="122"/>
      <c r="AC429" s="122"/>
      <c r="AD429" s="122"/>
      <c r="AE429" s="118"/>
      <c r="AF429" s="77"/>
      <c r="AG429" s="76" t="str">
        <f t="shared" si="32"/>
        <v/>
      </c>
    </row>
    <row r="430" spans="2:33" x14ac:dyDescent="0.25">
      <c r="B430" s="182"/>
      <c r="C430" s="116"/>
      <c r="D430" s="117"/>
      <c r="E430" s="118"/>
      <c r="F430" s="126"/>
      <c r="G430" s="127"/>
      <c r="H430" s="119"/>
      <c r="I430" s="119">
        <f t="shared" si="33"/>
        <v>0</v>
      </c>
      <c r="J430" s="115">
        <f t="shared" si="34"/>
        <v>0</v>
      </c>
      <c r="K430" s="80" t="str">
        <f t="shared" si="36"/>
        <v/>
      </c>
      <c r="L430" s="120"/>
      <c r="M430" s="8">
        <v>300</v>
      </c>
      <c r="N430" s="115">
        <v>60</v>
      </c>
      <c r="O430" s="78" t="str">
        <f t="shared" si="37"/>
        <v/>
      </c>
      <c r="P430" s="121">
        <f t="shared" si="38"/>
        <v>0</v>
      </c>
      <c r="Q430" s="115">
        <f t="shared" si="35"/>
        <v>0</v>
      </c>
      <c r="R430" s="122"/>
      <c r="S430" s="122"/>
      <c r="T430" s="122"/>
      <c r="U430" s="122"/>
      <c r="V430" s="122"/>
      <c r="W430" s="122"/>
      <c r="X430" s="128"/>
      <c r="Y430" s="128"/>
      <c r="Z430" s="128"/>
      <c r="AA430" s="122"/>
      <c r="AB430" s="122"/>
      <c r="AC430" s="122"/>
      <c r="AD430" s="122"/>
      <c r="AE430" s="118"/>
      <c r="AF430" s="77"/>
      <c r="AG430" s="76" t="str">
        <f t="shared" si="32"/>
        <v/>
      </c>
    </row>
    <row r="431" spans="2:33" x14ac:dyDescent="0.25">
      <c r="B431" s="182"/>
      <c r="C431" s="116"/>
      <c r="D431" s="117"/>
      <c r="E431" s="118"/>
      <c r="F431" s="126"/>
      <c r="G431" s="127"/>
      <c r="H431" s="119"/>
      <c r="I431" s="119">
        <f t="shared" si="33"/>
        <v>0</v>
      </c>
      <c r="J431" s="115">
        <f t="shared" si="34"/>
        <v>0</v>
      </c>
      <c r="K431" s="80" t="str">
        <f t="shared" si="36"/>
        <v/>
      </c>
      <c r="L431" s="120"/>
      <c r="M431" s="8">
        <v>300</v>
      </c>
      <c r="N431" s="115">
        <v>60</v>
      </c>
      <c r="O431" s="78" t="str">
        <f t="shared" si="37"/>
        <v/>
      </c>
      <c r="P431" s="121">
        <f t="shared" si="38"/>
        <v>0</v>
      </c>
      <c r="Q431" s="115">
        <f t="shared" si="35"/>
        <v>0</v>
      </c>
      <c r="R431" s="122"/>
      <c r="S431" s="122"/>
      <c r="T431" s="122"/>
      <c r="U431" s="122"/>
      <c r="V431" s="122"/>
      <c r="W431" s="122"/>
      <c r="X431" s="128"/>
      <c r="Y431" s="128"/>
      <c r="Z431" s="128"/>
      <c r="AA431" s="122"/>
      <c r="AB431" s="122"/>
      <c r="AC431" s="122"/>
      <c r="AD431" s="122"/>
      <c r="AE431" s="118"/>
      <c r="AF431" s="77"/>
      <c r="AG431" s="76" t="str">
        <f t="shared" si="32"/>
        <v/>
      </c>
    </row>
    <row r="432" spans="2:33" x14ac:dyDescent="0.25">
      <c r="B432" s="182"/>
      <c r="C432" s="116"/>
      <c r="D432" s="117"/>
      <c r="E432" s="118"/>
      <c r="F432" s="126"/>
      <c r="G432" s="127"/>
      <c r="H432" s="119"/>
      <c r="I432" s="119">
        <f t="shared" si="33"/>
        <v>0</v>
      </c>
      <c r="J432" s="115">
        <f t="shared" si="34"/>
        <v>0</v>
      </c>
      <c r="K432" s="80" t="str">
        <f t="shared" si="36"/>
        <v/>
      </c>
      <c r="L432" s="120"/>
      <c r="M432" s="8">
        <v>300</v>
      </c>
      <c r="N432" s="115">
        <v>60</v>
      </c>
      <c r="O432" s="78" t="str">
        <f t="shared" si="37"/>
        <v/>
      </c>
      <c r="P432" s="121">
        <f t="shared" si="38"/>
        <v>0</v>
      </c>
      <c r="Q432" s="115">
        <f t="shared" si="35"/>
        <v>0</v>
      </c>
      <c r="R432" s="122"/>
      <c r="S432" s="122"/>
      <c r="T432" s="122"/>
      <c r="U432" s="122"/>
      <c r="V432" s="122"/>
      <c r="W432" s="122"/>
      <c r="X432" s="128"/>
      <c r="Y432" s="128"/>
      <c r="Z432" s="128"/>
      <c r="AA432" s="122"/>
      <c r="AB432" s="122"/>
      <c r="AC432" s="122"/>
      <c r="AD432" s="122"/>
      <c r="AE432" s="118"/>
      <c r="AF432" s="77"/>
      <c r="AG432" s="76" t="str">
        <f t="shared" si="32"/>
        <v/>
      </c>
    </row>
    <row r="433" spans="2:33" x14ac:dyDescent="0.25">
      <c r="B433" s="182"/>
      <c r="C433" s="116"/>
      <c r="D433" s="117"/>
      <c r="E433" s="118"/>
      <c r="F433" s="126"/>
      <c r="G433" s="127"/>
      <c r="H433" s="119"/>
      <c r="I433" s="119">
        <f t="shared" si="33"/>
        <v>0</v>
      </c>
      <c r="J433" s="115">
        <f t="shared" si="34"/>
        <v>0</v>
      </c>
      <c r="K433" s="80" t="str">
        <f t="shared" si="36"/>
        <v/>
      </c>
      <c r="L433" s="120"/>
      <c r="M433" s="8">
        <v>300</v>
      </c>
      <c r="N433" s="115">
        <v>60</v>
      </c>
      <c r="O433" s="78" t="str">
        <f t="shared" si="37"/>
        <v/>
      </c>
      <c r="P433" s="121">
        <f t="shared" si="38"/>
        <v>0</v>
      </c>
      <c r="Q433" s="115">
        <f t="shared" si="35"/>
        <v>0</v>
      </c>
      <c r="R433" s="122"/>
      <c r="S433" s="122"/>
      <c r="T433" s="122"/>
      <c r="U433" s="122"/>
      <c r="V433" s="122"/>
      <c r="W433" s="122"/>
      <c r="X433" s="128"/>
      <c r="Y433" s="128"/>
      <c r="Z433" s="128"/>
      <c r="AA433" s="122"/>
      <c r="AB433" s="122"/>
      <c r="AC433" s="122"/>
      <c r="AD433" s="122"/>
      <c r="AE433" s="118"/>
      <c r="AF433" s="77"/>
      <c r="AG433" s="76" t="str">
        <f t="shared" si="32"/>
        <v/>
      </c>
    </row>
    <row r="434" spans="2:33" x14ac:dyDescent="0.25">
      <c r="B434" s="182"/>
      <c r="C434" s="116"/>
      <c r="D434" s="117"/>
      <c r="E434" s="118"/>
      <c r="F434" s="126"/>
      <c r="G434" s="127"/>
      <c r="H434" s="119"/>
      <c r="I434" s="119">
        <f t="shared" si="33"/>
        <v>0</v>
      </c>
      <c r="J434" s="115">
        <f t="shared" si="34"/>
        <v>0</v>
      </c>
      <c r="K434" s="80" t="str">
        <f t="shared" si="36"/>
        <v/>
      </c>
      <c r="L434" s="120"/>
      <c r="M434" s="8">
        <v>300</v>
      </c>
      <c r="N434" s="115">
        <v>60</v>
      </c>
      <c r="O434" s="78" t="str">
        <f t="shared" si="37"/>
        <v/>
      </c>
      <c r="P434" s="121">
        <f t="shared" si="38"/>
        <v>0</v>
      </c>
      <c r="Q434" s="115">
        <f t="shared" si="35"/>
        <v>0</v>
      </c>
      <c r="R434" s="122"/>
      <c r="S434" s="122"/>
      <c r="T434" s="122"/>
      <c r="U434" s="122"/>
      <c r="V434" s="122"/>
      <c r="W434" s="122"/>
      <c r="X434" s="128"/>
      <c r="Y434" s="128"/>
      <c r="Z434" s="128"/>
      <c r="AA434" s="122"/>
      <c r="AB434" s="122"/>
      <c r="AC434" s="122"/>
      <c r="AD434" s="122"/>
      <c r="AE434" s="118"/>
      <c r="AF434" s="77"/>
      <c r="AG434" s="76" t="str">
        <f t="shared" si="32"/>
        <v/>
      </c>
    </row>
    <row r="435" spans="2:33" x14ac:dyDescent="0.25">
      <c r="B435" s="182"/>
      <c r="C435" s="116"/>
      <c r="D435" s="117"/>
      <c r="E435" s="118"/>
      <c r="F435" s="126"/>
      <c r="G435" s="127"/>
      <c r="H435" s="119"/>
      <c r="I435" s="119">
        <f t="shared" si="33"/>
        <v>0</v>
      </c>
      <c r="J435" s="115">
        <f t="shared" si="34"/>
        <v>0</v>
      </c>
      <c r="K435" s="80" t="str">
        <f t="shared" si="36"/>
        <v/>
      </c>
      <c r="L435" s="120"/>
      <c r="M435" s="8">
        <v>300</v>
      </c>
      <c r="N435" s="115">
        <v>60</v>
      </c>
      <c r="O435" s="78" t="str">
        <f t="shared" si="37"/>
        <v/>
      </c>
      <c r="P435" s="121">
        <f t="shared" si="38"/>
        <v>0</v>
      </c>
      <c r="Q435" s="115">
        <f t="shared" si="35"/>
        <v>0</v>
      </c>
      <c r="R435" s="122"/>
      <c r="S435" s="122"/>
      <c r="T435" s="122"/>
      <c r="U435" s="122"/>
      <c r="V435" s="122"/>
      <c r="W435" s="122"/>
      <c r="X435" s="128"/>
      <c r="Y435" s="128"/>
      <c r="Z435" s="128"/>
      <c r="AA435" s="122"/>
      <c r="AB435" s="122"/>
      <c r="AC435" s="122"/>
      <c r="AD435" s="122"/>
      <c r="AE435" s="118"/>
      <c r="AF435" s="77"/>
      <c r="AG435" s="76" t="str">
        <f t="shared" si="32"/>
        <v/>
      </c>
    </row>
    <row r="436" spans="2:33" x14ac:dyDescent="0.25">
      <c r="B436" s="182"/>
      <c r="C436" s="116"/>
      <c r="D436" s="117"/>
      <c r="E436" s="118"/>
      <c r="F436" s="126"/>
      <c r="G436" s="127"/>
      <c r="H436" s="119"/>
      <c r="I436" s="119">
        <f t="shared" si="33"/>
        <v>0</v>
      </c>
      <c r="J436" s="115">
        <f t="shared" si="34"/>
        <v>0</v>
      </c>
      <c r="K436" s="80" t="str">
        <f t="shared" si="36"/>
        <v/>
      </c>
      <c r="L436" s="120"/>
      <c r="M436" s="8">
        <v>300</v>
      </c>
      <c r="N436" s="115">
        <v>60</v>
      </c>
      <c r="O436" s="78" t="str">
        <f t="shared" si="37"/>
        <v/>
      </c>
      <c r="P436" s="121">
        <f t="shared" si="38"/>
        <v>0</v>
      </c>
      <c r="Q436" s="115">
        <f t="shared" si="35"/>
        <v>0</v>
      </c>
      <c r="R436" s="122"/>
      <c r="S436" s="122"/>
      <c r="T436" s="122"/>
      <c r="U436" s="122"/>
      <c r="V436" s="122"/>
      <c r="W436" s="122"/>
      <c r="X436" s="128"/>
      <c r="Y436" s="128"/>
      <c r="Z436" s="128"/>
      <c r="AA436" s="122"/>
      <c r="AB436" s="122"/>
      <c r="AC436" s="122"/>
      <c r="AD436" s="122"/>
      <c r="AE436" s="118"/>
      <c r="AF436" s="77"/>
      <c r="AG436" s="76" t="str">
        <f t="shared" si="32"/>
        <v/>
      </c>
    </row>
    <row r="437" spans="2:33" x14ac:dyDescent="0.25">
      <c r="B437" s="182"/>
      <c r="C437" s="116"/>
      <c r="D437" s="117"/>
      <c r="E437" s="118"/>
      <c r="F437" s="126"/>
      <c r="G437" s="127"/>
      <c r="H437" s="119"/>
      <c r="I437" s="119">
        <f t="shared" si="33"/>
        <v>0</v>
      </c>
      <c r="J437" s="115">
        <f t="shared" si="34"/>
        <v>0</v>
      </c>
      <c r="K437" s="80" t="str">
        <f t="shared" si="36"/>
        <v/>
      </c>
      <c r="L437" s="120"/>
      <c r="M437" s="8">
        <v>300</v>
      </c>
      <c r="N437" s="115">
        <v>60</v>
      </c>
      <c r="O437" s="78" t="str">
        <f t="shared" si="37"/>
        <v/>
      </c>
      <c r="P437" s="121">
        <f t="shared" si="38"/>
        <v>0</v>
      </c>
      <c r="Q437" s="115">
        <f t="shared" si="35"/>
        <v>0</v>
      </c>
      <c r="R437" s="122"/>
      <c r="S437" s="122"/>
      <c r="T437" s="122"/>
      <c r="U437" s="122"/>
      <c r="V437" s="122"/>
      <c r="W437" s="122"/>
      <c r="X437" s="128"/>
      <c r="Y437" s="128"/>
      <c r="Z437" s="128"/>
      <c r="AA437" s="122"/>
      <c r="AB437" s="122"/>
      <c r="AC437" s="122"/>
      <c r="AD437" s="122"/>
      <c r="AE437" s="118"/>
      <c r="AF437" s="77"/>
      <c r="AG437" s="76" t="str">
        <f t="shared" si="32"/>
        <v/>
      </c>
    </row>
    <row r="438" spans="2:33" x14ac:dyDescent="0.25">
      <c r="B438" s="182"/>
      <c r="C438" s="116"/>
      <c r="D438" s="117"/>
      <c r="E438" s="118"/>
      <c r="F438" s="126"/>
      <c r="G438" s="127"/>
      <c r="H438" s="119"/>
      <c r="I438" s="119">
        <f t="shared" si="33"/>
        <v>0</v>
      </c>
      <c r="J438" s="115">
        <f t="shared" si="34"/>
        <v>0</v>
      </c>
      <c r="K438" s="80" t="str">
        <f t="shared" si="36"/>
        <v/>
      </c>
      <c r="L438" s="120"/>
      <c r="M438" s="8">
        <v>300</v>
      </c>
      <c r="N438" s="115">
        <v>60</v>
      </c>
      <c r="O438" s="78" t="str">
        <f t="shared" si="37"/>
        <v/>
      </c>
      <c r="P438" s="121">
        <f t="shared" si="38"/>
        <v>0</v>
      </c>
      <c r="Q438" s="115">
        <f t="shared" si="35"/>
        <v>0</v>
      </c>
      <c r="R438" s="122"/>
      <c r="S438" s="122"/>
      <c r="T438" s="122"/>
      <c r="U438" s="122"/>
      <c r="V438" s="122"/>
      <c r="W438" s="122"/>
      <c r="X438" s="128"/>
      <c r="Y438" s="128"/>
      <c r="Z438" s="128"/>
      <c r="AA438" s="122"/>
      <c r="AB438" s="122"/>
      <c r="AC438" s="122"/>
      <c r="AD438" s="122"/>
      <c r="AE438" s="118"/>
      <c r="AF438" s="77"/>
      <c r="AG438" s="76" t="str">
        <f t="shared" si="32"/>
        <v/>
      </c>
    </row>
    <row r="439" spans="2:33" x14ac:dyDescent="0.25">
      <c r="B439" s="182"/>
      <c r="C439" s="116"/>
      <c r="D439" s="117"/>
      <c r="E439" s="118"/>
      <c r="F439" s="126"/>
      <c r="G439" s="127"/>
      <c r="H439" s="119"/>
      <c r="I439" s="119">
        <f t="shared" si="33"/>
        <v>0</v>
      </c>
      <c r="J439" s="115">
        <f t="shared" si="34"/>
        <v>0</v>
      </c>
      <c r="K439" s="80" t="str">
        <f t="shared" si="36"/>
        <v/>
      </c>
      <c r="L439" s="120"/>
      <c r="M439" s="8">
        <v>300</v>
      </c>
      <c r="N439" s="115">
        <v>60</v>
      </c>
      <c r="O439" s="78" t="str">
        <f t="shared" si="37"/>
        <v/>
      </c>
      <c r="P439" s="121">
        <f t="shared" si="38"/>
        <v>0</v>
      </c>
      <c r="Q439" s="115">
        <f t="shared" si="35"/>
        <v>0</v>
      </c>
      <c r="R439" s="122"/>
      <c r="S439" s="122"/>
      <c r="T439" s="122"/>
      <c r="U439" s="122"/>
      <c r="V439" s="122"/>
      <c r="W439" s="122"/>
      <c r="X439" s="128"/>
      <c r="Y439" s="128"/>
      <c r="Z439" s="128"/>
      <c r="AA439" s="122"/>
      <c r="AB439" s="122"/>
      <c r="AC439" s="122"/>
      <c r="AD439" s="122"/>
      <c r="AE439" s="118"/>
      <c r="AF439" s="77"/>
      <c r="AG439" s="76" t="str">
        <f t="shared" si="32"/>
        <v/>
      </c>
    </row>
    <row r="440" spans="2:33" x14ac:dyDescent="0.25">
      <c r="B440" s="182"/>
      <c r="C440" s="116"/>
      <c r="D440" s="117"/>
      <c r="E440" s="118"/>
      <c r="F440" s="126"/>
      <c r="G440" s="127"/>
      <c r="H440" s="119"/>
      <c r="I440" s="119">
        <f t="shared" si="33"/>
        <v>0</v>
      </c>
      <c r="J440" s="115">
        <f t="shared" si="34"/>
        <v>0</v>
      </c>
      <c r="K440" s="80" t="str">
        <f t="shared" si="36"/>
        <v/>
      </c>
      <c r="L440" s="120"/>
      <c r="M440" s="8">
        <v>300</v>
      </c>
      <c r="N440" s="115">
        <v>60</v>
      </c>
      <c r="O440" s="78" t="str">
        <f t="shared" si="37"/>
        <v/>
      </c>
      <c r="P440" s="121">
        <f t="shared" si="38"/>
        <v>0</v>
      </c>
      <c r="Q440" s="115">
        <f t="shared" si="35"/>
        <v>0</v>
      </c>
      <c r="R440" s="122"/>
      <c r="S440" s="122"/>
      <c r="T440" s="122"/>
      <c r="U440" s="122"/>
      <c r="V440" s="122"/>
      <c r="W440" s="122"/>
      <c r="X440" s="128"/>
      <c r="Y440" s="128"/>
      <c r="Z440" s="128"/>
      <c r="AA440" s="122"/>
      <c r="AB440" s="122"/>
      <c r="AC440" s="122"/>
      <c r="AD440" s="122"/>
      <c r="AE440" s="118"/>
      <c r="AF440" s="77"/>
      <c r="AG440" s="76" t="str">
        <f t="shared" si="32"/>
        <v/>
      </c>
    </row>
    <row r="441" spans="2:33" x14ac:dyDescent="0.25">
      <c r="B441" s="182"/>
      <c r="C441" s="116"/>
      <c r="D441" s="117"/>
      <c r="E441" s="118"/>
      <c r="F441" s="126"/>
      <c r="G441" s="127"/>
      <c r="H441" s="119"/>
      <c r="I441" s="119">
        <f t="shared" si="33"/>
        <v>0</v>
      </c>
      <c r="J441" s="115">
        <f t="shared" si="34"/>
        <v>0</v>
      </c>
      <c r="K441" s="80" t="str">
        <f t="shared" si="36"/>
        <v/>
      </c>
      <c r="L441" s="120"/>
      <c r="M441" s="8">
        <v>300</v>
      </c>
      <c r="N441" s="115">
        <v>60</v>
      </c>
      <c r="O441" s="78" t="str">
        <f t="shared" si="37"/>
        <v/>
      </c>
      <c r="P441" s="121">
        <f t="shared" si="38"/>
        <v>0</v>
      </c>
      <c r="Q441" s="115">
        <f t="shared" si="35"/>
        <v>0</v>
      </c>
      <c r="R441" s="122"/>
      <c r="S441" s="122"/>
      <c r="T441" s="122"/>
      <c r="U441" s="122"/>
      <c r="V441" s="122"/>
      <c r="W441" s="122"/>
      <c r="X441" s="128"/>
      <c r="Y441" s="128"/>
      <c r="Z441" s="128"/>
      <c r="AA441" s="122"/>
      <c r="AB441" s="122"/>
      <c r="AC441" s="122"/>
      <c r="AD441" s="122"/>
      <c r="AE441" s="118"/>
      <c r="AF441" s="77"/>
      <c r="AG441" s="76" t="str">
        <f t="shared" si="32"/>
        <v/>
      </c>
    </row>
    <row r="442" spans="2:33" x14ac:dyDescent="0.25">
      <c r="B442" s="182"/>
      <c r="C442" s="116"/>
      <c r="D442" s="117"/>
      <c r="E442" s="118"/>
      <c r="F442" s="126"/>
      <c r="G442" s="127"/>
      <c r="H442" s="119"/>
      <c r="I442" s="119">
        <f t="shared" si="33"/>
        <v>0</v>
      </c>
      <c r="J442" s="115">
        <f t="shared" si="34"/>
        <v>0</v>
      </c>
      <c r="K442" s="80" t="str">
        <f t="shared" si="36"/>
        <v/>
      </c>
      <c r="L442" s="120"/>
      <c r="M442" s="8">
        <v>300</v>
      </c>
      <c r="N442" s="115">
        <v>60</v>
      </c>
      <c r="O442" s="78" t="str">
        <f t="shared" si="37"/>
        <v/>
      </c>
      <c r="P442" s="121">
        <f t="shared" si="38"/>
        <v>0</v>
      </c>
      <c r="Q442" s="115">
        <f t="shared" si="35"/>
        <v>0</v>
      </c>
      <c r="R442" s="122"/>
      <c r="S442" s="122"/>
      <c r="T442" s="122"/>
      <c r="U442" s="122"/>
      <c r="V442" s="122"/>
      <c r="W442" s="122"/>
      <c r="X442" s="128"/>
      <c r="Y442" s="128"/>
      <c r="Z442" s="128"/>
      <c r="AA442" s="122"/>
      <c r="AB442" s="122"/>
      <c r="AC442" s="122"/>
      <c r="AD442" s="122"/>
      <c r="AE442" s="118"/>
      <c r="AF442" s="77"/>
      <c r="AG442" s="76" t="str">
        <f t="shared" si="32"/>
        <v/>
      </c>
    </row>
    <row r="443" spans="2:33" x14ac:dyDescent="0.25">
      <c r="B443" s="182"/>
      <c r="C443" s="116"/>
      <c r="D443" s="117"/>
      <c r="E443" s="118"/>
      <c r="F443" s="126"/>
      <c r="G443" s="127"/>
      <c r="H443" s="119"/>
      <c r="I443" s="119">
        <f t="shared" si="33"/>
        <v>0</v>
      </c>
      <c r="J443" s="115">
        <f t="shared" si="34"/>
        <v>0</v>
      </c>
      <c r="K443" s="80" t="str">
        <f t="shared" si="36"/>
        <v/>
      </c>
      <c r="L443" s="120"/>
      <c r="M443" s="8">
        <v>300</v>
      </c>
      <c r="N443" s="115">
        <v>60</v>
      </c>
      <c r="O443" s="78" t="str">
        <f t="shared" si="37"/>
        <v/>
      </c>
      <c r="P443" s="121">
        <f t="shared" si="38"/>
        <v>0</v>
      </c>
      <c r="Q443" s="115">
        <f t="shared" si="35"/>
        <v>0</v>
      </c>
      <c r="R443" s="122"/>
      <c r="S443" s="122"/>
      <c r="T443" s="122"/>
      <c r="U443" s="122"/>
      <c r="V443" s="122"/>
      <c r="W443" s="122"/>
      <c r="X443" s="128"/>
      <c r="Y443" s="128"/>
      <c r="Z443" s="128"/>
      <c r="AA443" s="122"/>
      <c r="AB443" s="122"/>
      <c r="AC443" s="122"/>
      <c r="AD443" s="122"/>
      <c r="AE443" s="118"/>
      <c r="AF443" s="77"/>
      <c r="AG443" s="76" t="str">
        <f t="shared" si="32"/>
        <v/>
      </c>
    </row>
    <row r="444" spans="2:33" x14ac:dyDescent="0.25">
      <c r="B444" s="182"/>
      <c r="C444" s="116"/>
      <c r="D444" s="117"/>
      <c r="E444" s="118"/>
      <c r="F444" s="126"/>
      <c r="G444" s="127"/>
      <c r="H444" s="119"/>
      <c r="I444" s="119">
        <f t="shared" si="33"/>
        <v>0</v>
      </c>
      <c r="J444" s="115">
        <f t="shared" si="34"/>
        <v>0</v>
      </c>
      <c r="K444" s="80" t="str">
        <f t="shared" si="36"/>
        <v/>
      </c>
      <c r="L444" s="120"/>
      <c r="M444" s="8">
        <v>300</v>
      </c>
      <c r="N444" s="115">
        <v>60</v>
      </c>
      <c r="O444" s="78" t="str">
        <f t="shared" si="37"/>
        <v/>
      </c>
      <c r="P444" s="121">
        <f t="shared" si="38"/>
        <v>0</v>
      </c>
      <c r="Q444" s="115">
        <f t="shared" si="35"/>
        <v>0</v>
      </c>
      <c r="R444" s="122"/>
      <c r="S444" s="122"/>
      <c r="T444" s="122"/>
      <c r="U444" s="122"/>
      <c r="V444" s="122"/>
      <c r="W444" s="122"/>
      <c r="X444" s="128"/>
      <c r="Y444" s="128"/>
      <c r="Z444" s="128"/>
      <c r="AA444" s="122"/>
      <c r="AB444" s="122"/>
      <c r="AC444" s="122"/>
      <c r="AD444" s="122"/>
      <c r="AE444" s="118"/>
      <c r="AF444" s="77"/>
      <c r="AG444" s="76" t="str">
        <f t="shared" si="32"/>
        <v/>
      </c>
    </row>
    <row r="445" spans="2:33" x14ac:dyDescent="0.25">
      <c r="B445" s="182"/>
      <c r="C445" s="116"/>
      <c r="D445" s="117"/>
      <c r="E445" s="118"/>
      <c r="F445" s="126"/>
      <c r="G445" s="127"/>
      <c r="H445" s="119"/>
      <c r="I445" s="119">
        <f t="shared" si="33"/>
        <v>0</v>
      </c>
      <c r="J445" s="115">
        <f t="shared" si="34"/>
        <v>0</v>
      </c>
      <c r="K445" s="80" t="str">
        <f t="shared" si="36"/>
        <v/>
      </c>
      <c r="L445" s="120"/>
      <c r="M445" s="8">
        <v>300</v>
      </c>
      <c r="N445" s="115">
        <v>60</v>
      </c>
      <c r="O445" s="78" t="str">
        <f t="shared" si="37"/>
        <v/>
      </c>
      <c r="P445" s="121">
        <f t="shared" si="38"/>
        <v>0</v>
      </c>
      <c r="Q445" s="115">
        <f t="shared" si="35"/>
        <v>0</v>
      </c>
      <c r="R445" s="122"/>
      <c r="S445" s="122"/>
      <c r="T445" s="122"/>
      <c r="U445" s="122"/>
      <c r="V445" s="122"/>
      <c r="W445" s="122"/>
      <c r="X445" s="128"/>
      <c r="Y445" s="128"/>
      <c r="Z445" s="128"/>
      <c r="AA445" s="122"/>
      <c r="AB445" s="122"/>
      <c r="AC445" s="122"/>
      <c r="AD445" s="122"/>
      <c r="AE445" s="118"/>
      <c r="AF445" s="77"/>
      <c r="AG445" s="76" t="str">
        <f t="shared" si="32"/>
        <v/>
      </c>
    </row>
    <row r="446" spans="2:33" x14ac:dyDescent="0.25">
      <c r="B446" s="182"/>
      <c r="C446" s="116"/>
      <c r="D446" s="117"/>
      <c r="E446" s="118"/>
      <c r="F446" s="126"/>
      <c r="G446" s="127"/>
      <c r="H446" s="119"/>
      <c r="I446" s="119">
        <f t="shared" si="33"/>
        <v>0</v>
      </c>
      <c r="J446" s="115">
        <f t="shared" si="34"/>
        <v>0</v>
      </c>
      <c r="K446" s="80" t="str">
        <f t="shared" si="36"/>
        <v/>
      </c>
      <c r="L446" s="120"/>
      <c r="M446" s="8">
        <v>300</v>
      </c>
      <c r="N446" s="115">
        <v>60</v>
      </c>
      <c r="O446" s="78" t="str">
        <f t="shared" si="37"/>
        <v/>
      </c>
      <c r="P446" s="121">
        <f t="shared" si="38"/>
        <v>0</v>
      </c>
      <c r="Q446" s="115">
        <f t="shared" si="35"/>
        <v>0</v>
      </c>
      <c r="R446" s="122"/>
      <c r="S446" s="122"/>
      <c r="T446" s="122"/>
      <c r="U446" s="122"/>
      <c r="V446" s="122"/>
      <c r="W446" s="122"/>
      <c r="X446" s="128"/>
      <c r="Y446" s="128"/>
      <c r="Z446" s="128"/>
      <c r="AA446" s="122"/>
      <c r="AB446" s="122"/>
      <c r="AC446" s="122"/>
      <c r="AD446" s="122"/>
      <c r="AE446" s="118"/>
      <c r="AF446" s="77"/>
      <c r="AG446" s="76" t="str">
        <f t="shared" si="32"/>
        <v/>
      </c>
    </row>
    <row r="447" spans="2:33" x14ac:dyDescent="0.25">
      <c r="B447" s="182"/>
      <c r="C447" s="116"/>
      <c r="D447" s="117"/>
      <c r="E447" s="118"/>
      <c r="F447" s="126"/>
      <c r="G447" s="127"/>
      <c r="H447" s="119"/>
      <c r="I447" s="119">
        <f t="shared" si="33"/>
        <v>0</v>
      </c>
      <c r="J447" s="115">
        <f t="shared" si="34"/>
        <v>0</v>
      </c>
      <c r="K447" s="80" t="str">
        <f t="shared" si="36"/>
        <v/>
      </c>
      <c r="L447" s="120"/>
      <c r="M447" s="8">
        <v>300</v>
      </c>
      <c r="N447" s="115">
        <v>60</v>
      </c>
      <c r="O447" s="78" t="str">
        <f t="shared" si="37"/>
        <v/>
      </c>
      <c r="P447" s="121">
        <f t="shared" si="38"/>
        <v>0</v>
      </c>
      <c r="Q447" s="115">
        <f t="shared" si="35"/>
        <v>0</v>
      </c>
      <c r="R447" s="122"/>
      <c r="S447" s="122"/>
      <c r="T447" s="122"/>
      <c r="U447" s="122"/>
      <c r="V447" s="122"/>
      <c r="W447" s="122"/>
      <c r="X447" s="128"/>
      <c r="Y447" s="128"/>
      <c r="Z447" s="128"/>
      <c r="AA447" s="122"/>
      <c r="AB447" s="122"/>
      <c r="AC447" s="122"/>
      <c r="AD447" s="122"/>
      <c r="AE447" s="118"/>
      <c r="AF447" s="77"/>
      <c r="AG447" s="76" t="str">
        <f t="shared" si="32"/>
        <v/>
      </c>
    </row>
    <row r="448" spans="2:33" x14ac:dyDescent="0.25">
      <c r="B448" s="182"/>
      <c r="C448" s="116"/>
      <c r="D448" s="117"/>
      <c r="E448" s="118"/>
      <c r="F448" s="126"/>
      <c r="G448" s="127"/>
      <c r="H448" s="119"/>
      <c r="I448" s="119">
        <f t="shared" si="33"/>
        <v>0</v>
      </c>
      <c r="J448" s="115">
        <f t="shared" si="34"/>
        <v>0</v>
      </c>
      <c r="K448" s="80" t="str">
        <f t="shared" si="36"/>
        <v/>
      </c>
      <c r="L448" s="120"/>
      <c r="M448" s="8">
        <v>300</v>
      </c>
      <c r="N448" s="115">
        <v>60</v>
      </c>
      <c r="O448" s="78" t="str">
        <f t="shared" si="37"/>
        <v/>
      </c>
      <c r="P448" s="121">
        <f t="shared" si="38"/>
        <v>0</v>
      </c>
      <c r="Q448" s="115">
        <f t="shared" si="35"/>
        <v>0</v>
      </c>
      <c r="R448" s="122"/>
      <c r="S448" s="122"/>
      <c r="T448" s="122"/>
      <c r="U448" s="122"/>
      <c r="V448" s="122"/>
      <c r="W448" s="122"/>
      <c r="X448" s="128"/>
      <c r="Y448" s="128"/>
      <c r="Z448" s="128"/>
      <c r="AA448" s="122"/>
      <c r="AB448" s="122"/>
      <c r="AC448" s="122"/>
      <c r="AD448" s="122"/>
      <c r="AE448" s="118"/>
      <c r="AF448" s="77"/>
      <c r="AG448" s="76" t="str">
        <f t="shared" si="32"/>
        <v/>
      </c>
    </row>
    <row r="449" spans="2:33" x14ac:dyDescent="0.25">
      <c r="B449" s="182"/>
      <c r="C449" s="116"/>
      <c r="D449" s="117"/>
      <c r="E449" s="118"/>
      <c r="F449" s="126"/>
      <c r="G449" s="127"/>
      <c r="H449" s="119"/>
      <c r="I449" s="119">
        <f t="shared" si="33"/>
        <v>0</v>
      </c>
      <c r="J449" s="115">
        <f t="shared" si="34"/>
        <v>0</v>
      </c>
      <c r="K449" s="80" t="str">
        <f t="shared" si="36"/>
        <v/>
      </c>
      <c r="L449" s="120"/>
      <c r="M449" s="8">
        <v>300</v>
      </c>
      <c r="N449" s="115">
        <v>60</v>
      </c>
      <c r="O449" s="78" t="str">
        <f t="shared" si="37"/>
        <v/>
      </c>
      <c r="P449" s="121">
        <f t="shared" si="38"/>
        <v>0</v>
      </c>
      <c r="Q449" s="115">
        <f t="shared" si="35"/>
        <v>0</v>
      </c>
      <c r="R449" s="122"/>
      <c r="S449" s="122"/>
      <c r="T449" s="122"/>
      <c r="U449" s="122"/>
      <c r="V449" s="122"/>
      <c r="W449" s="122"/>
      <c r="X449" s="128"/>
      <c r="Y449" s="128"/>
      <c r="Z449" s="128"/>
      <c r="AA449" s="122"/>
      <c r="AB449" s="122"/>
      <c r="AC449" s="122"/>
      <c r="AD449" s="122"/>
      <c r="AE449" s="118"/>
      <c r="AF449" s="77"/>
      <c r="AG449" s="76" t="str">
        <f t="shared" si="32"/>
        <v/>
      </c>
    </row>
    <row r="450" spans="2:33" x14ac:dyDescent="0.25">
      <c r="B450" s="182"/>
      <c r="C450" s="116"/>
      <c r="D450" s="117"/>
      <c r="E450" s="118"/>
      <c r="F450" s="126"/>
      <c r="G450" s="127"/>
      <c r="H450" s="119"/>
      <c r="I450" s="119">
        <f t="shared" si="33"/>
        <v>0</v>
      </c>
      <c r="J450" s="115">
        <f t="shared" si="34"/>
        <v>0</v>
      </c>
      <c r="K450" s="80" t="str">
        <f t="shared" si="36"/>
        <v/>
      </c>
      <c r="L450" s="120"/>
      <c r="M450" s="8">
        <v>300</v>
      </c>
      <c r="N450" s="115">
        <v>60</v>
      </c>
      <c r="O450" s="78" t="str">
        <f t="shared" si="37"/>
        <v/>
      </c>
      <c r="P450" s="121">
        <f t="shared" si="38"/>
        <v>0</v>
      </c>
      <c r="Q450" s="115">
        <f t="shared" si="35"/>
        <v>0</v>
      </c>
      <c r="R450" s="122"/>
      <c r="S450" s="122"/>
      <c r="T450" s="122"/>
      <c r="U450" s="122"/>
      <c r="V450" s="122"/>
      <c r="W450" s="122"/>
      <c r="X450" s="128"/>
      <c r="Y450" s="128"/>
      <c r="Z450" s="128"/>
      <c r="AA450" s="122"/>
      <c r="AB450" s="122"/>
      <c r="AC450" s="122"/>
      <c r="AD450" s="122"/>
      <c r="AE450" s="118"/>
      <c r="AF450" s="77"/>
      <c r="AG450" s="76" t="str">
        <f t="shared" si="32"/>
        <v/>
      </c>
    </row>
    <row r="451" spans="2:33" x14ac:dyDescent="0.25">
      <c r="B451" s="182"/>
      <c r="C451" s="116"/>
      <c r="D451" s="117"/>
      <c r="E451" s="118"/>
      <c r="F451" s="126"/>
      <c r="G451" s="127"/>
      <c r="H451" s="119"/>
      <c r="I451" s="119">
        <f t="shared" si="33"/>
        <v>0</v>
      </c>
      <c r="J451" s="115">
        <f t="shared" si="34"/>
        <v>0</v>
      </c>
      <c r="K451" s="80" t="str">
        <f t="shared" si="36"/>
        <v/>
      </c>
      <c r="L451" s="120"/>
      <c r="M451" s="8">
        <v>300</v>
      </c>
      <c r="N451" s="115">
        <v>60</v>
      </c>
      <c r="O451" s="78" t="str">
        <f t="shared" si="37"/>
        <v/>
      </c>
      <c r="P451" s="121">
        <f t="shared" si="38"/>
        <v>0</v>
      </c>
      <c r="Q451" s="115">
        <f t="shared" si="35"/>
        <v>0</v>
      </c>
      <c r="R451" s="122"/>
      <c r="S451" s="122"/>
      <c r="T451" s="122"/>
      <c r="U451" s="122"/>
      <c r="V451" s="122"/>
      <c r="W451" s="122"/>
      <c r="X451" s="128"/>
      <c r="Y451" s="128"/>
      <c r="Z451" s="128"/>
      <c r="AA451" s="122"/>
      <c r="AB451" s="122"/>
      <c r="AC451" s="122"/>
      <c r="AD451" s="122"/>
      <c r="AE451" s="118"/>
      <c r="AF451" s="77"/>
      <c r="AG451" s="76" t="str">
        <f t="shared" si="32"/>
        <v/>
      </c>
    </row>
    <row r="452" spans="2:33" x14ac:dyDescent="0.25">
      <c r="B452" s="182"/>
      <c r="C452" s="116"/>
      <c r="D452" s="117"/>
      <c r="E452" s="118"/>
      <c r="F452" s="126"/>
      <c r="G452" s="127"/>
      <c r="H452" s="119"/>
      <c r="I452" s="119">
        <f t="shared" si="33"/>
        <v>0</v>
      </c>
      <c r="J452" s="115">
        <f t="shared" si="34"/>
        <v>0</v>
      </c>
      <c r="K452" s="80" t="str">
        <f t="shared" si="36"/>
        <v/>
      </c>
      <c r="L452" s="120"/>
      <c r="M452" s="8">
        <v>300</v>
      </c>
      <c r="N452" s="115">
        <v>60</v>
      </c>
      <c r="O452" s="78" t="str">
        <f t="shared" si="37"/>
        <v/>
      </c>
      <c r="P452" s="121">
        <f t="shared" si="38"/>
        <v>0</v>
      </c>
      <c r="Q452" s="115">
        <f t="shared" si="35"/>
        <v>0</v>
      </c>
      <c r="R452" s="122"/>
      <c r="S452" s="122"/>
      <c r="T452" s="122"/>
      <c r="U452" s="122"/>
      <c r="V452" s="122"/>
      <c r="W452" s="122"/>
      <c r="X452" s="128"/>
      <c r="Y452" s="128"/>
      <c r="Z452" s="128"/>
      <c r="AA452" s="122"/>
      <c r="AB452" s="122"/>
      <c r="AC452" s="122"/>
      <c r="AD452" s="122"/>
      <c r="AE452" s="118"/>
      <c r="AF452" s="77"/>
      <c r="AG452" s="76" t="str">
        <f t="shared" si="32"/>
        <v/>
      </c>
    </row>
    <row r="453" spans="2:33" x14ac:dyDescent="0.25">
      <c r="B453" s="182"/>
      <c r="C453" s="116"/>
      <c r="D453" s="117"/>
      <c r="E453" s="118"/>
      <c r="F453" s="126"/>
      <c r="G453" s="127"/>
      <c r="H453" s="119"/>
      <c r="I453" s="119">
        <f t="shared" si="33"/>
        <v>0</v>
      </c>
      <c r="J453" s="115">
        <f t="shared" si="34"/>
        <v>0</v>
      </c>
      <c r="K453" s="80" t="str">
        <f t="shared" si="36"/>
        <v/>
      </c>
      <c r="L453" s="120"/>
      <c r="M453" s="8">
        <v>300</v>
      </c>
      <c r="N453" s="115">
        <v>60</v>
      </c>
      <c r="O453" s="78" t="str">
        <f t="shared" si="37"/>
        <v/>
      </c>
      <c r="P453" s="121">
        <f t="shared" si="38"/>
        <v>0</v>
      </c>
      <c r="Q453" s="115">
        <f t="shared" si="35"/>
        <v>0</v>
      </c>
      <c r="R453" s="122"/>
      <c r="S453" s="122"/>
      <c r="T453" s="122"/>
      <c r="U453" s="122"/>
      <c r="V453" s="122"/>
      <c r="W453" s="122"/>
      <c r="X453" s="128"/>
      <c r="Y453" s="128"/>
      <c r="Z453" s="128"/>
      <c r="AA453" s="122"/>
      <c r="AB453" s="122"/>
      <c r="AC453" s="122"/>
      <c r="AD453" s="122"/>
      <c r="AE453" s="118"/>
      <c r="AF453" s="77"/>
      <c r="AG453" s="76" t="str">
        <f t="shared" si="32"/>
        <v/>
      </c>
    </row>
    <row r="454" spans="2:33" x14ac:dyDescent="0.25">
      <c r="B454" s="182"/>
      <c r="C454" s="116"/>
      <c r="D454" s="117"/>
      <c r="E454" s="118"/>
      <c r="F454" s="126"/>
      <c r="G454" s="127"/>
      <c r="H454" s="119"/>
      <c r="I454" s="119">
        <f t="shared" si="33"/>
        <v>0</v>
      </c>
      <c r="J454" s="115">
        <f t="shared" si="34"/>
        <v>0</v>
      </c>
      <c r="K454" s="80" t="str">
        <f t="shared" si="36"/>
        <v/>
      </c>
      <c r="L454" s="120"/>
      <c r="M454" s="8">
        <v>300</v>
      </c>
      <c r="N454" s="115">
        <v>60</v>
      </c>
      <c r="O454" s="78" t="str">
        <f t="shared" si="37"/>
        <v/>
      </c>
      <c r="P454" s="121">
        <f t="shared" si="38"/>
        <v>0</v>
      </c>
      <c r="Q454" s="115">
        <f t="shared" si="35"/>
        <v>0</v>
      </c>
      <c r="R454" s="122"/>
      <c r="S454" s="122"/>
      <c r="T454" s="122"/>
      <c r="U454" s="122"/>
      <c r="V454" s="122"/>
      <c r="W454" s="122"/>
      <c r="X454" s="128"/>
      <c r="Y454" s="128"/>
      <c r="Z454" s="128"/>
      <c r="AA454" s="122"/>
      <c r="AB454" s="122"/>
      <c r="AC454" s="122"/>
      <c r="AD454" s="122"/>
      <c r="AE454" s="118"/>
      <c r="AF454" s="77"/>
      <c r="AG454" s="76" t="str">
        <f t="shared" si="32"/>
        <v/>
      </c>
    </row>
    <row r="455" spans="2:33" x14ac:dyDescent="0.25">
      <c r="B455" s="182"/>
      <c r="C455" s="116"/>
      <c r="D455" s="117"/>
      <c r="E455" s="118"/>
      <c r="F455" s="126"/>
      <c r="G455" s="127"/>
      <c r="H455" s="119"/>
      <c r="I455" s="119">
        <f t="shared" si="33"/>
        <v>0</v>
      </c>
      <c r="J455" s="115">
        <f t="shared" si="34"/>
        <v>0</v>
      </c>
      <c r="K455" s="80" t="str">
        <f t="shared" si="36"/>
        <v/>
      </c>
      <c r="L455" s="120"/>
      <c r="M455" s="8">
        <v>300</v>
      </c>
      <c r="N455" s="115">
        <v>60</v>
      </c>
      <c r="O455" s="78" t="str">
        <f t="shared" si="37"/>
        <v/>
      </c>
      <c r="P455" s="121">
        <f t="shared" si="38"/>
        <v>0</v>
      </c>
      <c r="Q455" s="115">
        <f t="shared" si="35"/>
        <v>0</v>
      </c>
      <c r="R455" s="122"/>
      <c r="S455" s="122"/>
      <c r="T455" s="122"/>
      <c r="U455" s="122"/>
      <c r="V455" s="122"/>
      <c r="W455" s="122"/>
      <c r="X455" s="128"/>
      <c r="Y455" s="128"/>
      <c r="Z455" s="128"/>
      <c r="AA455" s="122"/>
      <c r="AB455" s="122"/>
      <c r="AC455" s="122"/>
      <c r="AD455" s="122"/>
      <c r="AE455" s="118"/>
      <c r="AF455" s="77"/>
      <c r="AG455" s="76" t="str">
        <f t="shared" si="32"/>
        <v/>
      </c>
    </row>
    <row r="456" spans="2:33" x14ac:dyDescent="0.25">
      <c r="B456" s="182"/>
      <c r="C456" s="116"/>
      <c r="D456" s="117"/>
      <c r="E456" s="118"/>
      <c r="F456" s="126"/>
      <c r="G456" s="127"/>
      <c r="H456" s="119"/>
      <c r="I456" s="119">
        <f t="shared" si="33"/>
        <v>0</v>
      </c>
      <c r="J456" s="115">
        <f t="shared" si="34"/>
        <v>0</v>
      </c>
      <c r="K456" s="80" t="str">
        <f t="shared" si="36"/>
        <v/>
      </c>
      <c r="L456" s="120"/>
      <c r="M456" s="8">
        <v>300</v>
      </c>
      <c r="N456" s="115">
        <v>60</v>
      </c>
      <c r="O456" s="78" t="str">
        <f t="shared" si="37"/>
        <v/>
      </c>
      <c r="P456" s="121">
        <f t="shared" si="38"/>
        <v>0</v>
      </c>
      <c r="Q456" s="115">
        <f t="shared" si="35"/>
        <v>0</v>
      </c>
      <c r="R456" s="122"/>
      <c r="S456" s="122"/>
      <c r="T456" s="122"/>
      <c r="U456" s="122"/>
      <c r="V456" s="122"/>
      <c r="W456" s="122"/>
      <c r="X456" s="128"/>
      <c r="Y456" s="128"/>
      <c r="Z456" s="128"/>
      <c r="AA456" s="122"/>
      <c r="AB456" s="122"/>
      <c r="AC456" s="122"/>
      <c r="AD456" s="122"/>
      <c r="AE456" s="118"/>
      <c r="AF456" s="77"/>
      <c r="AG456" s="76" t="str">
        <f t="shared" si="32"/>
        <v/>
      </c>
    </row>
    <row r="457" spans="2:33" x14ac:dyDescent="0.25">
      <c r="B457" s="182"/>
      <c r="C457" s="116"/>
      <c r="D457" s="117"/>
      <c r="E457" s="118"/>
      <c r="F457" s="126"/>
      <c r="G457" s="127"/>
      <c r="H457" s="119"/>
      <c r="I457" s="119">
        <f t="shared" si="33"/>
        <v>0</v>
      </c>
      <c r="J457" s="115">
        <f t="shared" si="34"/>
        <v>0</v>
      </c>
      <c r="K457" s="80" t="str">
        <f t="shared" si="36"/>
        <v/>
      </c>
      <c r="L457" s="120"/>
      <c r="M457" s="8">
        <v>300</v>
      </c>
      <c r="N457" s="115">
        <v>60</v>
      </c>
      <c r="O457" s="78" t="str">
        <f t="shared" si="37"/>
        <v/>
      </c>
      <c r="P457" s="121">
        <f t="shared" si="38"/>
        <v>0</v>
      </c>
      <c r="Q457" s="115">
        <f t="shared" si="35"/>
        <v>0</v>
      </c>
      <c r="R457" s="122"/>
      <c r="S457" s="122"/>
      <c r="T457" s="122"/>
      <c r="U457" s="122"/>
      <c r="V457" s="122"/>
      <c r="W457" s="122"/>
      <c r="X457" s="128"/>
      <c r="Y457" s="128"/>
      <c r="Z457" s="128"/>
      <c r="AA457" s="122"/>
      <c r="AB457" s="122"/>
      <c r="AC457" s="122"/>
      <c r="AD457" s="122"/>
      <c r="AE457" s="118"/>
      <c r="AF457" s="77"/>
      <c r="AG457" s="76" t="str">
        <f t="shared" si="32"/>
        <v/>
      </c>
    </row>
    <row r="458" spans="2:33" x14ac:dyDescent="0.25">
      <c r="B458" s="182"/>
      <c r="C458" s="116"/>
      <c r="D458" s="117"/>
      <c r="E458" s="118"/>
      <c r="F458" s="126"/>
      <c r="G458" s="127"/>
      <c r="H458" s="119"/>
      <c r="I458" s="119">
        <f t="shared" si="33"/>
        <v>0</v>
      </c>
      <c r="J458" s="115">
        <f t="shared" si="34"/>
        <v>0</v>
      </c>
      <c r="K458" s="80" t="str">
        <f t="shared" si="36"/>
        <v/>
      </c>
      <c r="L458" s="120"/>
      <c r="M458" s="8">
        <v>300</v>
      </c>
      <c r="N458" s="115">
        <v>60</v>
      </c>
      <c r="O458" s="78" t="str">
        <f t="shared" si="37"/>
        <v/>
      </c>
      <c r="P458" s="121">
        <f t="shared" si="38"/>
        <v>0</v>
      </c>
      <c r="Q458" s="115">
        <f t="shared" si="35"/>
        <v>0</v>
      </c>
      <c r="R458" s="122"/>
      <c r="S458" s="122"/>
      <c r="T458" s="122"/>
      <c r="U458" s="122"/>
      <c r="V458" s="122"/>
      <c r="W458" s="122"/>
      <c r="X458" s="128"/>
      <c r="Y458" s="128"/>
      <c r="Z458" s="128"/>
      <c r="AA458" s="122"/>
      <c r="AB458" s="122"/>
      <c r="AC458" s="122"/>
      <c r="AD458" s="122"/>
      <c r="AE458" s="118"/>
      <c r="AF458" s="77"/>
      <c r="AG458" s="76" t="str">
        <f t="shared" si="32"/>
        <v/>
      </c>
    </row>
    <row r="459" spans="2:33" x14ac:dyDescent="0.25">
      <c r="B459" s="182"/>
      <c r="C459" s="116"/>
      <c r="D459" s="117"/>
      <c r="E459" s="118"/>
      <c r="F459" s="126"/>
      <c r="G459" s="127"/>
      <c r="H459" s="119"/>
      <c r="I459" s="119">
        <f t="shared" si="33"/>
        <v>0</v>
      </c>
      <c r="J459" s="115">
        <f t="shared" si="34"/>
        <v>0</v>
      </c>
      <c r="K459" s="80" t="str">
        <f t="shared" si="36"/>
        <v/>
      </c>
      <c r="L459" s="120"/>
      <c r="M459" s="8">
        <v>300</v>
      </c>
      <c r="N459" s="115">
        <v>60</v>
      </c>
      <c r="O459" s="78" t="str">
        <f t="shared" si="37"/>
        <v/>
      </c>
      <c r="P459" s="121">
        <f t="shared" si="38"/>
        <v>0</v>
      </c>
      <c r="Q459" s="115">
        <f t="shared" si="35"/>
        <v>0</v>
      </c>
      <c r="R459" s="122"/>
      <c r="S459" s="122"/>
      <c r="T459" s="122"/>
      <c r="U459" s="122"/>
      <c r="V459" s="122"/>
      <c r="W459" s="122"/>
      <c r="X459" s="128"/>
      <c r="Y459" s="128"/>
      <c r="Z459" s="128"/>
      <c r="AA459" s="122"/>
      <c r="AB459" s="122"/>
      <c r="AC459" s="122"/>
      <c r="AD459" s="122"/>
      <c r="AE459" s="118"/>
      <c r="AF459" s="77"/>
      <c r="AG459" s="76" t="str">
        <f t="shared" si="32"/>
        <v/>
      </c>
    </row>
    <row r="460" spans="2:33" x14ac:dyDescent="0.25">
      <c r="B460" s="182"/>
      <c r="C460" s="116"/>
      <c r="D460" s="117"/>
      <c r="E460" s="118"/>
      <c r="F460" s="126"/>
      <c r="G460" s="127"/>
      <c r="H460" s="119"/>
      <c r="I460" s="119">
        <f t="shared" si="33"/>
        <v>0</v>
      </c>
      <c r="J460" s="115">
        <f t="shared" si="34"/>
        <v>0</v>
      </c>
      <c r="K460" s="80" t="str">
        <f t="shared" si="36"/>
        <v/>
      </c>
      <c r="L460" s="120"/>
      <c r="M460" s="8">
        <v>300</v>
      </c>
      <c r="N460" s="115">
        <v>60</v>
      </c>
      <c r="O460" s="78" t="str">
        <f t="shared" si="37"/>
        <v/>
      </c>
      <c r="P460" s="121">
        <f t="shared" si="38"/>
        <v>0</v>
      </c>
      <c r="Q460" s="115">
        <f t="shared" si="35"/>
        <v>0</v>
      </c>
      <c r="R460" s="122"/>
      <c r="S460" s="122"/>
      <c r="T460" s="122"/>
      <c r="U460" s="122"/>
      <c r="V460" s="122"/>
      <c r="W460" s="122"/>
      <c r="X460" s="128"/>
      <c r="Y460" s="128"/>
      <c r="Z460" s="128"/>
      <c r="AA460" s="122"/>
      <c r="AB460" s="122"/>
      <c r="AC460" s="122"/>
      <c r="AD460" s="122"/>
      <c r="AE460" s="118"/>
      <c r="AF460" s="77"/>
      <c r="AG460" s="76" t="str">
        <f t="shared" si="32"/>
        <v/>
      </c>
    </row>
    <row r="461" spans="2:33" x14ac:dyDescent="0.25">
      <c r="B461" s="182"/>
      <c r="C461" s="116"/>
      <c r="D461" s="117"/>
      <c r="E461" s="118"/>
      <c r="F461" s="126"/>
      <c r="G461" s="127"/>
      <c r="H461" s="119"/>
      <c r="I461" s="119">
        <f t="shared" si="33"/>
        <v>0</v>
      </c>
      <c r="J461" s="115">
        <f t="shared" si="34"/>
        <v>0</v>
      </c>
      <c r="K461" s="80" t="str">
        <f t="shared" si="36"/>
        <v/>
      </c>
      <c r="L461" s="120"/>
      <c r="M461" s="8">
        <v>300</v>
      </c>
      <c r="N461" s="115">
        <v>60</v>
      </c>
      <c r="O461" s="78" t="str">
        <f t="shared" si="37"/>
        <v/>
      </c>
      <c r="P461" s="121">
        <f t="shared" si="38"/>
        <v>0</v>
      </c>
      <c r="Q461" s="115">
        <f t="shared" si="35"/>
        <v>0</v>
      </c>
      <c r="R461" s="122"/>
      <c r="S461" s="122"/>
      <c r="T461" s="122"/>
      <c r="U461" s="122"/>
      <c r="V461" s="122"/>
      <c r="W461" s="122"/>
      <c r="X461" s="128"/>
      <c r="Y461" s="128"/>
      <c r="Z461" s="128"/>
      <c r="AA461" s="122"/>
      <c r="AB461" s="122"/>
      <c r="AC461" s="122"/>
      <c r="AD461" s="122"/>
      <c r="AE461" s="118"/>
      <c r="AF461" s="77"/>
      <c r="AG461" s="76" t="str">
        <f t="shared" si="32"/>
        <v/>
      </c>
    </row>
    <row r="462" spans="2:33" x14ac:dyDescent="0.25">
      <c r="B462" s="182"/>
      <c r="C462" s="116"/>
      <c r="D462" s="117"/>
      <c r="E462" s="118"/>
      <c r="F462" s="126"/>
      <c r="G462" s="127"/>
      <c r="H462" s="119"/>
      <c r="I462" s="119">
        <f t="shared" si="33"/>
        <v>0</v>
      </c>
      <c r="J462" s="115">
        <f t="shared" si="34"/>
        <v>0</v>
      </c>
      <c r="K462" s="80" t="str">
        <f t="shared" si="36"/>
        <v/>
      </c>
      <c r="L462" s="120"/>
      <c r="M462" s="8">
        <v>300</v>
      </c>
      <c r="N462" s="115">
        <v>60</v>
      </c>
      <c r="O462" s="78" t="str">
        <f t="shared" si="37"/>
        <v/>
      </c>
      <c r="P462" s="121">
        <f t="shared" si="38"/>
        <v>0</v>
      </c>
      <c r="Q462" s="115">
        <f t="shared" si="35"/>
        <v>0</v>
      </c>
      <c r="R462" s="122"/>
      <c r="S462" s="122"/>
      <c r="T462" s="122"/>
      <c r="U462" s="122"/>
      <c r="V462" s="122"/>
      <c r="W462" s="122"/>
      <c r="X462" s="128"/>
      <c r="Y462" s="128"/>
      <c r="Z462" s="128"/>
      <c r="AA462" s="122"/>
      <c r="AB462" s="122"/>
      <c r="AC462" s="122"/>
      <c r="AD462" s="122"/>
      <c r="AE462" s="118"/>
      <c r="AF462" s="77"/>
      <c r="AG462" s="76" t="str">
        <f t="shared" si="32"/>
        <v/>
      </c>
    </row>
    <row r="463" spans="2:33" x14ac:dyDescent="0.25">
      <c r="B463" s="182"/>
      <c r="C463" s="116"/>
      <c r="D463" s="117"/>
      <c r="E463" s="118"/>
      <c r="F463" s="126"/>
      <c r="G463" s="127"/>
      <c r="H463" s="119"/>
      <c r="I463" s="119">
        <f t="shared" si="33"/>
        <v>0</v>
      </c>
      <c r="J463" s="115">
        <f t="shared" si="34"/>
        <v>0</v>
      </c>
      <c r="K463" s="80" t="str">
        <f t="shared" si="36"/>
        <v/>
      </c>
      <c r="L463" s="120"/>
      <c r="M463" s="8">
        <v>300</v>
      </c>
      <c r="N463" s="115">
        <v>60</v>
      </c>
      <c r="O463" s="78" t="str">
        <f t="shared" si="37"/>
        <v/>
      </c>
      <c r="P463" s="121">
        <f t="shared" si="38"/>
        <v>0</v>
      </c>
      <c r="Q463" s="115">
        <f t="shared" si="35"/>
        <v>0</v>
      </c>
      <c r="R463" s="122"/>
      <c r="S463" s="122"/>
      <c r="T463" s="122"/>
      <c r="U463" s="122"/>
      <c r="V463" s="122"/>
      <c r="W463" s="122"/>
      <c r="X463" s="128"/>
      <c r="Y463" s="128"/>
      <c r="Z463" s="128"/>
      <c r="AA463" s="122"/>
      <c r="AB463" s="122"/>
      <c r="AC463" s="122"/>
      <c r="AD463" s="122"/>
      <c r="AE463" s="118"/>
      <c r="AF463" s="77"/>
      <c r="AG463" s="76" t="str">
        <f t="shared" si="32"/>
        <v/>
      </c>
    </row>
    <row r="464" spans="2:33" x14ac:dyDescent="0.25">
      <c r="B464" s="182"/>
      <c r="C464" s="116"/>
      <c r="D464" s="117"/>
      <c r="E464" s="118"/>
      <c r="F464" s="126"/>
      <c r="G464" s="127"/>
      <c r="H464" s="119"/>
      <c r="I464" s="119">
        <f t="shared" si="33"/>
        <v>0</v>
      </c>
      <c r="J464" s="115">
        <f t="shared" si="34"/>
        <v>0</v>
      </c>
      <c r="K464" s="80" t="str">
        <f t="shared" si="36"/>
        <v/>
      </c>
      <c r="L464" s="120"/>
      <c r="M464" s="8">
        <v>300</v>
      </c>
      <c r="N464" s="115">
        <v>60</v>
      </c>
      <c r="O464" s="78" t="str">
        <f t="shared" si="37"/>
        <v/>
      </c>
      <c r="P464" s="121">
        <f t="shared" si="38"/>
        <v>0</v>
      </c>
      <c r="Q464" s="115">
        <f t="shared" si="35"/>
        <v>0</v>
      </c>
      <c r="R464" s="122"/>
      <c r="S464" s="122"/>
      <c r="T464" s="122"/>
      <c r="U464" s="122"/>
      <c r="V464" s="122"/>
      <c r="W464" s="122"/>
      <c r="X464" s="128"/>
      <c r="Y464" s="128"/>
      <c r="Z464" s="128"/>
      <c r="AA464" s="122"/>
      <c r="AB464" s="122"/>
      <c r="AC464" s="122"/>
      <c r="AD464" s="122"/>
      <c r="AE464" s="118"/>
      <c r="AF464" s="77"/>
      <c r="AG464" s="76" t="str">
        <f t="shared" si="32"/>
        <v/>
      </c>
    </row>
    <row r="465" spans="2:33" x14ac:dyDescent="0.25">
      <c r="B465" s="182"/>
      <c r="C465" s="116"/>
      <c r="D465" s="117"/>
      <c r="E465" s="118"/>
      <c r="F465" s="126"/>
      <c r="G465" s="127"/>
      <c r="H465" s="119"/>
      <c r="I465" s="119">
        <f t="shared" si="33"/>
        <v>0</v>
      </c>
      <c r="J465" s="115">
        <f t="shared" si="34"/>
        <v>0</v>
      </c>
      <c r="K465" s="80" t="str">
        <f t="shared" si="36"/>
        <v/>
      </c>
      <c r="L465" s="120"/>
      <c r="M465" s="8">
        <v>300</v>
      </c>
      <c r="N465" s="115">
        <v>60</v>
      </c>
      <c r="O465" s="78" t="str">
        <f t="shared" si="37"/>
        <v/>
      </c>
      <c r="P465" s="121">
        <f t="shared" si="38"/>
        <v>0</v>
      </c>
      <c r="Q465" s="115">
        <f t="shared" si="35"/>
        <v>0</v>
      </c>
      <c r="R465" s="122"/>
      <c r="S465" s="122"/>
      <c r="T465" s="122"/>
      <c r="U465" s="122"/>
      <c r="V465" s="122"/>
      <c r="W465" s="122"/>
      <c r="X465" s="128"/>
      <c r="Y465" s="128"/>
      <c r="Z465" s="128"/>
      <c r="AA465" s="122"/>
      <c r="AB465" s="122"/>
      <c r="AC465" s="122"/>
      <c r="AD465" s="122"/>
      <c r="AE465" s="118"/>
      <c r="AF465" s="77"/>
      <c r="AG465" s="76" t="str">
        <f t="shared" si="32"/>
        <v/>
      </c>
    </row>
    <row r="466" spans="2:33" x14ac:dyDescent="0.25">
      <c r="B466" s="182"/>
      <c r="C466" s="116"/>
      <c r="D466" s="117"/>
      <c r="E466" s="118"/>
      <c r="F466" s="126"/>
      <c r="G466" s="127"/>
      <c r="H466" s="119"/>
      <c r="I466" s="119">
        <f t="shared" si="33"/>
        <v>0</v>
      </c>
      <c r="J466" s="115">
        <f t="shared" si="34"/>
        <v>0</v>
      </c>
      <c r="K466" s="80" t="str">
        <f t="shared" si="36"/>
        <v/>
      </c>
      <c r="L466" s="120"/>
      <c r="M466" s="8">
        <v>300</v>
      </c>
      <c r="N466" s="115">
        <v>60</v>
      </c>
      <c r="O466" s="78" t="str">
        <f t="shared" si="37"/>
        <v/>
      </c>
      <c r="P466" s="121">
        <f t="shared" si="38"/>
        <v>0</v>
      </c>
      <c r="Q466" s="115">
        <f t="shared" si="35"/>
        <v>0</v>
      </c>
      <c r="R466" s="122"/>
      <c r="S466" s="122"/>
      <c r="T466" s="122"/>
      <c r="U466" s="122"/>
      <c r="V466" s="122"/>
      <c r="W466" s="122"/>
      <c r="X466" s="128"/>
      <c r="Y466" s="128"/>
      <c r="Z466" s="128"/>
      <c r="AA466" s="122"/>
      <c r="AB466" s="122"/>
      <c r="AC466" s="122"/>
      <c r="AD466" s="122"/>
      <c r="AE466" s="118"/>
      <c r="AF466" s="77"/>
      <c r="AG466" s="76" t="str">
        <f t="shared" si="32"/>
        <v/>
      </c>
    </row>
    <row r="467" spans="2:33" x14ac:dyDescent="0.25">
      <c r="B467" s="182"/>
      <c r="C467" s="116"/>
      <c r="D467" s="117"/>
      <c r="E467" s="118"/>
      <c r="F467" s="126"/>
      <c r="G467" s="127"/>
      <c r="H467" s="119"/>
      <c r="I467" s="119">
        <f t="shared" si="33"/>
        <v>0</v>
      </c>
      <c r="J467" s="115">
        <f t="shared" si="34"/>
        <v>0</v>
      </c>
      <c r="K467" s="80" t="str">
        <f t="shared" si="36"/>
        <v/>
      </c>
      <c r="L467" s="120"/>
      <c r="M467" s="8">
        <v>300</v>
      </c>
      <c r="N467" s="115">
        <v>60</v>
      </c>
      <c r="O467" s="78" t="str">
        <f t="shared" si="37"/>
        <v/>
      </c>
      <c r="P467" s="121">
        <f t="shared" si="38"/>
        <v>0</v>
      </c>
      <c r="Q467" s="115">
        <f t="shared" si="35"/>
        <v>0</v>
      </c>
      <c r="R467" s="122"/>
      <c r="S467" s="122"/>
      <c r="T467" s="122"/>
      <c r="U467" s="122"/>
      <c r="V467" s="122"/>
      <c r="W467" s="122"/>
      <c r="X467" s="128"/>
      <c r="Y467" s="128"/>
      <c r="Z467" s="128"/>
      <c r="AA467" s="122"/>
      <c r="AB467" s="122"/>
      <c r="AC467" s="122"/>
      <c r="AD467" s="122"/>
      <c r="AE467" s="118"/>
      <c r="AF467" s="77"/>
      <c r="AG467" s="76" t="str">
        <f t="shared" ref="AG467:AG479" si="39">IFERROR(K467*O467*AF467,"")</f>
        <v/>
      </c>
    </row>
    <row r="468" spans="2:33" x14ac:dyDescent="0.25">
      <c r="B468" s="182"/>
      <c r="C468" s="116"/>
      <c r="D468" s="117"/>
      <c r="E468" s="118"/>
      <c r="F468" s="126"/>
      <c r="G468" s="127"/>
      <c r="H468" s="119"/>
      <c r="I468" s="119">
        <f t="shared" si="33"/>
        <v>0</v>
      </c>
      <c r="J468" s="115">
        <f t="shared" si="34"/>
        <v>0</v>
      </c>
      <c r="K468" s="80" t="str">
        <f t="shared" si="36"/>
        <v/>
      </c>
      <c r="L468" s="120"/>
      <c r="M468" s="8">
        <v>300</v>
      </c>
      <c r="N468" s="115">
        <v>60</v>
      </c>
      <c r="O468" s="78" t="str">
        <f t="shared" si="37"/>
        <v/>
      </c>
      <c r="P468" s="121">
        <f t="shared" si="38"/>
        <v>0</v>
      </c>
      <c r="Q468" s="115">
        <f t="shared" si="35"/>
        <v>0</v>
      </c>
      <c r="R468" s="122"/>
      <c r="S468" s="122"/>
      <c r="T468" s="122"/>
      <c r="U468" s="122"/>
      <c r="V468" s="122"/>
      <c r="W468" s="122"/>
      <c r="X468" s="128"/>
      <c r="Y468" s="128"/>
      <c r="Z468" s="128"/>
      <c r="AA468" s="122"/>
      <c r="AB468" s="122"/>
      <c r="AC468" s="122"/>
      <c r="AD468" s="122"/>
      <c r="AE468" s="118"/>
      <c r="AF468" s="77"/>
      <c r="AG468" s="76" t="str">
        <f t="shared" si="39"/>
        <v/>
      </c>
    </row>
    <row r="469" spans="2:33" x14ac:dyDescent="0.25">
      <c r="B469" s="182"/>
      <c r="C469" s="116"/>
      <c r="D469" s="117"/>
      <c r="E469" s="118"/>
      <c r="F469" s="126"/>
      <c r="G469" s="127"/>
      <c r="H469" s="119"/>
      <c r="I469" s="119">
        <f t="shared" si="33"/>
        <v>0</v>
      </c>
      <c r="J469" s="115">
        <f t="shared" si="34"/>
        <v>0</v>
      </c>
      <c r="K469" s="80" t="str">
        <f t="shared" si="36"/>
        <v/>
      </c>
      <c r="L469" s="120"/>
      <c r="M469" s="8">
        <v>300</v>
      </c>
      <c r="N469" s="115">
        <v>60</v>
      </c>
      <c r="O469" s="78" t="str">
        <f t="shared" si="37"/>
        <v/>
      </c>
      <c r="P469" s="121">
        <f t="shared" si="38"/>
        <v>0</v>
      </c>
      <c r="Q469" s="115">
        <f t="shared" si="35"/>
        <v>0</v>
      </c>
      <c r="R469" s="122"/>
      <c r="S469" s="122"/>
      <c r="T469" s="122"/>
      <c r="U469" s="122"/>
      <c r="V469" s="122"/>
      <c r="W469" s="122"/>
      <c r="X469" s="128"/>
      <c r="Y469" s="128"/>
      <c r="Z469" s="128"/>
      <c r="AA469" s="122"/>
      <c r="AB469" s="122"/>
      <c r="AC469" s="122"/>
      <c r="AD469" s="122"/>
      <c r="AE469" s="118"/>
      <c r="AF469" s="77"/>
      <c r="AG469" s="76" t="str">
        <f t="shared" si="39"/>
        <v/>
      </c>
    </row>
    <row r="470" spans="2:33" x14ac:dyDescent="0.25">
      <c r="B470" s="182"/>
      <c r="C470" s="116"/>
      <c r="D470" s="117"/>
      <c r="E470" s="118"/>
      <c r="F470" s="126"/>
      <c r="G470" s="127"/>
      <c r="H470" s="119"/>
      <c r="I470" s="119">
        <f t="shared" si="33"/>
        <v>0</v>
      </c>
      <c r="J470" s="115">
        <f t="shared" si="34"/>
        <v>0</v>
      </c>
      <c r="K470" s="80" t="str">
        <f t="shared" si="36"/>
        <v/>
      </c>
      <c r="L470" s="120"/>
      <c r="M470" s="8">
        <v>300</v>
      </c>
      <c r="N470" s="115">
        <v>60</v>
      </c>
      <c r="O470" s="78" t="str">
        <f t="shared" si="37"/>
        <v/>
      </c>
      <c r="P470" s="121">
        <f t="shared" si="38"/>
        <v>0</v>
      </c>
      <c r="Q470" s="115">
        <f t="shared" si="35"/>
        <v>0</v>
      </c>
      <c r="R470" s="122"/>
      <c r="S470" s="122"/>
      <c r="T470" s="122"/>
      <c r="U470" s="122"/>
      <c r="V470" s="122"/>
      <c r="W470" s="122"/>
      <c r="X470" s="128"/>
      <c r="Y470" s="128"/>
      <c r="Z470" s="128"/>
      <c r="AA470" s="122"/>
      <c r="AB470" s="122"/>
      <c r="AC470" s="122"/>
      <c r="AD470" s="122"/>
      <c r="AE470" s="118"/>
      <c r="AF470" s="77"/>
      <c r="AG470" s="76" t="str">
        <f t="shared" si="39"/>
        <v/>
      </c>
    </row>
    <row r="471" spans="2:33" x14ac:dyDescent="0.25">
      <c r="B471" s="182"/>
      <c r="C471" s="116"/>
      <c r="D471" s="117"/>
      <c r="E471" s="118"/>
      <c r="F471" s="126"/>
      <c r="G471" s="127"/>
      <c r="H471" s="119"/>
      <c r="I471" s="119">
        <f t="shared" ref="I471:I479" si="40">H471+G471</f>
        <v>0</v>
      </c>
      <c r="J471" s="115">
        <f t="shared" ref="J471:J479" si="41">I471-D471-E471-F471</f>
        <v>0</v>
      </c>
      <c r="K471" s="80" t="str">
        <f t="shared" si="36"/>
        <v/>
      </c>
      <c r="L471" s="120"/>
      <c r="M471" s="8">
        <v>300</v>
      </c>
      <c r="N471" s="115">
        <v>60</v>
      </c>
      <c r="O471" s="78" t="str">
        <f t="shared" si="37"/>
        <v/>
      </c>
      <c r="P471" s="121">
        <f t="shared" si="38"/>
        <v>0</v>
      </c>
      <c r="Q471" s="115">
        <f t="shared" ref="Q471:Q479" si="42">L471</f>
        <v>0</v>
      </c>
      <c r="R471" s="122"/>
      <c r="S471" s="122"/>
      <c r="T471" s="122"/>
      <c r="U471" s="122"/>
      <c r="V471" s="122"/>
      <c r="W471" s="122"/>
      <c r="X471" s="128"/>
      <c r="Y471" s="128"/>
      <c r="Z471" s="128"/>
      <c r="AA471" s="122"/>
      <c r="AB471" s="122"/>
      <c r="AC471" s="122"/>
      <c r="AD471" s="122"/>
      <c r="AE471" s="118"/>
      <c r="AF471" s="77"/>
      <c r="AG471" s="76" t="str">
        <f t="shared" si="39"/>
        <v/>
      </c>
    </row>
    <row r="472" spans="2:33" x14ac:dyDescent="0.25">
      <c r="B472" s="182"/>
      <c r="C472" s="116"/>
      <c r="D472" s="117"/>
      <c r="E472" s="118"/>
      <c r="F472" s="126"/>
      <c r="G472" s="127"/>
      <c r="H472" s="119"/>
      <c r="I472" s="119">
        <f t="shared" si="40"/>
        <v>0</v>
      </c>
      <c r="J472" s="115">
        <f t="shared" si="41"/>
        <v>0</v>
      </c>
      <c r="K472" s="80" t="str">
        <f t="shared" si="36"/>
        <v/>
      </c>
      <c r="L472" s="120"/>
      <c r="M472" s="8">
        <v>300</v>
      </c>
      <c r="N472" s="115">
        <v>60</v>
      </c>
      <c r="O472" s="78" t="str">
        <f t="shared" si="37"/>
        <v/>
      </c>
      <c r="P472" s="121">
        <f t="shared" si="38"/>
        <v>0</v>
      </c>
      <c r="Q472" s="115">
        <f t="shared" si="42"/>
        <v>0</v>
      </c>
      <c r="R472" s="122"/>
      <c r="S472" s="122"/>
      <c r="T472" s="122"/>
      <c r="U472" s="122"/>
      <c r="V472" s="122"/>
      <c r="W472" s="122"/>
      <c r="X472" s="128"/>
      <c r="Y472" s="128"/>
      <c r="Z472" s="128"/>
      <c r="AA472" s="122"/>
      <c r="AB472" s="122"/>
      <c r="AC472" s="122"/>
      <c r="AD472" s="122"/>
      <c r="AE472" s="118"/>
      <c r="AF472" s="77"/>
      <c r="AG472" s="76" t="str">
        <f t="shared" si="39"/>
        <v/>
      </c>
    </row>
    <row r="473" spans="2:33" x14ac:dyDescent="0.25">
      <c r="B473" s="182"/>
      <c r="C473" s="116"/>
      <c r="D473" s="117"/>
      <c r="E473" s="118"/>
      <c r="F473" s="126"/>
      <c r="G473" s="127"/>
      <c r="H473" s="119"/>
      <c r="I473" s="119">
        <f t="shared" si="40"/>
        <v>0</v>
      </c>
      <c r="J473" s="115">
        <f t="shared" si="41"/>
        <v>0</v>
      </c>
      <c r="K473" s="80" t="str">
        <f t="shared" si="36"/>
        <v/>
      </c>
      <c r="L473" s="120"/>
      <c r="M473" s="8">
        <v>300</v>
      </c>
      <c r="N473" s="115">
        <v>60</v>
      </c>
      <c r="O473" s="78" t="str">
        <f t="shared" si="37"/>
        <v/>
      </c>
      <c r="P473" s="121">
        <f t="shared" si="38"/>
        <v>0</v>
      </c>
      <c r="Q473" s="115">
        <f t="shared" si="42"/>
        <v>0</v>
      </c>
      <c r="R473" s="122"/>
      <c r="S473" s="122"/>
      <c r="T473" s="122"/>
      <c r="U473" s="122"/>
      <c r="V473" s="122"/>
      <c r="W473" s="122"/>
      <c r="X473" s="128"/>
      <c r="Y473" s="128"/>
      <c r="Z473" s="128"/>
      <c r="AA473" s="122"/>
      <c r="AB473" s="122"/>
      <c r="AC473" s="122"/>
      <c r="AD473" s="122"/>
      <c r="AE473" s="118"/>
      <c r="AF473" s="77"/>
      <c r="AG473" s="76" t="str">
        <f t="shared" si="39"/>
        <v/>
      </c>
    </row>
    <row r="474" spans="2:33" x14ac:dyDescent="0.25">
      <c r="B474" s="182"/>
      <c r="C474" s="116"/>
      <c r="D474" s="117"/>
      <c r="E474" s="118"/>
      <c r="F474" s="126"/>
      <c r="G474" s="127"/>
      <c r="H474" s="119"/>
      <c r="I474" s="119">
        <f t="shared" si="40"/>
        <v>0</v>
      </c>
      <c r="J474" s="115">
        <f t="shared" si="41"/>
        <v>0</v>
      </c>
      <c r="K474" s="80" t="str">
        <f t="shared" ref="K474:K479" si="43">IFERROR(J474/I474,"")</f>
        <v/>
      </c>
      <c r="L474" s="120"/>
      <c r="M474" s="8">
        <v>300</v>
      </c>
      <c r="N474" s="115">
        <v>60</v>
      </c>
      <c r="O474" s="78" t="str">
        <f t="shared" ref="O474:O479" si="44">IFERROR(((L474/M474)*N474/J474),"")</f>
        <v/>
      </c>
      <c r="P474" s="121">
        <f t="shared" si="38"/>
        <v>0</v>
      </c>
      <c r="Q474" s="115">
        <f t="shared" si="42"/>
        <v>0</v>
      </c>
      <c r="R474" s="122"/>
      <c r="S474" s="122"/>
      <c r="T474" s="122"/>
      <c r="U474" s="122"/>
      <c r="V474" s="122"/>
      <c r="W474" s="122"/>
      <c r="X474" s="128"/>
      <c r="Y474" s="128"/>
      <c r="Z474" s="128"/>
      <c r="AA474" s="122"/>
      <c r="AB474" s="122"/>
      <c r="AC474" s="122"/>
      <c r="AD474" s="122"/>
      <c r="AE474" s="118"/>
      <c r="AF474" s="77"/>
      <c r="AG474" s="76" t="str">
        <f t="shared" si="39"/>
        <v/>
      </c>
    </row>
    <row r="475" spans="2:33" x14ac:dyDescent="0.25">
      <c r="B475" s="182"/>
      <c r="C475" s="116"/>
      <c r="D475" s="117"/>
      <c r="E475" s="118"/>
      <c r="F475" s="126"/>
      <c r="G475" s="127"/>
      <c r="H475" s="119"/>
      <c r="I475" s="119">
        <f t="shared" si="40"/>
        <v>0</v>
      </c>
      <c r="J475" s="115">
        <f t="shared" si="41"/>
        <v>0</v>
      </c>
      <c r="K475" s="80" t="str">
        <f t="shared" si="43"/>
        <v/>
      </c>
      <c r="L475" s="120"/>
      <c r="M475" s="8">
        <v>300</v>
      </c>
      <c r="N475" s="115">
        <v>60</v>
      </c>
      <c r="O475" s="78" t="str">
        <f t="shared" si="44"/>
        <v/>
      </c>
      <c r="P475" s="121">
        <f t="shared" si="38"/>
        <v>0</v>
      </c>
      <c r="Q475" s="115">
        <f t="shared" si="42"/>
        <v>0</v>
      </c>
      <c r="R475" s="122"/>
      <c r="S475" s="122"/>
      <c r="T475" s="122"/>
      <c r="U475" s="122"/>
      <c r="V475" s="122"/>
      <c r="W475" s="122"/>
      <c r="X475" s="128"/>
      <c r="Y475" s="128"/>
      <c r="Z475" s="128"/>
      <c r="AA475" s="122"/>
      <c r="AB475" s="122"/>
      <c r="AC475" s="122"/>
      <c r="AD475" s="122"/>
      <c r="AE475" s="118"/>
      <c r="AF475" s="77"/>
      <c r="AG475" s="76" t="str">
        <f t="shared" si="39"/>
        <v/>
      </c>
    </row>
    <row r="476" spans="2:33" x14ac:dyDescent="0.25">
      <c r="B476" s="182"/>
      <c r="C476" s="116"/>
      <c r="D476" s="117"/>
      <c r="E476" s="118"/>
      <c r="F476" s="126"/>
      <c r="G476" s="127"/>
      <c r="H476" s="119"/>
      <c r="I476" s="119">
        <f t="shared" si="40"/>
        <v>0</v>
      </c>
      <c r="J476" s="115">
        <f t="shared" si="41"/>
        <v>0</v>
      </c>
      <c r="K476" s="80" t="str">
        <f t="shared" si="43"/>
        <v/>
      </c>
      <c r="L476" s="120"/>
      <c r="M476" s="8">
        <v>300</v>
      </c>
      <c r="N476" s="115">
        <v>60</v>
      </c>
      <c r="O476" s="78" t="str">
        <f t="shared" si="44"/>
        <v/>
      </c>
      <c r="P476" s="121">
        <f t="shared" si="38"/>
        <v>0</v>
      </c>
      <c r="Q476" s="115">
        <f t="shared" si="42"/>
        <v>0</v>
      </c>
      <c r="R476" s="122"/>
      <c r="S476" s="122"/>
      <c r="T476" s="122"/>
      <c r="U476" s="122"/>
      <c r="V476" s="122"/>
      <c r="W476" s="122"/>
      <c r="X476" s="128"/>
      <c r="Y476" s="128"/>
      <c r="Z476" s="128"/>
      <c r="AA476" s="122"/>
      <c r="AB476" s="122"/>
      <c r="AC476" s="122"/>
      <c r="AD476" s="122"/>
      <c r="AE476" s="118"/>
      <c r="AF476" s="77"/>
      <c r="AG476" s="76" t="str">
        <f t="shared" si="39"/>
        <v/>
      </c>
    </row>
    <row r="477" spans="2:33" x14ac:dyDescent="0.25">
      <c r="B477" s="182"/>
      <c r="C477" s="116"/>
      <c r="D477" s="117"/>
      <c r="E477" s="118"/>
      <c r="F477" s="126"/>
      <c r="G477" s="127"/>
      <c r="H477" s="119"/>
      <c r="I477" s="119">
        <f t="shared" si="40"/>
        <v>0</v>
      </c>
      <c r="J477" s="115">
        <f t="shared" si="41"/>
        <v>0</v>
      </c>
      <c r="K477" s="80" t="str">
        <f t="shared" si="43"/>
        <v/>
      </c>
      <c r="L477" s="120"/>
      <c r="M477" s="8">
        <v>300</v>
      </c>
      <c r="N477" s="115">
        <v>60</v>
      </c>
      <c r="O477" s="78" t="str">
        <f t="shared" si="44"/>
        <v/>
      </c>
      <c r="P477" s="121">
        <f t="shared" si="38"/>
        <v>0</v>
      </c>
      <c r="Q477" s="115">
        <f t="shared" si="42"/>
        <v>0</v>
      </c>
      <c r="R477" s="122"/>
      <c r="S477" s="122"/>
      <c r="T477" s="122"/>
      <c r="U477" s="122"/>
      <c r="V477" s="122"/>
      <c r="W477" s="122"/>
      <c r="X477" s="128"/>
      <c r="Y477" s="128"/>
      <c r="Z477" s="128"/>
      <c r="AA477" s="122"/>
      <c r="AB477" s="122"/>
      <c r="AC477" s="122"/>
      <c r="AD477" s="122"/>
      <c r="AE477" s="118"/>
      <c r="AF477" s="77"/>
      <c r="AG477" s="76" t="str">
        <f t="shared" si="39"/>
        <v/>
      </c>
    </row>
    <row r="478" spans="2:33" x14ac:dyDescent="0.25">
      <c r="B478" s="182"/>
      <c r="C478" s="116"/>
      <c r="D478" s="117"/>
      <c r="E478" s="118"/>
      <c r="F478" s="126"/>
      <c r="G478" s="127"/>
      <c r="H478" s="119"/>
      <c r="I478" s="119">
        <f t="shared" si="40"/>
        <v>0</v>
      </c>
      <c r="J478" s="115">
        <f t="shared" si="41"/>
        <v>0</v>
      </c>
      <c r="K478" s="80" t="str">
        <f t="shared" si="43"/>
        <v/>
      </c>
      <c r="L478" s="120"/>
      <c r="M478" s="8">
        <v>300</v>
      </c>
      <c r="N478" s="115">
        <v>60</v>
      </c>
      <c r="O478" s="78" t="str">
        <f t="shared" si="44"/>
        <v/>
      </c>
      <c r="P478" s="121">
        <f t="shared" si="38"/>
        <v>0</v>
      </c>
      <c r="Q478" s="115">
        <f t="shared" si="42"/>
        <v>0</v>
      </c>
      <c r="R478" s="122"/>
      <c r="S478" s="122"/>
      <c r="T478" s="122"/>
      <c r="U478" s="122"/>
      <c r="V478" s="122"/>
      <c r="W478" s="122"/>
      <c r="X478" s="128"/>
      <c r="Y478" s="128"/>
      <c r="Z478" s="128"/>
      <c r="AA478" s="122"/>
      <c r="AB478" s="122"/>
      <c r="AC478" s="122"/>
      <c r="AD478" s="122"/>
      <c r="AE478" s="118"/>
      <c r="AF478" s="77"/>
      <c r="AG478" s="76" t="str">
        <f t="shared" si="39"/>
        <v/>
      </c>
    </row>
    <row r="479" spans="2:33" x14ac:dyDescent="0.25">
      <c r="B479" s="182"/>
      <c r="C479" s="116"/>
      <c r="D479" s="117"/>
      <c r="E479" s="118"/>
      <c r="F479" s="126"/>
      <c r="G479" s="127"/>
      <c r="H479" s="119"/>
      <c r="I479" s="119">
        <f t="shared" si="40"/>
        <v>0</v>
      </c>
      <c r="J479" s="115">
        <f t="shared" si="41"/>
        <v>0</v>
      </c>
      <c r="K479" s="80" t="str">
        <f t="shared" si="43"/>
        <v/>
      </c>
      <c r="L479" s="120"/>
      <c r="M479" s="8">
        <v>300</v>
      </c>
      <c r="N479" s="115">
        <v>60</v>
      </c>
      <c r="O479" s="78" t="str">
        <f t="shared" si="44"/>
        <v/>
      </c>
      <c r="P479" s="121">
        <f t="shared" si="38"/>
        <v>0</v>
      </c>
      <c r="Q479" s="115">
        <f t="shared" si="42"/>
        <v>0</v>
      </c>
      <c r="R479" s="122"/>
      <c r="S479" s="122"/>
      <c r="T479" s="122"/>
      <c r="U479" s="122"/>
      <c r="V479" s="122"/>
      <c r="W479" s="122"/>
      <c r="X479" s="128"/>
      <c r="Y479" s="128"/>
      <c r="Z479" s="128"/>
      <c r="AA479" s="122"/>
      <c r="AB479" s="122"/>
      <c r="AC479" s="122"/>
      <c r="AD479" s="122"/>
      <c r="AE479" s="118"/>
      <c r="AF479" s="77"/>
      <c r="AG479" s="76" t="str">
        <f t="shared" si="39"/>
        <v/>
      </c>
    </row>
  </sheetData>
  <sheetProtection formatCells="0" formatColumns="0" formatRows="0" insertColumns="0" insertRows="0" insertHyperlinks="0" deleteColumns="0" deleteRows="0" sort="0"/>
  <mergeCells count="4">
    <mergeCell ref="D1:F1"/>
    <mergeCell ref="G1:K1"/>
    <mergeCell ref="L1:O1"/>
    <mergeCell ref="P1:AF1"/>
  </mergeCells>
  <pageMargins left="0.7" right="0.7" top="0.75" bottom="0.75" header="0.3" footer="0.3"/>
  <pageSetup paperSize="9" scale="1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6">
    <tabColor theme="5" tint="0.39997558519241921"/>
    <pageSetUpPr fitToPage="1"/>
  </sheetPr>
  <dimension ref="A1:AQ478"/>
  <sheetViews>
    <sheetView showGridLines="0" zoomScale="145" zoomScaleNormal="145" workbookViewId="0">
      <pane xSplit="3" ySplit="2" topLeftCell="J3" activePane="bottomRight" state="frozen"/>
      <selection activeCell="M29" sqref="M29"/>
      <selection pane="topRight" activeCell="M29" sqref="M29"/>
      <selection pane="bottomLeft" activeCell="M29" sqref="M29"/>
      <selection pane="bottomRight" activeCell="AO8" sqref="AO8:AO11"/>
    </sheetView>
  </sheetViews>
  <sheetFormatPr baseColWidth="10" defaultColWidth="11.42578125" defaultRowHeight="15" x14ac:dyDescent="0.25"/>
  <cols>
    <col min="1" max="1" width="3.28515625" style="3" customWidth="1"/>
    <col min="2" max="2" width="3" style="131" customWidth="1"/>
    <col min="3" max="3" width="10.85546875" style="123" customWidth="1"/>
    <col min="4" max="6" width="8.7109375" style="49" customWidth="1"/>
    <col min="7" max="8" width="8.7109375" style="3" customWidth="1"/>
    <col min="9" max="10" width="8.7109375" style="10" customWidth="1"/>
    <col min="11" max="11" width="10.7109375" style="124" customWidth="1"/>
    <col min="12" max="12" width="8.7109375" style="49" customWidth="1"/>
    <col min="13" max="14" width="8.7109375" style="10" customWidth="1"/>
    <col min="15" max="15" width="10.7109375" style="124" customWidth="1"/>
    <col min="16" max="17" width="8.7109375" style="10" customWidth="1"/>
    <col min="18" max="23" width="2.140625" style="125" customWidth="1"/>
    <col min="24" max="24" width="2.140625" style="88" customWidth="1"/>
    <col min="25" max="25" width="2.140625" style="88" bestFit="1" customWidth="1"/>
    <col min="26" max="27" width="2.140625" style="88" customWidth="1"/>
    <col min="28" max="28" width="2.140625" style="88" bestFit="1" customWidth="1"/>
    <col min="29" max="29" width="2.5703125" style="125" customWidth="1"/>
    <col min="30" max="30" width="2.140625" style="125" bestFit="1" customWidth="1"/>
    <col min="31" max="40" width="2.140625" style="125" customWidth="1"/>
    <col min="41" max="41" width="6.140625" style="49" customWidth="1"/>
    <col min="42" max="42" width="8.28515625" style="124" bestFit="1" customWidth="1"/>
    <col min="43" max="43" width="12.7109375" style="129" customWidth="1"/>
  </cols>
  <sheetData>
    <row r="1" spans="1:43" ht="15.75" customHeight="1" thickTop="1" x14ac:dyDescent="0.25">
      <c r="B1" s="180"/>
      <c r="C1" s="79" t="s">
        <v>12</v>
      </c>
      <c r="D1" s="339" t="s">
        <v>5</v>
      </c>
      <c r="E1" s="340"/>
      <c r="F1" s="341"/>
      <c r="G1" s="342" t="s">
        <v>0</v>
      </c>
      <c r="H1" s="343"/>
      <c r="I1" s="343"/>
      <c r="J1" s="343"/>
      <c r="K1" s="344"/>
      <c r="L1" s="345" t="s">
        <v>1</v>
      </c>
      <c r="M1" s="346"/>
      <c r="N1" s="346"/>
      <c r="O1" s="346"/>
      <c r="P1" s="347" t="s">
        <v>2</v>
      </c>
      <c r="Q1" s="348"/>
      <c r="R1" s="348"/>
      <c r="S1" s="348"/>
      <c r="T1" s="348"/>
      <c r="U1" s="348"/>
      <c r="V1" s="348"/>
      <c r="W1" s="348"/>
      <c r="X1" s="348"/>
      <c r="Y1" s="348"/>
      <c r="Z1" s="348"/>
      <c r="AA1" s="348"/>
      <c r="AB1" s="348"/>
      <c r="AC1" s="348"/>
      <c r="AD1" s="348"/>
      <c r="AE1" s="348"/>
      <c r="AF1" s="348"/>
      <c r="AG1" s="348"/>
      <c r="AH1" s="348"/>
      <c r="AI1" s="348"/>
      <c r="AJ1" s="348"/>
      <c r="AK1" s="348"/>
      <c r="AL1" s="348"/>
      <c r="AM1" s="348"/>
      <c r="AN1" s="348"/>
      <c r="AO1" s="348"/>
      <c r="AP1" s="348"/>
      <c r="AQ1" s="74" t="s">
        <v>10</v>
      </c>
    </row>
    <row r="2" spans="1:43" s="3" customFormat="1" ht="59.25" x14ac:dyDescent="0.25">
      <c r="A2" s="12" t="s">
        <v>74</v>
      </c>
      <c r="B2" s="181" t="s">
        <v>1691</v>
      </c>
      <c r="C2" s="57" t="s">
        <v>12</v>
      </c>
      <c r="D2" s="58" t="s">
        <v>65</v>
      </c>
      <c r="E2" s="13" t="s">
        <v>62</v>
      </c>
      <c r="F2" s="71" t="s">
        <v>1603</v>
      </c>
      <c r="G2" s="60" t="s">
        <v>64</v>
      </c>
      <c r="H2" s="46" t="s">
        <v>63</v>
      </c>
      <c r="I2" s="46" t="s">
        <v>4</v>
      </c>
      <c r="J2" s="13" t="s">
        <v>3</v>
      </c>
      <c r="K2" s="73" t="s">
        <v>11</v>
      </c>
      <c r="L2" s="60" t="s">
        <v>6</v>
      </c>
      <c r="M2" s="13" t="s">
        <v>7</v>
      </c>
      <c r="N2" s="13" t="s">
        <v>8</v>
      </c>
      <c r="O2" s="72" t="s">
        <v>11</v>
      </c>
      <c r="P2" s="60" t="s">
        <v>9</v>
      </c>
      <c r="Q2" s="13" t="s">
        <v>6</v>
      </c>
      <c r="R2" s="82" t="s">
        <v>1757</v>
      </c>
      <c r="S2" s="243" t="s">
        <v>1753</v>
      </c>
      <c r="T2" s="243" t="s">
        <v>1756</v>
      </c>
      <c r="U2" s="243" t="s">
        <v>1754</v>
      </c>
      <c r="V2" s="243" t="s">
        <v>1640</v>
      </c>
      <c r="W2" s="243" t="s">
        <v>1765</v>
      </c>
      <c r="X2" s="61" t="s">
        <v>1632</v>
      </c>
      <c r="Y2" s="61" t="s">
        <v>1633</v>
      </c>
      <c r="Z2" s="61" t="s">
        <v>1634</v>
      </c>
      <c r="AA2" s="61" t="s">
        <v>1636</v>
      </c>
      <c r="AB2" s="61" t="s">
        <v>1635</v>
      </c>
      <c r="AC2" s="61" t="s">
        <v>1646</v>
      </c>
      <c r="AD2" s="61" t="s">
        <v>1755</v>
      </c>
      <c r="AE2" s="61" t="s">
        <v>1698</v>
      </c>
      <c r="AF2" s="61" t="s">
        <v>1597</v>
      </c>
      <c r="AG2" s="61" t="s">
        <v>1602</v>
      </c>
      <c r="AH2" s="61" t="s">
        <v>1601</v>
      </c>
      <c r="AI2" s="61" t="s">
        <v>1761</v>
      </c>
      <c r="AJ2" s="61" t="s">
        <v>1762</v>
      </c>
      <c r="AK2" s="61" t="s">
        <v>1760</v>
      </c>
      <c r="AL2" s="61" t="s">
        <v>1763</v>
      </c>
      <c r="AM2" s="61" t="s">
        <v>1604</v>
      </c>
      <c r="AN2" s="61" t="s">
        <v>1605</v>
      </c>
      <c r="AO2" s="13" t="s">
        <v>67</v>
      </c>
      <c r="AP2" s="72" t="s">
        <v>11</v>
      </c>
      <c r="AQ2" s="75" t="s">
        <v>11</v>
      </c>
    </row>
    <row r="3" spans="1:43" x14ac:dyDescent="0.25">
      <c r="B3" s="182">
        <v>1</v>
      </c>
      <c r="C3" s="228">
        <v>44621</v>
      </c>
      <c r="D3" s="117"/>
      <c r="E3" s="118">
        <v>17</v>
      </c>
      <c r="F3" s="126"/>
      <c r="G3" s="127"/>
      <c r="H3" s="119">
        <v>460</v>
      </c>
      <c r="I3" s="119">
        <f t="shared" ref="I3" si="0">H3+G3</f>
        <v>460</v>
      </c>
      <c r="J3" s="115">
        <f t="shared" ref="J3" si="1">I3-D3-E3-F3</f>
        <v>443</v>
      </c>
      <c r="K3" s="80">
        <f t="shared" ref="K3" si="2">IFERROR(J3/I3,"")</f>
        <v>0.96304347826086956</v>
      </c>
      <c r="L3" s="120">
        <v>1979</v>
      </c>
      <c r="M3" s="8">
        <v>300</v>
      </c>
      <c r="N3" s="115">
        <v>60</v>
      </c>
      <c r="O3" s="78">
        <f t="shared" ref="O3:O11" si="3">IFERROR(((L3/M3)*N3/J3),"")</f>
        <v>0.89345372460496619</v>
      </c>
      <c r="P3" s="121">
        <f t="shared" ref="P3" si="4">L3-AO3</f>
        <v>1971</v>
      </c>
      <c r="Q3" s="115">
        <f t="shared" ref="Q3" si="5">L3</f>
        <v>1979</v>
      </c>
      <c r="R3" s="122"/>
      <c r="S3" s="122">
        <v>5</v>
      </c>
      <c r="T3" s="122"/>
      <c r="U3" s="122"/>
      <c r="V3" s="122"/>
      <c r="W3" s="122"/>
      <c r="X3" s="128"/>
      <c r="Y3" s="128"/>
      <c r="Z3" s="128"/>
      <c r="AA3" s="128">
        <v>1</v>
      </c>
      <c r="AB3" s="128"/>
      <c r="AC3" s="122"/>
      <c r="AD3" s="122"/>
      <c r="AE3" s="122"/>
      <c r="AF3" s="122">
        <v>2</v>
      </c>
      <c r="AG3" s="122"/>
      <c r="AH3" s="122"/>
      <c r="AI3" s="122"/>
      <c r="AJ3" s="122"/>
      <c r="AK3" s="122"/>
      <c r="AL3" s="122"/>
      <c r="AM3" s="122">
        <f>AL3+AK3+AJ3+AI3+AH3+AG3+AF3+AE3+AD3+AC3+AB3+AA3+Z3+Y3+X3+W3+V3+U3+T3+S3+R3</f>
        <v>8</v>
      </c>
      <c r="AN3" s="64">
        <f t="shared" ref="AN3" si="6">WEEKNUM(C3)</f>
        <v>10</v>
      </c>
      <c r="AO3" s="118">
        <f t="shared" ref="AO3:AO11" si="7">SUM(R3:AL3)</f>
        <v>8</v>
      </c>
      <c r="AP3" s="77">
        <f t="shared" ref="AP3:AP11" si="8">IFERROR(P3/Q3,"")</f>
        <v>0.99595755432036381</v>
      </c>
      <c r="AQ3" s="76">
        <f t="shared" ref="AQ3:AQ23" si="9">IFERROR(K3*O3*AP3,"")</f>
        <v>0.85695652173913039</v>
      </c>
    </row>
    <row r="4" spans="1:43" x14ac:dyDescent="0.25">
      <c r="B4" s="182">
        <v>1</v>
      </c>
      <c r="C4" s="228">
        <v>44622</v>
      </c>
      <c r="D4" s="117">
        <v>15</v>
      </c>
      <c r="E4" s="118">
        <v>15</v>
      </c>
      <c r="F4" s="126">
        <v>16</v>
      </c>
      <c r="G4" s="127"/>
      <c r="H4" s="119">
        <v>480</v>
      </c>
      <c r="I4" s="119">
        <v>480</v>
      </c>
      <c r="J4" s="115">
        <f t="shared" ref="J4:J16" si="10">I4-D4-E4-F4</f>
        <v>434</v>
      </c>
      <c r="K4" s="80">
        <f t="shared" ref="K4:K16" si="11">IFERROR(J4/I4,"")</f>
        <v>0.90416666666666667</v>
      </c>
      <c r="L4" s="120">
        <v>2131</v>
      </c>
      <c r="M4" s="8">
        <v>300</v>
      </c>
      <c r="N4" s="115">
        <v>60</v>
      </c>
      <c r="O4" s="78">
        <f t="shared" si="3"/>
        <v>0.98202764976958523</v>
      </c>
      <c r="P4" s="121">
        <v>2126</v>
      </c>
      <c r="Q4" s="115">
        <v>2131</v>
      </c>
      <c r="R4" s="122"/>
      <c r="S4" s="122"/>
      <c r="T4" s="122"/>
      <c r="U4" s="122"/>
      <c r="V4" s="122"/>
      <c r="W4" s="122"/>
      <c r="X4" s="128"/>
      <c r="Y4" s="128">
        <v>1</v>
      </c>
      <c r="Z4" s="128"/>
      <c r="AA4" s="128">
        <v>2</v>
      </c>
      <c r="AB4" s="128"/>
      <c r="AC4" s="122"/>
      <c r="AD4" s="122"/>
      <c r="AE4" s="122"/>
      <c r="AF4" s="122">
        <v>2</v>
      </c>
      <c r="AG4" s="122"/>
      <c r="AH4" s="122"/>
      <c r="AI4" s="122"/>
      <c r="AJ4" s="122"/>
      <c r="AK4" s="122"/>
      <c r="AL4" s="122"/>
      <c r="AM4" s="122"/>
      <c r="AN4" s="64"/>
      <c r="AO4" s="118">
        <f t="shared" si="7"/>
        <v>5</v>
      </c>
      <c r="AP4" s="77">
        <f t="shared" si="8"/>
        <v>0.99765368371656504</v>
      </c>
      <c r="AQ4" s="76">
        <f t="shared" si="9"/>
        <v>0.88583333333333336</v>
      </c>
    </row>
    <row r="5" spans="1:43" x14ac:dyDescent="0.25">
      <c r="B5" s="182">
        <v>1</v>
      </c>
      <c r="C5" s="228">
        <v>44623</v>
      </c>
      <c r="D5" s="117">
        <v>17</v>
      </c>
      <c r="E5" s="118">
        <v>18</v>
      </c>
      <c r="F5" s="126">
        <v>4</v>
      </c>
      <c r="G5" s="127"/>
      <c r="H5" s="119">
        <v>490</v>
      </c>
      <c r="I5" s="119">
        <v>490</v>
      </c>
      <c r="J5" s="115">
        <f t="shared" si="10"/>
        <v>451</v>
      </c>
      <c r="K5" s="80">
        <f t="shared" si="11"/>
        <v>0.92040816326530617</v>
      </c>
      <c r="L5" s="120">
        <v>2257</v>
      </c>
      <c r="M5" s="8">
        <v>300</v>
      </c>
      <c r="N5" s="115">
        <v>60</v>
      </c>
      <c r="O5" s="78">
        <f t="shared" si="3"/>
        <v>1.0008869179600886</v>
      </c>
      <c r="P5" s="121">
        <v>2247</v>
      </c>
      <c r="Q5" s="115">
        <v>2257</v>
      </c>
      <c r="R5" s="122">
        <v>1</v>
      </c>
      <c r="S5" s="122"/>
      <c r="T5" s="122"/>
      <c r="U5" s="122">
        <v>9</v>
      </c>
      <c r="V5" s="122"/>
      <c r="W5" s="122"/>
      <c r="X5" s="128"/>
      <c r="Y5" s="128"/>
      <c r="Z5" s="128"/>
      <c r="AA5" s="128">
        <v>1</v>
      </c>
      <c r="AB5" s="128"/>
      <c r="AC5" s="122"/>
      <c r="AD5" s="122"/>
      <c r="AE5" s="122"/>
      <c r="AF5" s="122">
        <v>1</v>
      </c>
      <c r="AG5" s="122"/>
      <c r="AH5" s="122"/>
      <c r="AI5" s="122"/>
      <c r="AJ5" s="122"/>
      <c r="AK5" s="122"/>
      <c r="AL5" s="122"/>
      <c r="AM5" s="122"/>
      <c r="AN5" s="64"/>
      <c r="AO5" s="118">
        <f t="shared" si="7"/>
        <v>12</v>
      </c>
      <c r="AP5" s="77">
        <f t="shared" si="8"/>
        <v>0.99556933983163487</v>
      </c>
      <c r="AQ5" s="76">
        <f t="shared" si="9"/>
        <v>0.91714285714285704</v>
      </c>
    </row>
    <row r="6" spans="1:43" x14ac:dyDescent="0.25">
      <c r="B6" s="182">
        <v>1</v>
      </c>
      <c r="C6" s="228">
        <v>44624</v>
      </c>
      <c r="D6" s="117">
        <v>15</v>
      </c>
      <c r="E6" s="118">
        <v>7</v>
      </c>
      <c r="F6" s="126"/>
      <c r="G6" s="127"/>
      <c r="H6" s="119">
        <v>400</v>
      </c>
      <c r="I6" s="119">
        <v>400</v>
      </c>
      <c r="J6" s="115">
        <f t="shared" si="10"/>
        <v>378</v>
      </c>
      <c r="K6" s="80">
        <f t="shared" si="11"/>
        <v>0.94499999999999995</v>
      </c>
      <c r="L6" s="120">
        <v>1615</v>
      </c>
      <c r="M6" s="8">
        <v>300</v>
      </c>
      <c r="N6" s="115">
        <v>60</v>
      </c>
      <c r="O6" s="78">
        <f t="shared" si="3"/>
        <v>0.85449735449735453</v>
      </c>
      <c r="P6" s="121">
        <v>1611</v>
      </c>
      <c r="Q6" s="115">
        <v>1615</v>
      </c>
      <c r="R6" s="122"/>
      <c r="S6" s="122"/>
      <c r="T6" s="122"/>
      <c r="U6" s="122"/>
      <c r="V6" s="122"/>
      <c r="W6" s="122"/>
      <c r="X6" s="128"/>
      <c r="Y6" s="128"/>
      <c r="Z6" s="128"/>
      <c r="AA6" s="128"/>
      <c r="AB6" s="128"/>
      <c r="AC6" s="122"/>
      <c r="AD6" s="122"/>
      <c r="AE6" s="122"/>
      <c r="AF6" s="122">
        <v>4</v>
      </c>
      <c r="AG6" s="122"/>
      <c r="AH6" s="122"/>
      <c r="AI6" s="122"/>
      <c r="AJ6" s="122"/>
      <c r="AK6" s="122"/>
      <c r="AL6" s="122"/>
      <c r="AM6" s="122"/>
      <c r="AN6" s="64"/>
      <c r="AO6" s="118">
        <f t="shared" si="7"/>
        <v>4</v>
      </c>
      <c r="AP6" s="77">
        <f t="shared" si="8"/>
        <v>0.99752321981424152</v>
      </c>
      <c r="AQ6" s="76">
        <f t="shared" si="9"/>
        <v>0.80549999999999999</v>
      </c>
    </row>
    <row r="7" spans="1:43" x14ac:dyDescent="0.25">
      <c r="B7" s="182">
        <v>1</v>
      </c>
      <c r="C7" s="228">
        <v>44627</v>
      </c>
      <c r="D7" s="117">
        <v>19</v>
      </c>
      <c r="E7" s="118">
        <v>34</v>
      </c>
      <c r="F7" s="126"/>
      <c r="G7" s="127"/>
      <c r="H7" s="119">
        <v>400</v>
      </c>
      <c r="I7" s="119">
        <v>400</v>
      </c>
      <c r="J7" s="115">
        <f t="shared" si="10"/>
        <v>347</v>
      </c>
      <c r="K7" s="80">
        <f t="shared" si="11"/>
        <v>0.86750000000000005</v>
      </c>
      <c r="L7" s="120">
        <v>1696</v>
      </c>
      <c r="M7" s="8">
        <v>300</v>
      </c>
      <c r="N7" s="115">
        <v>60</v>
      </c>
      <c r="O7" s="78">
        <f t="shared" si="3"/>
        <v>0.97752161383285296</v>
      </c>
      <c r="P7" s="121">
        <v>1675</v>
      </c>
      <c r="Q7" s="115">
        <v>1696</v>
      </c>
      <c r="R7" s="122"/>
      <c r="S7" s="122"/>
      <c r="T7" s="122"/>
      <c r="U7" s="122"/>
      <c r="V7" s="122"/>
      <c r="W7" s="122"/>
      <c r="X7" s="128"/>
      <c r="Y7" s="128"/>
      <c r="Z7" s="128"/>
      <c r="AA7" s="128">
        <v>1</v>
      </c>
      <c r="AB7" s="128"/>
      <c r="AC7" s="122">
        <v>2</v>
      </c>
      <c r="AD7" s="122"/>
      <c r="AE7" s="122"/>
      <c r="AF7" s="122">
        <v>18</v>
      </c>
      <c r="AG7" s="122"/>
      <c r="AH7" s="122"/>
      <c r="AI7" s="122"/>
      <c r="AJ7" s="122"/>
      <c r="AK7" s="122"/>
      <c r="AL7" s="122"/>
      <c r="AM7" s="122"/>
      <c r="AN7" s="64"/>
      <c r="AO7" s="118">
        <f t="shared" si="7"/>
        <v>21</v>
      </c>
      <c r="AP7" s="77">
        <f t="shared" si="8"/>
        <v>0.98761792452830188</v>
      </c>
      <c r="AQ7" s="76">
        <f t="shared" si="9"/>
        <v>0.83750000000000002</v>
      </c>
    </row>
    <row r="8" spans="1:43" x14ac:dyDescent="0.25">
      <c r="B8" s="182">
        <v>1</v>
      </c>
      <c r="C8" s="228">
        <v>44628</v>
      </c>
      <c r="D8" s="117">
        <v>38</v>
      </c>
      <c r="E8" s="118">
        <v>59</v>
      </c>
      <c r="F8" s="126"/>
      <c r="G8" s="127"/>
      <c r="H8" s="119">
        <v>480</v>
      </c>
      <c r="I8" s="119">
        <v>480</v>
      </c>
      <c r="J8" s="115">
        <f t="shared" si="10"/>
        <v>383</v>
      </c>
      <c r="K8" s="80">
        <f t="shared" si="11"/>
        <v>0.79791666666666672</v>
      </c>
      <c r="L8" s="120">
        <v>1901</v>
      </c>
      <c r="M8" s="8">
        <v>300</v>
      </c>
      <c r="N8" s="115">
        <v>60</v>
      </c>
      <c r="O8" s="78">
        <f t="shared" si="3"/>
        <v>0.99268929503916448</v>
      </c>
      <c r="P8" s="121">
        <v>1896</v>
      </c>
      <c r="Q8" s="115">
        <v>1901</v>
      </c>
      <c r="R8" s="122"/>
      <c r="S8" s="122"/>
      <c r="T8" s="122"/>
      <c r="U8" s="122"/>
      <c r="V8" s="122"/>
      <c r="W8" s="122"/>
      <c r="X8" s="128"/>
      <c r="Y8" s="128"/>
      <c r="Z8" s="128"/>
      <c r="AA8" s="128"/>
      <c r="AB8" s="128"/>
      <c r="AC8" s="122"/>
      <c r="AD8" s="122"/>
      <c r="AE8" s="122"/>
      <c r="AF8" s="122"/>
      <c r="AG8" s="122"/>
      <c r="AH8" s="122"/>
      <c r="AI8" s="122"/>
      <c r="AJ8" s="122"/>
      <c r="AK8" s="122"/>
      <c r="AL8" s="122"/>
      <c r="AM8" s="122"/>
      <c r="AN8" s="64"/>
      <c r="AO8" s="118">
        <f t="shared" si="7"/>
        <v>0</v>
      </c>
      <c r="AP8" s="77">
        <f t="shared" si="8"/>
        <v>0.99736980536559705</v>
      </c>
      <c r="AQ8" s="76">
        <f t="shared" si="9"/>
        <v>0.79</v>
      </c>
    </row>
    <row r="9" spans="1:43" x14ac:dyDescent="0.25">
      <c r="B9" s="182">
        <v>1</v>
      </c>
      <c r="C9" s="228">
        <v>44629</v>
      </c>
      <c r="D9" s="117"/>
      <c r="E9" s="118">
        <v>33</v>
      </c>
      <c r="F9" s="126"/>
      <c r="G9" s="127"/>
      <c r="H9" s="119">
        <v>480</v>
      </c>
      <c r="I9" s="119">
        <v>480</v>
      </c>
      <c r="J9" s="115">
        <f t="shared" si="10"/>
        <v>447</v>
      </c>
      <c r="K9" s="80">
        <f t="shared" si="11"/>
        <v>0.93125000000000002</v>
      </c>
      <c r="L9" s="120">
        <v>2056</v>
      </c>
      <c r="M9" s="8">
        <v>300</v>
      </c>
      <c r="N9" s="115">
        <v>60</v>
      </c>
      <c r="O9" s="78">
        <f t="shared" si="3"/>
        <v>0.91991051454138695</v>
      </c>
      <c r="P9" s="121">
        <v>2051</v>
      </c>
      <c r="Q9" s="115">
        <v>2056</v>
      </c>
      <c r="R9" s="122"/>
      <c r="S9" s="122"/>
      <c r="T9" s="122"/>
      <c r="U9" s="122"/>
      <c r="V9" s="122"/>
      <c r="W9" s="122"/>
      <c r="X9" s="128"/>
      <c r="Y9" s="128"/>
      <c r="Z9" s="128"/>
      <c r="AA9" s="128">
        <v>3</v>
      </c>
      <c r="AB9" s="128"/>
      <c r="AC9" s="122">
        <v>1</v>
      </c>
      <c r="AD9" s="122">
        <v>1</v>
      </c>
      <c r="AE9" s="122"/>
      <c r="AF9" s="122"/>
      <c r="AG9" s="122"/>
      <c r="AH9" s="122"/>
      <c r="AI9" s="122"/>
      <c r="AJ9" s="122"/>
      <c r="AK9" s="122"/>
      <c r="AL9" s="122"/>
      <c r="AM9" s="122"/>
      <c r="AN9" s="64"/>
      <c r="AO9" s="118">
        <f t="shared" si="7"/>
        <v>5</v>
      </c>
      <c r="AP9" s="77">
        <f t="shared" si="8"/>
        <v>0.99756809338521402</v>
      </c>
      <c r="AQ9" s="76">
        <f t="shared" si="9"/>
        <v>0.85458333333333325</v>
      </c>
    </row>
    <row r="10" spans="1:43" x14ac:dyDescent="0.25">
      <c r="B10" s="182">
        <v>1</v>
      </c>
      <c r="C10" s="228">
        <v>44630</v>
      </c>
      <c r="D10" s="117">
        <v>10</v>
      </c>
      <c r="E10" s="118">
        <v>42</v>
      </c>
      <c r="F10" s="126"/>
      <c r="G10" s="127"/>
      <c r="H10" s="119">
        <v>480</v>
      </c>
      <c r="I10" s="119">
        <v>480</v>
      </c>
      <c r="J10" s="115">
        <f t="shared" si="10"/>
        <v>428</v>
      </c>
      <c r="K10" s="80">
        <f t="shared" si="11"/>
        <v>0.89166666666666672</v>
      </c>
      <c r="L10" s="120">
        <v>2112</v>
      </c>
      <c r="M10" s="8">
        <v>300</v>
      </c>
      <c r="N10" s="115">
        <v>60</v>
      </c>
      <c r="O10" s="78">
        <f t="shared" si="3"/>
        <v>0.98691588785046724</v>
      </c>
      <c r="P10" s="121">
        <v>2110</v>
      </c>
      <c r="Q10" s="115">
        <v>2112</v>
      </c>
      <c r="R10" s="122"/>
      <c r="S10" s="122"/>
      <c r="T10" s="122"/>
      <c r="U10" s="122"/>
      <c r="V10" s="122"/>
      <c r="W10" s="122"/>
      <c r="X10" s="128"/>
      <c r="Y10" s="128">
        <v>2</v>
      </c>
      <c r="Z10" s="128"/>
      <c r="AA10" s="128"/>
      <c r="AB10" s="128"/>
      <c r="AC10" s="122"/>
      <c r="AD10" s="122"/>
      <c r="AE10" s="122"/>
      <c r="AF10" s="122"/>
      <c r="AG10" s="122"/>
      <c r="AH10" s="122"/>
      <c r="AI10" s="122"/>
      <c r="AJ10" s="122"/>
      <c r="AK10" s="122"/>
      <c r="AL10" s="122"/>
      <c r="AM10" s="122"/>
      <c r="AN10" s="64"/>
      <c r="AO10" s="118">
        <f t="shared" si="7"/>
        <v>2</v>
      </c>
      <c r="AP10" s="77">
        <f t="shared" si="8"/>
        <v>0.99905303030303028</v>
      </c>
      <c r="AQ10" s="76">
        <f t="shared" si="9"/>
        <v>0.87916666666666665</v>
      </c>
    </row>
    <row r="11" spans="1:43" x14ac:dyDescent="0.25">
      <c r="B11" s="182">
        <v>1</v>
      </c>
      <c r="C11" s="228">
        <v>44631</v>
      </c>
      <c r="D11" s="117">
        <v>10</v>
      </c>
      <c r="E11" s="118">
        <v>34</v>
      </c>
      <c r="F11" s="126"/>
      <c r="G11" s="127"/>
      <c r="H11" s="119">
        <v>480</v>
      </c>
      <c r="I11" s="119">
        <v>480</v>
      </c>
      <c r="J11" s="115">
        <f t="shared" si="10"/>
        <v>436</v>
      </c>
      <c r="K11" s="80">
        <f t="shared" si="11"/>
        <v>0.90833333333333333</v>
      </c>
      <c r="L11" s="120">
        <v>1931</v>
      </c>
      <c r="M11" s="8">
        <v>300</v>
      </c>
      <c r="N11" s="115">
        <v>60</v>
      </c>
      <c r="O11" s="78">
        <f t="shared" si="3"/>
        <v>0.88577981651376148</v>
      </c>
      <c r="P11" s="121">
        <v>1927</v>
      </c>
      <c r="Q11" s="115">
        <v>1931</v>
      </c>
      <c r="R11" s="122"/>
      <c r="S11" s="122"/>
      <c r="T11" s="122"/>
      <c r="U11" s="122"/>
      <c r="V11" s="122"/>
      <c r="W11" s="122"/>
      <c r="X11" s="128">
        <v>3</v>
      </c>
      <c r="Y11" s="128"/>
      <c r="Z11" s="128"/>
      <c r="AA11" s="128">
        <v>1</v>
      </c>
      <c r="AB11" s="128"/>
      <c r="AC11" s="122"/>
      <c r="AD11" s="122"/>
      <c r="AE11" s="122"/>
      <c r="AF11" s="122"/>
      <c r="AG11" s="122"/>
      <c r="AH11" s="122"/>
      <c r="AI11" s="122"/>
      <c r="AJ11" s="122"/>
      <c r="AK11" s="122"/>
      <c r="AL11" s="122"/>
      <c r="AM11" s="122"/>
      <c r="AN11" s="64"/>
      <c r="AO11" s="118">
        <f t="shared" si="7"/>
        <v>4</v>
      </c>
      <c r="AP11" s="77">
        <f t="shared" si="8"/>
        <v>0.99792853443811491</v>
      </c>
      <c r="AQ11" s="76">
        <f t="shared" si="9"/>
        <v>0.80291666666666661</v>
      </c>
    </row>
    <row r="12" spans="1:43" x14ac:dyDescent="0.25">
      <c r="B12" s="182">
        <v>1</v>
      </c>
      <c r="C12" s="228"/>
      <c r="D12" s="117"/>
      <c r="E12" s="118"/>
      <c r="F12" s="126"/>
      <c r="G12" s="127"/>
      <c r="H12" s="119"/>
      <c r="I12" s="119"/>
      <c r="J12" s="115">
        <f t="shared" si="10"/>
        <v>0</v>
      </c>
      <c r="K12" s="80" t="str">
        <f t="shared" si="11"/>
        <v/>
      </c>
      <c r="L12" s="120"/>
      <c r="M12" s="8"/>
      <c r="N12" s="115"/>
      <c r="O12" s="78"/>
      <c r="P12" s="121"/>
      <c r="Q12" s="115"/>
      <c r="R12" s="122"/>
      <c r="S12" s="122"/>
      <c r="T12" s="122"/>
      <c r="U12" s="122"/>
      <c r="V12" s="122"/>
      <c r="W12" s="122"/>
      <c r="X12" s="128"/>
      <c r="Y12" s="128"/>
      <c r="Z12" s="128"/>
      <c r="AA12" s="128"/>
      <c r="AB12" s="128"/>
      <c r="AC12" s="122"/>
      <c r="AD12" s="122"/>
      <c r="AE12" s="122"/>
      <c r="AF12" s="122"/>
      <c r="AG12" s="122"/>
      <c r="AH12" s="122"/>
      <c r="AI12" s="122"/>
      <c r="AJ12" s="122"/>
      <c r="AK12" s="122"/>
      <c r="AL12" s="122"/>
      <c r="AM12" s="122"/>
      <c r="AN12" s="64"/>
      <c r="AO12" s="118"/>
      <c r="AP12" s="77"/>
      <c r="AQ12" s="76" t="str">
        <f t="shared" si="9"/>
        <v/>
      </c>
    </row>
    <row r="13" spans="1:43" x14ac:dyDescent="0.25">
      <c r="B13" s="182">
        <v>1</v>
      </c>
      <c r="C13" s="228"/>
      <c r="D13" s="117"/>
      <c r="E13" s="118"/>
      <c r="F13" s="126"/>
      <c r="G13" s="127"/>
      <c r="H13" s="119"/>
      <c r="I13" s="119"/>
      <c r="J13" s="115">
        <f t="shared" si="10"/>
        <v>0</v>
      </c>
      <c r="K13" s="80" t="str">
        <f t="shared" si="11"/>
        <v/>
      </c>
      <c r="L13" s="120"/>
      <c r="M13" s="8"/>
      <c r="N13" s="115"/>
      <c r="O13" s="78"/>
      <c r="P13" s="121"/>
      <c r="Q13" s="115"/>
      <c r="R13" s="122"/>
      <c r="S13" s="122"/>
      <c r="T13" s="122"/>
      <c r="U13" s="122"/>
      <c r="V13" s="122"/>
      <c r="W13" s="122"/>
      <c r="X13" s="128"/>
      <c r="Y13" s="128"/>
      <c r="Z13" s="128"/>
      <c r="AA13" s="128"/>
      <c r="AB13" s="128"/>
      <c r="AC13" s="122"/>
      <c r="AD13" s="122"/>
      <c r="AE13" s="122"/>
      <c r="AF13" s="122"/>
      <c r="AG13" s="122"/>
      <c r="AH13" s="122"/>
      <c r="AI13" s="122"/>
      <c r="AJ13" s="122"/>
      <c r="AK13" s="122"/>
      <c r="AL13" s="122"/>
      <c r="AM13" s="122"/>
      <c r="AN13" s="64"/>
      <c r="AO13" s="118"/>
      <c r="AP13" s="77"/>
      <c r="AQ13" s="76" t="str">
        <f t="shared" si="9"/>
        <v/>
      </c>
    </row>
    <row r="14" spans="1:43" x14ac:dyDescent="0.25">
      <c r="B14" s="182">
        <v>1</v>
      </c>
      <c r="C14" s="228"/>
      <c r="D14" s="117"/>
      <c r="E14" s="118"/>
      <c r="F14" s="126"/>
      <c r="G14" s="127"/>
      <c r="H14" s="119"/>
      <c r="I14" s="119"/>
      <c r="J14" s="115">
        <f t="shared" si="10"/>
        <v>0</v>
      </c>
      <c r="K14" s="80" t="str">
        <f t="shared" si="11"/>
        <v/>
      </c>
      <c r="L14" s="120"/>
      <c r="M14" s="8"/>
      <c r="N14" s="115"/>
      <c r="O14" s="78"/>
      <c r="P14" s="121"/>
      <c r="Q14" s="115"/>
      <c r="R14" s="122"/>
      <c r="S14" s="122"/>
      <c r="T14" s="122"/>
      <c r="U14" s="122"/>
      <c r="V14" s="122"/>
      <c r="W14" s="122"/>
      <c r="X14" s="128"/>
      <c r="Y14" s="128"/>
      <c r="Z14" s="128"/>
      <c r="AA14" s="128"/>
      <c r="AB14" s="128"/>
      <c r="AC14" s="122"/>
      <c r="AD14" s="122"/>
      <c r="AE14" s="122"/>
      <c r="AF14" s="122"/>
      <c r="AG14" s="122"/>
      <c r="AH14" s="122"/>
      <c r="AI14" s="122"/>
      <c r="AJ14" s="122"/>
      <c r="AK14" s="122"/>
      <c r="AL14" s="122"/>
      <c r="AM14" s="122"/>
      <c r="AN14" s="64"/>
      <c r="AO14" s="118"/>
      <c r="AP14" s="77"/>
      <c r="AQ14" s="76" t="str">
        <f t="shared" si="9"/>
        <v/>
      </c>
    </row>
    <row r="15" spans="1:43" x14ac:dyDescent="0.25">
      <c r="B15" s="182">
        <v>1</v>
      </c>
      <c r="C15" s="228"/>
      <c r="D15" s="117"/>
      <c r="E15" s="118"/>
      <c r="F15" s="126"/>
      <c r="G15" s="127"/>
      <c r="H15" s="119"/>
      <c r="I15" s="119"/>
      <c r="J15" s="115">
        <f t="shared" si="10"/>
        <v>0</v>
      </c>
      <c r="K15" s="80" t="str">
        <f t="shared" si="11"/>
        <v/>
      </c>
      <c r="L15" s="120"/>
      <c r="M15" s="8"/>
      <c r="N15" s="115"/>
      <c r="O15" s="78"/>
      <c r="P15" s="121"/>
      <c r="Q15" s="115"/>
      <c r="R15" s="122"/>
      <c r="S15" s="122"/>
      <c r="T15" s="122"/>
      <c r="U15" s="122"/>
      <c r="V15" s="122"/>
      <c r="W15" s="122"/>
      <c r="X15" s="128"/>
      <c r="Y15" s="128"/>
      <c r="Z15" s="128"/>
      <c r="AA15" s="128"/>
      <c r="AB15" s="128"/>
      <c r="AC15" s="122"/>
      <c r="AD15" s="122"/>
      <c r="AE15" s="122"/>
      <c r="AF15" s="122"/>
      <c r="AG15" s="122"/>
      <c r="AH15" s="122"/>
      <c r="AI15" s="122"/>
      <c r="AJ15" s="122"/>
      <c r="AK15" s="122"/>
      <c r="AL15" s="122"/>
      <c r="AM15" s="122"/>
      <c r="AN15" s="64"/>
      <c r="AO15" s="118"/>
      <c r="AP15" s="77"/>
      <c r="AQ15" s="76" t="str">
        <f t="shared" si="9"/>
        <v/>
      </c>
    </row>
    <row r="16" spans="1:43" x14ac:dyDescent="0.25">
      <c r="B16" s="182">
        <v>1</v>
      </c>
      <c r="C16" s="228"/>
      <c r="D16" s="117"/>
      <c r="E16" s="118"/>
      <c r="F16" s="126"/>
      <c r="G16" s="127"/>
      <c r="H16" s="119"/>
      <c r="I16" s="119"/>
      <c r="J16" s="115">
        <f t="shared" si="10"/>
        <v>0</v>
      </c>
      <c r="K16" s="80" t="str">
        <f t="shared" si="11"/>
        <v/>
      </c>
      <c r="L16" s="120"/>
      <c r="M16" s="8"/>
      <c r="N16" s="115"/>
      <c r="O16" s="78"/>
      <c r="P16" s="121"/>
      <c r="Q16" s="115"/>
      <c r="R16" s="122"/>
      <c r="S16" s="122"/>
      <c r="T16" s="122"/>
      <c r="U16" s="122"/>
      <c r="V16" s="122"/>
      <c r="W16" s="122"/>
      <c r="X16" s="128"/>
      <c r="Y16" s="128"/>
      <c r="Z16" s="128"/>
      <c r="AA16" s="128"/>
      <c r="AB16" s="128"/>
      <c r="AC16" s="122"/>
      <c r="AD16" s="122"/>
      <c r="AE16" s="122"/>
      <c r="AF16" s="122"/>
      <c r="AG16" s="122"/>
      <c r="AH16" s="122"/>
      <c r="AI16" s="122"/>
      <c r="AJ16" s="122"/>
      <c r="AK16" s="122"/>
      <c r="AL16" s="122"/>
      <c r="AM16" s="122"/>
      <c r="AN16" s="64"/>
      <c r="AO16" s="118"/>
      <c r="AP16" s="77"/>
      <c r="AQ16" s="76" t="str">
        <f t="shared" si="9"/>
        <v/>
      </c>
    </row>
    <row r="17" spans="2:43" x14ac:dyDescent="0.25">
      <c r="B17" s="182">
        <v>1</v>
      </c>
      <c r="C17" s="228"/>
      <c r="D17" s="117"/>
      <c r="E17" s="118"/>
      <c r="F17" s="126"/>
      <c r="G17" s="127"/>
      <c r="H17" s="119"/>
      <c r="I17" s="119"/>
      <c r="J17" s="115"/>
      <c r="K17" s="80"/>
      <c r="L17" s="120"/>
      <c r="M17" s="8"/>
      <c r="N17" s="115"/>
      <c r="O17" s="78"/>
      <c r="P17" s="121"/>
      <c r="Q17" s="115"/>
      <c r="R17" s="122"/>
      <c r="S17" s="122"/>
      <c r="T17" s="122"/>
      <c r="U17" s="122"/>
      <c r="V17" s="122"/>
      <c r="W17" s="122"/>
      <c r="X17" s="128"/>
      <c r="Y17" s="128"/>
      <c r="Z17" s="128"/>
      <c r="AA17" s="128"/>
      <c r="AB17" s="128"/>
      <c r="AC17" s="122"/>
      <c r="AD17" s="122"/>
      <c r="AE17" s="122"/>
      <c r="AF17" s="122"/>
      <c r="AG17" s="122"/>
      <c r="AH17" s="122"/>
      <c r="AI17" s="122"/>
      <c r="AJ17" s="122"/>
      <c r="AK17" s="122"/>
      <c r="AL17" s="122"/>
      <c r="AM17" s="122"/>
      <c r="AN17" s="64"/>
      <c r="AO17" s="118"/>
      <c r="AP17" s="77"/>
      <c r="AQ17" s="76">
        <f t="shared" si="9"/>
        <v>0</v>
      </c>
    </row>
    <row r="18" spans="2:43" x14ac:dyDescent="0.25">
      <c r="B18" s="182">
        <v>1</v>
      </c>
      <c r="C18" s="228"/>
      <c r="D18" s="117"/>
      <c r="E18" s="118"/>
      <c r="F18" s="126"/>
      <c r="G18" s="127"/>
      <c r="H18" s="119"/>
      <c r="I18" s="119"/>
      <c r="J18" s="115"/>
      <c r="K18" s="80"/>
      <c r="L18" s="120"/>
      <c r="M18" s="8"/>
      <c r="N18" s="115"/>
      <c r="O18" s="78"/>
      <c r="P18" s="121"/>
      <c r="Q18" s="115"/>
      <c r="R18" s="122"/>
      <c r="S18" s="122"/>
      <c r="T18" s="122"/>
      <c r="U18" s="122"/>
      <c r="V18" s="122"/>
      <c r="W18" s="122"/>
      <c r="X18" s="128"/>
      <c r="Y18" s="128"/>
      <c r="Z18" s="128"/>
      <c r="AA18" s="128"/>
      <c r="AB18" s="128"/>
      <c r="AC18" s="122"/>
      <c r="AD18" s="122"/>
      <c r="AE18" s="122"/>
      <c r="AF18" s="122"/>
      <c r="AG18" s="122"/>
      <c r="AH18" s="122"/>
      <c r="AI18" s="122"/>
      <c r="AJ18" s="122"/>
      <c r="AK18" s="122"/>
      <c r="AL18" s="122"/>
      <c r="AM18" s="122"/>
      <c r="AN18" s="64"/>
      <c r="AO18" s="118"/>
      <c r="AP18" s="77"/>
      <c r="AQ18" s="76">
        <f t="shared" si="9"/>
        <v>0</v>
      </c>
    </row>
    <row r="19" spans="2:43" x14ac:dyDescent="0.25">
      <c r="B19" s="182">
        <v>1</v>
      </c>
      <c r="C19" s="228"/>
      <c r="D19" s="117"/>
      <c r="E19" s="118"/>
      <c r="F19" s="126"/>
      <c r="G19" s="127"/>
      <c r="H19" s="119"/>
      <c r="I19" s="119"/>
      <c r="J19" s="115"/>
      <c r="K19" s="80"/>
      <c r="L19" s="120"/>
      <c r="M19" s="8"/>
      <c r="N19" s="115"/>
      <c r="O19" s="78"/>
      <c r="P19" s="121"/>
      <c r="Q19" s="115"/>
      <c r="R19" s="122"/>
      <c r="S19" s="122"/>
      <c r="T19" s="122"/>
      <c r="U19" s="122"/>
      <c r="V19" s="122"/>
      <c r="W19" s="122"/>
      <c r="X19" s="128"/>
      <c r="Y19" s="128"/>
      <c r="Z19" s="128"/>
      <c r="AA19" s="128"/>
      <c r="AB19" s="128"/>
      <c r="AC19" s="122"/>
      <c r="AD19" s="122"/>
      <c r="AE19" s="122"/>
      <c r="AF19" s="122"/>
      <c r="AG19" s="122"/>
      <c r="AH19" s="122"/>
      <c r="AI19" s="122"/>
      <c r="AJ19" s="122"/>
      <c r="AK19" s="122"/>
      <c r="AL19" s="122"/>
      <c r="AM19" s="122"/>
      <c r="AN19" s="64"/>
      <c r="AO19" s="118"/>
      <c r="AP19" s="77"/>
      <c r="AQ19" s="76">
        <f t="shared" si="9"/>
        <v>0</v>
      </c>
    </row>
    <row r="20" spans="2:43" x14ac:dyDescent="0.25">
      <c r="B20" s="182">
        <v>1</v>
      </c>
      <c r="C20" s="228"/>
      <c r="D20" s="117"/>
      <c r="E20" s="118"/>
      <c r="F20" s="126"/>
      <c r="G20" s="127"/>
      <c r="H20" s="119"/>
      <c r="I20" s="119"/>
      <c r="J20" s="115"/>
      <c r="K20" s="80"/>
      <c r="L20" s="120"/>
      <c r="M20" s="8"/>
      <c r="N20" s="115"/>
      <c r="O20" s="78"/>
      <c r="P20" s="121"/>
      <c r="Q20" s="115"/>
      <c r="R20" s="122"/>
      <c r="S20" s="122"/>
      <c r="T20" s="122"/>
      <c r="U20" s="122"/>
      <c r="V20" s="122"/>
      <c r="W20" s="122"/>
      <c r="X20" s="128"/>
      <c r="Y20" s="128"/>
      <c r="Z20" s="128"/>
      <c r="AA20" s="128"/>
      <c r="AB20" s="128"/>
      <c r="AC20" s="122"/>
      <c r="AD20" s="122"/>
      <c r="AE20" s="122"/>
      <c r="AF20" s="122"/>
      <c r="AG20" s="122"/>
      <c r="AH20" s="122"/>
      <c r="AI20" s="122"/>
      <c r="AJ20" s="122"/>
      <c r="AK20" s="122"/>
      <c r="AL20" s="122"/>
      <c r="AM20" s="122"/>
      <c r="AN20" s="64"/>
      <c r="AO20" s="118"/>
      <c r="AP20" s="77"/>
      <c r="AQ20" s="76">
        <f t="shared" si="9"/>
        <v>0</v>
      </c>
    </row>
    <row r="21" spans="2:43" x14ac:dyDescent="0.25">
      <c r="B21" s="182">
        <v>1</v>
      </c>
      <c r="C21" s="228"/>
      <c r="D21" s="117"/>
      <c r="E21" s="118"/>
      <c r="F21" s="126"/>
      <c r="G21" s="127"/>
      <c r="H21" s="119"/>
      <c r="I21" s="119"/>
      <c r="J21" s="115"/>
      <c r="K21" s="80"/>
      <c r="L21" s="120"/>
      <c r="M21" s="8"/>
      <c r="N21" s="115"/>
      <c r="O21" s="78"/>
      <c r="P21" s="121"/>
      <c r="Q21" s="115"/>
      <c r="R21" s="122"/>
      <c r="S21" s="122"/>
      <c r="T21" s="122"/>
      <c r="U21" s="122"/>
      <c r="V21" s="122"/>
      <c r="W21" s="122"/>
      <c r="X21" s="128"/>
      <c r="Y21" s="128"/>
      <c r="Z21" s="128"/>
      <c r="AA21" s="128"/>
      <c r="AB21" s="128"/>
      <c r="AC21" s="122"/>
      <c r="AD21" s="122"/>
      <c r="AE21" s="122"/>
      <c r="AF21" s="122"/>
      <c r="AG21" s="122"/>
      <c r="AH21" s="122"/>
      <c r="AI21" s="122"/>
      <c r="AJ21" s="122"/>
      <c r="AK21" s="122"/>
      <c r="AL21" s="122"/>
      <c r="AM21" s="122"/>
      <c r="AN21" s="64"/>
      <c r="AO21" s="118"/>
      <c r="AP21" s="77"/>
      <c r="AQ21" s="76">
        <f t="shared" si="9"/>
        <v>0</v>
      </c>
    </row>
    <row r="22" spans="2:43" x14ac:dyDescent="0.25">
      <c r="B22" s="182">
        <v>1</v>
      </c>
      <c r="C22" s="228"/>
      <c r="D22" s="117"/>
      <c r="E22" s="118"/>
      <c r="F22" s="126"/>
      <c r="G22" s="127"/>
      <c r="H22" s="119"/>
      <c r="I22" s="119"/>
      <c r="J22" s="115"/>
      <c r="K22" s="80"/>
      <c r="L22" s="120"/>
      <c r="M22" s="8"/>
      <c r="N22" s="115"/>
      <c r="O22" s="78"/>
      <c r="P22" s="121"/>
      <c r="Q22" s="115"/>
      <c r="R22" s="122"/>
      <c r="S22" s="122"/>
      <c r="T22" s="122"/>
      <c r="U22" s="122"/>
      <c r="V22" s="122"/>
      <c r="W22" s="122"/>
      <c r="X22" s="128"/>
      <c r="Y22" s="128"/>
      <c r="Z22" s="128"/>
      <c r="AA22" s="128"/>
      <c r="AB22" s="128"/>
      <c r="AC22" s="122"/>
      <c r="AD22" s="122"/>
      <c r="AE22" s="122"/>
      <c r="AF22" s="122"/>
      <c r="AG22" s="122"/>
      <c r="AH22" s="122"/>
      <c r="AI22" s="122"/>
      <c r="AJ22" s="122"/>
      <c r="AK22" s="122"/>
      <c r="AL22" s="122"/>
      <c r="AM22" s="122"/>
      <c r="AN22" s="64"/>
      <c r="AO22" s="118"/>
      <c r="AP22" s="77"/>
      <c r="AQ22" s="76">
        <f t="shared" si="9"/>
        <v>0</v>
      </c>
    </row>
    <row r="23" spans="2:43" x14ac:dyDescent="0.25">
      <c r="B23" s="182">
        <v>1</v>
      </c>
      <c r="C23" s="228"/>
      <c r="D23" s="117"/>
      <c r="E23" s="118"/>
      <c r="F23" s="126"/>
      <c r="G23" s="127"/>
      <c r="H23" s="119"/>
      <c r="I23" s="119"/>
      <c r="J23" s="115"/>
      <c r="K23" s="80"/>
      <c r="L23" s="120"/>
      <c r="M23" s="8"/>
      <c r="N23" s="115"/>
      <c r="O23" s="78"/>
      <c r="P23" s="121"/>
      <c r="Q23" s="115"/>
      <c r="R23" s="122"/>
      <c r="S23" s="122"/>
      <c r="T23" s="122"/>
      <c r="U23" s="122"/>
      <c r="V23" s="122"/>
      <c r="W23" s="122"/>
      <c r="X23" s="128"/>
      <c r="Y23" s="128"/>
      <c r="Z23" s="128"/>
      <c r="AA23" s="128"/>
      <c r="AB23" s="128"/>
      <c r="AC23" s="122"/>
      <c r="AD23" s="122"/>
      <c r="AE23" s="122"/>
      <c r="AF23" s="122"/>
      <c r="AG23" s="122"/>
      <c r="AH23" s="122"/>
      <c r="AI23" s="122"/>
      <c r="AJ23" s="122"/>
      <c r="AK23" s="122"/>
      <c r="AL23" s="122"/>
      <c r="AM23" s="122"/>
      <c r="AN23" s="64"/>
      <c r="AO23" s="118"/>
      <c r="AP23" s="77"/>
      <c r="AQ23" s="76">
        <f t="shared" si="9"/>
        <v>0</v>
      </c>
    </row>
    <row r="24" spans="2:43" x14ac:dyDescent="0.25">
      <c r="B24" s="182">
        <v>1</v>
      </c>
      <c r="C24" s="228"/>
      <c r="D24" s="117"/>
      <c r="E24" s="118"/>
      <c r="F24" s="126"/>
      <c r="G24" s="127"/>
      <c r="H24" s="119"/>
      <c r="I24" s="119"/>
      <c r="J24" s="115"/>
      <c r="K24" s="80"/>
      <c r="L24" s="120"/>
      <c r="M24" s="8"/>
      <c r="N24" s="115"/>
      <c r="O24" s="78"/>
      <c r="P24" s="121"/>
      <c r="Q24" s="115"/>
      <c r="R24" s="122"/>
      <c r="S24" s="122"/>
      <c r="T24" s="122"/>
      <c r="U24" s="122"/>
      <c r="V24" s="122"/>
      <c r="W24" s="122"/>
      <c r="X24" s="128"/>
      <c r="Y24" s="128"/>
      <c r="Z24" s="128"/>
      <c r="AA24" s="128"/>
      <c r="AB24" s="128"/>
      <c r="AC24" s="122"/>
      <c r="AD24" s="122"/>
      <c r="AE24" s="122"/>
      <c r="AF24" s="122"/>
      <c r="AG24" s="122"/>
      <c r="AH24" s="122"/>
      <c r="AI24" s="122"/>
      <c r="AJ24" s="122"/>
      <c r="AK24" s="122"/>
      <c r="AL24" s="122"/>
      <c r="AM24" s="122"/>
      <c r="AN24" s="64"/>
      <c r="AO24" s="118"/>
      <c r="AP24" s="77"/>
      <c r="AQ24" s="76">
        <f t="shared" ref="AQ24:AQ87" si="12">IFERROR(K24*O24*AP24,"")</f>
        <v>0</v>
      </c>
    </row>
    <row r="25" spans="2:43" x14ac:dyDescent="0.25">
      <c r="B25" s="182">
        <v>1</v>
      </c>
      <c r="C25" s="228"/>
      <c r="D25" s="117"/>
      <c r="E25" s="118"/>
      <c r="F25" s="126"/>
      <c r="G25" s="127"/>
      <c r="H25" s="119"/>
      <c r="I25" s="119"/>
      <c r="J25" s="115"/>
      <c r="K25" s="80"/>
      <c r="L25" s="120"/>
      <c r="M25" s="8"/>
      <c r="N25" s="115"/>
      <c r="O25" s="78"/>
      <c r="P25" s="121"/>
      <c r="Q25" s="115"/>
      <c r="R25" s="122"/>
      <c r="S25" s="122"/>
      <c r="T25" s="122"/>
      <c r="U25" s="122"/>
      <c r="V25" s="122"/>
      <c r="W25" s="122"/>
      <c r="X25" s="128"/>
      <c r="Y25" s="128"/>
      <c r="Z25" s="128"/>
      <c r="AA25" s="128"/>
      <c r="AB25" s="128"/>
      <c r="AC25" s="122"/>
      <c r="AD25" s="122"/>
      <c r="AE25" s="122"/>
      <c r="AF25" s="122"/>
      <c r="AG25" s="122"/>
      <c r="AH25" s="122"/>
      <c r="AI25" s="122"/>
      <c r="AJ25" s="122"/>
      <c r="AK25" s="122"/>
      <c r="AL25" s="122"/>
      <c r="AM25" s="122"/>
      <c r="AN25" s="64"/>
      <c r="AO25" s="118"/>
      <c r="AP25" s="77"/>
      <c r="AQ25" s="76">
        <f t="shared" si="12"/>
        <v>0</v>
      </c>
    </row>
    <row r="26" spans="2:43" x14ac:dyDescent="0.25">
      <c r="B26" s="182">
        <v>1</v>
      </c>
      <c r="C26" s="228"/>
      <c r="D26" s="117"/>
      <c r="E26" s="118"/>
      <c r="F26" s="126"/>
      <c r="G26" s="127"/>
      <c r="H26" s="119"/>
      <c r="I26" s="119"/>
      <c r="J26" s="115"/>
      <c r="K26" s="80"/>
      <c r="L26" s="120"/>
      <c r="M26" s="8"/>
      <c r="N26" s="115"/>
      <c r="O26" s="78"/>
      <c r="P26" s="121"/>
      <c r="Q26" s="115"/>
      <c r="R26" s="122"/>
      <c r="S26" s="122"/>
      <c r="T26" s="122"/>
      <c r="U26" s="122"/>
      <c r="V26" s="122"/>
      <c r="W26" s="122"/>
      <c r="X26" s="128"/>
      <c r="Y26" s="128"/>
      <c r="Z26" s="128"/>
      <c r="AA26" s="128"/>
      <c r="AB26" s="128"/>
      <c r="AC26" s="122"/>
      <c r="AD26" s="122"/>
      <c r="AE26" s="122"/>
      <c r="AF26" s="122"/>
      <c r="AG26" s="122"/>
      <c r="AH26" s="122"/>
      <c r="AI26" s="122"/>
      <c r="AJ26" s="122"/>
      <c r="AK26" s="122"/>
      <c r="AL26" s="122"/>
      <c r="AM26" s="122"/>
      <c r="AN26" s="64"/>
      <c r="AO26" s="118"/>
      <c r="AP26" s="77"/>
      <c r="AQ26" s="76">
        <f t="shared" si="12"/>
        <v>0</v>
      </c>
    </row>
    <row r="27" spans="2:43" x14ac:dyDescent="0.25">
      <c r="B27" s="182">
        <v>1</v>
      </c>
      <c r="C27" s="228"/>
      <c r="D27" s="117"/>
      <c r="E27" s="118"/>
      <c r="F27" s="126"/>
      <c r="G27" s="127"/>
      <c r="H27" s="119"/>
      <c r="I27" s="119"/>
      <c r="J27" s="115"/>
      <c r="K27" s="80"/>
      <c r="L27" s="120"/>
      <c r="M27" s="8"/>
      <c r="N27" s="115"/>
      <c r="O27" s="78"/>
      <c r="P27" s="121"/>
      <c r="Q27" s="115"/>
      <c r="R27" s="122"/>
      <c r="S27" s="122"/>
      <c r="T27" s="122"/>
      <c r="U27" s="122"/>
      <c r="V27" s="122"/>
      <c r="W27" s="122"/>
      <c r="X27" s="128"/>
      <c r="Y27" s="128"/>
      <c r="Z27" s="128"/>
      <c r="AA27" s="128"/>
      <c r="AB27" s="128"/>
      <c r="AC27" s="122"/>
      <c r="AD27" s="122"/>
      <c r="AE27" s="122"/>
      <c r="AF27" s="122"/>
      <c r="AG27" s="122"/>
      <c r="AH27" s="122"/>
      <c r="AI27" s="122"/>
      <c r="AJ27" s="122"/>
      <c r="AK27" s="122"/>
      <c r="AL27" s="122"/>
      <c r="AM27" s="122"/>
      <c r="AN27" s="64"/>
      <c r="AO27" s="118"/>
      <c r="AP27" s="77"/>
      <c r="AQ27" s="76">
        <f t="shared" si="12"/>
        <v>0</v>
      </c>
    </row>
    <row r="28" spans="2:43" x14ac:dyDescent="0.25">
      <c r="B28" s="182">
        <v>1</v>
      </c>
      <c r="C28" s="228"/>
      <c r="D28" s="117"/>
      <c r="E28" s="118"/>
      <c r="F28" s="126"/>
      <c r="G28" s="127"/>
      <c r="H28" s="119"/>
      <c r="I28" s="119"/>
      <c r="J28" s="115"/>
      <c r="K28" s="80"/>
      <c r="L28" s="120"/>
      <c r="M28" s="8"/>
      <c r="N28" s="115"/>
      <c r="O28" s="78"/>
      <c r="P28" s="121"/>
      <c r="Q28" s="115"/>
      <c r="R28" s="122"/>
      <c r="S28" s="122"/>
      <c r="T28" s="122"/>
      <c r="U28" s="122"/>
      <c r="V28" s="122"/>
      <c r="W28" s="122"/>
      <c r="X28" s="128"/>
      <c r="Y28" s="128"/>
      <c r="Z28" s="128"/>
      <c r="AA28" s="128"/>
      <c r="AB28" s="128"/>
      <c r="AC28" s="122"/>
      <c r="AD28" s="122"/>
      <c r="AE28" s="122"/>
      <c r="AF28" s="122"/>
      <c r="AG28" s="122"/>
      <c r="AH28" s="122"/>
      <c r="AI28" s="122"/>
      <c r="AJ28" s="122"/>
      <c r="AK28" s="122"/>
      <c r="AL28" s="122"/>
      <c r="AM28" s="122"/>
      <c r="AN28" s="64"/>
      <c r="AO28" s="118"/>
      <c r="AP28" s="77"/>
      <c r="AQ28" s="76">
        <f t="shared" si="12"/>
        <v>0</v>
      </c>
    </row>
    <row r="29" spans="2:43" x14ac:dyDescent="0.25">
      <c r="B29" s="182">
        <v>1</v>
      </c>
      <c r="C29" s="228"/>
      <c r="D29" s="117"/>
      <c r="E29" s="118"/>
      <c r="F29" s="126"/>
      <c r="G29" s="127"/>
      <c r="H29" s="119"/>
      <c r="I29" s="119"/>
      <c r="J29" s="115"/>
      <c r="K29" s="80"/>
      <c r="L29" s="120"/>
      <c r="M29" s="8"/>
      <c r="N29" s="115"/>
      <c r="O29" s="78"/>
      <c r="P29" s="121"/>
      <c r="Q29" s="115"/>
      <c r="R29" s="122"/>
      <c r="S29" s="122"/>
      <c r="T29" s="122"/>
      <c r="U29" s="122"/>
      <c r="V29" s="122"/>
      <c r="W29" s="122"/>
      <c r="X29" s="128"/>
      <c r="Y29" s="128"/>
      <c r="Z29" s="128"/>
      <c r="AA29" s="128"/>
      <c r="AB29" s="128"/>
      <c r="AC29" s="122"/>
      <c r="AD29" s="122"/>
      <c r="AE29" s="122"/>
      <c r="AF29" s="122"/>
      <c r="AG29" s="122"/>
      <c r="AH29" s="122"/>
      <c r="AI29" s="122"/>
      <c r="AJ29" s="122"/>
      <c r="AK29" s="122"/>
      <c r="AL29" s="122"/>
      <c r="AM29" s="122"/>
      <c r="AN29" s="64"/>
      <c r="AO29" s="118"/>
      <c r="AP29" s="77"/>
      <c r="AQ29" s="76">
        <f t="shared" si="12"/>
        <v>0</v>
      </c>
    </row>
    <row r="30" spans="2:43" x14ac:dyDescent="0.25">
      <c r="B30" s="182">
        <v>1</v>
      </c>
      <c r="C30" s="228"/>
      <c r="D30" s="117"/>
      <c r="E30" s="118"/>
      <c r="F30" s="126"/>
      <c r="G30" s="127"/>
      <c r="H30" s="119"/>
      <c r="I30" s="119"/>
      <c r="J30" s="115"/>
      <c r="K30" s="80"/>
      <c r="L30" s="120"/>
      <c r="M30" s="8"/>
      <c r="N30" s="115"/>
      <c r="O30" s="78"/>
      <c r="P30" s="121"/>
      <c r="Q30" s="115"/>
      <c r="R30" s="122"/>
      <c r="S30" s="122"/>
      <c r="T30" s="122"/>
      <c r="U30" s="122"/>
      <c r="V30" s="122"/>
      <c r="W30" s="122"/>
      <c r="X30" s="128"/>
      <c r="Y30" s="128"/>
      <c r="Z30" s="128"/>
      <c r="AA30" s="128"/>
      <c r="AB30" s="128"/>
      <c r="AC30" s="122"/>
      <c r="AD30" s="122"/>
      <c r="AE30" s="122"/>
      <c r="AF30" s="122"/>
      <c r="AG30" s="122"/>
      <c r="AH30" s="122"/>
      <c r="AI30" s="122"/>
      <c r="AJ30" s="122"/>
      <c r="AK30" s="122"/>
      <c r="AL30" s="122"/>
      <c r="AM30" s="122"/>
      <c r="AN30" s="64"/>
      <c r="AO30" s="118"/>
      <c r="AP30" s="77"/>
      <c r="AQ30" s="76">
        <f t="shared" si="12"/>
        <v>0</v>
      </c>
    </row>
    <row r="31" spans="2:43" x14ac:dyDescent="0.25">
      <c r="B31" s="182">
        <v>1</v>
      </c>
      <c r="C31" s="228"/>
      <c r="D31" s="117"/>
      <c r="E31" s="118"/>
      <c r="F31" s="126"/>
      <c r="G31" s="127"/>
      <c r="H31" s="119"/>
      <c r="I31" s="119"/>
      <c r="J31" s="115"/>
      <c r="K31" s="80"/>
      <c r="L31" s="120"/>
      <c r="M31" s="8"/>
      <c r="N31" s="115"/>
      <c r="O31" s="78"/>
      <c r="P31" s="121"/>
      <c r="Q31" s="115"/>
      <c r="R31" s="122"/>
      <c r="S31" s="122"/>
      <c r="T31" s="122"/>
      <c r="U31" s="122"/>
      <c r="V31" s="122"/>
      <c r="W31" s="122"/>
      <c r="X31" s="128"/>
      <c r="Y31" s="128"/>
      <c r="Z31" s="128"/>
      <c r="AA31" s="128"/>
      <c r="AB31" s="128"/>
      <c r="AC31" s="122"/>
      <c r="AD31" s="122"/>
      <c r="AE31" s="122"/>
      <c r="AF31" s="122"/>
      <c r="AG31" s="122"/>
      <c r="AH31" s="122"/>
      <c r="AI31" s="122"/>
      <c r="AJ31" s="122"/>
      <c r="AK31" s="122"/>
      <c r="AL31" s="122"/>
      <c r="AM31" s="122"/>
      <c r="AN31" s="64"/>
      <c r="AO31" s="118"/>
      <c r="AP31" s="77"/>
      <c r="AQ31" s="76">
        <f t="shared" si="12"/>
        <v>0</v>
      </c>
    </row>
    <row r="32" spans="2:43" x14ac:dyDescent="0.25">
      <c r="B32" s="182">
        <v>1</v>
      </c>
      <c r="C32" s="228"/>
      <c r="D32" s="117"/>
      <c r="E32" s="118"/>
      <c r="F32" s="126"/>
      <c r="G32" s="127"/>
      <c r="H32" s="119"/>
      <c r="I32" s="119"/>
      <c r="J32" s="115"/>
      <c r="K32" s="80"/>
      <c r="L32" s="120"/>
      <c r="M32" s="8"/>
      <c r="N32" s="115"/>
      <c r="O32" s="78"/>
      <c r="P32" s="121"/>
      <c r="Q32" s="115"/>
      <c r="R32" s="122"/>
      <c r="S32" s="122"/>
      <c r="T32" s="122"/>
      <c r="U32" s="122"/>
      <c r="V32" s="122"/>
      <c r="W32" s="122"/>
      <c r="X32" s="128"/>
      <c r="Y32" s="128"/>
      <c r="Z32" s="128"/>
      <c r="AA32" s="128"/>
      <c r="AB32" s="128"/>
      <c r="AC32" s="122"/>
      <c r="AD32" s="122"/>
      <c r="AE32" s="122"/>
      <c r="AF32" s="122"/>
      <c r="AG32" s="122"/>
      <c r="AH32" s="122"/>
      <c r="AI32" s="122"/>
      <c r="AJ32" s="122"/>
      <c r="AK32" s="122"/>
      <c r="AL32" s="122"/>
      <c r="AM32" s="122"/>
      <c r="AN32" s="64"/>
      <c r="AO32" s="118"/>
      <c r="AP32" s="77"/>
      <c r="AQ32" s="76">
        <f t="shared" si="12"/>
        <v>0</v>
      </c>
    </row>
    <row r="33" spans="2:43" x14ac:dyDescent="0.25">
      <c r="B33" s="182">
        <v>1</v>
      </c>
      <c r="C33" s="228"/>
      <c r="D33" s="117"/>
      <c r="E33" s="118"/>
      <c r="F33" s="126"/>
      <c r="G33" s="127"/>
      <c r="H33" s="119"/>
      <c r="I33" s="119"/>
      <c r="J33" s="115"/>
      <c r="K33" s="80"/>
      <c r="L33" s="120"/>
      <c r="M33" s="8"/>
      <c r="N33" s="115"/>
      <c r="O33" s="78"/>
      <c r="P33" s="121"/>
      <c r="Q33" s="115"/>
      <c r="R33" s="122"/>
      <c r="S33" s="122"/>
      <c r="T33" s="122"/>
      <c r="U33" s="122"/>
      <c r="V33" s="122"/>
      <c r="W33" s="122"/>
      <c r="X33" s="128"/>
      <c r="Y33" s="128"/>
      <c r="Z33" s="128"/>
      <c r="AA33" s="128"/>
      <c r="AB33" s="128"/>
      <c r="AC33" s="122"/>
      <c r="AD33" s="122"/>
      <c r="AE33" s="122"/>
      <c r="AF33" s="122"/>
      <c r="AG33" s="122"/>
      <c r="AH33" s="122"/>
      <c r="AI33" s="122"/>
      <c r="AJ33" s="122"/>
      <c r="AK33" s="122"/>
      <c r="AL33" s="122"/>
      <c r="AM33" s="122"/>
      <c r="AN33" s="64"/>
      <c r="AO33" s="118"/>
      <c r="AP33" s="77"/>
      <c r="AQ33" s="76">
        <f t="shared" si="12"/>
        <v>0</v>
      </c>
    </row>
    <row r="34" spans="2:43" x14ac:dyDescent="0.25">
      <c r="B34" s="182">
        <v>1</v>
      </c>
      <c r="C34" s="228"/>
      <c r="D34" s="117"/>
      <c r="E34" s="118"/>
      <c r="F34" s="126"/>
      <c r="G34" s="127"/>
      <c r="H34" s="119"/>
      <c r="I34" s="119"/>
      <c r="J34" s="115"/>
      <c r="K34" s="80"/>
      <c r="L34" s="120"/>
      <c r="M34" s="8"/>
      <c r="N34" s="115"/>
      <c r="O34" s="78"/>
      <c r="P34" s="121"/>
      <c r="Q34" s="115"/>
      <c r="R34" s="122"/>
      <c r="S34" s="122"/>
      <c r="T34" s="122"/>
      <c r="U34" s="122"/>
      <c r="V34" s="122"/>
      <c r="W34" s="122"/>
      <c r="X34" s="128"/>
      <c r="Y34" s="128"/>
      <c r="Z34" s="128"/>
      <c r="AA34" s="128"/>
      <c r="AB34" s="128"/>
      <c r="AC34" s="122"/>
      <c r="AD34" s="122"/>
      <c r="AE34" s="122"/>
      <c r="AF34" s="122"/>
      <c r="AG34" s="122"/>
      <c r="AH34" s="122"/>
      <c r="AI34" s="122"/>
      <c r="AJ34" s="122"/>
      <c r="AK34" s="122"/>
      <c r="AL34" s="122"/>
      <c r="AM34" s="122"/>
      <c r="AN34" s="64"/>
      <c r="AO34" s="118"/>
      <c r="AP34" s="77"/>
      <c r="AQ34" s="76">
        <f t="shared" si="12"/>
        <v>0</v>
      </c>
    </row>
    <row r="35" spans="2:43" x14ac:dyDescent="0.25">
      <c r="B35" s="182">
        <v>1</v>
      </c>
      <c r="C35" s="228"/>
      <c r="D35" s="117"/>
      <c r="E35" s="118"/>
      <c r="F35" s="126"/>
      <c r="G35" s="127"/>
      <c r="H35" s="119"/>
      <c r="I35" s="119"/>
      <c r="J35" s="115"/>
      <c r="K35" s="80"/>
      <c r="L35" s="120"/>
      <c r="M35" s="8"/>
      <c r="N35" s="115"/>
      <c r="O35" s="78"/>
      <c r="P35" s="121"/>
      <c r="Q35" s="115"/>
      <c r="R35" s="122"/>
      <c r="S35" s="122"/>
      <c r="T35" s="122"/>
      <c r="U35" s="122"/>
      <c r="V35" s="122"/>
      <c r="W35" s="122"/>
      <c r="X35" s="128"/>
      <c r="Y35" s="128"/>
      <c r="Z35" s="128"/>
      <c r="AA35" s="128"/>
      <c r="AB35" s="128"/>
      <c r="AC35" s="122"/>
      <c r="AD35" s="122"/>
      <c r="AE35" s="122"/>
      <c r="AF35" s="122"/>
      <c r="AG35" s="122"/>
      <c r="AH35" s="122"/>
      <c r="AI35" s="122"/>
      <c r="AJ35" s="122"/>
      <c r="AK35" s="122"/>
      <c r="AL35" s="122"/>
      <c r="AM35" s="122"/>
      <c r="AN35" s="64"/>
      <c r="AO35" s="118"/>
      <c r="AP35" s="77"/>
      <c r="AQ35" s="76">
        <f t="shared" si="12"/>
        <v>0</v>
      </c>
    </row>
    <row r="36" spans="2:43" x14ac:dyDescent="0.25">
      <c r="B36" s="182">
        <v>1</v>
      </c>
      <c r="C36" s="228"/>
      <c r="D36" s="117"/>
      <c r="E36" s="118"/>
      <c r="F36" s="126"/>
      <c r="G36" s="127"/>
      <c r="H36" s="119"/>
      <c r="I36" s="119"/>
      <c r="J36" s="115"/>
      <c r="K36" s="80"/>
      <c r="L36" s="120"/>
      <c r="M36" s="8"/>
      <c r="N36" s="115"/>
      <c r="O36" s="78"/>
      <c r="P36" s="121"/>
      <c r="Q36" s="115"/>
      <c r="R36" s="122"/>
      <c r="S36" s="122"/>
      <c r="T36" s="122"/>
      <c r="U36" s="122"/>
      <c r="V36" s="122"/>
      <c r="W36" s="122"/>
      <c r="X36" s="128"/>
      <c r="Y36" s="128"/>
      <c r="Z36" s="128"/>
      <c r="AA36" s="128"/>
      <c r="AB36" s="128"/>
      <c r="AC36" s="122"/>
      <c r="AD36" s="122"/>
      <c r="AE36" s="122"/>
      <c r="AF36" s="122"/>
      <c r="AG36" s="122"/>
      <c r="AH36" s="122"/>
      <c r="AI36" s="122"/>
      <c r="AJ36" s="122"/>
      <c r="AK36" s="122"/>
      <c r="AL36" s="122"/>
      <c r="AM36" s="122"/>
      <c r="AN36" s="64"/>
      <c r="AO36" s="118"/>
      <c r="AP36" s="77"/>
      <c r="AQ36" s="76">
        <f t="shared" si="12"/>
        <v>0</v>
      </c>
    </row>
    <row r="37" spans="2:43" x14ac:dyDescent="0.25">
      <c r="B37" s="182">
        <v>1</v>
      </c>
      <c r="C37" s="228"/>
      <c r="D37" s="117"/>
      <c r="E37" s="118"/>
      <c r="F37" s="126"/>
      <c r="G37" s="127"/>
      <c r="H37" s="119"/>
      <c r="I37" s="119"/>
      <c r="J37" s="115"/>
      <c r="K37" s="80"/>
      <c r="L37" s="120"/>
      <c r="M37" s="8"/>
      <c r="N37" s="115"/>
      <c r="O37" s="78"/>
      <c r="P37" s="121"/>
      <c r="Q37" s="115"/>
      <c r="R37" s="122"/>
      <c r="S37" s="122"/>
      <c r="T37" s="122"/>
      <c r="U37" s="122"/>
      <c r="V37" s="122"/>
      <c r="W37" s="122"/>
      <c r="X37" s="128"/>
      <c r="Y37" s="128"/>
      <c r="Z37" s="128"/>
      <c r="AA37" s="128"/>
      <c r="AB37" s="128"/>
      <c r="AC37" s="122"/>
      <c r="AD37" s="122"/>
      <c r="AE37" s="122"/>
      <c r="AF37" s="122"/>
      <c r="AG37" s="122"/>
      <c r="AH37" s="122"/>
      <c r="AI37" s="122"/>
      <c r="AJ37" s="122"/>
      <c r="AK37" s="122"/>
      <c r="AL37" s="122"/>
      <c r="AM37" s="122"/>
      <c r="AN37" s="64"/>
      <c r="AO37" s="118"/>
      <c r="AP37" s="77"/>
      <c r="AQ37" s="76">
        <f t="shared" si="12"/>
        <v>0</v>
      </c>
    </row>
    <row r="38" spans="2:43" x14ac:dyDescent="0.25">
      <c r="B38" s="182">
        <v>1</v>
      </c>
      <c r="C38" s="228"/>
      <c r="D38" s="117"/>
      <c r="E38" s="118"/>
      <c r="F38" s="126"/>
      <c r="G38" s="127"/>
      <c r="H38" s="119"/>
      <c r="I38" s="119"/>
      <c r="J38" s="115"/>
      <c r="K38" s="80"/>
      <c r="L38" s="120"/>
      <c r="M38" s="8"/>
      <c r="N38" s="115"/>
      <c r="O38" s="78"/>
      <c r="P38" s="121"/>
      <c r="Q38" s="115"/>
      <c r="R38" s="122"/>
      <c r="S38" s="122"/>
      <c r="T38" s="122"/>
      <c r="U38" s="122"/>
      <c r="V38" s="122"/>
      <c r="W38" s="122"/>
      <c r="X38" s="128"/>
      <c r="Y38" s="128"/>
      <c r="Z38" s="128"/>
      <c r="AA38" s="128"/>
      <c r="AB38" s="128"/>
      <c r="AC38" s="122"/>
      <c r="AD38" s="122"/>
      <c r="AE38" s="122"/>
      <c r="AF38" s="122"/>
      <c r="AG38" s="122"/>
      <c r="AH38" s="122"/>
      <c r="AI38" s="122"/>
      <c r="AJ38" s="122"/>
      <c r="AK38" s="122"/>
      <c r="AL38" s="122"/>
      <c r="AM38" s="122"/>
      <c r="AN38" s="64"/>
      <c r="AO38" s="118"/>
      <c r="AP38" s="77"/>
      <c r="AQ38" s="76">
        <f t="shared" si="12"/>
        <v>0</v>
      </c>
    </row>
    <row r="39" spans="2:43" x14ac:dyDescent="0.25">
      <c r="B39" s="182">
        <v>1</v>
      </c>
      <c r="C39" s="228"/>
      <c r="D39" s="117"/>
      <c r="E39" s="118"/>
      <c r="F39" s="126"/>
      <c r="G39" s="127"/>
      <c r="H39" s="119"/>
      <c r="I39" s="119"/>
      <c r="J39" s="115"/>
      <c r="K39" s="80"/>
      <c r="L39" s="120"/>
      <c r="M39" s="8"/>
      <c r="N39" s="115"/>
      <c r="O39" s="78"/>
      <c r="P39" s="121"/>
      <c r="Q39" s="115"/>
      <c r="R39" s="122"/>
      <c r="S39" s="122"/>
      <c r="T39" s="122"/>
      <c r="U39" s="122"/>
      <c r="V39" s="122"/>
      <c r="W39" s="122"/>
      <c r="X39" s="128"/>
      <c r="Y39" s="128"/>
      <c r="Z39" s="128"/>
      <c r="AA39" s="128"/>
      <c r="AB39" s="128"/>
      <c r="AC39" s="122"/>
      <c r="AD39" s="122"/>
      <c r="AE39" s="122"/>
      <c r="AF39" s="122"/>
      <c r="AG39" s="122"/>
      <c r="AH39" s="122"/>
      <c r="AI39" s="122"/>
      <c r="AJ39" s="122"/>
      <c r="AK39" s="122"/>
      <c r="AL39" s="122"/>
      <c r="AM39" s="122"/>
      <c r="AN39" s="64"/>
      <c r="AO39" s="118"/>
      <c r="AP39" s="77"/>
      <c r="AQ39" s="76">
        <f t="shared" si="12"/>
        <v>0</v>
      </c>
    </row>
    <row r="40" spans="2:43" x14ac:dyDescent="0.25">
      <c r="B40" s="182">
        <v>1</v>
      </c>
      <c r="C40" s="228"/>
      <c r="D40" s="117"/>
      <c r="E40" s="118"/>
      <c r="F40" s="126"/>
      <c r="G40" s="127"/>
      <c r="H40" s="119"/>
      <c r="I40" s="119"/>
      <c r="J40" s="115"/>
      <c r="K40" s="80"/>
      <c r="L40" s="120"/>
      <c r="M40" s="8"/>
      <c r="N40" s="115"/>
      <c r="O40" s="78"/>
      <c r="P40" s="121"/>
      <c r="Q40" s="115"/>
      <c r="R40" s="122"/>
      <c r="S40" s="122"/>
      <c r="T40" s="122"/>
      <c r="U40" s="122"/>
      <c r="V40" s="122"/>
      <c r="W40" s="122"/>
      <c r="X40" s="128"/>
      <c r="Y40" s="128"/>
      <c r="Z40" s="128"/>
      <c r="AA40" s="128"/>
      <c r="AB40" s="128"/>
      <c r="AC40" s="122"/>
      <c r="AD40" s="122"/>
      <c r="AE40" s="122"/>
      <c r="AF40" s="122"/>
      <c r="AG40" s="122"/>
      <c r="AH40" s="122"/>
      <c r="AI40" s="122"/>
      <c r="AJ40" s="122"/>
      <c r="AK40" s="122"/>
      <c r="AL40" s="122"/>
      <c r="AM40" s="122"/>
      <c r="AN40" s="64"/>
      <c r="AO40" s="118"/>
      <c r="AP40" s="77"/>
      <c r="AQ40" s="76">
        <f t="shared" si="12"/>
        <v>0</v>
      </c>
    </row>
    <row r="41" spans="2:43" x14ac:dyDescent="0.25">
      <c r="B41" s="182">
        <v>1</v>
      </c>
      <c r="C41" s="228"/>
      <c r="D41" s="117"/>
      <c r="E41" s="118"/>
      <c r="F41" s="126"/>
      <c r="G41" s="127"/>
      <c r="H41" s="119"/>
      <c r="I41" s="119"/>
      <c r="J41" s="115"/>
      <c r="K41" s="80"/>
      <c r="L41" s="120"/>
      <c r="M41" s="8"/>
      <c r="N41" s="115"/>
      <c r="O41" s="78"/>
      <c r="P41" s="121"/>
      <c r="Q41" s="115"/>
      <c r="R41" s="122"/>
      <c r="S41" s="122"/>
      <c r="T41" s="122"/>
      <c r="U41" s="122"/>
      <c r="V41" s="122"/>
      <c r="W41" s="122"/>
      <c r="X41" s="128"/>
      <c r="Y41" s="128"/>
      <c r="Z41" s="128"/>
      <c r="AA41" s="128"/>
      <c r="AB41" s="128"/>
      <c r="AC41" s="122"/>
      <c r="AD41" s="122"/>
      <c r="AE41" s="122"/>
      <c r="AF41" s="122"/>
      <c r="AG41" s="122"/>
      <c r="AH41" s="122"/>
      <c r="AI41" s="122"/>
      <c r="AJ41" s="122"/>
      <c r="AK41" s="122"/>
      <c r="AL41" s="122"/>
      <c r="AM41" s="122"/>
      <c r="AN41" s="64"/>
      <c r="AO41" s="118"/>
      <c r="AP41" s="77"/>
      <c r="AQ41" s="76">
        <f t="shared" si="12"/>
        <v>0</v>
      </c>
    </row>
    <row r="42" spans="2:43" x14ac:dyDescent="0.25">
      <c r="B42" s="182"/>
      <c r="C42" s="116"/>
      <c r="D42" s="117"/>
      <c r="E42" s="118"/>
      <c r="F42" s="126"/>
      <c r="G42" s="127"/>
      <c r="H42" s="119"/>
      <c r="I42" s="119"/>
      <c r="J42" s="115"/>
      <c r="K42" s="80"/>
      <c r="L42" s="120"/>
      <c r="M42" s="8"/>
      <c r="N42" s="115"/>
      <c r="O42" s="78"/>
      <c r="P42" s="121"/>
      <c r="Q42" s="115"/>
      <c r="R42" s="122"/>
      <c r="S42" s="122"/>
      <c r="T42" s="122"/>
      <c r="U42" s="122"/>
      <c r="V42" s="122"/>
      <c r="W42" s="122"/>
      <c r="X42" s="128"/>
      <c r="Y42" s="128"/>
      <c r="Z42" s="128"/>
      <c r="AA42" s="128"/>
      <c r="AB42" s="128"/>
      <c r="AC42" s="122"/>
      <c r="AD42" s="122"/>
      <c r="AE42" s="122"/>
      <c r="AF42" s="122"/>
      <c r="AG42" s="122"/>
      <c r="AH42" s="122"/>
      <c r="AI42" s="122"/>
      <c r="AJ42" s="122"/>
      <c r="AK42" s="122"/>
      <c r="AL42" s="122"/>
      <c r="AM42" s="122"/>
      <c r="AN42" s="64"/>
      <c r="AO42" s="118"/>
      <c r="AP42" s="77"/>
      <c r="AQ42" s="76">
        <f t="shared" si="12"/>
        <v>0</v>
      </c>
    </row>
    <row r="43" spans="2:43" x14ac:dyDescent="0.25">
      <c r="B43" s="182"/>
      <c r="C43" s="116"/>
      <c r="D43" s="117"/>
      <c r="E43" s="118"/>
      <c r="F43" s="126"/>
      <c r="G43" s="127"/>
      <c r="H43" s="119"/>
      <c r="I43" s="119"/>
      <c r="J43" s="115"/>
      <c r="K43" s="80"/>
      <c r="L43" s="120"/>
      <c r="M43" s="8"/>
      <c r="N43" s="115"/>
      <c r="O43" s="78"/>
      <c r="P43" s="121"/>
      <c r="Q43" s="115"/>
      <c r="R43" s="122"/>
      <c r="S43" s="122"/>
      <c r="T43" s="122"/>
      <c r="U43" s="122"/>
      <c r="V43" s="122"/>
      <c r="W43" s="122"/>
      <c r="X43" s="128"/>
      <c r="Y43" s="128"/>
      <c r="Z43" s="128"/>
      <c r="AA43" s="128"/>
      <c r="AB43" s="128"/>
      <c r="AC43" s="122"/>
      <c r="AD43" s="122"/>
      <c r="AE43" s="122"/>
      <c r="AF43" s="122"/>
      <c r="AG43" s="122"/>
      <c r="AH43" s="122"/>
      <c r="AI43" s="122"/>
      <c r="AJ43" s="122"/>
      <c r="AK43" s="122"/>
      <c r="AL43" s="122"/>
      <c r="AM43" s="122"/>
      <c r="AN43" s="64"/>
      <c r="AO43" s="118"/>
      <c r="AP43" s="77"/>
      <c r="AQ43" s="76">
        <f t="shared" si="12"/>
        <v>0</v>
      </c>
    </row>
    <row r="44" spans="2:43" x14ac:dyDescent="0.25">
      <c r="B44" s="182"/>
      <c r="C44" s="116"/>
      <c r="D44" s="117"/>
      <c r="E44" s="118"/>
      <c r="F44" s="126"/>
      <c r="G44" s="127"/>
      <c r="H44" s="119"/>
      <c r="I44" s="119"/>
      <c r="J44" s="115"/>
      <c r="K44" s="80"/>
      <c r="L44" s="120"/>
      <c r="M44" s="8"/>
      <c r="N44" s="115"/>
      <c r="O44" s="78"/>
      <c r="P44" s="121"/>
      <c r="Q44" s="115"/>
      <c r="R44" s="122"/>
      <c r="S44" s="122"/>
      <c r="T44" s="122"/>
      <c r="U44" s="122"/>
      <c r="V44" s="122"/>
      <c r="W44" s="122"/>
      <c r="X44" s="128"/>
      <c r="Y44" s="128"/>
      <c r="Z44" s="128"/>
      <c r="AA44" s="128"/>
      <c r="AB44" s="128"/>
      <c r="AC44" s="122"/>
      <c r="AD44" s="122"/>
      <c r="AE44" s="122"/>
      <c r="AF44" s="122"/>
      <c r="AG44" s="122"/>
      <c r="AH44" s="122"/>
      <c r="AI44" s="122"/>
      <c r="AJ44" s="122"/>
      <c r="AK44" s="122"/>
      <c r="AL44" s="122"/>
      <c r="AM44" s="122"/>
      <c r="AN44" s="64"/>
      <c r="AO44" s="118"/>
      <c r="AP44" s="77"/>
      <c r="AQ44" s="76">
        <f t="shared" si="12"/>
        <v>0</v>
      </c>
    </row>
    <row r="45" spans="2:43" x14ac:dyDescent="0.25">
      <c r="B45" s="182"/>
      <c r="C45" s="116"/>
      <c r="D45" s="117"/>
      <c r="E45" s="118"/>
      <c r="F45" s="126"/>
      <c r="G45" s="127"/>
      <c r="H45" s="119"/>
      <c r="I45" s="119"/>
      <c r="J45" s="115"/>
      <c r="K45" s="80"/>
      <c r="L45" s="120"/>
      <c r="M45" s="8"/>
      <c r="N45" s="115"/>
      <c r="O45" s="78"/>
      <c r="P45" s="121"/>
      <c r="Q45" s="115"/>
      <c r="R45" s="122"/>
      <c r="S45" s="122"/>
      <c r="T45" s="122"/>
      <c r="U45" s="122"/>
      <c r="V45" s="122"/>
      <c r="W45" s="122"/>
      <c r="X45" s="128"/>
      <c r="Y45" s="128"/>
      <c r="Z45" s="128"/>
      <c r="AA45" s="128"/>
      <c r="AB45" s="128"/>
      <c r="AC45" s="122"/>
      <c r="AD45" s="122"/>
      <c r="AE45" s="122"/>
      <c r="AF45" s="122"/>
      <c r="AG45" s="122"/>
      <c r="AH45" s="122"/>
      <c r="AI45" s="122"/>
      <c r="AJ45" s="122"/>
      <c r="AK45" s="122"/>
      <c r="AL45" s="122"/>
      <c r="AM45" s="122"/>
      <c r="AN45" s="64"/>
      <c r="AO45" s="118"/>
      <c r="AP45" s="77"/>
      <c r="AQ45" s="76">
        <f t="shared" si="12"/>
        <v>0</v>
      </c>
    </row>
    <row r="46" spans="2:43" x14ac:dyDescent="0.25">
      <c r="B46" s="182"/>
      <c r="C46" s="116"/>
      <c r="D46" s="117"/>
      <c r="E46" s="118"/>
      <c r="F46" s="126"/>
      <c r="G46" s="127"/>
      <c r="H46" s="119"/>
      <c r="I46" s="119"/>
      <c r="J46" s="115"/>
      <c r="K46" s="80"/>
      <c r="L46" s="120"/>
      <c r="M46" s="8"/>
      <c r="N46" s="115"/>
      <c r="O46" s="78"/>
      <c r="P46" s="121"/>
      <c r="Q46" s="115"/>
      <c r="R46" s="122"/>
      <c r="S46" s="122"/>
      <c r="T46" s="122"/>
      <c r="U46" s="122"/>
      <c r="V46" s="122"/>
      <c r="W46" s="122"/>
      <c r="X46" s="128"/>
      <c r="Y46" s="128"/>
      <c r="Z46" s="128"/>
      <c r="AA46" s="128"/>
      <c r="AB46" s="128"/>
      <c r="AC46" s="122"/>
      <c r="AD46" s="122"/>
      <c r="AE46" s="122"/>
      <c r="AF46" s="122"/>
      <c r="AG46" s="122"/>
      <c r="AH46" s="122"/>
      <c r="AI46" s="122"/>
      <c r="AJ46" s="122"/>
      <c r="AK46" s="122"/>
      <c r="AL46" s="122"/>
      <c r="AM46" s="122"/>
      <c r="AN46" s="64"/>
      <c r="AO46" s="118"/>
      <c r="AP46" s="77"/>
      <c r="AQ46" s="76">
        <f t="shared" si="12"/>
        <v>0</v>
      </c>
    </row>
    <row r="47" spans="2:43" x14ac:dyDescent="0.25">
      <c r="B47" s="182"/>
      <c r="C47" s="116"/>
      <c r="D47" s="117"/>
      <c r="E47" s="118"/>
      <c r="F47" s="126"/>
      <c r="G47" s="127"/>
      <c r="H47" s="119"/>
      <c r="I47" s="119"/>
      <c r="J47" s="115"/>
      <c r="K47" s="80"/>
      <c r="L47" s="120"/>
      <c r="M47" s="8"/>
      <c r="N47" s="115"/>
      <c r="O47" s="78"/>
      <c r="P47" s="121"/>
      <c r="Q47" s="115"/>
      <c r="R47" s="122"/>
      <c r="S47" s="122"/>
      <c r="T47" s="122"/>
      <c r="U47" s="122"/>
      <c r="V47" s="122"/>
      <c r="W47" s="122"/>
      <c r="X47" s="128"/>
      <c r="Y47" s="128"/>
      <c r="Z47" s="128"/>
      <c r="AA47" s="128"/>
      <c r="AB47" s="128"/>
      <c r="AC47" s="122"/>
      <c r="AD47" s="122"/>
      <c r="AE47" s="122"/>
      <c r="AF47" s="122"/>
      <c r="AG47" s="122"/>
      <c r="AH47" s="122"/>
      <c r="AI47" s="122"/>
      <c r="AJ47" s="122"/>
      <c r="AK47" s="122"/>
      <c r="AL47" s="122"/>
      <c r="AM47" s="122"/>
      <c r="AN47" s="64"/>
      <c r="AO47" s="118"/>
      <c r="AP47" s="77"/>
      <c r="AQ47" s="76">
        <f t="shared" si="12"/>
        <v>0</v>
      </c>
    </row>
    <row r="48" spans="2:43" x14ac:dyDescent="0.25">
      <c r="B48" s="182"/>
      <c r="C48" s="116"/>
      <c r="D48" s="117"/>
      <c r="E48" s="118"/>
      <c r="F48" s="126"/>
      <c r="G48" s="127"/>
      <c r="H48" s="119"/>
      <c r="I48" s="119"/>
      <c r="J48" s="115"/>
      <c r="K48" s="80"/>
      <c r="L48" s="120"/>
      <c r="M48" s="8"/>
      <c r="N48" s="115"/>
      <c r="O48" s="78"/>
      <c r="P48" s="121"/>
      <c r="Q48" s="115"/>
      <c r="R48" s="122"/>
      <c r="S48" s="122"/>
      <c r="T48" s="122"/>
      <c r="U48" s="122"/>
      <c r="V48" s="122"/>
      <c r="W48" s="122"/>
      <c r="X48" s="128"/>
      <c r="Y48" s="128"/>
      <c r="Z48" s="128"/>
      <c r="AA48" s="128"/>
      <c r="AB48" s="128"/>
      <c r="AC48" s="122"/>
      <c r="AD48" s="122"/>
      <c r="AE48" s="122"/>
      <c r="AF48" s="122"/>
      <c r="AG48" s="122"/>
      <c r="AH48" s="122"/>
      <c r="AI48" s="122"/>
      <c r="AJ48" s="122"/>
      <c r="AK48" s="122"/>
      <c r="AL48" s="122"/>
      <c r="AM48" s="122"/>
      <c r="AN48" s="64"/>
      <c r="AO48" s="118"/>
      <c r="AP48" s="77"/>
      <c r="AQ48" s="76">
        <f t="shared" si="12"/>
        <v>0</v>
      </c>
    </row>
    <row r="49" spans="2:43" x14ac:dyDescent="0.25">
      <c r="B49" s="182"/>
      <c r="C49" s="116"/>
      <c r="D49" s="117"/>
      <c r="E49" s="118"/>
      <c r="F49" s="126"/>
      <c r="G49" s="127"/>
      <c r="H49" s="119"/>
      <c r="I49" s="119"/>
      <c r="J49" s="115"/>
      <c r="K49" s="80"/>
      <c r="L49" s="120"/>
      <c r="M49" s="8"/>
      <c r="N49" s="115"/>
      <c r="O49" s="78"/>
      <c r="P49" s="121"/>
      <c r="Q49" s="115"/>
      <c r="R49" s="122"/>
      <c r="S49" s="122"/>
      <c r="T49" s="122"/>
      <c r="U49" s="122"/>
      <c r="V49" s="122"/>
      <c r="W49" s="122"/>
      <c r="X49" s="128"/>
      <c r="Y49" s="128"/>
      <c r="Z49" s="128"/>
      <c r="AA49" s="128"/>
      <c r="AB49" s="128"/>
      <c r="AC49" s="122"/>
      <c r="AD49" s="122"/>
      <c r="AE49" s="122"/>
      <c r="AF49" s="122"/>
      <c r="AG49" s="122"/>
      <c r="AH49" s="122"/>
      <c r="AI49" s="122"/>
      <c r="AJ49" s="122"/>
      <c r="AK49" s="122"/>
      <c r="AL49" s="122"/>
      <c r="AM49" s="122"/>
      <c r="AN49" s="64"/>
      <c r="AO49" s="118"/>
      <c r="AP49" s="77"/>
      <c r="AQ49" s="76">
        <f t="shared" si="12"/>
        <v>0</v>
      </c>
    </row>
    <row r="50" spans="2:43" x14ac:dyDescent="0.25">
      <c r="B50" s="182"/>
      <c r="C50" s="116"/>
      <c r="D50" s="117"/>
      <c r="E50" s="118"/>
      <c r="F50" s="126"/>
      <c r="G50" s="127"/>
      <c r="H50" s="119"/>
      <c r="I50" s="119"/>
      <c r="J50" s="115"/>
      <c r="K50" s="80"/>
      <c r="L50" s="120"/>
      <c r="M50" s="8"/>
      <c r="N50" s="115"/>
      <c r="O50" s="78"/>
      <c r="P50" s="121"/>
      <c r="Q50" s="115"/>
      <c r="R50" s="122"/>
      <c r="S50" s="122"/>
      <c r="T50" s="122"/>
      <c r="U50" s="122"/>
      <c r="V50" s="122"/>
      <c r="W50" s="122"/>
      <c r="X50" s="128"/>
      <c r="Y50" s="128"/>
      <c r="Z50" s="128"/>
      <c r="AA50" s="128"/>
      <c r="AB50" s="128"/>
      <c r="AC50" s="122"/>
      <c r="AD50" s="122"/>
      <c r="AE50" s="122"/>
      <c r="AF50" s="122"/>
      <c r="AG50" s="122"/>
      <c r="AH50" s="122"/>
      <c r="AI50" s="122"/>
      <c r="AJ50" s="122"/>
      <c r="AK50" s="122"/>
      <c r="AL50" s="122"/>
      <c r="AM50" s="122"/>
      <c r="AN50" s="64"/>
      <c r="AO50" s="118"/>
      <c r="AP50" s="77"/>
      <c r="AQ50" s="76">
        <f t="shared" si="12"/>
        <v>0</v>
      </c>
    </row>
    <row r="51" spans="2:43" x14ac:dyDescent="0.25">
      <c r="B51" s="182"/>
      <c r="C51" s="116"/>
      <c r="D51" s="117"/>
      <c r="E51" s="118"/>
      <c r="F51" s="126"/>
      <c r="G51" s="127"/>
      <c r="H51" s="119"/>
      <c r="I51" s="119"/>
      <c r="J51" s="115"/>
      <c r="K51" s="80"/>
      <c r="L51" s="120"/>
      <c r="M51" s="8"/>
      <c r="N51" s="115"/>
      <c r="O51" s="78"/>
      <c r="P51" s="121"/>
      <c r="Q51" s="115"/>
      <c r="R51" s="122"/>
      <c r="S51" s="122"/>
      <c r="T51" s="122"/>
      <c r="U51" s="122"/>
      <c r="V51" s="122"/>
      <c r="W51" s="122"/>
      <c r="X51" s="128"/>
      <c r="Y51" s="128"/>
      <c r="Z51" s="128"/>
      <c r="AA51" s="128"/>
      <c r="AB51" s="128"/>
      <c r="AC51" s="122"/>
      <c r="AD51" s="122"/>
      <c r="AE51" s="122"/>
      <c r="AF51" s="122"/>
      <c r="AG51" s="122"/>
      <c r="AH51" s="122"/>
      <c r="AI51" s="122"/>
      <c r="AJ51" s="122"/>
      <c r="AK51" s="122"/>
      <c r="AL51" s="122"/>
      <c r="AM51" s="122"/>
      <c r="AN51" s="64"/>
      <c r="AO51" s="118"/>
      <c r="AP51" s="77"/>
      <c r="AQ51" s="76">
        <f t="shared" si="12"/>
        <v>0</v>
      </c>
    </row>
    <row r="52" spans="2:43" x14ac:dyDescent="0.25">
      <c r="B52" s="182"/>
      <c r="C52" s="116"/>
      <c r="D52" s="117"/>
      <c r="E52" s="118"/>
      <c r="F52" s="126"/>
      <c r="G52" s="127"/>
      <c r="H52" s="119"/>
      <c r="I52" s="119"/>
      <c r="J52" s="115"/>
      <c r="K52" s="80"/>
      <c r="L52" s="120"/>
      <c r="M52" s="8"/>
      <c r="N52" s="115"/>
      <c r="O52" s="78"/>
      <c r="P52" s="121"/>
      <c r="Q52" s="115"/>
      <c r="R52" s="122"/>
      <c r="S52" s="122"/>
      <c r="T52" s="122"/>
      <c r="U52" s="122"/>
      <c r="V52" s="122"/>
      <c r="W52" s="122"/>
      <c r="X52" s="128"/>
      <c r="Y52" s="128"/>
      <c r="Z52" s="128"/>
      <c r="AA52" s="128"/>
      <c r="AB52" s="128"/>
      <c r="AC52" s="122"/>
      <c r="AD52" s="122"/>
      <c r="AE52" s="122"/>
      <c r="AF52" s="122"/>
      <c r="AG52" s="122"/>
      <c r="AH52" s="122"/>
      <c r="AI52" s="122"/>
      <c r="AJ52" s="122"/>
      <c r="AK52" s="122"/>
      <c r="AL52" s="122"/>
      <c r="AM52" s="122"/>
      <c r="AN52" s="64"/>
      <c r="AO52" s="118"/>
      <c r="AP52" s="77"/>
      <c r="AQ52" s="76">
        <f t="shared" si="12"/>
        <v>0</v>
      </c>
    </row>
    <row r="53" spans="2:43" x14ac:dyDescent="0.25">
      <c r="B53" s="182"/>
      <c r="C53" s="116"/>
      <c r="D53" s="117"/>
      <c r="E53" s="118"/>
      <c r="F53" s="126"/>
      <c r="G53" s="127"/>
      <c r="H53" s="119"/>
      <c r="I53" s="119"/>
      <c r="J53" s="115"/>
      <c r="K53" s="80"/>
      <c r="L53" s="120"/>
      <c r="M53" s="8"/>
      <c r="N53" s="115"/>
      <c r="O53" s="78"/>
      <c r="P53" s="121"/>
      <c r="Q53" s="115"/>
      <c r="R53" s="122"/>
      <c r="S53" s="122"/>
      <c r="T53" s="122"/>
      <c r="U53" s="122"/>
      <c r="V53" s="122"/>
      <c r="W53" s="122"/>
      <c r="X53" s="128"/>
      <c r="Y53" s="128"/>
      <c r="Z53" s="128"/>
      <c r="AA53" s="128"/>
      <c r="AB53" s="128"/>
      <c r="AC53" s="122"/>
      <c r="AD53" s="122"/>
      <c r="AE53" s="122"/>
      <c r="AF53" s="122"/>
      <c r="AG53" s="122"/>
      <c r="AH53" s="122"/>
      <c r="AI53" s="122"/>
      <c r="AJ53" s="122"/>
      <c r="AK53" s="122"/>
      <c r="AL53" s="122"/>
      <c r="AM53" s="122"/>
      <c r="AN53" s="64"/>
      <c r="AO53" s="118"/>
      <c r="AP53" s="77"/>
      <c r="AQ53" s="76">
        <f t="shared" si="12"/>
        <v>0</v>
      </c>
    </row>
    <row r="54" spans="2:43" x14ac:dyDescent="0.25">
      <c r="B54" s="182"/>
      <c r="C54" s="116"/>
      <c r="D54" s="117"/>
      <c r="E54" s="118"/>
      <c r="F54" s="126"/>
      <c r="G54" s="127"/>
      <c r="H54" s="119"/>
      <c r="I54" s="119"/>
      <c r="J54" s="115"/>
      <c r="K54" s="80"/>
      <c r="L54" s="120"/>
      <c r="M54" s="8"/>
      <c r="N54" s="115"/>
      <c r="O54" s="78"/>
      <c r="P54" s="121"/>
      <c r="Q54" s="115"/>
      <c r="R54" s="122"/>
      <c r="S54" s="122"/>
      <c r="T54" s="122"/>
      <c r="U54" s="122"/>
      <c r="V54" s="122"/>
      <c r="W54" s="122"/>
      <c r="X54" s="128"/>
      <c r="Y54" s="128"/>
      <c r="Z54" s="128"/>
      <c r="AA54" s="128"/>
      <c r="AB54" s="128"/>
      <c r="AC54" s="122"/>
      <c r="AD54" s="122"/>
      <c r="AE54" s="122"/>
      <c r="AF54" s="122"/>
      <c r="AG54" s="122"/>
      <c r="AH54" s="122"/>
      <c r="AI54" s="122"/>
      <c r="AJ54" s="122"/>
      <c r="AK54" s="122"/>
      <c r="AL54" s="122"/>
      <c r="AM54" s="122"/>
      <c r="AN54" s="64"/>
      <c r="AO54" s="118"/>
      <c r="AP54" s="77"/>
      <c r="AQ54" s="76">
        <f t="shared" si="12"/>
        <v>0</v>
      </c>
    </row>
    <row r="55" spans="2:43" x14ac:dyDescent="0.25">
      <c r="B55" s="182"/>
      <c r="C55" s="116"/>
      <c r="D55" s="117"/>
      <c r="E55" s="118"/>
      <c r="F55" s="126"/>
      <c r="G55" s="127"/>
      <c r="H55" s="119"/>
      <c r="I55" s="119"/>
      <c r="J55" s="115"/>
      <c r="K55" s="80"/>
      <c r="L55" s="120"/>
      <c r="M55" s="8"/>
      <c r="N55" s="115"/>
      <c r="O55" s="78"/>
      <c r="P55" s="121"/>
      <c r="Q55" s="115"/>
      <c r="R55" s="122"/>
      <c r="S55" s="122"/>
      <c r="T55" s="122"/>
      <c r="U55" s="122"/>
      <c r="V55" s="122"/>
      <c r="W55" s="122"/>
      <c r="X55" s="128"/>
      <c r="Y55" s="128"/>
      <c r="Z55" s="128"/>
      <c r="AA55" s="128"/>
      <c r="AB55" s="128"/>
      <c r="AC55" s="122"/>
      <c r="AD55" s="122"/>
      <c r="AE55" s="122"/>
      <c r="AF55" s="122"/>
      <c r="AG55" s="122"/>
      <c r="AH55" s="122"/>
      <c r="AI55" s="122"/>
      <c r="AJ55" s="122"/>
      <c r="AK55" s="122"/>
      <c r="AL55" s="122"/>
      <c r="AM55" s="122"/>
      <c r="AN55" s="64"/>
      <c r="AO55" s="118"/>
      <c r="AP55" s="77"/>
      <c r="AQ55" s="76">
        <f t="shared" si="12"/>
        <v>0</v>
      </c>
    </row>
    <row r="56" spans="2:43" x14ac:dyDescent="0.25">
      <c r="B56" s="182"/>
      <c r="C56" s="116"/>
      <c r="D56" s="117"/>
      <c r="E56" s="118"/>
      <c r="F56" s="126"/>
      <c r="G56" s="127"/>
      <c r="H56" s="119"/>
      <c r="I56" s="119"/>
      <c r="J56" s="115"/>
      <c r="K56" s="80"/>
      <c r="L56" s="120"/>
      <c r="M56" s="8"/>
      <c r="N56" s="115"/>
      <c r="O56" s="78"/>
      <c r="P56" s="121"/>
      <c r="Q56" s="115"/>
      <c r="R56" s="122"/>
      <c r="S56" s="122"/>
      <c r="T56" s="122"/>
      <c r="U56" s="122"/>
      <c r="V56" s="122"/>
      <c r="W56" s="122"/>
      <c r="X56" s="128"/>
      <c r="Y56" s="128"/>
      <c r="Z56" s="128"/>
      <c r="AA56" s="128"/>
      <c r="AB56" s="128"/>
      <c r="AC56" s="122"/>
      <c r="AD56" s="122"/>
      <c r="AE56" s="122"/>
      <c r="AF56" s="122"/>
      <c r="AG56" s="122"/>
      <c r="AH56" s="122"/>
      <c r="AI56" s="122"/>
      <c r="AJ56" s="122"/>
      <c r="AK56" s="122"/>
      <c r="AL56" s="122"/>
      <c r="AM56" s="122"/>
      <c r="AN56" s="64"/>
      <c r="AO56" s="118"/>
      <c r="AP56" s="77"/>
      <c r="AQ56" s="76">
        <f t="shared" si="12"/>
        <v>0</v>
      </c>
    </row>
    <row r="57" spans="2:43" x14ac:dyDescent="0.25">
      <c r="B57" s="182"/>
      <c r="C57" s="116"/>
      <c r="D57" s="117"/>
      <c r="E57" s="118"/>
      <c r="F57" s="126"/>
      <c r="G57" s="127"/>
      <c r="H57" s="119"/>
      <c r="I57" s="119"/>
      <c r="J57" s="115"/>
      <c r="K57" s="80"/>
      <c r="L57" s="120"/>
      <c r="M57" s="8"/>
      <c r="N57" s="115"/>
      <c r="O57" s="78"/>
      <c r="P57" s="121"/>
      <c r="Q57" s="115"/>
      <c r="R57" s="122"/>
      <c r="S57" s="122"/>
      <c r="T57" s="122"/>
      <c r="U57" s="122"/>
      <c r="V57" s="122"/>
      <c r="W57" s="122"/>
      <c r="X57" s="128"/>
      <c r="Y57" s="128"/>
      <c r="Z57" s="128"/>
      <c r="AA57" s="128"/>
      <c r="AB57" s="128"/>
      <c r="AC57" s="122"/>
      <c r="AD57" s="122"/>
      <c r="AE57" s="122"/>
      <c r="AF57" s="122"/>
      <c r="AG57" s="122"/>
      <c r="AH57" s="122"/>
      <c r="AI57" s="122"/>
      <c r="AJ57" s="122"/>
      <c r="AK57" s="122"/>
      <c r="AL57" s="122"/>
      <c r="AM57" s="122"/>
      <c r="AN57" s="64"/>
      <c r="AO57" s="118"/>
      <c r="AP57" s="77"/>
      <c r="AQ57" s="76">
        <f t="shared" si="12"/>
        <v>0</v>
      </c>
    </row>
    <row r="58" spans="2:43" x14ac:dyDescent="0.25">
      <c r="B58" s="182"/>
      <c r="C58" s="116"/>
      <c r="D58" s="117"/>
      <c r="E58" s="118"/>
      <c r="F58" s="126"/>
      <c r="G58" s="127"/>
      <c r="H58" s="119"/>
      <c r="I58" s="119"/>
      <c r="J58" s="115"/>
      <c r="K58" s="80"/>
      <c r="L58" s="120"/>
      <c r="M58" s="8"/>
      <c r="N58" s="115"/>
      <c r="O58" s="78"/>
      <c r="P58" s="121"/>
      <c r="Q58" s="115"/>
      <c r="R58" s="122"/>
      <c r="S58" s="122"/>
      <c r="T58" s="122"/>
      <c r="U58" s="122"/>
      <c r="V58" s="122"/>
      <c r="W58" s="122"/>
      <c r="X58" s="128"/>
      <c r="Y58" s="128"/>
      <c r="Z58" s="128"/>
      <c r="AA58" s="128"/>
      <c r="AB58" s="128"/>
      <c r="AC58" s="122"/>
      <c r="AD58" s="122"/>
      <c r="AE58" s="122"/>
      <c r="AF58" s="122"/>
      <c r="AG58" s="122"/>
      <c r="AH58" s="122"/>
      <c r="AI58" s="122"/>
      <c r="AJ58" s="122"/>
      <c r="AK58" s="122"/>
      <c r="AL58" s="122"/>
      <c r="AM58" s="122"/>
      <c r="AN58" s="64"/>
      <c r="AO58" s="118"/>
      <c r="AP58" s="77"/>
      <c r="AQ58" s="76">
        <f t="shared" si="12"/>
        <v>0</v>
      </c>
    </row>
    <row r="59" spans="2:43" x14ac:dyDescent="0.25">
      <c r="B59" s="182"/>
      <c r="C59" s="116"/>
      <c r="D59" s="117"/>
      <c r="E59" s="118"/>
      <c r="F59" s="126"/>
      <c r="G59" s="127"/>
      <c r="H59" s="119"/>
      <c r="I59" s="119"/>
      <c r="J59" s="115"/>
      <c r="K59" s="80"/>
      <c r="L59" s="120"/>
      <c r="M59" s="8"/>
      <c r="N59" s="115"/>
      <c r="O59" s="78"/>
      <c r="P59" s="121"/>
      <c r="Q59" s="115"/>
      <c r="R59" s="122"/>
      <c r="S59" s="122"/>
      <c r="T59" s="122"/>
      <c r="U59" s="122"/>
      <c r="V59" s="122"/>
      <c r="W59" s="122"/>
      <c r="X59" s="128"/>
      <c r="Y59" s="128"/>
      <c r="Z59" s="128"/>
      <c r="AA59" s="128"/>
      <c r="AB59" s="128"/>
      <c r="AC59" s="122"/>
      <c r="AD59" s="122"/>
      <c r="AE59" s="122"/>
      <c r="AF59" s="122"/>
      <c r="AG59" s="122"/>
      <c r="AH59" s="122"/>
      <c r="AI59" s="122"/>
      <c r="AJ59" s="122"/>
      <c r="AK59" s="122"/>
      <c r="AL59" s="122"/>
      <c r="AM59" s="122"/>
      <c r="AN59" s="64"/>
      <c r="AO59" s="118"/>
      <c r="AP59" s="77"/>
      <c r="AQ59" s="76">
        <f t="shared" si="12"/>
        <v>0</v>
      </c>
    </row>
    <row r="60" spans="2:43" x14ac:dyDescent="0.25">
      <c r="B60" s="182"/>
      <c r="C60" s="116"/>
      <c r="D60" s="117"/>
      <c r="E60" s="118"/>
      <c r="F60" s="126"/>
      <c r="G60" s="127"/>
      <c r="H60" s="119"/>
      <c r="I60" s="119"/>
      <c r="J60" s="115"/>
      <c r="K60" s="80"/>
      <c r="L60" s="120"/>
      <c r="M60" s="8"/>
      <c r="N60" s="115"/>
      <c r="O60" s="78"/>
      <c r="P60" s="121"/>
      <c r="Q60" s="115"/>
      <c r="R60" s="122"/>
      <c r="S60" s="122"/>
      <c r="T60" s="122"/>
      <c r="U60" s="122"/>
      <c r="V60" s="122"/>
      <c r="W60" s="122"/>
      <c r="X60" s="128"/>
      <c r="Y60" s="128"/>
      <c r="Z60" s="128"/>
      <c r="AA60" s="128"/>
      <c r="AB60" s="128"/>
      <c r="AC60" s="122"/>
      <c r="AD60" s="122"/>
      <c r="AE60" s="122"/>
      <c r="AF60" s="122"/>
      <c r="AG60" s="122"/>
      <c r="AH60" s="122"/>
      <c r="AI60" s="122"/>
      <c r="AJ60" s="122"/>
      <c r="AK60" s="122"/>
      <c r="AL60" s="122"/>
      <c r="AM60" s="122"/>
      <c r="AN60" s="64"/>
      <c r="AO60" s="118"/>
      <c r="AP60" s="77"/>
      <c r="AQ60" s="76">
        <f t="shared" si="12"/>
        <v>0</v>
      </c>
    </row>
    <row r="61" spans="2:43" x14ac:dyDescent="0.25">
      <c r="B61" s="182"/>
      <c r="C61" s="116"/>
      <c r="D61" s="117"/>
      <c r="E61" s="118"/>
      <c r="F61" s="126"/>
      <c r="G61" s="127"/>
      <c r="H61" s="119"/>
      <c r="I61" s="119"/>
      <c r="J61" s="115"/>
      <c r="K61" s="80"/>
      <c r="L61" s="120"/>
      <c r="M61" s="8"/>
      <c r="N61" s="115"/>
      <c r="O61" s="78"/>
      <c r="P61" s="121"/>
      <c r="Q61" s="115"/>
      <c r="R61" s="122"/>
      <c r="S61" s="122"/>
      <c r="T61" s="122"/>
      <c r="U61" s="122"/>
      <c r="V61" s="122"/>
      <c r="W61" s="122"/>
      <c r="X61" s="128"/>
      <c r="Y61" s="128"/>
      <c r="Z61" s="128"/>
      <c r="AA61" s="128"/>
      <c r="AB61" s="128"/>
      <c r="AC61" s="122"/>
      <c r="AD61" s="122"/>
      <c r="AE61" s="122"/>
      <c r="AF61" s="122"/>
      <c r="AG61" s="122"/>
      <c r="AH61" s="122"/>
      <c r="AI61" s="122"/>
      <c r="AJ61" s="122"/>
      <c r="AK61" s="122"/>
      <c r="AL61" s="122"/>
      <c r="AM61" s="122"/>
      <c r="AN61" s="64"/>
      <c r="AO61" s="118"/>
      <c r="AP61" s="77"/>
      <c r="AQ61" s="76">
        <f t="shared" si="12"/>
        <v>0</v>
      </c>
    </row>
    <row r="62" spans="2:43" x14ac:dyDescent="0.25">
      <c r="B62" s="182"/>
      <c r="C62" s="116"/>
      <c r="D62" s="117"/>
      <c r="E62" s="118"/>
      <c r="F62" s="126"/>
      <c r="G62" s="127"/>
      <c r="H62" s="119"/>
      <c r="I62" s="119"/>
      <c r="J62" s="115"/>
      <c r="K62" s="80"/>
      <c r="L62" s="120"/>
      <c r="M62" s="8"/>
      <c r="N62" s="115"/>
      <c r="O62" s="78"/>
      <c r="P62" s="121"/>
      <c r="Q62" s="115"/>
      <c r="R62" s="122"/>
      <c r="S62" s="122"/>
      <c r="T62" s="122"/>
      <c r="U62" s="122"/>
      <c r="V62" s="122"/>
      <c r="W62" s="122"/>
      <c r="X62" s="128"/>
      <c r="Y62" s="128"/>
      <c r="Z62" s="128"/>
      <c r="AA62" s="128"/>
      <c r="AB62" s="128"/>
      <c r="AC62" s="122"/>
      <c r="AD62" s="122"/>
      <c r="AE62" s="122"/>
      <c r="AF62" s="122"/>
      <c r="AG62" s="122"/>
      <c r="AH62" s="122"/>
      <c r="AI62" s="122"/>
      <c r="AJ62" s="122"/>
      <c r="AK62" s="122"/>
      <c r="AL62" s="122"/>
      <c r="AM62" s="122"/>
      <c r="AN62" s="64"/>
      <c r="AO62" s="118"/>
      <c r="AP62" s="77"/>
      <c r="AQ62" s="76">
        <f t="shared" si="12"/>
        <v>0</v>
      </c>
    </row>
    <row r="63" spans="2:43" x14ac:dyDescent="0.25">
      <c r="B63" s="182"/>
      <c r="C63" s="116"/>
      <c r="D63" s="117"/>
      <c r="E63" s="118"/>
      <c r="F63" s="126"/>
      <c r="G63" s="127"/>
      <c r="H63" s="119"/>
      <c r="I63" s="119"/>
      <c r="J63" s="115"/>
      <c r="K63" s="80"/>
      <c r="L63" s="120"/>
      <c r="M63" s="8"/>
      <c r="N63" s="115"/>
      <c r="O63" s="78"/>
      <c r="P63" s="121"/>
      <c r="Q63" s="115"/>
      <c r="R63" s="122"/>
      <c r="S63" s="122"/>
      <c r="T63" s="122"/>
      <c r="U63" s="122"/>
      <c r="V63" s="122"/>
      <c r="W63" s="122"/>
      <c r="X63" s="128"/>
      <c r="Y63" s="128"/>
      <c r="Z63" s="128"/>
      <c r="AA63" s="128"/>
      <c r="AB63" s="128"/>
      <c r="AC63" s="122"/>
      <c r="AD63" s="122"/>
      <c r="AE63" s="122"/>
      <c r="AF63" s="122"/>
      <c r="AG63" s="122"/>
      <c r="AH63" s="122"/>
      <c r="AI63" s="122"/>
      <c r="AJ63" s="122"/>
      <c r="AK63" s="122"/>
      <c r="AL63" s="122"/>
      <c r="AM63" s="122"/>
      <c r="AN63" s="64"/>
      <c r="AO63" s="118"/>
      <c r="AP63" s="77"/>
      <c r="AQ63" s="76">
        <f t="shared" si="12"/>
        <v>0</v>
      </c>
    </row>
    <row r="64" spans="2:43" x14ac:dyDescent="0.25">
      <c r="B64" s="182"/>
      <c r="C64" s="116"/>
      <c r="D64" s="117"/>
      <c r="E64" s="118"/>
      <c r="F64" s="126"/>
      <c r="G64" s="127"/>
      <c r="H64" s="119"/>
      <c r="I64" s="119"/>
      <c r="J64" s="115"/>
      <c r="K64" s="80"/>
      <c r="L64" s="120"/>
      <c r="M64" s="8"/>
      <c r="N64" s="115"/>
      <c r="O64" s="78"/>
      <c r="P64" s="121"/>
      <c r="Q64" s="115"/>
      <c r="R64" s="122"/>
      <c r="S64" s="122"/>
      <c r="T64" s="122"/>
      <c r="U64" s="122"/>
      <c r="V64" s="122"/>
      <c r="W64" s="122"/>
      <c r="X64" s="128"/>
      <c r="Y64" s="128"/>
      <c r="Z64" s="128"/>
      <c r="AA64" s="128"/>
      <c r="AB64" s="128"/>
      <c r="AC64" s="122"/>
      <c r="AD64" s="122"/>
      <c r="AE64" s="122"/>
      <c r="AF64" s="122"/>
      <c r="AG64" s="122"/>
      <c r="AH64" s="122"/>
      <c r="AI64" s="122"/>
      <c r="AJ64" s="122"/>
      <c r="AK64" s="122"/>
      <c r="AL64" s="122"/>
      <c r="AM64" s="122"/>
      <c r="AN64" s="64"/>
      <c r="AO64" s="118"/>
      <c r="AP64" s="77"/>
      <c r="AQ64" s="76">
        <f t="shared" si="12"/>
        <v>0</v>
      </c>
    </row>
    <row r="65" spans="2:43" x14ac:dyDescent="0.25">
      <c r="B65" s="182"/>
      <c r="C65" s="116"/>
      <c r="D65" s="117"/>
      <c r="E65" s="118"/>
      <c r="F65" s="126"/>
      <c r="G65" s="127"/>
      <c r="H65" s="119"/>
      <c r="I65" s="119"/>
      <c r="J65" s="115"/>
      <c r="K65" s="80"/>
      <c r="L65" s="120"/>
      <c r="M65" s="8"/>
      <c r="N65" s="115"/>
      <c r="O65" s="78"/>
      <c r="P65" s="121"/>
      <c r="Q65" s="115"/>
      <c r="R65" s="122"/>
      <c r="S65" s="122"/>
      <c r="T65" s="122"/>
      <c r="U65" s="122"/>
      <c r="V65" s="122"/>
      <c r="W65" s="122"/>
      <c r="X65" s="128"/>
      <c r="Y65" s="128"/>
      <c r="Z65" s="128"/>
      <c r="AA65" s="128"/>
      <c r="AB65" s="128"/>
      <c r="AC65" s="122"/>
      <c r="AD65" s="122"/>
      <c r="AE65" s="122"/>
      <c r="AF65" s="122"/>
      <c r="AG65" s="122"/>
      <c r="AH65" s="122"/>
      <c r="AI65" s="122"/>
      <c r="AJ65" s="122"/>
      <c r="AK65" s="122"/>
      <c r="AL65" s="122"/>
      <c r="AM65" s="122"/>
      <c r="AN65" s="64"/>
      <c r="AO65" s="118"/>
      <c r="AP65" s="77"/>
      <c r="AQ65" s="76">
        <f t="shared" si="12"/>
        <v>0</v>
      </c>
    </row>
    <row r="66" spans="2:43" x14ac:dyDescent="0.25">
      <c r="B66" s="182"/>
      <c r="C66" s="116"/>
      <c r="D66" s="117"/>
      <c r="E66" s="118"/>
      <c r="F66" s="126"/>
      <c r="G66" s="127"/>
      <c r="H66" s="119"/>
      <c r="I66" s="119"/>
      <c r="J66" s="115"/>
      <c r="K66" s="80"/>
      <c r="L66" s="120"/>
      <c r="M66" s="8"/>
      <c r="N66" s="115"/>
      <c r="O66" s="78"/>
      <c r="P66" s="121"/>
      <c r="Q66" s="115"/>
      <c r="R66" s="122"/>
      <c r="S66" s="122"/>
      <c r="T66" s="122"/>
      <c r="U66" s="122"/>
      <c r="V66" s="122"/>
      <c r="W66" s="122"/>
      <c r="X66" s="128"/>
      <c r="Y66" s="128"/>
      <c r="Z66" s="128"/>
      <c r="AA66" s="128"/>
      <c r="AB66" s="128"/>
      <c r="AC66" s="122"/>
      <c r="AD66" s="122"/>
      <c r="AE66" s="122"/>
      <c r="AF66" s="122"/>
      <c r="AG66" s="122"/>
      <c r="AH66" s="122"/>
      <c r="AI66" s="122"/>
      <c r="AJ66" s="122"/>
      <c r="AK66" s="122"/>
      <c r="AL66" s="122"/>
      <c r="AM66" s="122"/>
      <c r="AN66" s="64"/>
      <c r="AO66" s="118"/>
      <c r="AP66" s="77"/>
      <c r="AQ66" s="76">
        <f t="shared" si="12"/>
        <v>0</v>
      </c>
    </row>
    <row r="67" spans="2:43" x14ac:dyDescent="0.25">
      <c r="B67" s="182"/>
      <c r="C67" s="116"/>
      <c r="D67" s="117"/>
      <c r="E67" s="118"/>
      <c r="F67" s="126"/>
      <c r="G67" s="127"/>
      <c r="H67" s="119"/>
      <c r="I67" s="119"/>
      <c r="J67" s="115"/>
      <c r="K67" s="80"/>
      <c r="L67" s="120"/>
      <c r="M67" s="8"/>
      <c r="N67" s="115"/>
      <c r="O67" s="78"/>
      <c r="P67" s="121"/>
      <c r="Q67" s="115"/>
      <c r="R67" s="122"/>
      <c r="S67" s="122"/>
      <c r="T67" s="122"/>
      <c r="U67" s="122"/>
      <c r="V67" s="122"/>
      <c r="W67" s="122"/>
      <c r="X67" s="128"/>
      <c r="Y67" s="128"/>
      <c r="Z67" s="128"/>
      <c r="AA67" s="128"/>
      <c r="AB67" s="128"/>
      <c r="AC67" s="122"/>
      <c r="AD67" s="122"/>
      <c r="AE67" s="122"/>
      <c r="AF67" s="122"/>
      <c r="AG67" s="122"/>
      <c r="AH67" s="122"/>
      <c r="AI67" s="122"/>
      <c r="AJ67" s="122"/>
      <c r="AK67" s="122"/>
      <c r="AL67" s="122"/>
      <c r="AM67" s="122"/>
      <c r="AN67" s="64"/>
      <c r="AO67" s="118"/>
      <c r="AP67" s="77"/>
      <c r="AQ67" s="76">
        <f t="shared" si="12"/>
        <v>0</v>
      </c>
    </row>
    <row r="68" spans="2:43" x14ac:dyDescent="0.25">
      <c r="B68" s="182"/>
      <c r="C68" s="116"/>
      <c r="D68" s="117"/>
      <c r="E68" s="118"/>
      <c r="F68" s="126"/>
      <c r="G68" s="127"/>
      <c r="H68" s="119"/>
      <c r="I68" s="119"/>
      <c r="J68" s="115"/>
      <c r="K68" s="80"/>
      <c r="L68" s="120"/>
      <c r="M68" s="8"/>
      <c r="N68" s="115"/>
      <c r="O68" s="78"/>
      <c r="P68" s="121"/>
      <c r="Q68" s="115"/>
      <c r="R68" s="122"/>
      <c r="S68" s="122"/>
      <c r="T68" s="122"/>
      <c r="U68" s="122"/>
      <c r="V68" s="122"/>
      <c r="W68" s="122"/>
      <c r="X68" s="128"/>
      <c r="Y68" s="128"/>
      <c r="Z68" s="128"/>
      <c r="AA68" s="128"/>
      <c r="AB68" s="128"/>
      <c r="AC68" s="122"/>
      <c r="AD68" s="122"/>
      <c r="AE68" s="122"/>
      <c r="AF68" s="122"/>
      <c r="AG68" s="122"/>
      <c r="AH68" s="122"/>
      <c r="AI68" s="122"/>
      <c r="AJ68" s="122"/>
      <c r="AK68" s="122"/>
      <c r="AL68" s="122"/>
      <c r="AM68" s="122"/>
      <c r="AN68" s="64"/>
      <c r="AO68" s="118"/>
      <c r="AP68" s="77"/>
      <c r="AQ68" s="76">
        <f t="shared" si="12"/>
        <v>0</v>
      </c>
    </row>
    <row r="69" spans="2:43" x14ac:dyDescent="0.25">
      <c r="B69" s="182"/>
      <c r="C69" s="116"/>
      <c r="D69" s="117"/>
      <c r="E69" s="118"/>
      <c r="F69" s="126"/>
      <c r="G69" s="127"/>
      <c r="H69" s="119"/>
      <c r="I69" s="119"/>
      <c r="J69" s="115"/>
      <c r="K69" s="80"/>
      <c r="L69" s="120"/>
      <c r="M69" s="8"/>
      <c r="N69" s="115"/>
      <c r="O69" s="78"/>
      <c r="P69" s="121"/>
      <c r="Q69" s="115"/>
      <c r="R69" s="122"/>
      <c r="S69" s="122"/>
      <c r="T69" s="122"/>
      <c r="U69" s="122"/>
      <c r="V69" s="122"/>
      <c r="W69" s="122"/>
      <c r="X69" s="128"/>
      <c r="Y69" s="128"/>
      <c r="Z69" s="128"/>
      <c r="AA69" s="128"/>
      <c r="AB69" s="128"/>
      <c r="AC69" s="122"/>
      <c r="AD69" s="122"/>
      <c r="AE69" s="122"/>
      <c r="AF69" s="122"/>
      <c r="AG69" s="122"/>
      <c r="AH69" s="122"/>
      <c r="AI69" s="122"/>
      <c r="AJ69" s="122"/>
      <c r="AK69" s="122"/>
      <c r="AL69" s="122"/>
      <c r="AM69" s="122"/>
      <c r="AN69" s="64"/>
      <c r="AO69" s="118"/>
      <c r="AP69" s="77"/>
      <c r="AQ69" s="76">
        <f t="shared" si="12"/>
        <v>0</v>
      </c>
    </row>
    <row r="70" spans="2:43" x14ac:dyDescent="0.25">
      <c r="B70" s="182"/>
      <c r="C70" s="116"/>
      <c r="D70" s="117"/>
      <c r="E70" s="118"/>
      <c r="F70" s="126"/>
      <c r="G70" s="127"/>
      <c r="H70" s="119"/>
      <c r="I70" s="119"/>
      <c r="J70" s="115"/>
      <c r="K70" s="80"/>
      <c r="L70" s="120"/>
      <c r="M70" s="8"/>
      <c r="N70" s="115"/>
      <c r="O70" s="78"/>
      <c r="P70" s="121"/>
      <c r="Q70" s="115"/>
      <c r="R70" s="122"/>
      <c r="S70" s="122"/>
      <c r="T70" s="122"/>
      <c r="U70" s="122"/>
      <c r="V70" s="122"/>
      <c r="W70" s="122"/>
      <c r="X70" s="128"/>
      <c r="Y70" s="128"/>
      <c r="Z70" s="128"/>
      <c r="AA70" s="128"/>
      <c r="AB70" s="128"/>
      <c r="AC70" s="122"/>
      <c r="AD70" s="122"/>
      <c r="AE70" s="122"/>
      <c r="AF70" s="122"/>
      <c r="AG70" s="122"/>
      <c r="AH70" s="122"/>
      <c r="AI70" s="122"/>
      <c r="AJ70" s="122"/>
      <c r="AK70" s="122"/>
      <c r="AL70" s="122"/>
      <c r="AM70" s="122"/>
      <c r="AN70" s="64"/>
      <c r="AO70" s="118"/>
      <c r="AP70" s="77"/>
      <c r="AQ70" s="76">
        <f t="shared" si="12"/>
        <v>0</v>
      </c>
    </row>
    <row r="71" spans="2:43" x14ac:dyDescent="0.25">
      <c r="B71" s="182"/>
      <c r="C71" s="116"/>
      <c r="D71" s="117"/>
      <c r="E71" s="118"/>
      <c r="F71" s="126"/>
      <c r="G71" s="127"/>
      <c r="H71" s="119"/>
      <c r="I71" s="119"/>
      <c r="J71" s="115"/>
      <c r="K71" s="80"/>
      <c r="L71" s="120"/>
      <c r="M71" s="8"/>
      <c r="N71" s="115"/>
      <c r="O71" s="78"/>
      <c r="P71" s="121"/>
      <c r="Q71" s="115"/>
      <c r="R71" s="122"/>
      <c r="S71" s="122"/>
      <c r="T71" s="122"/>
      <c r="U71" s="122"/>
      <c r="V71" s="122"/>
      <c r="W71" s="122"/>
      <c r="X71" s="128"/>
      <c r="Y71" s="128"/>
      <c r="Z71" s="128"/>
      <c r="AA71" s="128"/>
      <c r="AB71" s="128"/>
      <c r="AC71" s="122"/>
      <c r="AD71" s="122"/>
      <c r="AE71" s="122"/>
      <c r="AF71" s="122"/>
      <c r="AG71" s="122"/>
      <c r="AH71" s="122"/>
      <c r="AI71" s="122"/>
      <c r="AJ71" s="122"/>
      <c r="AK71" s="122"/>
      <c r="AL71" s="122"/>
      <c r="AM71" s="122"/>
      <c r="AN71" s="64"/>
      <c r="AO71" s="118"/>
      <c r="AP71" s="77"/>
      <c r="AQ71" s="76">
        <f t="shared" si="12"/>
        <v>0</v>
      </c>
    </row>
    <row r="72" spans="2:43" x14ac:dyDescent="0.25">
      <c r="B72" s="182"/>
      <c r="C72" s="116"/>
      <c r="D72" s="117"/>
      <c r="E72" s="118"/>
      <c r="F72" s="126"/>
      <c r="G72" s="127"/>
      <c r="H72" s="119"/>
      <c r="I72" s="119"/>
      <c r="J72" s="115"/>
      <c r="K72" s="80"/>
      <c r="L72" s="120"/>
      <c r="M72" s="8"/>
      <c r="N72" s="115"/>
      <c r="O72" s="78"/>
      <c r="P72" s="121"/>
      <c r="Q72" s="115"/>
      <c r="R72" s="122"/>
      <c r="S72" s="122"/>
      <c r="T72" s="122"/>
      <c r="U72" s="122"/>
      <c r="V72" s="122"/>
      <c r="W72" s="122"/>
      <c r="X72" s="128"/>
      <c r="Y72" s="128"/>
      <c r="Z72" s="128"/>
      <c r="AA72" s="128"/>
      <c r="AB72" s="128"/>
      <c r="AC72" s="122"/>
      <c r="AD72" s="122"/>
      <c r="AE72" s="122"/>
      <c r="AF72" s="122"/>
      <c r="AG72" s="122"/>
      <c r="AH72" s="122"/>
      <c r="AI72" s="122"/>
      <c r="AJ72" s="122"/>
      <c r="AK72" s="122"/>
      <c r="AL72" s="122"/>
      <c r="AM72" s="122"/>
      <c r="AN72" s="64"/>
      <c r="AO72" s="118"/>
      <c r="AP72" s="77"/>
      <c r="AQ72" s="76">
        <f t="shared" si="12"/>
        <v>0</v>
      </c>
    </row>
    <row r="73" spans="2:43" x14ac:dyDescent="0.25">
      <c r="B73" s="182"/>
      <c r="C73" s="116"/>
      <c r="D73" s="117"/>
      <c r="E73" s="118"/>
      <c r="F73" s="126"/>
      <c r="G73" s="127"/>
      <c r="H73" s="119"/>
      <c r="I73" s="119"/>
      <c r="J73" s="115"/>
      <c r="K73" s="80"/>
      <c r="L73" s="120"/>
      <c r="M73" s="8"/>
      <c r="N73" s="115"/>
      <c r="O73" s="78"/>
      <c r="P73" s="121"/>
      <c r="Q73" s="115"/>
      <c r="R73" s="122"/>
      <c r="S73" s="122"/>
      <c r="T73" s="122"/>
      <c r="U73" s="122"/>
      <c r="V73" s="122"/>
      <c r="W73" s="122"/>
      <c r="X73" s="128"/>
      <c r="Y73" s="128"/>
      <c r="Z73" s="128"/>
      <c r="AA73" s="128"/>
      <c r="AB73" s="128"/>
      <c r="AC73" s="122"/>
      <c r="AD73" s="122"/>
      <c r="AE73" s="122"/>
      <c r="AF73" s="122"/>
      <c r="AG73" s="122"/>
      <c r="AH73" s="122"/>
      <c r="AI73" s="122"/>
      <c r="AJ73" s="122"/>
      <c r="AK73" s="122"/>
      <c r="AL73" s="122"/>
      <c r="AM73" s="122"/>
      <c r="AN73" s="64"/>
      <c r="AO73" s="118"/>
      <c r="AP73" s="77"/>
      <c r="AQ73" s="76">
        <f t="shared" si="12"/>
        <v>0</v>
      </c>
    </row>
    <row r="74" spans="2:43" x14ac:dyDescent="0.25">
      <c r="B74" s="182"/>
      <c r="C74" s="116"/>
      <c r="D74" s="117"/>
      <c r="E74" s="118"/>
      <c r="F74" s="126"/>
      <c r="G74" s="127"/>
      <c r="H74" s="119"/>
      <c r="I74" s="119"/>
      <c r="J74" s="115"/>
      <c r="K74" s="80"/>
      <c r="L74" s="120"/>
      <c r="M74" s="8"/>
      <c r="N74" s="115"/>
      <c r="O74" s="78"/>
      <c r="P74" s="121"/>
      <c r="Q74" s="115"/>
      <c r="R74" s="122"/>
      <c r="S74" s="122"/>
      <c r="T74" s="122"/>
      <c r="U74" s="122"/>
      <c r="V74" s="122"/>
      <c r="W74" s="122"/>
      <c r="X74" s="128"/>
      <c r="Y74" s="128"/>
      <c r="Z74" s="128"/>
      <c r="AA74" s="128"/>
      <c r="AB74" s="128"/>
      <c r="AC74" s="122"/>
      <c r="AD74" s="122"/>
      <c r="AE74" s="122"/>
      <c r="AF74" s="122"/>
      <c r="AG74" s="122"/>
      <c r="AH74" s="122"/>
      <c r="AI74" s="122"/>
      <c r="AJ74" s="122"/>
      <c r="AK74" s="122"/>
      <c r="AL74" s="122"/>
      <c r="AM74" s="122"/>
      <c r="AN74" s="64"/>
      <c r="AO74" s="118"/>
      <c r="AP74" s="77"/>
      <c r="AQ74" s="76">
        <f t="shared" si="12"/>
        <v>0</v>
      </c>
    </row>
    <row r="75" spans="2:43" x14ac:dyDescent="0.25">
      <c r="B75" s="182"/>
      <c r="C75" s="116"/>
      <c r="D75" s="117"/>
      <c r="E75" s="118"/>
      <c r="F75" s="126"/>
      <c r="G75" s="127"/>
      <c r="H75" s="119"/>
      <c r="I75" s="119"/>
      <c r="J75" s="115"/>
      <c r="K75" s="80"/>
      <c r="L75" s="120"/>
      <c r="M75" s="8"/>
      <c r="N75" s="115"/>
      <c r="O75" s="78"/>
      <c r="P75" s="121"/>
      <c r="Q75" s="115"/>
      <c r="R75" s="122"/>
      <c r="S75" s="122"/>
      <c r="T75" s="122"/>
      <c r="U75" s="122"/>
      <c r="V75" s="122"/>
      <c r="W75" s="122"/>
      <c r="X75" s="128"/>
      <c r="Y75" s="128"/>
      <c r="Z75" s="128"/>
      <c r="AA75" s="128"/>
      <c r="AB75" s="128"/>
      <c r="AC75" s="122"/>
      <c r="AD75" s="122"/>
      <c r="AE75" s="122"/>
      <c r="AF75" s="122"/>
      <c r="AG75" s="122"/>
      <c r="AH75" s="122"/>
      <c r="AI75" s="122"/>
      <c r="AJ75" s="122"/>
      <c r="AK75" s="122"/>
      <c r="AL75" s="122"/>
      <c r="AM75" s="122"/>
      <c r="AN75" s="64"/>
      <c r="AO75" s="118"/>
      <c r="AP75" s="77"/>
      <c r="AQ75" s="76">
        <f t="shared" si="12"/>
        <v>0</v>
      </c>
    </row>
    <row r="76" spans="2:43" x14ac:dyDescent="0.25">
      <c r="B76" s="182"/>
      <c r="C76" s="116"/>
      <c r="D76" s="117"/>
      <c r="E76" s="118"/>
      <c r="F76" s="126"/>
      <c r="G76" s="127"/>
      <c r="H76" s="119"/>
      <c r="I76" s="119"/>
      <c r="J76" s="115"/>
      <c r="K76" s="80"/>
      <c r="L76" s="120"/>
      <c r="M76" s="8"/>
      <c r="N76" s="115"/>
      <c r="O76" s="78"/>
      <c r="P76" s="121"/>
      <c r="Q76" s="115"/>
      <c r="R76" s="122"/>
      <c r="S76" s="122"/>
      <c r="T76" s="122"/>
      <c r="U76" s="122"/>
      <c r="V76" s="122"/>
      <c r="W76" s="122"/>
      <c r="X76" s="128"/>
      <c r="Y76" s="128"/>
      <c r="Z76" s="128"/>
      <c r="AA76" s="128"/>
      <c r="AB76" s="128"/>
      <c r="AC76" s="122"/>
      <c r="AD76" s="122"/>
      <c r="AE76" s="122"/>
      <c r="AF76" s="122"/>
      <c r="AG76" s="122"/>
      <c r="AH76" s="122"/>
      <c r="AI76" s="122"/>
      <c r="AJ76" s="122"/>
      <c r="AK76" s="122"/>
      <c r="AL76" s="122"/>
      <c r="AM76" s="122"/>
      <c r="AN76" s="64"/>
      <c r="AO76" s="118"/>
      <c r="AP76" s="77"/>
      <c r="AQ76" s="76">
        <f t="shared" si="12"/>
        <v>0</v>
      </c>
    </row>
    <row r="77" spans="2:43" x14ac:dyDescent="0.25">
      <c r="B77" s="182"/>
      <c r="C77" s="116"/>
      <c r="D77" s="117"/>
      <c r="E77" s="118"/>
      <c r="F77" s="126"/>
      <c r="G77" s="127"/>
      <c r="H77" s="119"/>
      <c r="I77" s="119"/>
      <c r="J77" s="115"/>
      <c r="K77" s="80"/>
      <c r="L77" s="120"/>
      <c r="M77" s="8"/>
      <c r="N77" s="115"/>
      <c r="O77" s="78"/>
      <c r="P77" s="121"/>
      <c r="Q77" s="115"/>
      <c r="R77" s="122"/>
      <c r="S77" s="122"/>
      <c r="T77" s="122"/>
      <c r="U77" s="122"/>
      <c r="V77" s="122"/>
      <c r="W77" s="122"/>
      <c r="X77" s="128"/>
      <c r="Y77" s="128"/>
      <c r="Z77" s="128"/>
      <c r="AA77" s="128"/>
      <c r="AB77" s="128"/>
      <c r="AC77" s="122"/>
      <c r="AD77" s="122"/>
      <c r="AE77" s="122"/>
      <c r="AF77" s="122"/>
      <c r="AG77" s="122"/>
      <c r="AH77" s="122"/>
      <c r="AI77" s="122"/>
      <c r="AJ77" s="122"/>
      <c r="AK77" s="122"/>
      <c r="AL77" s="122"/>
      <c r="AM77" s="122"/>
      <c r="AN77" s="64"/>
      <c r="AO77" s="118"/>
      <c r="AP77" s="77"/>
      <c r="AQ77" s="76">
        <f t="shared" si="12"/>
        <v>0</v>
      </c>
    </row>
    <row r="78" spans="2:43" x14ac:dyDescent="0.25">
      <c r="B78" s="182"/>
      <c r="C78" s="116"/>
      <c r="D78" s="117"/>
      <c r="E78" s="118"/>
      <c r="F78" s="126"/>
      <c r="G78" s="127"/>
      <c r="H78" s="119"/>
      <c r="I78" s="119"/>
      <c r="J78" s="115"/>
      <c r="K78" s="80"/>
      <c r="L78" s="120"/>
      <c r="M78" s="8"/>
      <c r="N78" s="115"/>
      <c r="O78" s="78"/>
      <c r="P78" s="121"/>
      <c r="Q78" s="115"/>
      <c r="R78" s="122"/>
      <c r="S78" s="122"/>
      <c r="T78" s="122"/>
      <c r="U78" s="122"/>
      <c r="V78" s="122"/>
      <c r="W78" s="122"/>
      <c r="X78" s="128"/>
      <c r="Y78" s="128"/>
      <c r="Z78" s="128"/>
      <c r="AA78" s="128"/>
      <c r="AB78" s="128"/>
      <c r="AC78" s="122"/>
      <c r="AD78" s="122"/>
      <c r="AE78" s="122"/>
      <c r="AF78" s="122"/>
      <c r="AG78" s="122"/>
      <c r="AH78" s="122"/>
      <c r="AI78" s="122"/>
      <c r="AJ78" s="122"/>
      <c r="AK78" s="122"/>
      <c r="AL78" s="122"/>
      <c r="AM78" s="122"/>
      <c r="AN78" s="64"/>
      <c r="AO78" s="118"/>
      <c r="AP78" s="77"/>
      <c r="AQ78" s="76">
        <f t="shared" si="12"/>
        <v>0</v>
      </c>
    </row>
    <row r="79" spans="2:43" x14ac:dyDescent="0.25">
      <c r="B79" s="182"/>
      <c r="C79" s="116"/>
      <c r="D79" s="117"/>
      <c r="E79" s="118"/>
      <c r="F79" s="126"/>
      <c r="G79" s="127"/>
      <c r="H79" s="119"/>
      <c r="I79" s="119"/>
      <c r="J79" s="115"/>
      <c r="K79" s="80"/>
      <c r="L79" s="120"/>
      <c r="M79" s="8"/>
      <c r="N79" s="115"/>
      <c r="O79" s="78"/>
      <c r="P79" s="121"/>
      <c r="Q79" s="115"/>
      <c r="R79" s="122"/>
      <c r="S79" s="122"/>
      <c r="T79" s="122"/>
      <c r="U79" s="122"/>
      <c r="V79" s="122"/>
      <c r="W79" s="122"/>
      <c r="X79" s="128"/>
      <c r="Y79" s="128"/>
      <c r="Z79" s="128"/>
      <c r="AA79" s="128"/>
      <c r="AB79" s="128"/>
      <c r="AC79" s="122"/>
      <c r="AD79" s="122"/>
      <c r="AE79" s="122"/>
      <c r="AF79" s="122"/>
      <c r="AG79" s="122"/>
      <c r="AH79" s="122"/>
      <c r="AI79" s="122"/>
      <c r="AJ79" s="122"/>
      <c r="AK79" s="122"/>
      <c r="AL79" s="122"/>
      <c r="AM79" s="122"/>
      <c r="AN79" s="64"/>
      <c r="AO79" s="118"/>
      <c r="AP79" s="77"/>
      <c r="AQ79" s="76">
        <f t="shared" si="12"/>
        <v>0</v>
      </c>
    </row>
    <row r="80" spans="2:43" x14ac:dyDescent="0.25">
      <c r="B80" s="182"/>
      <c r="C80" s="116"/>
      <c r="D80" s="117"/>
      <c r="E80" s="118"/>
      <c r="F80" s="126"/>
      <c r="G80" s="127"/>
      <c r="H80" s="119"/>
      <c r="I80" s="119"/>
      <c r="J80" s="115"/>
      <c r="K80" s="80"/>
      <c r="L80" s="120"/>
      <c r="M80" s="8"/>
      <c r="N80" s="115"/>
      <c r="O80" s="78"/>
      <c r="P80" s="121"/>
      <c r="Q80" s="115"/>
      <c r="R80" s="122"/>
      <c r="S80" s="122"/>
      <c r="T80" s="122"/>
      <c r="U80" s="122"/>
      <c r="V80" s="122"/>
      <c r="W80" s="122"/>
      <c r="X80" s="128"/>
      <c r="Y80" s="128"/>
      <c r="Z80" s="128"/>
      <c r="AA80" s="128"/>
      <c r="AB80" s="128"/>
      <c r="AC80" s="122"/>
      <c r="AD80" s="122"/>
      <c r="AE80" s="122"/>
      <c r="AF80" s="122"/>
      <c r="AG80" s="122"/>
      <c r="AH80" s="122"/>
      <c r="AI80" s="122"/>
      <c r="AJ80" s="122"/>
      <c r="AK80" s="122"/>
      <c r="AL80" s="122"/>
      <c r="AM80" s="122"/>
      <c r="AN80" s="64"/>
      <c r="AO80" s="118"/>
      <c r="AP80" s="77"/>
      <c r="AQ80" s="76">
        <f t="shared" si="12"/>
        <v>0</v>
      </c>
    </row>
    <row r="81" spans="2:43" x14ac:dyDescent="0.25">
      <c r="B81" s="182"/>
      <c r="C81" s="116"/>
      <c r="D81" s="117"/>
      <c r="E81" s="118"/>
      <c r="F81" s="126"/>
      <c r="G81" s="127"/>
      <c r="H81" s="119"/>
      <c r="I81" s="119"/>
      <c r="J81" s="115"/>
      <c r="K81" s="80"/>
      <c r="L81" s="120"/>
      <c r="M81" s="8"/>
      <c r="N81" s="115"/>
      <c r="O81" s="78"/>
      <c r="P81" s="121"/>
      <c r="Q81" s="115"/>
      <c r="R81" s="122"/>
      <c r="S81" s="122"/>
      <c r="T81" s="122"/>
      <c r="U81" s="122"/>
      <c r="V81" s="122"/>
      <c r="W81" s="122"/>
      <c r="X81" s="128"/>
      <c r="Y81" s="128"/>
      <c r="Z81" s="128"/>
      <c r="AA81" s="128"/>
      <c r="AB81" s="128"/>
      <c r="AC81" s="122"/>
      <c r="AD81" s="122"/>
      <c r="AE81" s="122"/>
      <c r="AF81" s="122"/>
      <c r="AG81" s="122"/>
      <c r="AH81" s="122"/>
      <c r="AI81" s="122"/>
      <c r="AJ81" s="122"/>
      <c r="AK81" s="122"/>
      <c r="AL81" s="122"/>
      <c r="AM81" s="122"/>
      <c r="AN81" s="64"/>
      <c r="AO81" s="118"/>
      <c r="AP81" s="77"/>
      <c r="AQ81" s="76">
        <f t="shared" si="12"/>
        <v>0</v>
      </c>
    </row>
    <row r="82" spans="2:43" x14ac:dyDescent="0.25">
      <c r="B82" s="182"/>
      <c r="C82" s="116"/>
      <c r="D82" s="117"/>
      <c r="E82" s="118"/>
      <c r="F82" s="126"/>
      <c r="G82" s="127"/>
      <c r="H82" s="119"/>
      <c r="I82" s="119"/>
      <c r="J82" s="115"/>
      <c r="K82" s="80"/>
      <c r="L82" s="120"/>
      <c r="M82" s="8"/>
      <c r="N82" s="115"/>
      <c r="O82" s="78"/>
      <c r="P82" s="121"/>
      <c r="Q82" s="115"/>
      <c r="R82" s="122"/>
      <c r="S82" s="122"/>
      <c r="T82" s="122"/>
      <c r="U82" s="122"/>
      <c r="V82" s="122"/>
      <c r="W82" s="122"/>
      <c r="X82" s="128"/>
      <c r="Y82" s="128"/>
      <c r="Z82" s="128"/>
      <c r="AA82" s="128"/>
      <c r="AB82" s="128"/>
      <c r="AC82" s="122"/>
      <c r="AD82" s="122"/>
      <c r="AE82" s="122"/>
      <c r="AF82" s="122"/>
      <c r="AG82" s="122"/>
      <c r="AH82" s="122"/>
      <c r="AI82" s="122"/>
      <c r="AJ82" s="122"/>
      <c r="AK82" s="122"/>
      <c r="AL82" s="122"/>
      <c r="AM82" s="122"/>
      <c r="AN82" s="64"/>
      <c r="AO82" s="118"/>
      <c r="AP82" s="77"/>
      <c r="AQ82" s="76">
        <f t="shared" si="12"/>
        <v>0</v>
      </c>
    </row>
    <row r="83" spans="2:43" x14ac:dyDescent="0.25">
      <c r="B83" s="182"/>
      <c r="C83" s="116"/>
      <c r="D83" s="117"/>
      <c r="E83" s="118"/>
      <c r="F83" s="126"/>
      <c r="G83" s="127"/>
      <c r="H83" s="119"/>
      <c r="I83" s="119"/>
      <c r="J83" s="115"/>
      <c r="K83" s="80"/>
      <c r="L83" s="120"/>
      <c r="M83" s="8"/>
      <c r="N83" s="115"/>
      <c r="O83" s="78"/>
      <c r="P83" s="121"/>
      <c r="Q83" s="115"/>
      <c r="R83" s="122"/>
      <c r="S83" s="122"/>
      <c r="T83" s="122"/>
      <c r="U83" s="122"/>
      <c r="V83" s="122"/>
      <c r="W83" s="122"/>
      <c r="X83" s="128"/>
      <c r="Y83" s="128"/>
      <c r="Z83" s="128"/>
      <c r="AA83" s="128"/>
      <c r="AB83" s="128"/>
      <c r="AC83" s="122"/>
      <c r="AD83" s="122"/>
      <c r="AE83" s="122"/>
      <c r="AF83" s="122"/>
      <c r="AG83" s="122"/>
      <c r="AH83" s="122"/>
      <c r="AI83" s="122"/>
      <c r="AJ83" s="122"/>
      <c r="AK83" s="122"/>
      <c r="AL83" s="122"/>
      <c r="AM83" s="122"/>
      <c r="AN83" s="64"/>
      <c r="AO83" s="118"/>
      <c r="AP83" s="77"/>
      <c r="AQ83" s="76">
        <f t="shared" si="12"/>
        <v>0</v>
      </c>
    </row>
    <row r="84" spans="2:43" x14ac:dyDescent="0.25">
      <c r="B84" s="182"/>
      <c r="C84" s="116"/>
      <c r="D84" s="117"/>
      <c r="E84" s="118"/>
      <c r="F84" s="126"/>
      <c r="G84" s="127"/>
      <c r="H84" s="119"/>
      <c r="I84" s="119"/>
      <c r="J84" s="115"/>
      <c r="K84" s="80"/>
      <c r="L84" s="120"/>
      <c r="M84" s="8"/>
      <c r="N84" s="115"/>
      <c r="O84" s="78"/>
      <c r="P84" s="121"/>
      <c r="Q84" s="115"/>
      <c r="R84" s="122"/>
      <c r="S84" s="122"/>
      <c r="T84" s="122"/>
      <c r="U84" s="122"/>
      <c r="V84" s="122"/>
      <c r="W84" s="122"/>
      <c r="X84" s="128"/>
      <c r="Y84" s="128"/>
      <c r="Z84" s="128"/>
      <c r="AA84" s="128"/>
      <c r="AB84" s="128"/>
      <c r="AC84" s="122"/>
      <c r="AD84" s="122"/>
      <c r="AE84" s="122"/>
      <c r="AF84" s="122"/>
      <c r="AG84" s="122"/>
      <c r="AH84" s="122"/>
      <c r="AI84" s="122"/>
      <c r="AJ84" s="122"/>
      <c r="AK84" s="122"/>
      <c r="AL84" s="122"/>
      <c r="AM84" s="122"/>
      <c r="AN84" s="64"/>
      <c r="AO84" s="118"/>
      <c r="AP84" s="77"/>
      <c r="AQ84" s="76">
        <f t="shared" si="12"/>
        <v>0</v>
      </c>
    </row>
    <row r="85" spans="2:43" x14ac:dyDescent="0.25">
      <c r="B85" s="182"/>
      <c r="C85" s="116"/>
      <c r="D85" s="117"/>
      <c r="E85" s="118"/>
      <c r="F85" s="126"/>
      <c r="G85" s="127"/>
      <c r="H85" s="119"/>
      <c r="I85" s="119"/>
      <c r="J85" s="115"/>
      <c r="K85" s="80"/>
      <c r="L85" s="120"/>
      <c r="M85" s="8"/>
      <c r="N85" s="115"/>
      <c r="O85" s="78"/>
      <c r="P85" s="121"/>
      <c r="Q85" s="115"/>
      <c r="R85" s="122"/>
      <c r="S85" s="122"/>
      <c r="T85" s="122"/>
      <c r="U85" s="122"/>
      <c r="V85" s="122"/>
      <c r="W85" s="122"/>
      <c r="X85" s="128"/>
      <c r="Y85" s="128"/>
      <c r="Z85" s="128"/>
      <c r="AA85" s="128"/>
      <c r="AB85" s="128"/>
      <c r="AC85" s="122"/>
      <c r="AD85" s="122"/>
      <c r="AE85" s="122"/>
      <c r="AF85" s="122"/>
      <c r="AG85" s="122"/>
      <c r="AH85" s="122"/>
      <c r="AI85" s="122"/>
      <c r="AJ85" s="122"/>
      <c r="AK85" s="122"/>
      <c r="AL85" s="122"/>
      <c r="AM85" s="122"/>
      <c r="AN85" s="64"/>
      <c r="AO85" s="118"/>
      <c r="AP85" s="77"/>
      <c r="AQ85" s="76">
        <f t="shared" si="12"/>
        <v>0</v>
      </c>
    </row>
    <row r="86" spans="2:43" x14ac:dyDescent="0.25">
      <c r="B86" s="182"/>
      <c r="C86" s="116"/>
      <c r="D86" s="117"/>
      <c r="E86" s="118"/>
      <c r="F86" s="126"/>
      <c r="G86" s="127"/>
      <c r="H86" s="119"/>
      <c r="I86" s="119"/>
      <c r="J86" s="115"/>
      <c r="K86" s="80"/>
      <c r="L86" s="120"/>
      <c r="M86" s="8"/>
      <c r="N86" s="115"/>
      <c r="O86" s="78"/>
      <c r="P86" s="121"/>
      <c r="Q86" s="115"/>
      <c r="R86" s="122"/>
      <c r="S86" s="122"/>
      <c r="T86" s="122"/>
      <c r="U86" s="122"/>
      <c r="V86" s="122"/>
      <c r="W86" s="122"/>
      <c r="X86" s="128"/>
      <c r="Y86" s="128"/>
      <c r="Z86" s="128"/>
      <c r="AA86" s="128"/>
      <c r="AB86" s="128"/>
      <c r="AC86" s="122"/>
      <c r="AD86" s="122"/>
      <c r="AE86" s="122"/>
      <c r="AF86" s="122"/>
      <c r="AG86" s="122"/>
      <c r="AH86" s="122"/>
      <c r="AI86" s="122"/>
      <c r="AJ86" s="122"/>
      <c r="AK86" s="122"/>
      <c r="AL86" s="122"/>
      <c r="AM86" s="122"/>
      <c r="AN86" s="64"/>
      <c r="AO86" s="118"/>
      <c r="AP86" s="77"/>
      <c r="AQ86" s="76">
        <f t="shared" si="12"/>
        <v>0</v>
      </c>
    </row>
    <row r="87" spans="2:43" x14ac:dyDescent="0.25">
      <c r="B87" s="182"/>
      <c r="C87" s="116"/>
      <c r="D87" s="117"/>
      <c r="E87" s="118"/>
      <c r="F87" s="126"/>
      <c r="G87" s="127"/>
      <c r="H87" s="119"/>
      <c r="I87" s="119"/>
      <c r="J87" s="115"/>
      <c r="K87" s="80"/>
      <c r="L87" s="120"/>
      <c r="M87" s="8"/>
      <c r="N87" s="115"/>
      <c r="O87" s="78"/>
      <c r="P87" s="121"/>
      <c r="Q87" s="115"/>
      <c r="R87" s="122"/>
      <c r="S87" s="122"/>
      <c r="T87" s="122"/>
      <c r="U87" s="122"/>
      <c r="V87" s="122"/>
      <c r="W87" s="122"/>
      <c r="X87" s="128"/>
      <c r="Y87" s="128"/>
      <c r="Z87" s="128"/>
      <c r="AA87" s="128"/>
      <c r="AB87" s="128"/>
      <c r="AC87" s="122"/>
      <c r="AD87" s="122"/>
      <c r="AE87" s="122"/>
      <c r="AF87" s="122"/>
      <c r="AG87" s="122"/>
      <c r="AH87" s="122"/>
      <c r="AI87" s="122"/>
      <c r="AJ87" s="122"/>
      <c r="AK87" s="122"/>
      <c r="AL87" s="122"/>
      <c r="AM87" s="122"/>
      <c r="AN87" s="64"/>
      <c r="AO87" s="118"/>
      <c r="AP87" s="77"/>
      <c r="AQ87" s="76">
        <f t="shared" si="12"/>
        <v>0</v>
      </c>
    </row>
    <row r="88" spans="2:43" x14ac:dyDescent="0.25">
      <c r="B88" s="182"/>
      <c r="C88" s="116"/>
      <c r="D88" s="117"/>
      <c r="E88" s="118"/>
      <c r="F88" s="126"/>
      <c r="G88" s="127"/>
      <c r="H88" s="119"/>
      <c r="I88" s="119"/>
      <c r="J88" s="115"/>
      <c r="K88" s="80"/>
      <c r="L88" s="120"/>
      <c r="M88" s="8"/>
      <c r="N88" s="115"/>
      <c r="O88" s="78"/>
      <c r="P88" s="121"/>
      <c r="Q88" s="115"/>
      <c r="R88" s="122"/>
      <c r="S88" s="122"/>
      <c r="T88" s="122"/>
      <c r="U88" s="122"/>
      <c r="V88" s="122"/>
      <c r="W88" s="122"/>
      <c r="X88" s="128"/>
      <c r="Y88" s="128"/>
      <c r="Z88" s="128"/>
      <c r="AA88" s="128"/>
      <c r="AB88" s="128"/>
      <c r="AC88" s="122"/>
      <c r="AD88" s="122"/>
      <c r="AE88" s="122"/>
      <c r="AF88" s="122"/>
      <c r="AG88" s="122"/>
      <c r="AH88" s="122"/>
      <c r="AI88" s="122"/>
      <c r="AJ88" s="122"/>
      <c r="AK88" s="122"/>
      <c r="AL88" s="122"/>
      <c r="AM88" s="122"/>
      <c r="AN88" s="64"/>
      <c r="AO88" s="118"/>
      <c r="AP88" s="77"/>
      <c r="AQ88" s="76">
        <f t="shared" ref="AQ88:AQ151" si="13">IFERROR(K88*O88*AP88,"")</f>
        <v>0</v>
      </c>
    </row>
    <row r="89" spans="2:43" x14ac:dyDescent="0.25">
      <c r="B89" s="182"/>
      <c r="C89" s="116"/>
      <c r="D89" s="117"/>
      <c r="E89" s="118"/>
      <c r="F89" s="126"/>
      <c r="G89" s="127"/>
      <c r="H89" s="119"/>
      <c r="I89" s="119"/>
      <c r="J89" s="115"/>
      <c r="K89" s="80"/>
      <c r="L89" s="120"/>
      <c r="M89" s="8"/>
      <c r="N89" s="115"/>
      <c r="O89" s="78"/>
      <c r="P89" s="121"/>
      <c r="Q89" s="115"/>
      <c r="R89" s="122"/>
      <c r="S89" s="122"/>
      <c r="T89" s="122"/>
      <c r="U89" s="122"/>
      <c r="V89" s="122"/>
      <c r="W89" s="122"/>
      <c r="X89" s="128"/>
      <c r="Y89" s="128"/>
      <c r="Z89" s="128"/>
      <c r="AA89" s="128"/>
      <c r="AB89" s="128"/>
      <c r="AC89" s="122"/>
      <c r="AD89" s="122"/>
      <c r="AE89" s="122"/>
      <c r="AF89" s="122"/>
      <c r="AG89" s="122"/>
      <c r="AH89" s="122"/>
      <c r="AI89" s="122"/>
      <c r="AJ89" s="122"/>
      <c r="AK89" s="122"/>
      <c r="AL89" s="122"/>
      <c r="AM89" s="122"/>
      <c r="AN89" s="64"/>
      <c r="AO89" s="118"/>
      <c r="AP89" s="77"/>
      <c r="AQ89" s="76">
        <f t="shared" si="13"/>
        <v>0</v>
      </c>
    </row>
    <row r="90" spans="2:43" x14ac:dyDescent="0.25">
      <c r="B90" s="182"/>
      <c r="C90" s="116"/>
      <c r="D90" s="117"/>
      <c r="E90" s="118"/>
      <c r="F90" s="126"/>
      <c r="G90" s="127"/>
      <c r="H90" s="119"/>
      <c r="I90" s="119"/>
      <c r="J90" s="115"/>
      <c r="K90" s="80"/>
      <c r="L90" s="120"/>
      <c r="M90" s="8"/>
      <c r="N90" s="115"/>
      <c r="O90" s="78"/>
      <c r="P90" s="121"/>
      <c r="Q90" s="115"/>
      <c r="R90" s="122"/>
      <c r="S90" s="122"/>
      <c r="T90" s="122"/>
      <c r="U90" s="122"/>
      <c r="V90" s="122"/>
      <c r="W90" s="122"/>
      <c r="X90" s="128"/>
      <c r="Y90" s="128"/>
      <c r="Z90" s="128"/>
      <c r="AA90" s="128"/>
      <c r="AB90" s="128"/>
      <c r="AC90" s="122"/>
      <c r="AD90" s="122"/>
      <c r="AE90" s="122"/>
      <c r="AF90" s="122"/>
      <c r="AG90" s="122"/>
      <c r="AH90" s="122"/>
      <c r="AI90" s="122"/>
      <c r="AJ90" s="122"/>
      <c r="AK90" s="122"/>
      <c r="AL90" s="122"/>
      <c r="AM90" s="122"/>
      <c r="AN90" s="64"/>
      <c r="AO90" s="118"/>
      <c r="AP90" s="77"/>
      <c r="AQ90" s="76">
        <f t="shared" si="13"/>
        <v>0</v>
      </c>
    </row>
    <row r="91" spans="2:43" x14ac:dyDescent="0.25">
      <c r="B91" s="182"/>
      <c r="C91" s="116"/>
      <c r="D91" s="117"/>
      <c r="E91" s="118"/>
      <c r="F91" s="126"/>
      <c r="G91" s="127"/>
      <c r="H91" s="119"/>
      <c r="I91" s="119"/>
      <c r="J91" s="115"/>
      <c r="K91" s="80"/>
      <c r="L91" s="120"/>
      <c r="M91" s="8"/>
      <c r="N91" s="115"/>
      <c r="O91" s="78"/>
      <c r="P91" s="121"/>
      <c r="Q91" s="115"/>
      <c r="R91" s="122"/>
      <c r="S91" s="122"/>
      <c r="T91" s="122"/>
      <c r="U91" s="122"/>
      <c r="V91" s="122"/>
      <c r="W91" s="122"/>
      <c r="X91" s="128"/>
      <c r="Y91" s="128"/>
      <c r="Z91" s="128"/>
      <c r="AA91" s="128"/>
      <c r="AB91" s="128"/>
      <c r="AC91" s="122"/>
      <c r="AD91" s="122"/>
      <c r="AE91" s="122"/>
      <c r="AF91" s="122"/>
      <c r="AG91" s="122"/>
      <c r="AH91" s="122"/>
      <c r="AI91" s="122"/>
      <c r="AJ91" s="122"/>
      <c r="AK91" s="122"/>
      <c r="AL91" s="122"/>
      <c r="AM91" s="122"/>
      <c r="AN91" s="64"/>
      <c r="AO91" s="118"/>
      <c r="AP91" s="77"/>
      <c r="AQ91" s="76">
        <f t="shared" si="13"/>
        <v>0</v>
      </c>
    </row>
    <row r="92" spans="2:43" x14ac:dyDescent="0.25">
      <c r="B92" s="182"/>
      <c r="C92" s="116"/>
      <c r="D92" s="117"/>
      <c r="E92" s="118"/>
      <c r="F92" s="126"/>
      <c r="G92" s="127"/>
      <c r="H92" s="119"/>
      <c r="I92" s="119"/>
      <c r="J92" s="115"/>
      <c r="K92" s="80"/>
      <c r="L92" s="120"/>
      <c r="M92" s="8"/>
      <c r="N92" s="115"/>
      <c r="O92" s="78"/>
      <c r="P92" s="121"/>
      <c r="Q92" s="115"/>
      <c r="R92" s="122"/>
      <c r="S92" s="122"/>
      <c r="T92" s="122"/>
      <c r="U92" s="122"/>
      <c r="V92" s="122"/>
      <c r="W92" s="122"/>
      <c r="X92" s="128"/>
      <c r="Y92" s="128"/>
      <c r="Z92" s="128"/>
      <c r="AA92" s="128"/>
      <c r="AB92" s="128"/>
      <c r="AC92" s="122"/>
      <c r="AD92" s="122"/>
      <c r="AE92" s="122"/>
      <c r="AF92" s="122"/>
      <c r="AG92" s="122"/>
      <c r="AH92" s="122"/>
      <c r="AI92" s="122"/>
      <c r="AJ92" s="122"/>
      <c r="AK92" s="122"/>
      <c r="AL92" s="122"/>
      <c r="AM92" s="122"/>
      <c r="AN92" s="64"/>
      <c r="AO92" s="118"/>
      <c r="AP92" s="77"/>
      <c r="AQ92" s="76">
        <f t="shared" si="13"/>
        <v>0</v>
      </c>
    </row>
    <row r="93" spans="2:43" x14ac:dyDescent="0.25">
      <c r="B93" s="182"/>
      <c r="C93" s="116"/>
      <c r="D93" s="117"/>
      <c r="E93" s="118"/>
      <c r="F93" s="126"/>
      <c r="G93" s="127"/>
      <c r="H93" s="119"/>
      <c r="I93" s="119"/>
      <c r="J93" s="115"/>
      <c r="K93" s="80"/>
      <c r="L93" s="120"/>
      <c r="M93" s="8"/>
      <c r="N93" s="115"/>
      <c r="O93" s="78"/>
      <c r="P93" s="121"/>
      <c r="Q93" s="115"/>
      <c r="R93" s="122"/>
      <c r="S93" s="122"/>
      <c r="T93" s="122"/>
      <c r="U93" s="122"/>
      <c r="V93" s="122"/>
      <c r="W93" s="122"/>
      <c r="X93" s="128"/>
      <c r="Y93" s="128"/>
      <c r="Z93" s="128"/>
      <c r="AA93" s="128"/>
      <c r="AB93" s="128"/>
      <c r="AC93" s="122"/>
      <c r="AD93" s="122"/>
      <c r="AE93" s="122"/>
      <c r="AF93" s="122"/>
      <c r="AG93" s="122"/>
      <c r="AH93" s="122"/>
      <c r="AI93" s="122"/>
      <c r="AJ93" s="122"/>
      <c r="AK93" s="122"/>
      <c r="AL93" s="122"/>
      <c r="AM93" s="122"/>
      <c r="AN93" s="64"/>
      <c r="AO93" s="118"/>
      <c r="AP93" s="77"/>
      <c r="AQ93" s="76">
        <f t="shared" si="13"/>
        <v>0</v>
      </c>
    </row>
    <row r="94" spans="2:43" x14ac:dyDescent="0.25">
      <c r="B94" s="182"/>
      <c r="C94" s="116"/>
      <c r="D94" s="117"/>
      <c r="E94" s="118"/>
      <c r="F94" s="126"/>
      <c r="G94" s="127"/>
      <c r="H94" s="119"/>
      <c r="I94" s="119"/>
      <c r="J94" s="115"/>
      <c r="K94" s="80"/>
      <c r="L94" s="120"/>
      <c r="M94" s="8"/>
      <c r="N94" s="115"/>
      <c r="O94" s="78"/>
      <c r="P94" s="121"/>
      <c r="Q94" s="115"/>
      <c r="R94" s="122"/>
      <c r="S94" s="122"/>
      <c r="T94" s="122"/>
      <c r="U94" s="122"/>
      <c r="V94" s="122"/>
      <c r="W94" s="122"/>
      <c r="X94" s="128"/>
      <c r="Y94" s="128"/>
      <c r="Z94" s="128"/>
      <c r="AA94" s="128"/>
      <c r="AB94" s="128"/>
      <c r="AC94" s="122"/>
      <c r="AD94" s="122"/>
      <c r="AE94" s="122"/>
      <c r="AF94" s="122"/>
      <c r="AG94" s="122"/>
      <c r="AH94" s="122"/>
      <c r="AI94" s="122"/>
      <c r="AJ94" s="122"/>
      <c r="AK94" s="122"/>
      <c r="AL94" s="122"/>
      <c r="AM94" s="122"/>
      <c r="AN94" s="64"/>
      <c r="AO94" s="118"/>
      <c r="AP94" s="77"/>
      <c r="AQ94" s="76">
        <f t="shared" si="13"/>
        <v>0</v>
      </c>
    </row>
    <row r="95" spans="2:43" x14ac:dyDescent="0.25">
      <c r="B95" s="182"/>
      <c r="C95" s="116"/>
      <c r="D95" s="117"/>
      <c r="E95" s="118"/>
      <c r="F95" s="126"/>
      <c r="G95" s="127"/>
      <c r="H95" s="119"/>
      <c r="I95" s="119"/>
      <c r="J95" s="115"/>
      <c r="K95" s="80"/>
      <c r="L95" s="120"/>
      <c r="M95" s="8"/>
      <c r="N95" s="115"/>
      <c r="O95" s="78"/>
      <c r="P95" s="121"/>
      <c r="Q95" s="115"/>
      <c r="R95" s="122"/>
      <c r="S95" s="122"/>
      <c r="T95" s="122"/>
      <c r="U95" s="122"/>
      <c r="V95" s="122"/>
      <c r="W95" s="122"/>
      <c r="X95" s="128"/>
      <c r="Y95" s="128"/>
      <c r="Z95" s="128"/>
      <c r="AA95" s="128"/>
      <c r="AB95" s="128"/>
      <c r="AC95" s="122"/>
      <c r="AD95" s="122"/>
      <c r="AE95" s="122"/>
      <c r="AF95" s="122"/>
      <c r="AG95" s="122"/>
      <c r="AH95" s="122"/>
      <c r="AI95" s="122"/>
      <c r="AJ95" s="122"/>
      <c r="AK95" s="122"/>
      <c r="AL95" s="122"/>
      <c r="AM95" s="122"/>
      <c r="AN95" s="64"/>
      <c r="AO95" s="118"/>
      <c r="AP95" s="77"/>
      <c r="AQ95" s="76">
        <f t="shared" si="13"/>
        <v>0</v>
      </c>
    </row>
    <row r="96" spans="2:43" x14ac:dyDescent="0.25">
      <c r="B96" s="182"/>
      <c r="C96" s="116"/>
      <c r="D96" s="117"/>
      <c r="E96" s="118"/>
      <c r="F96" s="126"/>
      <c r="G96" s="127"/>
      <c r="H96" s="119"/>
      <c r="I96" s="119"/>
      <c r="J96" s="115"/>
      <c r="K96" s="80"/>
      <c r="L96" s="120"/>
      <c r="M96" s="8"/>
      <c r="N96" s="115"/>
      <c r="O96" s="78"/>
      <c r="P96" s="121"/>
      <c r="Q96" s="115"/>
      <c r="R96" s="122"/>
      <c r="S96" s="122"/>
      <c r="T96" s="122"/>
      <c r="U96" s="122"/>
      <c r="V96" s="122"/>
      <c r="W96" s="122"/>
      <c r="X96" s="128"/>
      <c r="Y96" s="128"/>
      <c r="Z96" s="128"/>
      <c r="AA96" s="128"/>
      <c r="AB96" s="128"/>
      <c r="AC96" s="122"/>
      <c r="AD96" s="122"/>
      <c r="AE96" s="122"/>
      <c r="AF96" s="122"/>
      <c r="AG96" s="122"/>
      <c r="AH96" s="122"/>
      <c r="AI96" s="122"/>
      <c r="AJ96" s="122"/>
      <c r="AK96" s="122"/>
      <c r="AL96" s="122"/>
      <c r="AM96" s="122"/>
      <c r="AN96" s="64"/>
      <c r="AO96" s="118"/>
      <c r="AP96" s="77"/>
      <c r="AQ96" s="76">
        <f t="shared" si="13"/>
        <v>0</v>
      </c>
    </row>
    <row r="97" spans="2:43" x14ac:dyDescent="0.25">
      <c r="B97" s="182"/>
      <c r="C97" s="116"/>
      <c r="D97" s="117"/>
      <c r="E97" s="118"/>
      <c r="F97" s="126"/>
      <c r="G97" s="127"/>
      <c r="H97" s="119"/>
      <c r="I97" s="119"/>
      <c r="J97" s="115"/>
      <c r="K97" s="80"/>
      <c r="L97" s="120"/>
      <c r="M97" s="8"/>
      <c r="N97" s="115"/>
      <c r="O97" s="78"/>
      <c r="P97" s="121"/>
      <c r="Q97" s="115"/>
      <c r="R97" s="122"/>
      <c r="S97" s="122"/>
      <c r="T97" s="122"/>
      <c r="U97" s="122"/>
      <c r="V97" s="122"/>
      <c r="W97" s="122"/>
      <c r="X97" s="128"/>
      <c r="Y97" s="128"/>
      <c r="Z97" s="128"/>
      <c r="AA97" s="128"/>
      <c r="AB97" s="128"/>
      <c r="AC97" s="122"/>
      <c r="AD97" s="122"/>
      <c r="AE97" s="122"/>
      <c r="AF97" s="122"/>
      <c r="AG97" s="122"/>
      <c r="AH97" s="122"/>
      <c r="AI97" s="122"/>
      <c r="AJ97" s="122"/>
      <c r="AK97" s="122"/>
      <c r="AL97" s="122"/>
      <c r="AM97" s="122"/>
      <c r="AN97" s="64"/>
      <c r="AO97" s="118"/>
      <c r="AP97" s="77"/>
      <c r="AQ97" s="76">
        <f t="shared" si="13"/>
        <v>0</v>
      </c>
    </row>
    <row r="98" spans="2:43" x14ac:dyDescent="0.25">
      <c r="B98" s="182"/>
      <c r="C98" s="116"/>
      <c r="D98" s="117"/>
      <c r="E98" s="118"/>
      <c r="F98" s="126"/>
      <c r="G98" s="127"/>
      <c r="H98" s="119"/>
      <c r="I98" s="119"/>
      <c r="J98" s="115"/>
      <c r="K98" s="80"/>
      <c r="L98" s="120"/>
      <c r="M98" s="8"/>
      <c r="N98" s="115"/>
      <c r="O98" s="78"/>
      <c r="P98" s="121"/>
      <c r="Q98" s="115"/>
      <c r="R98" s="122"/>
      <c r="S98" s="122"/>
      <c r="T98" s="122"/>
      <c r="U98" s="122"/>
      <c r="V98" s="122"/>
      <c r="W98" s="122"/>
      <c r="X98" s="128"/>
      <c r="Y98" s="128"/>
      <c r="Z98" s="128"/>
      <c r="AA98" s="128"/>
      <c r="AB98" s="128"/>
      <c r="AC98" s="122"/>
      <c r="AD98" s="122"/>
      <c r="AE98" s="122"/>
      <c r="AF98" s="122"/>
      <c r="AG98" s="122"/>
      <c r="AH98" s="122"/>
      <c r="AI98" s="122"/>
      <c r="AJ98" s="122"/>
      <c r="AK98" s="122"/>
      <c r="AL98" s="122"/>
      <c r="AM98" s="122"/>
      <c r="AN98" s="64"/>
      <c r="AO98" s="118"/>
      <c r="AP98" s="77"/>
      <c r="AQ98" s="76">
        <f t="shared" si="13"/>
        <v>0</v>
      </c>
    </row>
    <row r="99" spans="2:43" x14ac:dyDescent="0.25">
      <c r="B99" s="182"/>
      <c r="C99" s="116"/>
      <c r="D99" s="117"/>
      <c r="E99" s="118"/>
      <c r="F99" s="126"/>
      <c r="G99" s="127"/>
      <c r="H99" s="119"/>
      <c r="I99" s="119"/>
      <c r="J99" s="115"/>
      <c r="K99" s="80"/>
      <c r="L99" s="120"/>
      <c r="M99" s="8"/>
      <c r="N99" s="115"/>
      <c r="O99" s="78"/>
      <c r="P99" s="121"/>
      <c r="Q99" s="115"/>
      <c r="R99" s="122"/>
      <c r="S99" s="122"/>
      <c r="T99" s="122"/>
      <c r="U99" s="122"/>
      <c r="V99" s="122"/>
      <c r="W99" s="122"/>
      <c r="X99" s="128"/>
      <c r="Y99" s="128"/>
      <c r="Z99" s="128"/>
      <c r="AA99" s="128"/>
      <c r="AB99" s="128"/>
      <c r="AC99" s="122"/>
      <c r="AD99" s="122"/>
      <c r="AE99" s="122"/>
      <c r="AF99" s="122"/>
      <c r="AG99" s="122"/>
      <c r="AH99" s="122"/>
      <c r="AI99" s="122"/>
      <c r="AJ99" s="122"/>
      <c r="AK99" s="122"/>
      <c r="AL99" s="122"/>
      <c r="AM99" s="122"/>
      <c r="AN99" s="64"/>
      <c r="AO99" s="118"/>
      <c r="AP99" s="77"/>
      <c r="AQ99" s="76">
        <f t="shared" si="13"/>
        <v>0</v>
      </c>
    </row>
    <row r="100" spans="2:43" x14ac:dyDescent="0.25">
      <c r="B100" s="182"/>
      <c r="C100" s="116"/>
      <c r="D100" s="117"/>
      <c r="E100" s="118"/>
      <c r="F100" s="126"/>
      <c r="G100" s="127"/>
      <c r="H100" s="119"/>
      <c r="I100" s="119"/>
      <c r="J100" s="115"/>
      <c r="K100" s="80"/>
      <c r="L100" s="120"/>
      <c r="M100" s="8"/>
      <c r="N100" s="115"/>
      <c r="O100" s="78"/>
      <c r="P100" s="121"/>
      <c r="Q100" s="115"/>
      <c r="R100" s="122"/>
      <c r="S100" s="122"/>
      <c r="T100" s="122"/>
      <c r="U100" s="122"/>
      <c r="V100" s="122"/>
      <c r="W100" s="122"/>
      <c r="X100" s="128"/>
      <c r="Y100" s="128"/>
      <c r="Z100" s="128"/>
      <c r="AA100" s="128"/>
      <c r="AB100" s="128"/>
      <c r="AC100" s="122"/>
      <c r="AD100" s="122"/>
      <c r="AE100" s="122"/>
      <c r="AF100" s="122"/>
      <c r="AG100" s="122"/>
      <c r="AH100" s="122"/>
      <c r="AI100" s="122"/>
      <c r="AJ100" s="122"/>
      <c r="AK100" s="122"/>
      <c r="AL100" s="122"/>
      <c r="AM100" s="122"/>
      <c r="AN100" s="64"/>
      <c r="AO100" s="118"/>
      <c r="AP100" s="77"/>
      <c r="AQ100" s="76">
        <f t="shared" si="13"/>
        <v>0</v>
      </c>
    </row>
    <row r="101" spans="2:43" x14ac:dyDescent="0.25">
      <c r="B101" s="182"/>
      <c r="C101" s="116"/>
      <c r="D101" s="117"/>
      <c r="E101" s="118"/>
      <c r="F101" s="126"/>
      <c r="G101" s="127"/>
      <c r="H101" s="119"/>
      <c r="I101" s="119"/>
      <c r="J101" s="115"/>
      <c r="K101" s="80"/>
      <c r="L101" s="120"/>
      <c r="M101" s="8"/>
      <c r="N101" s="115"/>
      <c r="O101" s="78"/>
      <c r="P101" s="121"/>
      <c r="Q101" s="115"/>
      <c r="R101" s="122"/>
      <c r="S101" s="122"/>
      <c r="T101" s="122"/>
      <c r="U101" s="122"/>
      <c r="V101" s="122"/>
      <c r="W101" s="122"/>
      <c r="X101" s="128"/>
      <c r="Y101" s="128"/>
      <c r="Z101" s="128"/>
      <c r="AA101" s="128"/>
      <c r="AB101" s="128"/>
      <c r="AC101" s="122"/>
      <c r="AD101" s="122"/>
      <c r="AE101" s="122"/>
      <c r="AF101" s="122"/>
      <c r="AG101" s="122"/>
      <c r="AH101" s="122"/>
      <c r="AI101" s="122"/>
      <c r="AJ101" s="122"/>
      <c r="AK101" s="122"/>
      <c r="AL101" s="122"/>
      <c r="AM101" s="122"/>
      <c r="AN101" s="64"/>
      <c r="AO101" s="118"/>
      <c r="AP101" s="77"/>
      <c r="AQ101" s="76">
        <f t="shared" si="13"/>
        <v>0</v>
      </c>
    </row>
    <row r="102" spans="2:43" x14ac:dyDescent="0.25">
      <c r="B102" s="182"/>
      <c r="C102" s="116"/>
      <c r="D102" s="117"/>
      <c r="E102" s="118"/>
      <c r="F102" s="126"/>
      <c r="G102" s="127"/>
      <c r="H102" s="119"/>
      <c r="I102" s="119"/>
      <c r="J102" s="115"/>
      <c r="K102" s="80"/>
      <c r="L102" s="120"/>
      <c r="M102" s="8"/>
      <c r="N102" s="115"/>
      <c r="O102" s="78"/>
      <c r="P102" s="121"/>
      <c r="Q102" s="115"/>
      <c r="R102" s="122"/>
      <c r="S102" s="122"/>
      <c r="T102" s="122"/>
      <c r="U102" s="122"/>
      <c r="V102" s="122"/>
      <c r="W102" s="122"/>
      <c r="X102" s="128"/>
      <c r="Y102" s="128"/>
      <c r="Z102" s="128"/>
      <c r="AA102" s="128"/>
      <c r="AB102" s="128"/>
      <c r="AC102" s="122"/>
      <c r="AD102" s="122"/>
      <c r="AE102" s="122"/>
      <c r="AF102" s="122"/>
      <c r="AG102" s="122"/>
      <c r="AH102" s="122"/>
      <c r="AI102" s="122"/>
      <c r="AJ102" s="122"/>
      <c r="AK102" s="122"/>
      <c r="AL102" s="122"/>
      <c r="AM102" s="122"/>
      <c r="AN102" s="64"/>
      <c r="AO102" s="118"/>
      <c r="AP102" s="77"/>
      <c r="AQ102" s="76">
        <f t="shared" si="13"/>
        <v>0</v>
      </c>
    </row>
    <row r="103" spans="2:43" x14ac:dyDescent="0.25">
      <c r="B103" s="182"/>
      <c r="C103" s="116"/>
      <c r="D103" s="117"/>
      <c r="E103" s="118"/>
      <c r="F103" s="126"/>
      <c r="G103" s="127"/>
      <c r="H103" s="119"/>
      <c r="I103" s="119"/>
      <c r="J103" s="115"/>
      <c r="K103" s="80"/>
      <c r="L103" s="120"/>
      <c r="M103" s="8"/>
      <c r="N103" s="115"/>
      <c r="O103" s="78"/>
      <c r="P103" s="121"/>
      <c r="Q103" s="115"/>
      <c r="R103" s="122"/>
      <c r="S103" s="122"/>
      <c r="T103" s="122"/>
      <c r="U103" s="122"/>
      <c r="V103" s="122"/>
      <c r="W103" s="122"/>
      <c r="X103" s="128"/>
      <c r="Y103" s="128"/>
      <c r="Z103" s="128"/>
      <c r="AA103" s="128"/>
      <c r="AB103" s="128"/>
      <c r="AC103" s="122"/>
      <c r="AD103" s="122"/>
      <c r="AE103" s="122"/>
      <c r="AF103" s="122"/>
      <c r="AG103" s="122"/>
      <c r="AH103" s="122"/>
      <c r="AI103" s="122"/>
      <c r="AJ103" s="122"/>
      <c r="AK103" s="122"/>
      <c r="AL103" s="122"/>
      <c r="AM103" s="122"/>
      <c r="AN103" s="64"/>
      <c r="AO103" s="118"/>
      <c r="AP103" s="77"/>
      <c r="AQ103" s="76">
        <f t="shared" si="13"/>
        <v>0</v>
      </c>
    </row>
    <row r="104" spans="2:43" x14ac:dyDescent="0.25">
      <c r="B104" s="182"/>
      <c r="C104" s="116"/>
      <c r="D104" s="117"/>
      <c r="E104" s="118"/>
      <c r="F104" s="126"/>
      <c r="G104" s="127"/>
      <c r="H104" s="119"/>
      <c r="I104" s="119"/>
      <c r="J104" s="115"/>
      <c r="K104" s="80"/>
      <c r="L104" s="120"/>
      <c r="M104" s="8"/>
      <c r="N104" s="115"/>
      <c r="O104" s="78"/>
      <c r="P104" s="121"/>
      <c r="Q104" s="115"/>
      <c r="R104" s="122"/>
      <c r="S104" s="122"/>
      <c r="T104" s="122"/>
      <c r="U104" s="122"/>
      <c r="V104" s="122"/>
      <c r="W104" s="122"/>
      <c r="X104" s="128"/>
      <c r="Y104" s="128"/>
      <c r="Z104" s="128"/>
      <c r="AA104" s="128"/>
      <c r="AB104" s="128"/>
      <c r="AC104" s="122"/>
      <c r="AD104" s="122"/>
      <c r="AE104" s="122"/>
      <c r="AF104" s="122"/>
      <c r="AG104" s="122"/>
      <c r="AH104" s="122"/>
      <c r="AI104" s="122"/>
      <c r="AJ104" s="122"/>
      <c r="AK104" s="122"/>
      <c r="AL104" s="122"/>
      <c r="AM104" s="122"/>
      <c r="AN104" s="64"/>
      <c r="AO104" s="118"/>
      <c r="AP104" s="77"/>
      <c r="AQ104" s="76">
        <f t="shared" si="13"/>
        <v>0</v>
      </c>
    </row>
    <row r="105" spans="2:43" x14ac:dyDescent="0.25">
      <c r="B105" s="182"/>
      <c r="C105" s="116"/>
      <c r="D105" s="117"/>
      <c r="E105" s="118"/>
      <c r="F105" s="126"/>
      <c r="G105" s="127"/>
      <c r="H105" s="119"/>
      <c r="I105" s="119"/>
      <c r="J105" s="115"/>
      <c r="K105" s="80"/>
      <c r="L105" s="120"/>
      <c r="M105" s="8"/>
      <c r="N105" s="115"/>
      <c r="O105" s="78"/>
      <c r="P105" s="121"/>
      <c r="Q105" s="115"/>
      <c r="R105" s="122"/>
      <c r="S105" s="122"/>
      <c r="T105" s="122"/>
      <c r="U105" s="122"/>
      <c r="V105" s="122"/>
      <c r="W105" s="122"/>
      <c r="X105" s="128"/>
      <c r="Y105" s="128"/>
      <c r="Z105" s="128"/>
      <c r="AA105" s="128"/>
      <c r="AB105" s="128"/>
      <c r="AC105" s="122"/>
      <c r="AD105" s="122"/>
      <c r="AE105" s="122"/>
      <c r="AF105" s="122"/>
      <c r="AG105" s="122"/>
      <c r="AH105" s="122"/>
      <c r="AI105" s="122"/>
      <c r="AJ105" s="122"/>
      <c r="AK105" s="122"/>
      <c r="AL105" s="122"/>
      <c r="AM105" s="122"/>
      <c r="AN105" s="64"/>
      <c r="AO105" s="118"/>
      <c r="AP105" s="77"/>
      <c r="AQ105" s="76">
        <f t="shared" si="13"/>
        <v>0</v>
      </c>
    </row>
    <row r="106" spans="2:43" x14ac:dyDescent="0.25">
      <c r="B106" s="182"/>
      <c r="C106" s="116"/>
      <c r="D106" s="117"/>
      <c r="E106" s="118"/>
      <c r="F106" s="126"/>
      <c r="G106" s="127"/>
      <c r="H106" s="119"/>
      <c r="I106" s="119"/>
      <c r="J106" s="115"/>
      <c r="K106" s="80"/>
      <c r="L106" s="120"/>
      <c r="M106" s="8"/>
      <c r="N106" s="115"/>
      <c r="O106" s="78"/>
      <c r="P106" s="121"/>
      <c r="Q106" s="115"/>
      <c r="R106" s="122"/>
      <c r="S106" s="122"/>
      <c r="T106" s="122"/>
      <c r="U106" s="122"/>
      <c r="V106" s="122"/>
      <c r="W106" s="122"/>
      <c r="X106" s="128"/>
      <c r="Y106" s="128"/>
      <c r="Z106" s="128"/>
      <c r="AA106" s="128"/>
      <c r="AB106" s="128"/>
      <c r="AC106" s="122"/>
      <c r="AD106" s="122"/>
      <c r="AE106" s="122"/>
      <c r="AF106" s="122"/>
      <c r="AG106" s="122"/>
      <c r="AH106" s="122"/>
      <c r="AI106" s="122"/>
      <c r="AJ106" s="122"/>
      <c r="AK106" s="122"/>
      <c r="AL106" s="122"/>
      <c r="AM106" s="122"/>
      <c r="AN106" s="64"/>
      <c r="AO106" s="118"/>
      <c r="AP106" s="77"/>
      <c r="AQ106" s="76">
        <f t="shared" si="13"/>
        <v>0</v>
      </c>
    </row>
    <row r="107" spans="2:43" x14ac:dyDescent="0.25">
      <c r="B107" s="182"/>
      <c r="C107" s="116"/>
      <c r="D107" s="117"/>
      <c r="E107" s="118"/>
      <c r="F107" s="126"/>
      <c r="G107" s="127"/>
      <c r="H107" s="119"/>
      <c r="I107" s="119"/>
      <c r="J107" s="115"/>
      <c r="K107" s="80"/>
      <c r="L107" s="120"/>
      <c r="M107" s="8"/>
      <c r="N107" s="115"/>
      <c r="O107" s="78"/>
      <c r="P107" s="121"/>
      <c r="Q107" s="115"/>
      <c r="R107" s="122"/>
      <c r="S107" s="122"/>
      <c r="T107" s="122"/>
      <c r="U107" s="122"/>
      <c r="V107" s="122"/>
      <c r="W107" s="122"/>
      <c r="X107" s="128"/>
      <c r="Y107" s="128"/>
      <c r="Z107" s="128"/>
      <c r="AA107" s="128"/>
      <c r="AB107" s="128"/>
      <c r="AC107" s="122"/>
      <c r="AD107" s="122"/>
      <c r="AE107" s="122"/>
      <c r="AF107" s="122"/>
      <c r="AG107" s="122"/>
      <c r="AH107" s="122"/>
      <c r="AI107" s="122"/>
      <c r="AJ107" s="122"/>
      <c r="AK107" s="122"/>
      <c r="AL107" s="122"/>
      <c r="AM107" s="122"/>
      <c r="AN107" s="64"/>
      <c r="AO107" s="118"/>
      <c r="AP107" s="77"/>
      <c r="AQ107" s="76">
        <f t="shared" si="13"/>
        <v>0</v>
      </c>
    </row>
    <row r="108" spans="2:43" x14ac:dyDescent="0.25">
      <c r="B108" s="182"/>
      <c r="C108" s="116"/>
      <c r="D108" s="117"/>
      <c r="E108" s="118"/>
      <c r="F108" s="126"/>
      <c r="G108" s="127"/>
      <c r="H108" s="119"/>
      <c r="I108" s="119"/>
      <c r="J108" s="115"/>
      <c r="K108" s="80"/>
      <c r="L108" s="120"/>
      <c r="M108" s="8"/>
      <c r="N108" s="115"/>
      <c r="O108" s="78"/>
      <c r="P108" s="121"/>
      <c r="Q108" s="115"/>
      <c r="R108" s="122"/>
      <c r="S108" s="122"/>
      <c r="T108" s="122"/>
      <c r="U108" s="122"/>
      <c r="V108" s="122"/>
      <c r="W108" s="122"/>
      <c r="X108" s="128"/>
      <c r="Y108" s="128"/>
      <c r="Z108" s="128"/>
      <c r="AA108" s="128"/>
      <c r="AB108" s="128"/>
      <c r="AC108" s="122"/>
      <c r="AD108" s="122"/>
      <c r="AE108" s="122"/>
      <c r="AF108" s="122"/>
      <c r="AG108" s="122"/>
      <c r="AH108" s="122"/>
      <c r="AI108" s="122"/>
      <c r="AJ108" s="122"/>
      <c r="AK108" s="122"/>
      <c r="AL108" s="122"/>
      <c r="AM108" s="122"/>
      <c r="AN108" s="64"/>
      <c r="AO108" s="118"/>
      <c r="AP108" s="77"/>
      <c r="AQ108" s="76">
        <f t="shared" si="13"/>
        <v>0</v>
      </c>
    </row>
    <row r="109" spans="2:43" x14ac:dyDescent="0.25">
      <c r="B109" s="182"/>
      <c r="C109" s="116"/>
      <c r="D109" s="117"/>
      <c r="E109" s="118"/>
      <c r="F109" s="126"/>
      <c r="G109" s="127"/>
      <c r="H109" s="119"/>
      <c r="I109" s="119"/>
      <c r="J109" s="115"/>
      <c r="K109" s="80"/>
      <c r="L109" s="120"/>
      <c r="M109" s="8"/>
      <c r="N109" s="115"/>
      <c r="O109" s="78"/>
      <c r="P109" s="121"/>
      <c r="Q109" s="115"/>
      <c r="R109" s="122"/>
      <c r="S109" s="122"/>
      <c r="T109" s="122"/>
      <c r="U109" s="122"/>
      <c r="V109" s="122"/>
      <c r="W109" s="122"/>
      <c r="X109" s="128"/>
      <c r="Y109" s="128"/>
      <c r="Z109" s="128"/>
      <c r="AA109" s="128"/>
      <c r="AB109" s="128"/>
      <c r="AC109" s="122"/>
      <c r="AD109" s="122"/>
      <c r="AE109" s="122"/>
      <c r="AF109" s="122"/>
      <c r="AG109" s="122"/>
      <c r="AH109" s="122"/>
      <c r="AI109" s="122"/>
      <c r="AJ109" s="122"/>
      <c r="AK109" s="122"/>
      <c r="AL109" s="122"/>
      <c r="AM109" s="122"/>
      <c r="AN109" s="64"/>
      <c r="AO109" s="118"/>
      <c r="AP109" s="77"/>
      <c r="AQ109" s="76">
        <f t="shared" si="13"/>
        <v>0</v>
      </c>
    </row>
    <row r="110" spans="2:43" x14ac:dyDescent="0.25">
      <c r="B110" s="182"/>
      <c r="C110" s="116"/>
      <c r="D110" s="117"/>
      <c r="E110" s="118"/>
      <c r="F110" s="126"/>
      <c r="G110" s="127"/>
      <c r="H110" s="119"/>
      <c r="I110" s="119"/>
      <c r="J110" s="115"/>
      <c r="K110" s="80"/>
      <c r="L110" s="120"/>
      <c r="M110" s="8"/>
      <c r="N110" s="115"/>
      <c r="O110" s="78"/>
      <c r="P110" s="121"/>
      <c r="Q110" s="115"/>
      <c r="R110" s="122"/>
      <c r="S110" s="122"/>
      <c r="T110" s="122"/>
      <c r="U110" s="122"/>
      <c r="V110" s="122"/>
      <c r="W110" s="122"/>
      <c r="X110" s="128"/>
      <c r="Y110" s="128"/>
      <c r="Z110" s="128"/>
      <c r="AA110" s="128"/>
      <c r="AB110" s="128"/>
      <c r="AC110" s="122"/>
      <c r="AD110" s="122"/>
      <c r="AE110" s="122"/>
      <c r="AF110" s="122"/>
      <c r="AG110" s="122"/>
      <c r="AH110" s="122"/>
      <c r="AI110" s="122"/>
      <c r="AJ110" s="122"/>
      <c r="AK110" s="122"/>
      <c r="AL110" s="122"/>
      <c r="AM110" s="122"/>
      <c r="AN110" s="64"/>
      <c r="AO110" s="118"/>
      <c r="AP110" s="77"/>
      <c r="AQ110" s="76">
        <f t="shared" si="13"/>
        <v>0</v>
      </c>
    </row>
    <row r="111" spans="2:43" x14ac:dyDescent="0.25">
      <c r="B111" s="182"/>
      <c r="C111" s="116"/>
      <c r="D111" s="117"/>
      <c r="E111" s="118"/>
      <c r="F111" s="126"/>
      <c r="G111" s="127"/>
      <c r="H111" s="119"/>
      <c r="I111" s="119"/>
      <c r="J111" s="115"/>
      <c r="K111" s="80"/>
      <c r="L111" s="120"/>
      <c r="M111" s="8"/>
      <c r="N111" s="115"/>
      <c r="O111" s="78"/>
      <c r="P111" s="121"/>
      <c r="Q111" s="115"/>
      <c r="R111" s="122"/>
      <c r="S111" s="122"/>
      <c r="T111" s="122"/>
      <c r="U111" s="122"/>
      <c r="V111" s="122"/>
      <c r="W111" s="122"/>
      <c r="X111" s="128"/>
      <c r="Y111" s="128"/>
      <c r="Z111" s="128"/>
      <c r="AA111" s="128"/>
      <c r="AB111" s="128"/>
      <c r="AC111" s="122"/>
      <c r="AD111" s="122"/>
      <c r="AE111" s="122"/>
      <c r="AF111" s="122"/>
      <c r="AG111" s="122"/>
      <c r="AH111" s="122"/>
      <c r="AI111" s="122"/>
      <c r="AJ111" s="122"/>
      <c r="AK111" s="122"/>
      <c r="AL111" s="122"/>
      <c r="AM111" s="122"/>
      <c r="AN111" s="64"/>
      <c r="AO111" s="118"/>
      <c r="AP111" s="77"/>
      <c r="AQ111" s="76">
        <f t="shared" si="13"/>
        <v>0</v>
      </c>
    </row>
    <row r="112" spans="2:43" x14ac:dyDescent="0.25">
      <c r="B112" s="182"/>
      <c r="C112" s="116"/>
      <c r="D112" s="117"/>
      <c r="E112" s="118"/>
      <c r="F112" s="126"/>
      <c r="G112" s="127"/>
      <c r="H112" s="119"/>
      <c r="I112" s="119"/>
      <c r="J112" s="115"/>
      <c r="K112" s="80"/>
      <c r="L112" s="120"/>
      <c r="M112" s="8"/>
      <c r="N112" s="115"/>
      <c r="O112" s="78"/>
      <c r="P112" s="121"/>
      <c r="Q112" s="115"/>
      <c r="R112" s="122"/>
      <c r="S112" s="122"/>
      <c r="T112" s="122"/>
      <c r="U112" s="122"/>
      <c r="V112" s="122"/>
      <c r="W112" s="122"/>
      <c r="X112" s="128"/>
      <c r="Y112" s="128"/>
      <c r="Z112" s="128"/>
      <c r="AA112" s="128"/>
      <c r="AB112" s="128"/>
      <c r="AC112" s="122"/>
      <c r="AD112" s="122"/>
      <c r="AE112" s="122"/>
      <c r="AF112" s="122"/>
      <c r="AG112" s="122"/>
      <c r="AH112" s="122"/>
      <c r="AI112" s="122"/>
      <c r="AJ112" s="122"/>
      <c r="AK112" s="122"/>
      <c r="AL112" s="122"/>
      <c r="AM112" s="122"/>
      <c r="AN112" s="64"/>
      <c r="AO112" s="118"/>
      <c r="AP112" s="77"/>
      <c r="AQ112" s="76">
        <f t="shared" si="13"/>
        <v>0</v>
      </c>
    </row>
    <row r="113" spans="2:43" x14ac:dyDescent="0.25">
      <c r="B113" s="182"/>
      <c r="C113" s="116"/>
      <c r="D113" s="117"/>
      <c r="E113" s="118"/>
      <c r="F113" s="126"/>
      <c r="G113" s="127"/>
      <c r="H113" s="119"/>
      <c r="I113" s="119"/>
      <c r="J113" s="115"/>
      <c r="K113" s="80"/>
      <c r="L113" s="120"/>
      <c r="M113" s="8"/>
      <c r="N113" s="115"/>
      <c r="O113" s="78"/>
      <c r="P113" s="121"/>
      <c r="Q113" s="115"/>
      <c r="R113" s="122"/>
      <c r="S113" s="122"/>
      <c r="T113" s="122"/>
      <c r="U113" s="122"/>
      <c r="V113" s="122"/>
      <c r="W113" s="122"/>
      <c r="X113" s="128"/>
      <c r="Y113" s="128"/>
      <c r="Z113" s="128"/>
      <c r="AA113" s="128"/>
      <c r="AB113" s="128"/>
      <c r="AC113" s="122"/>
      <c r="AD113" s="122"/>
      <c r="AE113" s="122"/>
      <c r="AF113" s="122"/>
      <c r="AG113" s="122"/>
      <c r="AH113" s="122"/>
      <c r="AI113" s="122"/>
      <c r="AJ113" s="122"/>
      <c r="AK113" s="122"/>
      <c r="AL113" s="122"/>
      <c r="AM113" s="122"/>
      <c r="AN113" s="64"/>
      <c r="AO113" s="118"/>
      <c r="AP113" s="77"/>
      <c r="AQ113" s="76">
        <f t="shared" si="13"/>
        <v>0</v>
      </c>
    </row>
    <row r="114" spans="2:43" x14ac:dyDescent="0.25">
      <c r="B114" s="182"/>
      <c r="C114" s="116"/>
      <c r="D114" s="117"/>
      <c r="E114" s="118"/>
      <c r="F114" s="126"/>
      <c r="G114" s="127"/>
      <c r="H114" s="119"/>
      <c r="I114" s="119"/>
      <c r="J114" s="115"/>
      <c r="K114" s="80"/>
      <c r="L114" s="120"/>
      <c r="M114" s="8"/>
      <c r="N114" s="115"/>
      <c r="O114" s="78"/>
      <c r="P114" s="121"/>
      <c r="Q114" s="115"/>
      <c r="R114" s="122"/>
      <c r="S114" s="122"/>
      <c r="T114" s="122"/>
      <c r="U114" s="122"/>
      <c r="V114" s="122"/>
      <c r="W114" s="122"/>
      <c r="X114" s="128"/>
      <c r="Y114" s="128"/>
      <c r="Z114" s="128"/>
      <c r="AA114" s="128"/>
      <c r="AB114" s="128"/>
      <c r="AC114" s="122"/>
      <c r="AD114" s="122"/>
      <c r="AE114" s="122"/>
      <c r="AF114" s="122"/>
      <c r="AG114" s="122"/>
      <c r="AH114" s="122"/>
      <c r="AI114" s="122"/>
      <c r="AJ114" s="122"/>
      <c r="AK114" s="122"/>
      <c r="AL114" s="122"/>
      <c r="AM114" s="122"/>
      <c r="AN114" s="64"/>
      <c r="AO114" s="118"/>
      <c r="AP114" s="77"/>
      <c r="AQ114" s="76">
        <f t="shared" si="13"/>
        <v>0</v>
      </c>
    </row>
    <row r="115" spans="2:43" x14ac:dyDescent="0.25">
      <c r="B115" s="182"/>
      <c r="C115" s="116"/>
      <c r="D115" s="117"/>
      <c r="E115" s="118"/>
      <c r="F115" s="126"/>
      <c r="G115" s="127"/>
      <c r="H115" s="119"/>
      <c r="I115" s="119"/>
      <c r="J115" s="115"/>
      <c r="K115" s="80"/>
      <c r="L115" s="120"/>
      <c r="M115" s="8"/>
      <c r="N115" s="115"/>
      <c r="O115" s="78"/>
      <c r="P115" s="121"/>
      <c r="Q115" s="115"/>
      <c r="R115" s="122"/>
      <c r="S115" s="122"/>
      <c r="T115" s="122"/>
      <c r="U115" s="122"/>
      <c r="V115" s="122"/>
      <c r="W115" s="122"/>
      <c r="X115" s="128"/>
      <c r="Y115" s="128"/>
      <c r="Z115" s="128"/>
      <c r="AA115" s="128"/>
      <c r="AB115" s="128"/>
      <c r="AC115" s="122"/>
      <c r="AD115" s="122"/>
      <c r="AE115" s="122"/>
      <c r="AF115" s="122"/>
      <c r="AG115" s="122"/>
      <c r="AH115" s="122"/>
      <c r="AI115" s="122"/>
      <c r="AJ115" s="122"/>
      <c r="AK115" s="122"/>
      <c r="AL115" s="122"/>
      <c r="AM115" s="122"/>
      <c r="AN115" s="64"/>
      <c r="AO115" s="118"/>
      <c r="AP115" s="77"/>
      <c r="AQ115" s="76">
        <f t="shared" si="13"/>
        <v>0</v>
      </c>
    </row>
    <row r="116" spans="2:43" x14ac:dyDescent="0.25">
      <c r="B116" s="182"/>
      <c r="C116" s="116"/>
      <c r="D116" s="117"/>
      <c r="E116" s="118"/>
      <c r="F116" s="126"/>
      <c r="G116" s="127"/>
      <c r="H116" s="119"/>
      <c r="I116" s="119"/>
      <c r="J116" s="115"/>
      <c r="K116" s="80"/>
      <c r="L116" s="120"/>
      <c r="M116" s="8"/>
      <c r="N116" s="115"/>
      <c r="O116" s="78"/>
      <c r="P116" s="121"/>
      <c r="Q116" s="115"/>
      <c r="R116" s="122"/>
      <c r="S116" s="122"/>
      <c r="T116" s="122"/>
      <c r="U116" s="122"/>
      <c r="V116" s="122"/>
      <c r="W116" s="122"/>
      <c r="X116" s="128"/>
      <c r="Y116" s="128"/>
      <c r="Z116" s="128"/>
      <c r="AA116" s="128"/>
      <c r="AB116" s="128"/>
      <c r="AC116" s="122"/>
      <c r="AD116" s="122"/>
      <c r="AE116" s="122"/>
      <c r="AF116" s="122"/>
      <c r="AG116" s="122"/>
      <c r="AH116" s="122"/>
      <c r="AI116" s="122"/>
      <c r="AJ116" s="122"/>
      <c r="AK116" s="122"/>
      <c r="AL116" s="122"/>
      <c r="AM116" s="122"/>
      <c r="AN116" s="64"/>
      <c r="AO116" s="118"/>
      <c r="AP116" s="77"/>
      <c r="AQ116" s="76">
        <f t="shared" si="13"/>
        <v>0</v>
      </c>
    </row>
    <row r="117" spans="2:43" x14ac:dyDescent="0.25">
      <c r="B117" s="182"/>
      <c r="C117" s="116"/>
      <c r="D117" s="117"/>
      <c r="E117" s="118"/>
      <c r="F117" s="126"/>
      <c r="G117" s="127"/>
      <c r="H117" s="119"/>
      <c r="I117" s="119"/>
      <c r="J117" s="115"/>
      <c r="K117" s="80"/>
      <c r="L117" s="120"/>
      <c r="M117" s="8"/>
      <c r="N117" s="115"/>
      <c r="O117" s="78"/>
      <c r="P117" s="121"/>
      <c r="Q117" s="115"/>
      <c r="R117" s="122"/>
      <c r="S117" s="122"/>
      <c r="T117" s="122"/>
      <c r="U117" s="122"/>
      <c r="V117" s="122"/>
      <c r="W117" s="122"/>
      <c r="X117" s="128"/>
      <c r="Y117" s="128"/>
      <c r="Z117" s="128"/>
      <c r="AA117" s="128"/>
      <c r="AB117" s="128"/>
      <c r="AC117" s="122"/>
      <c r="AD117" s="122"/>
      <c r="AE117" s="122"/>
      <c r="AF117" s="122"/>
      <c r="AG117" s="122"/>
      <c r="AH117" s="122"/>
      <c r="AI117" s="122"/>
      <c r="AJ117" s="122"/>
      <c r="AK117" s="122"/>
      <c r="AL117" s="122"/>
      <c r="AM117" s="122"/>
      <c r="AN117" s="64"/>
      <c r="AO117" s="118"/>
      <c r="AP117" s="77"/>
      <c r="AQ117" s="76">
        <f t="shared" si="13"/>
        <v>0</v>
      </c>
    </row>
    <row r="118" spans="2:43" x14ac:dyDescent="0.25">
      <c r="B118" s="182"/>
      <c r="C118" s="116"/>
      <c r="D118" s="117"/>
      <c r="E118" s="118"/>
      <c r="F118" s="126"/>
      <c r="G118" s="127"/>
      <c r="H118" s="119"/>
      <c r="I118" s="119"/>
      <c r="J118" s="115"/>
      <c r="K118" s="80"/>
      <c r="L118" s="120"/>
      <c r="M118" s="8"/>
      <c r="N118" s="115"/>
      <c r="O118" s="78"/>
      <c r="P118" s="121"/>
      <c r="Q118" s="115"/>
      <c r="R118" s="122"/>
      <c r="S118" s="122"/>
      <c r="T118" s="122"/>
      <c r="U118" s="122"/>
      <c r="V118" s="122"/>
      <c r="W118" s="122"/>
      <c r="X118" s="128"/>
      <c r="Y118" s="128"/>
      <c r="Z118" s="128"/>
      <c r="AA118" s="128"/>
      <c r="AB118" s="128"/>
      <c r="AC118" s="122"/>
      <c r="AD118" s="122"/>
      <c r="AE118" s="122"/>
      <c r="AF118" s="122"/>
      <c r="AG118" s="122"/>
      <c r="AH118" s="122"/>
      <c r="AI118" s="122"/>
      <c r="AJ118" s="122"/>
      <c r="AK118" s="122"/>
      <c r="AL118" s="122"/>
      <c r="AM118" s="122"/>
      <c r="AN118" s="64"/>
      <c r="AO118" s="118"/>
      <c r="AP118" s="77"/>
      <c r="AQ118" s="76">
        <f t="shared" si="13"/>
        <v>0</v>
      </c>
    </row>
    <row r="119" spans="2:43" x14ac:dyDescent="0.25">
      <c r="B119" s="182"/>
      <c r="C119" s="116"/>
      <c r="D119" s="117"/>
      <c r="E119" s="118"/>
      <c r="F119" s="126"/>
      <c r="G119" s="127"/>
      <c r="H119" s="119"/>
      <c r="I119" s="119"/>
      <c r="J119" s="115"/>
      <c r="K119" s="80"/>
      <c r="L119" s="120"/>
      <c r="M119" s="8"/>
      <c r="N119" s="115"/>
      <c r="O119" s="78"/>
      <c r="P119" s="121"/>
      <c r="Q119" s="115"/>
      <c r="R119" s="122"/>
      <c r="S119" s="122"/>
      <c r="T119" s="122"/>
      <c r="U119" s="122"/>
      <c r="V119" s="122"/>
      <c r="W119" s="122"/>
      <c r="X119" s="128"/>
      <c r="Y119" s="128"/>
      <c r="Z119" s="128"/>
      <c r="AA119" s="128"/>
      <c r="AB119" s="128"/>
      <c r="AC119" s="122"/>
      <c r="AD119" s="122"/>
      <c r="AE119" s="122"/>
      <c r="AF119" s="122"/>
      <c r="AG119" s="122"/>
      <c r="AH119" s="122"/>
      <c r="AI119" s="122"/>
      <c r="AJ119" s="122"/>
      <c r="AK119" s="122"/>
      <c r="AL119" s="122"/>
      <c r="AM119" s="122"/>
      <c r="AN119" s="64"/>
      <c r="AO119" s="118"/>
      <c r="AP119" s="77"/>
      <c r="AQ119" s="76">
        <f t="shared" si="13"/>
        <v>0</v>
      </c>
    </row>
    <row r="120" spans="2:43" x14ac:dyDescent="0.25">
      <c r="B120" s="182"/>
      <c r="C120" s="116"/>
      <c r="D120" s="117"/>
      <c r="E120" s="118"/>
      <c r="F120" s="126"/>
      <c r="G120" s="127"/>
      <c r="H120" s="119"/>
      <c r="I120" s="119"/>
      <c r="J120" s="115"/>
      <c r="K120" s="80"/>
      <c r="L120" s="120"/>
      <c r="M120" s="8"/>
      <c r="N120" s="115"/>
      <c r="O120" s="78"/>
      <c r="P120" s="121"/>
      <c r="Q120" s="115"/>
      <c r="R120" s="122"/>
      <c r="S120" s="122"/>
      <c r="T120" s="122"/>
      <c r="U120" s="122"/>
      <c r="V120" s="122"/>
      <c r="W120" s="122"/>
      <c r="X120" s="128"/>
      <c r="Y120" s="128"/>
      <c r="Z120" s="128"/>
      <c r="AA120" s="128"/>
      <c r="AB120" s="128"/>
      <c r="AC120" s="122"/>
      <c r="AD120" s="122"/>
      <c r="AE120" s="122"/>
      <c r="AF120" s="122"/>
      <c r="AG120" s="122"/>
      <c r="AH120" s="122"/>
      <c r="AI120" s="122"/>
      <c r="AJ120" s="122"/>
      <c r="AK120" s="122"/>
      <c r="AL120" s="122"/>
      <c r="AM120" s="122"/>
      <c r="AN120" s="64"/>
      <c r="AO120" s="118"/>
      <c r="AP120" s="77"/>
      <c r="AQ120" s="76">
        <f t="shared" si="13"/>
        <v>0</v>
      </c>
    </row>
    <row r="121" spans="2:43" x14ac:dyDescent="0.25">
      <c r="B121" s="182"/>
      <c r="C121" s="116"/>
      <c r="D121" s="117"/>
      <c r="E121" s="118"/>
      <c r="F121" s="126"/>
      <c r="G121" s="127"/>
      <c r="H121" s="119"/>
      <c r="I121" s="119"/>
      <c r="J121" s="115"/>
      <c r="K121" s="80"/>
      <c r="L121" s="120"/>
      <c r="M121" s="8"/>
      <c r="N121" s="115"/>
      <c r="O121" s="78"/>
      <c r="P121" s="121"/>
      <c r="Q121" s="115"/>
      <c r="R121" s="122"/>
      <c r="S121" s="122"/>
      <c r="T121" s="122"/>
      <c r="U121" s="122"/>
      <c r="V121" s="122"/>
      <c r="W121" s="122"/>
      <c r="X121" s="128"/>
      <c r="Y121" s="128"/>
      <c r="Z121" s="128"/>
      <c r="AA121" s="128"/>
      <c r="AB121" s="128"/>
      <c r="AC121" s="122"/>
      <c r="AD121" s="122"/>
      <c r="AE121" s="122"/>
      <c r="AF121" s="122"/>
      <c r="AG121" s="122"/>
      <c r="AH121" s="122"/>
      <c r="AI121" s="122"/>
      <c r="AJ121" s="122"/>
      <c r="AK121" s="122"/>
      <c r="AL121" s="122"/>
      <c r="AM121" s="122"/>
      <c r="AN121" s="64"/>
      <c r="AO121" s="118"/>
      <c r="AP121" s="77"/>
      <c r="AQ121" s="76">
        <f t="shared" si="13"/>
        <v>0</v>
      </c>
    </row>
    <row r="122" spans="2:43" x14ac:dyDescent="0.25">
      <c r="B122" s="182"/>
      <c r="C122" s="116"/>
      <c r="D122" s="117"/>
      <c r="E122" s="118"/>
      <c r="F122" s="126"/>
      <c r="G122" s="127"/>
      <c r="H122" s="119"/>
      <c r="I122" s="119"/>
      <c r="J122" s="115"/>
      <c r="K122" s="80"/>
      <c r="L122" s="120"/>
      <c r="M122" s="8"/>
      <c r="N122" s="115"/>
      <c r="O122" s="78"/>
      <c r="P122" s="121"/>
      <c r="Q122" s="115"/>
      <c r="R122" s="122"/>
      <c r="S122" s="122"/>
      <c r="T122" s="122"/>
      <c r="U122" s="122"/>
      <c r="V122" s="122"/>
      <c r="W122" s="122"/>
      <c r="X122" s="128"/>
      <c r="Y122" s="128"/>
      <c r="Z122" s="128"/>
      <c r="AA122" s="128"/>
      <c r="AB122" s="128"/>
      <c r="AC122" s="122"/>
      <c r="AD122" s="122"/>
      <c r="AE122" s="122"/>
      <c r="AF122" s="122"/>
      <c r="AG122" s="122"/>
      <c r="AH122" s="122"/>
      <c r="AI122" s="122"/>
      <c r="AJ122" s="122"/>
      <c r="AK122" s="122"/>
      <c r="AL122" s="122"/>
      <c r="AM122" s="122"/>
      <c r="AN122" s="64"/>
      <c r="AO122" s="118"/>
      <c r="AP122" s="77"/>
      <c r="AQ122" s="76">
        <f t="shared" si="13"/>
        <v>0</v>
      </c>
    </row>
    <row r="123" spans="2:43" x14ac:dyDescent="0.25">
      <c r="B123" s="182"/>
      <c r="C123" s="116"/>
      <c r="D123" s="117"/>
      <c r="E123" s="118"/>
      <c r="F123" s="126"/>
      <c r="G123" s="127"/>
      <c r="H123" s="119"/>
      <c r="I123" s="119"/>
      <c r="J123" s="115"/>
      <c r="K123" s="80"/>
      <c r="L123" s="120"/>
      <c r="M123" s="8"/>
      <c r="N123" s="115"/>
      <c r="O123" s="78"/>
      <c r="P123" s="121"/>
      <c r="Q123" s="115"/>
      <c r="R123" s="122"/>
      <c r="S123" s="122"/>
      <c r="T123" s="122"/>
      <c r="U123" s="122"/>
      <c r="V123" s="122"/>
      <c r="W123" s="122"/>
      <c r="X123" s="128"/>
      <c r="Y123" s="128"/>
      <c r="Z123" s="128"/>
      <c r="AA123" s="128"/>
      <c r="AB123" s="128"/>
      <c r="AC123" s="122"/>
      <c r="AD123" s="122"/>
      <c r="AE123" s="122"/>
      <c r="AF123" s="122"/>
      <c r="AG123" s="122"/>
      <c r="AH123" s="122"/>
      <c r="AI123" s="122"/>
      <c r="AJ123" s="122"/>
      <c r="AK123" s="122"/>
      <c r="AL123" s="122"/>
      <c r="AM123" s="122"/>
      <c r="AN123" s="64"/>
      <c r="AO123" s="118"/>
      <c r="AP123" s="77"/>
      <c r="AQ123" s="76">
        <f t="shared" si="13"/>
        <v>0</v>
      </c>
    </row>
    <row r="124" spans="2:43" x14ac:dyDescent="0.25">
      <c r="B124" s="182"/>
      <c r="C124" s="116"/>
      <c r="D124" s="117"/>
      <c r="E124" s="118"/>
      <c r="F124" s="126"/>
      <c r="G124" s="127"/>
      <c r="H124" s="119"/>
      <c r="I124" s="119"/>
      <c r="J124" s="115"/>
      <c r="K124" s="80"/>
      <c r="L124" s="120"/>
      <c r="M124" s="8"/>
      <c r="N124" s="115"/>
      <c r="O124" s="78"/>
      <c r="P124" s="121"/>
      <c r="Q124" s="115"/>
      <c r="R124" s="122"/>
      <c r="S124" s="122"/>
      <c r="T124" s="122"/>
      <c r="U124" s="122"/>
      <c r="V124" s="122"/>
      <c r="W124" s="122"/>
      <c r="X124" s="128"/>
      <c r="Y124" s="128"/>
      <c r="Z124" s="128"/>
      <c r="AA124" s="128"/>
      <c r="AB124" s="128"/>
      <c r="AC124" s="122"/>
      <c r="AD124" s="122"/>
      <c r="AE124" s="122"/>
      <c r="AF124" s="122"/>
      <c r="AG124" s="122"/>
      <c r="AH124" s="122"/>
      <c r="AI124" s="122"/>
      <c r="AJ124" s="122"/>
      <c r="AK124" s="122"/>
      <c r="AL124" s="122"/>
      <c r="AM124" s="122"/>
      <c r="AN124" s="64"/>
      <c r="AO124" s="118"/>
      <c r="AP124" s="77"/>
      <c r="AQ124" s="76">
        <f t="shared" si="13"/>
        <v>0</v>
      </c>
    </row>
    <row r="125" spans="2:43" x14ac:dyDescent="0.25">
      <c r="B125" s="182"/>
      <c r="C125" s="116"/>
      <c r="D125" s="117"/>
      <c r="E125" s="118"/>
      <c r="F125" s="126"/>
      <c r="G125" s="127"/>
      <c r="H125" s="119"/>
      <c r="I125" s="119"/>
      <c r="J125" s="115"/>
      <c r="K125" s="80"/>
      <c r="L125" s="120"/>
      <c r="M125" s="8"/>
      <c r="N125" s="115"/>
      <c r="O125" s="78"/>
      <c r="P125" s="121"/>
      <c r="Q125" s="115"/>
      <c r="R125" s="122"/>
      <c r="S125" s="122"/>
      <c r="T125" s="122"/>
      <c r="U125" s="122"/>
      <c r="V125" s="122"/>
      <c r="W125" s="122"/>
      <c r="X125" s="128"/>
      <c r="Y125" s="128"/>
      <c r="Z125" s="128"/>
      <c r="AA125" s="128"/>
      <c r="AB125" s="128"/>
      <c r="AC125" s="122"/>
      <c r="AD125" s="122"/>
      <c r="AE125" s="122"/>
      <c r="AF125" s="122"/>
      <c r="AG125" s="122"/>
      <c r="AH125" s="122"/>
      <c r="AI125" s="122"/>
      <c r="AJ125" s="122"/>
      <c r="AK125" s="122"/>
      <c r="AL125" s="122"/>
      <c r="AM125" s="122"/>
      <c r="AN125" s="64"/>
      <c r="AO125" s="118"/>
      <c r="AP125" s="77"/>
      <c r="AQ125" s="76">
        <f t="shared" si="13"/>
        <v>0</v>
      </c>
    </row>
    <row r="126" spans="2:43" x14ac:dyDescent="0.25">
      <c r="B126" s="182"/>
      <c r="C126" s="116"/>
      <c r="D126" s="117"/>
      <c r="E126" s="118"/>
      <c r="F126" s="126"/>
      <c r="G126" s="127"/>
      <c r="H126" s="119"/>
      <c r="I126" s="119"/>
      <c r="J126" s="115"/>
      <c r="K126" s="80"/>
      <c r="L126" s="120"/>
      <c r="M126" s="8"/>
      <c r="N126" s="115"/>
      <c r="O126" s="78"/>
      <c r="P126" s="121"/>
      <c r="Q126" s="115"/>
      <c r="R126" s="122"/>
      <c r="S126" s="122"/>
      <c r="T126" s="122"/>
      <c r="U126" s="122"/>
      <c r="V126" s="122"/>
      <c r="W126" s="122"/>
      <c r="X126" s="128"/>
      <c r="Y126" s="128"/>
      <c r="Z126" s="128"/>
      <c r="AA126" s="128"/>
      <c r="AB126" s="128"/>
      <c r="AC126" s="122"/>
      <c r="AD126" s="122"/>
      <c r="AE126" s="122"/>
      <c r="AF126" s="122"/>
      <c r="AG126" s="122"/>
      <c r="AH126" s="122"/>
      <c r="AI126" s="122"/>
      <c r="AJ126" s="122"/>
      <c r="AK126" s="122"/>
      <c r="AL126" s="122"/>
      <c r="AM126" s="122"/>
      <c r="AN126" s="64"/>
      <c r="AO126" s="118"/>
      <c r="AP126" s="77"/>
      <c r="AQ126" s="76">
        <f t="shared" si="13"/>
        <v>0</v>
      </c>
    </row>
    <row r="127" spans="2:43" x14ac:dyDescent="0.25">
      <c r="B127" s="182"/>
      <c r="C127" s="116"/>
      <c r="D127" s="117"/>
      <c r="E127" s="118"/>
      <c r="F127" s="126"/>
      <c r="G127" s="127"/>
      <c r="H127" s="119"/>
      <c r="I127" s="119"/>
      <c r="J127" s="115"/>
      <c r="K127" s="80"/>
      <c r="L127" s="120"/>
      <c r="M127" s="8"/>
      <c r="N127" s="115"/>
      <c r="O127" s="78"/>
      <c r="P127" s="121"/>
      <c r="Q127" s="115"/>
      <c r="R127" s="122"/>
      <c r="S127" s="122"/>
      <c r="T127" s="122"/>
      <c r="U127" s="122"/>
      <c r="V127" s="122"/>
      <c r="W127" s="122"/>
      <c r="X127" s="128"/>
      <c r="Y127" s="128"/>
      <c r="Z127" s="128"/>
      <c r="AA127" s="128"/>
      <c r="AB127" s="128"/>
      <c r="AC127" s="122"/>
      <c r="AD127" s="122"/>
      <c r="AE127" s="122"/>
      <c r="AF127" s="122"/>
      <c r="AG127" s="122"/>
      <c r="AH127" s="122"/>
      <c r="AI127" s="122"/>
      <c r="AJ127" s="122"/>
      <c r="AK127" s="122"/>
      <c r="AL127" s="122"/>
      <c r="AM127" s="122"/>
      <c r="AN127" s="64"/>
      <c r="AO127" s="118"/>
      <c r="AP127" s="77"/>
      <c r="AQ127" s="76">
        <f t="shared" si="13"/>
        <v>0</v>
      </c>
    </row>
    <row r="128" spans="2:43" x14ac:dyDescent="0.25">
      <c r="B128" s="182"/>
      <c r="C128" s="116"/>
      <c r="D128" s="117"/>
      <c r="E128" s="118"/>
      <c r="F128" s="126"/>
      <c r="G128" s="127"/>
      <c r="H128" s="119"/>
      <c r="I128" s="119"/>
      <c r="J128" s="115"/>
      <c r="K128" s="80"/>
      <c r="L128" s="120"/>
      <c r="M128" s="8"/>
      <c r="N128" s="115"/>
      <c r="O128" s="78"/>
      <c r="P128" s="121"/>
      <c r="Q128" s="115"/>
      <c r="R128" s="122"/>
      <c r="S128" s="122"/>
      <c r="T128" s="122"/>
      <c r="U128" s="122"/>
      <c r="V128" s="122"/>
      <c r="W128" s="122"/>
      <c r="X128" s="128"/>
      <c r="Y128" s="128"/>
      <c r="Z128" s="128"/>
      <c r="AA128" s="128"/>
      <c r="AB128" s="128"/>
      <c r="AC128" s="122"/>
      <c r="AD128" s="122"/>
      <c r="AE128" s="122"/>
      <c r="AF128" s="122"/>
      <c r="AG128" s="122"/>
      <c r="AH128" s="122"/>
      <c r="AI128" s="122"/>
      <c r="AJ128" s="122"/>
      <c r="AK128" s="122"/>
      <c r="AL128" s="122"/>
      <c r="AM128" s="122"/>
      <c r="AN128" s="64"/>
      <c r="AO128" s="118"/>
      <c r="AP128" s="77"/>
      <c r="AQ128" s="76">
        <f t="shared" si="13"/>
        <v>0</v>
      </c>
    </row>
    <row r="129" spans="2:43" x14ac:dyDescent="0.25">
      <c r="B129" s="182"/>
      <c r="C129" s="116"/>
      <c r="D129" s="117"/>
      <c r="E129" s="118"/>
      <c r="F129" s="126"/>
      <c r="G129" s="127"/>
      <c r="H129" s="119"/>
      <c r="I129" s="119"/>
      <c r="J129" s="115"/>
      <c r="K129" s="80"/>
      <c r="L129" s="120"/>
      <c r="M129" s="8"/>
      <c r="N129" s="115"/>
      <c r="O129" s="78"/>
      <c r="P129" s="121"/>
      <c r="Q129" s="115"/>
      <c r="R129" s="122"/>
      <c r="S129" s="122"/>
      <c r="T129" s="122"/>
      <c r="U129" s="122"/>
      <c r="V129" s="122"/>
      <c r="W129" s="122"/>
      <c r="X129" s="128"/>
      <c r="Y129" s="128"/>
      <c r="Z129" s="128"/>
      <c r="AA129" s="128"/>
      <c r="AB129" s="128"/>
      <c r="AC129" s="122"/>
      <c r="AD129" s="122"/>
      <c r="AE129" s="122"/>
      <c r="AF129" s="122"/>
      <c r="AG129" s="122"/>
      <c r="AH129" s="122"/>
      <c r="AI129" s="122"/>
      <c r="AJ129" s="122"/>
      <c r="AK129" s="122"/>
      <c r="AL129" s="122"/>
      <c r="AM129" s="122"/>
      <c r="AN129" s="64"/>
      <c r="AO129" s="118"/>
      <c r="AP129" s="77"/>
      <c r="AQ129" s="76">
        <f t="shared" si="13"/>
        <v>0</v>
      </c>
    </row>
    <row r="130" spans="2:43" x14ac:dyDescent="0.25">
      <c r="B130" s="182"/>
      <c r="C130" s="116"/>
      <c r="D130" s="117"/>
      <c r="E130" s="118"/>
      <c r="F130" s="126"/>
      <c r="G130" s="127"/>
      <c r="H130" s="119"/>
      <c r="I130" s="119"/>
      <c r="J130" s="115"/>
      <c r="K130" s="80"/>
      <c r="L130" s="120"/>
      <c r="M130" s="8"/>
      <c r="N130" s="115"/>
      <c r="O130" s="78"/>
      <c r="P130" s="121"/>
      <c r="Q130" s="115"/>
      <c r="R130" s="122"/>
      <c r="S130" s="122"/>
      <c r="T130" s="122"/>
      <c r="U130" s="122"/>
      <c r="V130" s="122"/>
      <c r="W130" s="122"/>
      <c r="X130" s="128"/>
      <c r="Y130" s="128"/>
      <c r="Z130" s="128"/>
      <c r="AA130" s="128"/>
      <c r="AB130" s="128"/>
      <c r="AC130" s="122"/>
      <c r="AD130" s="122"/>
      <c r="AE130" s="122"/>
      <c r="AF130" s="122"/>
      <c r="AG130" s="122"/>
      <c r="AH130" s="122"/>
      <c r="AI130" s="122"/>
      <c r="AJ130" s="122"/>
      <c r="AK130" s="122"/>
      <c r="AL130" s="122"/>
      <c r="AM130" s="122"/>
      <c r="AN130" s="64"/>
      <c r="AO130" s="118"/>
      <c r="AP130" s="77"/>
      <c r="AQ130" s="76">
        <f t="shared" si="13"/>
        <v>0</v>
      </c>
    </row>
    <row r="131" spans="2:43" x14ac:dyDescent="0.25">
      <c r="B131" s="182"/>
      <c r="C131" s="116"/>
      <c r="D131" s="117"/>
      <c r="E131" s="118"/>
      <c r="F131" s="126"/>
      <c r="G131" s="127"/>
      <c r="H131" s="119"/>
      <c r="I131" s="119"/>
      <c r="J131" s="115"/>
      <c r="K131" s="80"/>
      <c r="L131" s="120"/>
      <c r="M131" s="8"/>
      <c r="N131" s="115"/>
      <c r="O131" s="78"/>
      <c r="P131" s="121"/>
      <c r="Q131" s="115"/>
      <c r="R131" s="122"/>
      <c r="S131" s="122"/>
      <c r="T131" s="122"/>
      <c r="U131" s="122"/>
      <c r="V131" s="122"/>
      <c r="W131" s="122"/>
      <c r="X131" s="128"/>
      <c r="Y131" s="128"/>
      <c r="Z131" s="128"/>
      <c r="AA131" s="128"/>
      <c r="AB131" s="128"/>
      <c r="AC131" s="122"/>
      <c r="AD131" s="122"/>
      <c r="AE131" s="122"/>
      <c r="AF131" s="122"/>
      <c r="AG131" s="122"/>
      <c r="AH131" s="122"/>
      <c r="AI131" s="122"/>
      <c r="AJ131" s="122"/>
      <c r="AK131" s="122"/>
      <c r="AL131" s="122"/>
      <c r="AM131" s="122"/>
      <c r="AN131" s="64"/>
      <c r="AO131" s="118"/>
      <c r="AP131" s="77"/>
      <c r="AQ131" s="76">
        <f t="shared" si="13"/>
        <v>0</v>
      </c>
    </row>
    <row r="132" spans="2:43" x14ac:dyDescent="0.25">
      <c r="B132" s="182"/>
      <c r="C132" s="116"/>
      <c r="D132" s="117"/>
      <c r="E132" s="118"/>
      <c r="F132" s="126"/>
      <c r="G132" s="127"/>
      <c r="H132" s="119"/>
      <c r="I132" s="119"/>
      <c r="J132" s="115"/>
      <c r="K132" s="80"/>
      <c r="L132" s="120"/>
      <c r="M132" s="8"/>
      <c r="N132" s="115"/>
      <c r="O132" s="78"/>
      <c r="P132" s="121"/>
      <c r="Q132" s="115"/>
      <c r="R132" s="122"/>
      <c r="S132" s="122"/>
      <c r="T132" s="122"/>
      <c r="U132" s="122"/>
      <c r="V132" s="122"/>
      <c r="W132" s="122"/>
      <c r="X132" s="128"/>
      <c r="Y132" s="128"/>
      <c r="Z132" s="128"/>
      <c r="AA132" s="128"/>
      <c r="AB132" s="128"/>
      <c r="AC132" s="122"/>
      <c r="AD132" s="122"/>
      <c r="AE132" s="122"/>
      <c r="AF132" s="122"/>
      <c r="AG132" s="122"/>
      <c r="AH132" s="122"/>
      <c r="AI132" s="122"/>
      <c r="AJ132" s="122"/>
      <c r="AK132" s="122"/>
      <c r="AL132" s="122"/>
      <c r="AM132" s="122"/>
      <c r="AN132" s="64"/>
      <c r="AO132" s="118"/>
      <c r="AP132" s="77"/>
      <c r="AQ132" s="76">
        <f t="shared" si="13"/>
        <v>0</v>
      </c>
    </row>
    <row r="133" spans="2:43" x14ac:dyDescent="0.25">
      <c r="B133" s="182"/>
      <c r="C133" s="116"/>
      <c r="D133" s="117"/>
      <c r="E133" s="118"/>
      <c r="F133" s="126"/>
      <c r="G133" s="127"/>
      <c r="H133" s="119"/>
      <c r="I133" s="119"/>
      <c r="J133" s="115"/>
      <c r="K133" s="80"/>
      <c r="L133" s="120"/>
      <c r="M133" s="8"/>
      <c r="N133" s="115"/>
      <c r="O133" s="78"/>
      <c r="P133" s="121"/>
      <c r="Q133" s="115"/>
      <c r="R133" s="122"/>
      <c r="S133" s="122"/>
      <c r="T133" s="122"/>
      <c r="U133" s="122"/>
      <c r="V133" s="122"/>
      <c r="W133" s="122"/>
      <c r="X133" s="128"/>
      <c r="Y133" s="128"/>
      <c r="Z133" s="128"/>
      <c r="AA133" s="128"/>
      <c r="AB133" s="128"/>
      <c r="AC133" s="122"/>
      <c r="AD133" s="122"/>
      <c r="AE133" s="122"/>
      <c r="AF133" s="122"/>
      <c r="AG133" s="122"/>
      <c r="AH133" s="122"/>
      <c r="AI133" s="122"/>
      <c r="AJ133" s="122"/>
      <c r="AK133" s="122"/>
      <c r="AL133" s="122"/>
      <c r="AM133" s="122"/>
      <c r="AN133" s="64"/>
      <c r="AO133" s="118"/>
      <c r="AP133" s="77"/>
      <c r="AQ133" s="76">
        <f t="shared" si="13"/>
        <v>0</v>
      </c>
    </row>
    <row r="134" spans="2:43" x14ac:dyDescent="0.25">
      <c r="B134" s="182"/>
      <c r="C134" s="116"/>
      <c r="D134" s="117"/>
      <c r="E134" s="118"/>
      <c r="F134" s="126"/>
      <c r="G134" s="127"/>
      <c r="H134" s="119"/>
      <c r="I134" s="119"/>
      <c r="J134" s="115"/>
      <c r="K134" s="80"/>
      <c r="L134" s="120"/>
      <c r="M134" s="8"/>
      <c r="N134" s="115"/>
      <c r="O134" s="78"/>
      <c r="P134" s="121"/>
      <c r="Q134" s="115"/>
      <c r="R134" s="122"/>
      <c r="S134" s="122"/>
      <c r="T134" s="122"/>
      <c r="U134" s="122"/>
      <c r="V134" s="122"/>
      <c r="W134" s="122"/>
      <c r="X134" s="128"/>
      <c r="Y134" s="128"/>
      <c r="Z134" s="128"/>
      <c r="AA134" s="128"/>
      <c r="AB134" s="128"/>
      <c r="AC134" s="122"/>
      <c r="AD134" s="122"/>
      <c r="AE134" s="122"/>
      <c r="AF134" s="122"/>
      <c r="AG134" s="122"/>
      <c r="AH134" s="122"/>
      <c r="AI134" s="122"/>
      <c r="AJ134" s="122"/>
      <c r="AK134" s="122"/>
      <c r="AL134" s="122"/>
      <c r="AM134" s="122"/>
      <c r="AN134" s="64"/>
      <c r="AO134" s="118"/>
      <c r="AP134" s="77"/>
      <c r="AQ134" s="76">
        <f t="shared" si="13"/>
        <v>0</v>
      </c>
    </row>
    <row r="135" spans="2:43" x14ac:dyDescent="0.25">
      <c r="B135" s="182"/>
      <c r="C135" s="116"/>
      <c r="D135" s="117"/>
      <c r="E135" s="118"/>
      <c r="F135" s="126"/>
      <c r="G135" s="127"/>
      <c r="H135" s="119"/>
      <c r="I135" s="119"/>
      <c r="J135" s="115"/>
      <c r="K135" s="80"/>
      <c r="L135" s="120"/>
      <c r="M135" s="8"/>
      <c r="N135" s="115"/>
      <c r="O135" s="78"/>
      <c r="P135" s="121"/>
      <c r="Q135" s="115"/>
      <c r="R135" s="122"/>
      <c r="S135" s="122"/>
      <c r="T135" s="122"/>
      <c r="U135" s="122"/>
      <c r="V135" s="122"/>
      <c r="W135" s="122"/>
      <c r="X135" s="128"/>
      <c r="Y135" s="128"/>
      <c r="Z135" s="128"/>
      <c r="AA135" s="128"/>
      <c r="AB135" s="128"/>
      <c r="AC135" s="122"/>
      <c r="AD135" s="122"/>
      <c r="AE135" s="122"/>
      <c r="AF135" s="122"/>
      <c r="AG135" s="122"/>
      <c r="AH135" s="122"/>
      <c r="AI135" s="122"/>
      <c r="AJ135" s="122"/>
      <c r="AK135" s="122"/>
      <c r="AL135" s="122"/>
      <c r="AM135" s="122"/>
      <c r="AN135" s="64"/>
      <c r="AO135" s="118"/>
      <c r="AP135" s="77"/>
      <c r="AQ135" s="76">
        <f t="shared" si="13"/>
        <v>0</v>
      </c>
    </row>
    <row r="136" spans="2:43" x14ac:dyDescent="0.25">
      <c r="B136" s="182"/>
      <c r="C136" s="116"/>
      <c r="D136" s="117"/>
      <c r="E136" s="118"/>
      <c r="F136" s="126"/>
      <c r="G136" s="127"/>
      <c r="H136" s="119"/>
      <c r="I136" s="119"/>
      <c r="J136" s="115"/>
      <c r="K136" s="80"/>
      <c r="L136" s="120"/>
      <c r="M136" s="8"/>
      <c r="N136" s="115"/>
      <c r="O136" s="78"/>
      <c r="P136" s="121"/>
      <c r="Q136" s="115"/>
      <c r="R136" s="122"/>
      <c r="S136" s="122"/>
      <c r="T136" s="122"/>
      <c r="U136" s="122"/>
      <c r="V136" s="122"/>
      <c r="W136" s="122"/>
      <c r="X136" s="128"/>
      <c r="Y136" s="128"/>
      <c r="Z136" s="128"/>
      <c r="AA136" s="128"/>
      <c r="AB136" s="128"/>
      <c r="AC136" s="122"/>
      <c r="AD136" s="122"/>
      <c r="AE136" s="122"/>
      <c r="AF136" s="122"/>
      <c r="AG136" s="122"/>
      <c r="AH136" s="122"/>
      <c r="AI136" s="122"/>
      <c r="AJ136" s="122"/>
      <c r="AK136" s="122"/>
      <c r="AL136" s="122"/>
      <c r="AM136" s="122"/>
      <c r="AN136" s="64"/>
      <c r="AO136" s="118"/>
      <c r="AP136" s="77"/>
      <c r="AQ136" s="76">
        <f t="shared" si="13"/>
        <v>0</v>
      </c>
    </row>
    <row r="137" spans="2:43" x14ac:dyDescent="0.25">
      <c r="B137" s="182"/>
      <c r="C137" s="116"/>
      <c r="D137" s="117"/>
      <c r="E137" s="118"/>
      <c r="F137" s="126"/>
      <c r="G137" s="127"/>
      <c r="H137" s="119"/>
      <c r="I137" s="119"/>
      <c r="J137" s="115"/>
      <c r="K137" s="80"/>
      <c r="L137" s="120"/>
      <c r="M137" s="8"/>
      <c r="N137" s="115"/>
      <c r="O137" s="78"/>
      <c r="P137" s="121"/>
      <c r="Q137" s="115"/>
      <c r="R137" s="122"/>
      <c r="S137" s="122"/>
      <c r="T137" s="122"/>
      <c r="U137" s="122"/>
      <c r="V137" s="122"/>
      <c r="W137" s="122"/>
      <c r="X137" s="128"/>
      <c r="Y137" s="128"/>
      <c r="Z137" s="128"/>
      <c r="AA137" s="128"/>
      <c r="AB137" s="128"/>
      <c r="AC137" s="122"/>
      <c r="AD137" s="122"/>
      <c r="AE137" s="122"/>
      <c r="AF137" s="122"/>
      <c r="AG137" s="122"/>
      <c r="AH137" s="122"/>
      <c r="AI137" s="122"/>
      <c r="AJ137" s="122"/>
      <c r="AK137" s="122"/>
      <c r="AL137" s="122"/>
      <c r="AM137" s="122"/>
      <c r="AN137" s="64"/>
      <c r="AO137" s="118"/>
      <c r="AP137" s="77"/>
      <c r="AQ137" s="76">
        <f t="shared" si="13"/>
        <v>0</v>
      </c>
    </row>
    <row r="138" spans="2:43" x14ac:dyDescent="0.25">
      <c r="B138" s="182"/>
      <c r="C138" s="116"/>
      <c r="D138" s="117"/>
      <c r="E138" s="118"/>
      <c r="F138" s="126"/>
      <c r="G138" s="127"/>
      <c r="H138" s="119"/>
      <c r="I138" s="119"/>
      <c r="J138" s="115"/>
      <c r="K138" s="80"/>
      <c r="L138" s="120"/>
      <c r="M138" s="8"/>
      <c r="N138" s="115"/>
      <c r="O138" s="78"/>
      <c r="P138" s="121"/>
      <c r="Q138" s="115"/>
      <c r="R138" s="122"/>
      <c r="S138" s="122"/>
      <c r="T138" s="122"/>
      <c r="U138" s="122"/>
      <c r="V138" s="122"/>
      <c r="W138" s="122"/>
      <c r="X138" s="128"/>
      <c r="Y138" s="128"/>
      <c r="Z138" s="128"/>
      <c r="AA138" s="128"/>
      <c r="AB138" s="128"/>
      <c r="AC138" s="122"/>
      <c r="AD138" s="122"/>
      <c r="AE138" s="122"/>
      <c r="AF138" s="122"/>
      <c r="AG138" s="122"/>
      <c r="AH138" s="122"/>
      <c r="AI138" s="122"/>
      <c r="AJ138" s="122"/>
      <c r="AK138" s="122"/>
      <c r="AL138" s="122"/>
      <c r="AM138" s="122"/>
      <c r="AN138" s="64"/>
      <c r="AO138" s="118"/>
      <c r="AP138" s="77"/>
      <c r="AQ138" s="76">
        <f t="shared" si="13"/>
        <v>0</v>
      </c>
    </row>
    <row r="139" spans="2:43" x14ac:dyDescent="0.25">
      <c r="B139" s="182"/>
      <c r="C139" s="116"/>
      <c r="D139" s="117"/>
      <c r="E139" s="118"/>
      <c r="F139" s="126"/>
      <c r="G139" s="127"/>
      <c r="H139" s="119"/>
      <c r="I139" s="119"/>
      <c r="J139" s="115"/>
      <c r="K139" s="80"/>
      <c r="L139" s="120"/>
      <c r="M139" s="8"/>
      <c r="N139" s="115"/>
      <c r="O139" s="78"/>
      <c r="P139" s="121"/>
      <c r="Q139" s="115"/>
      <c r="R139" s="122"/>
      <c r="S139" s="122"/>
      <c r="T139" s="122"/>
      <c r="U139" s="122"/>
      <c r="V139" s="122"/>
      <c r="W139" s="122"/>
      <c r="X139" s="128"/>
      <c r="Y139" s="128"/>
      <c r="Z139" s="128"/>
      <c r="AA139" s="128"/>
      <c r="AB139" s="128"/>
      <c r="AC139" s="122"/>
      <c r="AD139" s="122"/>
      <c r="AE139" s="122"/>
      <c r="AF139" s="122"/>
      <c r="AG139" s="122"/>
      <c r="AH139" s="122"/>
      <c r="AI139" s="122"/>
      <c r="AJ139" s="122"/>
      <c r="AK139" s="122"/>
      <c r="AL139" s="122"/>
      <c r="AM139" s="122"/>
      <c r="AN139" s="64"/>
      <c r="AO139" s="118"/>
      <c r="AP139" s="77"/>
      <c r="AQ139" s="76">
        <f t="shared" si="13"/>
        <v>0</v>
      </c>
    </row>
    <row r="140" spans="2:43" x14ac:dyDescent="0.25">
      <c r="B140" s="182"/>
      <c r="C140" s="116"/>
      <c r="D140" s="117"/>
      <c r="E140" s="118"/>
      <c r="F140" s="126"/>
      <c r="G140" s="127"/>
      <c r="H140" s="119"/>
      <c r="I140" s="119"/>
      <c r="J140" s="115"/>
      <c r="K140" s="80"/>
      <c r="L140" s="120"/>
      <c r="M140" s="8"/>
      <c r="N140" s="115"/>
      <c r="O140" s="78"/>
      <c r="P140" s="121"/>
      <c r="Q140" s="115"/>
      <c r="R140" s="122"/>
      <c r="S140" s="122"/>
      <c r="T140" s="122"/>
      <c r="U140" s="122"/>
      <c r="V140" s="122"/>
      <c r="W140" s="122"/>
      <c r="X140" s="128"/>
      <c r="Y140" s="128"/>
      <c r="Z140" s="128"/>
      <c r="AA140" s="128"/>
      <c r="AB140" s="128"/>
      <c r="AC140" s="122"/>
      <c r="AD140" s="122"/>
      <c r="AE140" s="122"/>
      <c r="AF140" s="122"/>
      <c r="AG140" s="122"/>
      <c r="AH140" s="122"/>
      <c r="AI140" s="122"/>
      <c r="AJ140" s="122"/>
      <c r="AK140" s="122"/>
      <c r="AL140" s="122"/>
      <c r="AM140" s="122"/>
      <c r="AN140" s="64"/>
      <c r="AO140" s="118"/>
      <c r="AP140" s="77"/>
      <c r="AQ140" s="76">
        <f t="shared" si="13"/>
        <v>0</v>
      </c>
    </row>
    <row r="141" spans="2:43" x14ac:dyDescent="0.25">
      <c r="B141" s="182"/>
      <c r="C141" s="116"/>
      <c r="D141" s="117"/>
      <c r="E141" s="118"/>
      <c r="F141" s="126"/>
      <c r="G141" s="127"/>
      <c r="H141" s="119"/>
      <c r="I141" s="119"/>
      <c r="J141" s="115"/>
      <c r="K141" s="80"/>
      <c r="L141" s="120"/>
      <c r="M141" s="8"/>
      <c r="N141" s="115"/>
      <c r="O141" s="78"/>
      <c r="P141" s="121"/>
      <c r="Q141" s="115"/>
      <c r="R141" s="122"/>
      <c r="S141" s="122"/>
      <c r="T141" s="122"/>
      <c r="U141" s="122"/>
      <c r="V141" s="122"/>
      <c r="W141" s="122"/>
      <c r="X141" s="128"/>
      <c r="Y141" s="128"/>
      <c r="Z141" s="128"/>
      <c r="AA141" s="128"/>
      <c r="AB141" s="128"/>
      <c r="AC141" s="122"/>
      <c r="AD141" s="122"/>
      <c r="AE141" s="122"/>
      <c r="AF141" s="122"/>
      <c r="AG141" s="122"/>
      <c r="AH141" s="122"/>
      <c r="AI141" s="122"/>
      <c r="AJ141" s="122"/>
      <c r="AK141" s="122"/>
      <c r="AL141" s="122"/>
      <c r="AM141" s="122"/>
      <c r="AN141" s="64"/>
      <c r="AO141" s="118"/>
      <c r="AP141" s="77"/>
      <c r="AQ141" s="76">
        <f t="shared" si="13"/>
        <v>0</v>
      </c>
    </row>
    <row r="142" spans="2:43" x14ac:dyDescent="0.25">
      <c r="B142" s="182"/>
      <c r="C142" s="116"/>
      <c r="D142" s="117"/>
      <c r="E142" s="118"/>
      <c r="F142" s="126"/>
      <c r="G142" s="127"/>
      <c r="H142" s="119"/>
      <c r="I142" s="119"/>
      <c r="J142" s="115"/>
      <c r="K142" s="80"/>
      <c r="L142" s="120"/>
      <c r="M142" s="8"/>
      <c r="N142" s="115"/>
      <c r="O142" s="78"/>
      <c r="P142" s="121"/>
      <c r="Q142" s="115"/>
      <c r="R142" s="122"/>
      <c r="S142" s="122"/>
      <c r="T142" s="122"/>
      <c r="U142" s="122"/>
      <c r="V142" s="122"/>
      <c r="W142" s="122"/>
      <c r="X142" s="128"/>
      <c r="Y142" s="128"/>
      <c r="Z142" s="128"/>
      <c r="AA142" s="128"/>
      <c r="AB142" s="128"/>
      <c r="AC142" s="122"/>
      <c r="AD142" s="122"/>
      <c r="AE142" s="122"/>
      <c r="AF142" s="122"/>
      <c r="AG142" s="122"/>
      <c r="AH142" s="122"/>
      <c r="AI142" s="122"/>
      <c r="AJ142" s="122"/>
      <c r="AK142" s="122"/>
      <c r="AL142" s="122"/>
      <c r="AM142" s="122"/>
      <c r="AN142" s="64"/>
      <c r="AO142" s="118"/>
      <c r="AP142" s="77"/>
      <c r="AQ142" s="76">
        <f t="shared" si="13"/>
        <v>0</v>
      </c>
    </row>
    <row r="143" spans="2:43" x14ac:dyDescent="0.25">
      <c r="B143" s="182"/>
      <c r="C143" s="116"/>
      <c r="D143" s="117"/>
      <c r="E143" s="118"/>
      <c r="F143" s="126"/>
      <c r="G143" s="127"/>
      <c r="H143" s="119"/>
      <c r="I143" s="119"/>
      <c r="J143" s="115"/>
      <c r="K143" s="80"/>
      <c r="L143" s="120"/>
      <c r="M143" s="8"/>
      <c r="N143" s="115"/>
      <c r="O143" s="78"/>
      <c r="P143" s="121"/>
      <c r="Q143" s="115"/>
      <c r="R143" s="122"/>
      <c r="S143" s="122"/>
      <c r="T143" s="122"/>
      <c r="U143" s="122"/>
      <c r="V143" s="122"/>
      <c r="W143" s="122"/>
      <c r="X143" s="128"/>
      <c r="Y143" s="128"/>
      <c r="Z143" s="128"/>
      <c r="AA143" s="128"/>
      <c r="AB143" s="128"/>
      <c r="AC143" s="122"/>
      <c r="AD143" s="122"/>
      <c r="AE143" s="122"/>
      <c r="AF143" s="122"/>
      <c r="AG143" s="122"/>
      <c r="AH143" s="122"/>
      <c r="AI143" s="122"/>
      <c r="AJ143" s="122"/>
      <c r="AK143" s="122"/>
      <c r="AL143" s="122"/>
      <c r="AM143" s="122"/>
      <c r="AN143" s="64"/>
      <c r="AO143" s="118"/>
      <c r="AP143" s="77"/>
      <c r="AQ143" s="76">
        <f t="shared" si="13"/>
        <v>0</v>
      </c>
    </row>
    <row r="144" spans="2:43" x14ac:dyDescent="0.25">
      <c r="B144" s="182"/>
      <c r="C144" s="116"/>
      <c r="D144" s="117"/>
      <c r="E144" s="118"/>
      <c r="F144" s="126"/>
      <c r="G144" s="127"/>
      <c r="H144" s="119"/>
      <c r="I144" s="119"/>
      <c r="J144" s="115"/>
      <c r="K144" s="80"/>
      <c r="L144" s="120"/>
      <c r="M144" s="8"/>
      <c r="N144" s="115"/>
      <c r="O144" s="78"/>
      <c r="P144" s="121"/>
      <c r="Q144" s="115"/>
      <c r="R144" s="122"/>
      <c r="S144" s="122"/>
      <c r="T144" s="122"/>
      <c r="U144" s="122"/>
      <c r="V144" s="122"/>
      <c r="W144" s="122"/>
      <c r="X144" s="128"/>
      <c r="Y144" s="128"/>
      <c r="Z144" s="128"/>
      <c r="AA144" s="128"/>
      <c r="AB144" s="128"/>
      <c r="AC144" s="122"/>
      <c r="AD144" s="122"/>
      <c r="AE144" s="122"/>
      <c r="AF144" s="122"/>
      <c r="AG144" s="122"/>
      <c r="AH144" s="122"/>
      <c r="AI144" s="122"/>
      <c r="AJ144" s="122"/>
      <c r="AK144" s="122"/>
      <c r="AL144" s="122"/>
      <c r="AM144" s="122"/>
      <c r="AN144" s="64"/>
      <c r="AO144" s="118"/>
      <c r="AP144" s="77"/>
      <c r="AQ144" s="76">
        <f t="shared" si="13"/>
        <v>0</v>
      </c>
    </row>
    <row r="145" spans="2:43" x14ac:dyDescent="0.25">
      <c r="B145" s="182"/>
      <c r="C145" s="116"/>
      <c r="D145" s="117"/>
      <c r="E145" s="118"/>
      <c r="F145" s="126"/>
      <c r="G145" s="127"/>
      <c r="H145" s="119"/>
      <c r="I145" s="119"/>
      <c r="J145" s="115"/>
      <c r="K145" s="80"/>
      <c r="L145" s="120"/>
      <c r="M145" s="8"/>
      <c r="N145" s="115"/>
      <c r="O145" s="78"/>
      <c r="P145" s="121"/>
      <c r="Q145" s="115"/>
      <c r="R145" s="122"/>
      <c r="S145" s="122"/>
      <c r="T145" s="122"/>
      <c r="U145" s="122"/>
      <c r="V145" s="122"/>
      <c r="W145" s="122"/>
      <c r="X145" s="128"/>
      <c r="Y145" s="128"/>
      <c r="Z145" s="128"/>
      <c r="AA145" s="128"/>
      <c r="AB145" s="128"/>
      <c r="AC145" s="122"/>
      <c r="AD145" s="122"/>
      <c r="AE145" s="122"/>
      <c r="AF145" s="122"/>
      <c r="AG145" s="122"/>
      <c r="AH145" s="122"/>
      <c r="AI145" s="122"/>
      <c r="AJ145" s="122"/>
      <c r="AK145" s="122"/>
      <c r="AL145" s="122"/>
      <c r="AM145" s="122"/>
      <c r="AN145" s="64"/>
      <c r="AO145" s="118"/>
      <c r="AP145" s="77"/>
      <c r="AQ145" s="76">
        <f t="shared" si="13"/>
        <v>0</v>
      </c>
    </row>
    <row r="146" spans="2:43" x14ac:dyDescent="0.25">
      <c r="B146" s="182"/>
      <c r="C146" s="116"/>
      <c r="D146" s="117"/>
      <c r="E146" s="118"/>
      <c r="F146" s="126"/>
      <c r="G146" s="127"/>
      <c r="H146" s="119"/>
      <c r="I146" s="119"/>
      <c r="J146" s="115"/>
      <c r="K146" s="80"/>
      <c r="L146" s="120"/>
      <c r="M146" s="8"/>
      <c r="N146" s="115"/>
      <c r="O146" s="78"/>
      <c r="P146" s="121"/>
      <c r="Q146" s="115"/>
      <c r="R146" s="122"/>
      <c r="S146" s="122"/>
      <c r="T146" s="122"/>
      <c r="U146" s="122"/>
      <c r="V146" s="122"/>
      <c r="W146" s="122"/>
      <c r="X146" s="128"/>
      <c r="Y146" s="128"/>
      <c r="Z146" s="128"/>
      <c r="AA146" s="128"/>
      <c r="AB146" s="128"/>
      <c r="AC146" s="122"/>
      <c r="AD146" s="122"/>
      <c r="AE146" s="122"/>
      <c r="AF146" s="122"/>
      <c r="AG146" s="122"/>
      <c r="AH146" s="122"/>
      <c r="AI146" s="122"/>
      <c r="AJ146" s="122"/>
      <c r="AK146" s="122"/>
      <c r="AL146" s="122"/>
      <c r="AM146" s="122"/>
      <c r="AN146" s="64"/>
      <c r="AO146" s="118"/>
      <c r="AP146" s="77"/>
      <c r="AQ146" s="76">
        <f t="shared" si="13"/>
        <v>0</v>
      </c>
    </row>
    <row r="147" spans="2:43" x14ac:dyDescent="0.25">
      <c r="B147" s="182"/>
      <c r="C147" s="116"/>
      <c r="D147" s="117"/>
      <c r="E147" s="118"/>
      <c r="F147" s="126"/>
      <c r="G147" s="127"/>
      <c r="H147" s="119"/>
      <c r="I147" s="119"/>
      <c r="J147" s="115"/>
      <c r="K147" s="80"/>
      <c r="L147" s="120"/>
      <c r="M147" s="8"/>
      <c r="N147" s="115"/>
      <c r="O147" s="78"/>
      <c r="P147" s="121"/>
      <c r="Q147" s="115"/>
      <c r="R147" s="122"/>
      <c r="S147" s="122"/>
      <c r="T147" s="122"/>
      <c r="U147" s="122"/>
      <c r="V147" s="122"/>
      <c r="W147" s="122"/>
      <c r="X147" s="128"/>
      <c r="Y147" s="128"/>
      <c r="Z147" s="128"/>
      <c r="AA147" s="128"/>
      <c r="AB147" s="128"/>
      <c r="AC147" s="122"/>
      <c r="AD147" s="122"/>
      <c r="AE147" s="122"/>
      <c r="AF147" s="122"/>
      <c r="AG147" s="122"/>
      <c r="AH147" s="122"/>
      <c r="AI147" s="122"/>
      <c r="AJ147" s="122"/>
      <c r="AK147" s="122"/>
      <c r="AL147" s="122"/>
      <c r="AM147" s="122"/>
      <c r="AN147" s="64"/>
      <c r="AO147" s="118"/>
      <c r="AP147" s="77"/>
      <c r="AQ147" s="76">
        <f t="shared" si="13"/>
        <v>0</v>
      </c>
    </row>
    <row r="148" spans="2:43" x14ac:dyDescent="0.25">
      <c r="B148" s="182"/>
      <c r="C148" s="116"/>
      <c r="D148" s="117"/>
      <c r="E148" s="118"/>
      <c r="F148" s="126"/>
      <c r="G148" s="127"/>
      <c r="H148" s="119"/>
      <c r="I148" s="119"/>
      <c r="J148" s="115"/>
      <c r="K148" s="80"/>
      <c r="L148" s="120"/>
      <c r="M148" s="8"/>
      <c r="N148" s="115"/>
      <c r="O148" s="78"/>
      <c r="P148" s="121"/>
      <c r="Q148" s="115"/>
      <c r="R148" s="122"/>
      <c r="S148" s="122"/>
      <c r="T148" s="122"/>
      <c r="U148" s="122"/>
      <c r="V148" s="122"/>
      <c r="W148" s="122"/>
      <c r="X148" s="128"/>
      <c r="Y148" s="128"/>
      <c r="Z148" s="128"/>
      <c r="AA148" s="128"/>
      <c r="AB148" s="128"/>
      <c r="AC148" s="122"/>
      <c r="AD148" s="122"/>
      <c r="AE148" s="122"/>
      <c r="AF148" s="122"/>
      <c r="AG148" s="122"/>
      <c r="AH148" s="122"/>
      <c r="AI148" s="122"/>
      <c r="AJ148" s="122"/>
      <c r="AK148" s="122"/>
      <c r="AL148" s="122"/>
      <c r="AM148" s="122"/>
      <c r="AN148" s="64"/>
      <c r="AO148" s="118"/>
      <c r="AP148" s="77"/>
      <c r="AQ148" s="76">
        <f t="shared" si="13"/>
        <v>0</v>
      </c>
    </row>
    <row r="149" spans="2:43" x14ac:dyDescent="0.25">
      <c r="B149" s="182"/>
      <c r="C149" s="116"/>
      <c r="D149" s="117"/>
      <c r="E149" s="118"/>
      <c r="F149" s="126"/>
      <c r="G149" s="127"/>
      <c r="H149" s="119"/>
      <c r="I149" s="119"/>
      <c r="J149" s="115"/>
      <c r="K149" s="80"/>
      <c r="L149" s="120"/>
      <c r="M149" s="8"/>
      <c r="N149" s="115"/>
      <c r="O149" s="78"/>
      <c r="P149" s="121"/>
      <c r="Q149" s="115"/>
      <c r="R149" s="122"/>
      <c r="S149" s="122"/>
      <c r="T149" s="122"/>
      <c r="U149" s="122"/>
      <c r="V149" s="122"/>
      <c r="W149" s="122"/>
      <c r="X149" s="128"/>
      <c r="Y149" s="128"/>
      <c r="Z149" s="128"/>
      <c r="AA149" s="128"/>
      <c r="AB149" s="128"/>
      <c r="AC149" s="122"/>
      <c r="AD149" s="122"/>
      <c r="AE149" s="122"/>
      <c r="AF149" s="122"/>
      <c r="AG149" s="122"/>
      <c r="AH149" s="122"/>
      <c r="AI149" s="122"/>
      <c r="AJ149" s="122"/>
      <c r="AK149" s="122"/>
      <c r="AL149" s="122"/>
      <c r="AM149" s="122"/>
      <c r="AN149" s="64"/>
      <c r="AO149" s="118"/>
      <c r="AP149" s="77"/>
      <c r="AQ149" s="76">
        <f t="shared" si="13"/>
        <v>0</v>
      </c>
    </row>
    <row r="150" spans="2:43" x14ac:dyDescent="0.25">
      <c r="B150" s="182"/>
      <c r="C150" s="116"/>
      <c r="D150" s="117"/>
      <c r="E150" s="118"/>
      <c r="F150" s="126"/>
      <c r="G150" s="127"/>
      <c r="H150" s="119"/>
      <c r="I150" s="119"/>
      <c r="J150" s="115"/>
      <c r="K150" s="80"/>
      <c r="L150" s="120"/>
      <c r="M150" s="8"/>
      <c r="N150" s="115"/>
      <c r="O150" s="78"/>
      <c r="P150" s="121"/>
      <c r="Q150" s="115"/>
      <c r="R150" s="122"/>
      <c r="S150" s="122"/>
      <c r="T150" s="122"/>
      <c r="U150" s="122"/>
      <c r="V150" s="122"/>
      <c r="W150" s="122"/>
      <c r="X150" s="128"/>
      <c r="Y150" s="128"/>
      <c r="Z150" s="128"/>
      <c r="AA150" s="128"/>
      <c r="AB150" s="128"/>
      <c r="AC150" s="122"/>
      <c r="AD150" s="122"/>
      <c r="AE150" s="122"/>
      <c r="AF150" s="122"/>
      <c r="AG150" s="122"/>
      <c r="AH150" s="122"/>
      <c r="AI150" s="122"/>
      <c r="AJ150" s="122"/>
      <c r="AK150" s="122"/>
      <c r="AL150" s="122"/>
      <c r="AM150" s="122"/>
      <c r="AN150" s="64"/>
      <c r="AO150" s="118"/>
      <c r="AP150" s="77"/>
      <c r="AQ150" s="76">
        <f t="shared" si="13"/>
        <v>0</v>
      </c>
    </row>
    <row r="151" spans="2:43" x14ac:dyDescent="0.25">
      <c r="B151" s="182"/>
      <c r="C151" s="116"/>
      <c r="D151" s="117"/>
      <c r="E151" s="118"/>
      <c r="F151" s="126"/>
      <c r="G151" s="127"/>
      <c r="H151" s="119"/>
      <c r="I151" s="119"/>
      <c r="J151" s="115"/>
      <c r="K151" s="80"/>
      <c r="L151" s="120"/>
      <c r="M151" s="8"/>
      <c r="N151" s="115"/>
      <c r="O151" s="78"/>
      <c r="P151" s="121"/>
      <c r="Q151" s="115"/>
      <c r="R151" s="122"/>
      <c r="S151" s="122"/>
      <c r="T151" s="122"/>
      <c r="U151" s="122"/>
      <c r="V151" s="122"/>
      <c r="W151" s="122"/>
      <c r="X151" s="128"/>
      <c r="Y151" s="128"/>
      <c r="Z151" s="128"/>
      <c r="AA151" s="128"/>
      <c r="AB151" s="128"/>
      <c r="AC151" s="122"/>
      <c r="AD151" s="122"/>
      <c r="AE151" s="122"/>
      <c r="AF151" s="122"/>
      <c r="AG151" s="122"/>
      <c r="AH151" s="122"/>
      <c r="AI151" s="122"/>
      <c r="AJ151" s="122"/>
      <c r="AK151" s="122"/>
      <c r="AL151" s="122"/>
      <c r="AM151" s="122"/>
      <c r="AN151" s="64"/>
      <c r="AO151" s="118"/>
      <c r="AP151" s="77"/>
      <c r="AQ151" s="76">
        <f t="shared" si="13"/>
        <v>0</v>
      </c>
    </row>
    <row r="152" spans="2:43" x14ac:dyDescent="0.25">
      <c r="B152" s="182"/>
      <c r="C152" s="116"/>
      <c r="D152" s="117"/>
      <c r="E152" s="118"/>
      <c r="F152" s="126"/>
      <c r="G152" s="127"/>
      <c r="H152" s="119"/>
      <c r="I152" s="119"/>
      <c r="J152" s="115"/>
      <c r="K152" s="80"/>
      <c r="L152" s="120"/>
      <c r="M152" s="8"/>
      <c r="N152" s="115"/>
      <c r="O152" s="78"/>
      <c r="P152" s="121"/>
      <c r="Q152" s="115"/>
      <c r="R152" s="122"/>
      <c r="S152" s="122"/>
      <c r="T152" s="122"/>
      <c r="U152" s="122"/>
      <c r="V152" s="122"/>
      <c r="W152" s="122"/>
      <c r="X152" s="128"/>
      <c r="Y152" s="128"/>
      <c r="Z152" s="128"/>
      <c r="AA152" s="128"/>
      <c r="AB152" s="128"/>
      <c r="AC152" s="122"/>
      <c r="AD152" s="122"/>
      <c r="AE152" s="122"/>
      <c r="AF152" s="122"/>
      <c r="AG152" s="122"/>
      <c r="AH152" s="122"/>
      <c r="AI152" s="122"/>
      <c r="AJ152" s="122"/>
      <c r="AK152" s="122"/>
      <c r="AL152" s="122"/>
      <c r="AM152" s="122"/>
      <c r="AN152" s="64"/>
      <c r="AO152" s="118"/>
      <c r="AP152" s="77"/>
      <c r="AQ152" s="76">
        <f t="shared" ref="AQ152:AQ215" si="14">IFERROR(K152*O152*AP152,"")</f>
        <v>0</v>
      </c>
    </row>
    <row r="153" spans="2:43" x14ac:dyDescent="0.25">
      <c r="B153" s="182"/>
      <c r="C153" s="116"/>
      <c r="D153" s="117"/>
      <c r="E153" s="118"/>
      <c r="F153" s="126"/>
      <c r="G153" s="127"/>
      <c r="H153" s="119"/>
      <c r="I153" s="119"/>
      <c r="J153" s="115"/>
      <c r="K153" s="80"/>
      <c r="L153" s="120"/>
      <c r="M153" s="8"/>
      <c r="N153" s="115"/>
      <c r="O153" s="78"/>
      <c r="P153" s="121"/>
      <c r="Q153" s="115"/>
      <c r="R153" s="122"/>
      <c r="S153" s="122"/>
      <c r="T153" s="122"/>
      <c r="U153" s="122"/>
      <c r="V153" s="122"/>
      <c r="W153" s="122"/>
      <c r="X153" s="128"/>
      <c r="Y153" s="128"/>
      <c r="Z153" s="128"/>
      <c r="AA153" s="128"/>
      <c r="AB153" s="128"/>
      <c r="AC153" s="122"/>
      <c r="AD153" s="122"/>
      <c r="AE153" s="122"/>
      <c r="AF153" s="122"/>
      <c r="AG153" s="122"/>
      <c r="AH153" s="122"/>
      <c r="AI153" s="122"/>
      <c r="AJ153" s="122"/>
      <c r="AK153" s="122"/>
      <c r="AL153" s="122"/>
      <c r="AM153" s="122"/>
      <c r="AN153" s="64"/>
      <c r="AO153" s="118"/>
      <c r="AP153" s="77"/>
      <c r="AQ153" s="76">
        <f t="shared" si="14"/>
        <v>0</v>
      </c>
    </row>
    <row r="154" spans="2:43" x14ac:dyDescent="0.25">
      <c r="B154" s="182"/>
      <c r="C154" s="116"/>
      <c r="D154" s="117"/>
      <c r="E154" s="118"/>
      <c r="F154" s="126"/>
      <c r="G154" s="127"/>
      <c r="H154" s="119"/>
      <c r="I154" s="119"/>
      <c r="J154" s="115"/>
      <c r="K154" s="80"/>
      <c r="L154" s="120"/>
      <c r="M154" s="8"/>
      <c r="N154" s="115"/>
      <c r="O154" s="78"/>
      <c r="P154" s="121"/>
      <c r="Q154" s="115"/>
      <c r="R154" s="122"/>
      <c r="S154" s="122"/>
      <c r="T154" s="122"/>
      <c r="U154" s="122"/>
      <c r="V154" s="122"/>
      <c r="W154" s="122"/>
      <c r="X154" s="128"/>
      <c r="Y154" s="128"/>
      <c r="Z154" s="128"/>
      <c r="AA154" s="128"/>
      <c r="AB154" s="128"/>
      <c r="AC154" s="122"/>
      <c r="AD154" s="122"/>
      <c r="AE154" s="122"/>
      <c r="AF154" s="122"/>
      <c r="AG154" s="122"/>
      <c r="AH154" s="122"/>
      <c r="AI154" s="122"/>
      <c r="AJ154" s="122"/>
      <c r="AK154" s="122"/>
      <c r="AL154" s="122"/>
      <c r="AM154" s="122"/>
      <c r="AN154" s="64"/>
      <c r="AO154" s="118"/>
      <c r="AP154" s="77"/>
      <c r="AQ154" s="76">
        <f t="shared" si="14"/>
        <v>0</v>
      </c>
    </row>
    <row r="155" spans="2:43" x14ac:dyDescent="0.25">
      <c r="B155" s="182"/>
      <c r="C155" s="116"/>
      <c r="D155" s="117"/>
      <c r="E155" s="118"/>
      <c r="F155" s="126"/>
      <c r="G155" s="127"/>
      <c r="H155" s="119"/>
      <c r="I155" s="119"/>
      <c r="J155" s="115"/>
      <c r="K155" s="80"/>
      <c r="L155" s="120"/>
      <c r="M155" s="8"/>
      <c r="N155" s="115"/>
      <c r="O155" s="78"/>
      <c r="P155" s="121"/>
      <c r="Q155" s="115"/>
      <c r="R155" s="122"/>
      <c r="S155" s="122"/>
      <c r="T155" s="122"/>
      <c r="U155" s="122"/>
      <c r="V155" s="122"/>
      <c r="W155" s="122"/>
      <c r="X155" s="128"/>
      <c r="Y155" s="128"/>
      <c r="Z155" s="128"/>
      <c r="AA155" s="128"/>
      <c r="AB155" s="128"/>
      <c r="AC155" s="122"/>
      <c r="AD155" s="122"/>
      <c r="AE155" s="122"/>
      <c r="AF155" s="122"/>
      <c r="AG155" s="122"/>
      <c r="AH155" s="122"/>
      <c r="AI155" s="122"/>
      <c r="AJ155" s="122"/>
      <c r="AK155" s="122"/>
      <c r="AL155" s="122"/>
      <c r="AM155" s="122"/>
      <c r="AN155" s="64"/>
      <c r="AO155" s="118"/>
      <c r="AP155" s="77"/>
      <c r="AQ155" s="76">
        <f t="shared" si="14"/>
        <v>0</v>
      </c>
    </row>
    <row r="156" spans="2:43" x14ac:dyDescent="0.25">
      <c r="B156" s="182"/>
      <c r="C156" s="116"/>
      <c r="D156" s="117"/>
      <c r="E156" s="118"/>
      <c r="F156" s="126"/>
      <c r="G156" s="127"/>
      <c r="H156" s="119"/>
      <c r="I156" s="119"/>
      <c r="J156" s="115"/>
      <c r="K156" s="80"/>
      <c r="L156" s="120"/>
      <c r="M156" s="8"/>
      <c r="N156" s="115"/>
      <c r="O156" s="78"/>
      <c r="P156" s="121"/>
      <c r="Q156" s="115"/>
      <c r="R156" s="122"/>
      <c r="S156" s="122"/>
      <c r="T156" s="122"/>
      <c r="U156" s="122"/>
      <c r="V156" s="122"/>
      <c r="W156" s="122"/>
      <c r="X156" s="128"/>
      <c r="Y156" s="128"/>
      <c r="Z156" s="128"/>
      <c r="AA156" s="128"/>
      <c r="AB156" s="128"/>
      <c r="AC156" s="122"/>
      <c r="AD156" s="122"/>
      <c r="AE156" s="122"/>
      <c r="AF156" s="122"/>
      <c r="AG156" s="122"/>
      <c r="AH156" s="122"/>
      <c r="AI156" s="122"/>
      <c r="AJ156" s="122"/>
      <c r="AK156" s="122"/>
      <c r="AL156" s="122"/>
      <c r="AM156" s="122"/>
      <c r="AN156" s="64"/>
      <c r="AO156" s="118"/>
      <c r="AP156" s="77"/>
      <c r="AQ156" s="76">
        <f t="shared" si="14"/>
        <v>0</v>
      </c>
    </row>
    <row r="157" spans="2:43" x14ac:dyDescent="0.25">
      <c r="B157" s="182"/>
      <c r="C157" s="116"/>
      <c r="D157" s="117"/>
      <c r="E157" s="118"/>
      <c r="F157" s="126"/>
      <c r="G157" s="127"/>
      <c r="H157" s="119"/>
      <c r="I157" s="119"/>
      <c r="J157" s="115"/>
      <c r="K157" s="80"/>
      <c r="L157" s="120"/>
      <c r="M157" s="8"/>
      <c r="N157" s="115"/>
      <c r="O157" s="78"/>
      <c r="P157" s="121"/>
      <c r="Q157" s="115"/>
      <c r="R157" s="122"/>
      <c r="S157" s="122"/>
      <c r="T157" s="122"/>
      <c r="U157" s="122"/>
      <c r="V157" s="122"/>
      <c r="W157" s="122"/>
      <c r="X157" s="128"/>
      <c r="Y157" s="128"/>
      <c r="Z157" s="128"/>
      <c r="AA157" s="128"/>
      <c r="AB157" s="128"/>
      <c r="AC157" s="122"/>
      <c r="AD157" s="122"/>
      <c r="AE157" s="122"/>
      <c r="AF157" s="122"/>
      <c r="AG157" s="122"/>
      <c r="AH157" s="122"/>
      <c r="AI157" s="122"/>
      <c r="AJ157" s="122"/>
      <c r="AK157" s="122"/>
      <c r="AL157" s="122"/>
      <c r="AM157" s="122"/>
      <c r="AN157" s="64"/>
      <c r="AO157" s="118"/>
      <c r="AP157" s="77"/>
      <c r="AQ157" s="76">
        <f t="shared" si="14"/>
        <v>0</v>
      </c>
    </row>
    <row r="158" spans="2:43" x14ac:dyDescent="0.25">
      <c r="B158" s="182"/>
      <c r="C158" s="116"/>
      <c r="D158" s="117"/>
      <c r="E158" s="118"/>
      <c r="F158" s="126"/>
      <c r="G158" s="127"/>
      <c r="H158" s="119"/>
      <c r="I158" s="119"/>
      <c r="J158" s="115"/>
      <c r="K158" s="80"/>
      <c r="L158" s="120"/>
      <c r="M158" s="8"/>
      <c r="N158" s="115"/>
      <c r="O158" s="78"/>
      <c r="P158" s="121"/>
      <c r="Q158" s="115"/>
      <c r="R158" s="122"/>
      <c r="S158" s="122"/>
      <c r="T158" s="122"/>
      <c r="U158" s="122"/>
      <c r="V158" s="122"/>
      <c r="W158" s="122"/>
      <c r="X158" s="128"/>
      <c r="Y158" s="128"/>
      <c r="Z158" s="128"/>
      <c r="AA158" s="128"/>
      <c r="AB158" s="128"/>
      <c r="AC158" s="122"/>
      <c r="AD158" s="122"/>
      <c r="AE158" s="122"/>
      <c r="AF158" s="122"/>
      <c r="AG158" s="122"/>
      <c r="AH158" s="122"/>
      <c r="AI158" s="122"/>
      <c r="AJ158" s="122"/>
      <c r="AK158" s="122"/>
      <c r="AL158" s="122"/>
      <c r="AM158" s="122"/>
      <c r="AN158" s="64"/>
      <c r="AO158" s="118"/>
      <c r="AP158" s="77"/>
      <c r="AQ158" s="76">
        <f t="shared" si="14"/>
        <v>0</v>
      </c>
    </row>
    <row r="159" spans="2:43" x14ac:dyDescent="0.25">
      <c r="B159" s="182"/>
      <c r="C159" s="116"/>
      <c r="D159" s="117"/>
      <c r="E159" s="118"/>
      <c r="F159" s="126"/>
      <c r="G159" s="127"/>
      <c r="H159" s="119"/>
      <c r="I159" s="119"/>
      <c r="J159" s="115"/>
      <c r="K159" s="80"/>
      <c r="L159" s="120"/>
      <c r="M159" s="8"/>
      <c r="N159" s="115"/>
      <c r="O159" s="78"/>
      <c r="P159" s="121"/>
      <c r="Q159" s="115"/>
      <c r="R159" s="122"/>
      <c r="S159" s="122"/>
      <c r="T159" s="122"/>
      <c r="U159" s="122"/>
      <c r="V159" s="122"/>
      <c r="W159" s="122"/>
      <c r="X159" s="128"/>
      <c r="Y159" s="128"/>
      <c r="Z159" s="128"/>
      <c r="AA159" s="128"/>
      <c r="AB159" s="128"/>
      <c r="AC159" s="122"/>
      <c r="AD159" s="122"/>
      <c r="AE159" s="122"/>
      <c r="AF159" s="122"/>
      <c r="AG159" s="122"/>
      <c r="AH159" s="122"/>
      <c r="AI159" s="122"/>
      <c r="AJ159" s="122"/>
      <c r="AK159" s="122"/>
      <c r="AL159" s="122"/>
      <c r="AM159" s="122"/>
      <c r="AN159" s="64"/>
      <c r="AO159" s="118"/>
      <c r="AP159" s="77"/>
      <c r="AQ159" s="76">
        <f t="shared" si="14"/>
        <v>0</v>
      </c>
    </row>
    <row r="160" spans="2:43" x14ac:dyDescent="0.25">
      <c r="B160" s="182"/>
      <c r="C160" s="116"/>
      <c r="D160" s="117"/>
      <c r="E160" s="118"/>
      <c r="F160" s="126"/>
      <c r="G160" s="127"/>
      <c r="H160" s="119"/>
      <c r="I160" s="119"/>
      <c r="J160" s="115"/>
      <c r="K160" s="80"/>
      <c r="L160" s="120"/>
      <c r="M160" s="8"/>
      <c r="N160" s="115"/>
      <c r="O160" s="78"/>
      <c r="P160" s="121"/>
      <c r="Q160" s="115"/>
      <c r="R160" s="122"/>
      <c r="S160" s="122"/>
      <c r="T160" s="122"/>
      <c r="U160" s="122"/>
      <c r="V160" s="122"/>
      <c r="W160" s="122"/>
      <c r="X160" s="128"/>
      <c r="Y160" s="128"/>
      <c r="Z160" s="128"/>
      <c r="AA160" s="128"/>
      <c r="AB160" s="128"/>
      <c r="AC160" s="122"/>
      <c r="AD160" s="122"/>
      <c r="AE160" s="122"/>
      <c r="AF160" s="122"/>
      <c r="AG160" s="122"/>
      <c r="AH160" s="122"/>
      <c r="AI160" s="122"/>
      <c r="AJ160" s="122"/>
      <c r="AK160" s="122"/>
      <c r="AL160" s="122"/>
      <c r="AM160" s="122"/>
      <c r="AN160" s="64"/>
      <c r="AO160" s="118"/>
      <c r="AP160" s="77"/>
      <c r="AQ160" s="76">
        <f t="shared" si="14"/>
        <v>0</v>
      </c>
    </row>
    <row r="161" spans="2:43" x14ac:dyDescent="0.25">
      <c r="B161" s="182"/>
      <c r="C161" s="116"/>
      <c r="D161" s="117"/>
      <c r="E161" s="118"/>
      <c r="F161" s="126"/>
      <c r="G161" s="127"/>
      <c r="H161" s="119"/>
      <c r="I161" s="119"/>
      <c r="J161" s="115"/>
      <c r="K161" s="80"/>
      <c r="L161" s="120"/>
      <c r="M161" s="8"/>
      <c r="N161" s="115"/>
      <c r="O161" s="78"/>
      <c r="P161" s="121"/>
      <c r="Q161" s="115"/>
      <c r="R161" s="122"/>
      <c r="S161" s="122"/>
      <c r="T161" s="122"/>
      <c r="U161" s="122"/>
      <c r="V161" s="122"/>
      <c r="W161" s="122"/>
      <c r="X161" s="128"/>
      <c r="Y161" s="128"/>
      <c r="Z161" s="128"/>
      <c r="AA161" s="128"/>
      <c r="AB161" s="128"/>
      <c r="AC161" s="122"/>
      <c r="AD161" s="122"/>
      <c r="AE161" s="122"/>
      <c r="AF161" s="122"/>
      <c r="AG161" s="122"/>
      <c r="AH161" s="122"/>
      <c r="AI161" s="122"/>
      <c r="AJ161" s="122"/>
      <c r="AK161" s="122"/>
      <c r="AL161" s="122"/>
      <c r="AM161" s="122"/>
      <c r="AN161" s="64"/>
      <c r="AO161" s="118"/>
      <c r="AP161" s="77"/>
      <c r="AQ161" s="76">
        <f t="shared" si="14"/>
        <v>0</v>
      </c>
    </row>
    <row r="162" spans="2:43" x14ac:dyDescent="0.25">
      <c r="B162" s="182"/>
      <c r="C162" s="116"/>
      <c r="D162" s="117"/>
      <c r="E162" s="118"/>
      <c r="F162" s="126"/>
      <c r="G162" s="127"/>
      <c r="H162" s="119"/>
      <c r="I162" s="119"/>
      <c r="J162" s="115"/>
      <c r="K162" s="80"/>
      <c r="L162" s="120"/>
      <c r="M162" s="8"/>
      <c r="N162" s="115"/>
      <c r="O162" s="78"/>
      <c r="P162" s="121"/>
      <c r="Q162" s="115"/>
      <c r="R162" s="122"/>
      <c r="S162" s="122"/>
      <c r="T162" s="122"/>
      <c r="U162" s="122"/>
      <c r="V162" s="122"/>
      <c r="W162" s="122"/>
      <c r="X162" s="128"/>
      <c r="Y162" s="128"/>
      <c r="Z162" s="128"/>
      <c r="AA162" s="128"/>
      <c r="AB162" s="128"/>
      <c r="AC162" s="122"/>
      <c r="AD162" s="122"/>
      <c r="AE162" s="122"/>
      <c r="AF162" s="122"/>
      <c r="AG162" s="122"/>
      <c r="AH162" s="122"/>
      <c r="AI162" s="122"/>
      <c r="AJ162" s="122"/>
      <c r="AK162" s="122"/>
      <c r="AL162" s="122"/>
      <c r="AM162" s="122"/>
      <c r="AN162" s="64"/>
      <c r="AO162" s="118"/>
      <c r="AP162" s="77"/>
      <c r="AQ162" s="76">
        <f t="shared" si="14"/>
        <v>0</v>
      </c>
    </row>
    <row r="163" spans="2:43" x14ac:dyDescent="0.25">
      <c r="B163" s="182"/>
      <c r="C163" s="116"/>
      <c r="D163" s="117"/>
      <c r="E163" s="118"/>
      <c r="F163" s="126"/>
      <c r="G163" s="127"/>
      <c r="H163" s="119"/>
      <c r="I163" s="119"/>
      <c r="J163" s="115"/>
      <c r="K163" s="80"/>
      <c r="L163" s="120"/>
      <c r="M163" s="8"/>
      <c r="N163" s="115"/>
      <c r="O163" s="78"/>
      <c r="P163" s="121"/>
      <c r="Q163" s="115"/>
      <c r="R163" s="122"/>
      <c r="S163" s="122"/>
      <c r="T163" s="122"/>
      <c r="U163" s="122"/>
      <c r="V163" s="122"/>
      <c r="W163" s="122"/>
      <c r="X163" s="128"/>
      <c r="Y163" s="128"/>
      <c r="Z163" s="128"/>
      <c r="AA163" s="128"/>
      <c r="AB163" s="128"/>
      <c r="AC163" s="122"/>
      <c r="AD163" s="122"/>
      <c r="AE163" s="122"/>
      <c r="AF163" s="122"/>
      <c r="AG163" s="122"/>
      <c r="AH163" s="122"/>
      <c r="AI163" s="122"/>
      <c r="AJ163" s="122"/>
      <c r="AK163" s="122"/>
      <c r="AL163" s="122"/>
      <c r="AM163" s="122"/>
      <c r="AN163" s="64"/>
      <c r="AO163" s="118"/>
      <c r="AP163" s="77"/>
      <c r="AQ163" s="76">
        <f t="shared" si="14"/>
        <v>0</v>
      </c>
    </row>
    <row r="164" spans="2:43" x14ac:dyDescent="0.25">
      <c r="B164" s="182"/>
      <c r="C164" s="116"/>
      <c r="D164" s="117"/>
      <c r="E164" s="118"/>
      <c r="F164" s="126"/>
      <c r="G164" s="127"/>
      <c r="H164" s="119"/>
      <c r="I164" s="119"/>
      <c r="J164" s="115"/>
      <c r="K164" s="80"/>
      <c r="L164" s="120"/>
      <c r="M164" s="8"/>
      <c r="N164" s="115"/>
      <c r="O164" s="78"/>
      <c r="P164" s="121"/>
      <c r="Q164" s="115"/>
      <c r="R164" s="122"/>
      <c r="S164" s="122"/>
      <c r="T164" s="122"/>
      <c r="U164" s="122"/>
      <c r="V164" s="122"/>
      <c r="W164" s="122"/>
      <c r="X164" s="128"/>
      <c r="Y164" s="128"/>
      <c r="Z164" s="128"/>
      <c r="AA164" s="128"/>
      <c r="AB164" s="128"/>
      <c r="AC164" s="122"/>
      <c r="AD164" s="122"/>
      <c r="AE164" s="122"/>
      <c r="AF164" s="122"/>
      <c r="AG164" s="122"/>
      <c r="AH164" s="122"/>
      <c r="AI164" s="122"/>
      <c r="AJ164" s="122"/>
      <c r="AK164" s="122"/>
      <c r="AL164" s="122"/>
      <c r="AM164" s="122"/>
      <c r="AN164" s="64"/>
      <c r="AO164" s="118"/>
      <c r="AP164" s="77"/>
      <c r="AQ164" s="76">
        <f t="shared" si="14"/>
        <v>0</v>
      </c>
    </row>
    <row r="165" spans="2:43" x14ac:dyDescent="0.25">
      <c r="B165" s="182"/>
      <c r="C165" s="116"/>
      <c r="D165" s="117"/>
      <c r="E165" s="118"/>
      <c r="F165" s="126"/>
      <c r="G165" s="127"/>
      <c r="H165" s="119"/>
      <c r="I165" s="119"/>
      <c r="J165" s="115"/>
      <c r="K165" s="80"/>
      <c r="L165" s="120"/>
      <c r="M165" s="8"/>
      <c r="N165" s="115"/>
      <c r="O165" s="78"/>
      <c r="P165" s="121"/>
      <c r="Q165" s="115"/>
      <c r="R165" s="122"/>
      <c r="S165" s="122"/>
      <c r="T165" s="122"/>
      <c r="U165" s="122"/>
      <c r="V165" s="122"/>
      <c r="W165" s="122"/>
      <c r="X165" s="128"/>
      <c r="Y165" s="128"/>
      <c r="Z165" s="128"/>
      <c r="AA165" s="128"/>
      <c r="AB165" s="128"/>
      <c r="AC165" s="122"/>
      <c r="AD165" s="122"/>
      <c r="AE165" s="122"/>
      <c r="AF165" s="122"/>
      <c r="AG165" s="122"/>
      <c r="AH165" s="122"/>
      <c r="AI165" s="122"/>
      <c r="AJ165" s="122"/>
      <c r="AK165" s="122"/>
      <c r="AL165" s="122"/>
      <c r="AM165" s="122"/>
      <c r="AN165" s="64"/>
      <c r="AO165" s="118"/>
      <c r="AP165" s="77"/>
      <c r="AQ165" s="76">
        <f t="shared" si="14"/>
        <v>0</v>
      </c>
    </row>
    <row r="166" spans="2:43" x14ac:dyDescent="0.25">
      <c r="B166" s="182"/>
      <c r="C166" s="116"/>
      <c r="D166" s="117"/>
      <c r="E166" s="118"/>
      <c r="F166" s="126"/>
      <c r="G166" s="127"/>
      <c r="H166" s="119"/>
      <c r="I166" s="119"/>
      <c r="J166" s="115"/>
      <c r="K166" s="80"/>
      <c r="L166" s="120"/>
      <c r="M166" s="8"/>
      <c r="N166" s="115"/>
      <c r="O166" s="78"/>
      <c r="P166" s="121"/>
      <c r="Q166" s="115"/>
      <c r="R166" s="122"/>
      <c r="S166" s="122"/>
      <c r="T166" s="122"/>
      <c r="U166" s="122"/>
      <c r="V166" s="122"/>
      <c r="W166" s="122"/>
      <c r="X166" s="128"/>
      <c r="Y166" s="128"/>
      <c r="Z166" s="128"/>
      <c r="AA166" s="128"/>
      <c r="AB166" s="128"/>
      <c r="AC166" s="122"/>
      <c r="AD166" s="122"/>
      <c r="AE166" s="122"/>
      <c r="AF166" s="122"/>
      <c r="AG166" s="122"/>
      <c r="AH166" s="122"/>
      <c r="AI166" s="122"/>
      <c r="AJ166" s="122"/>
      <c r="AK166" s="122"/>
      <c r="AL166" s="122"/>
      <c r="AM166" s="122"/>
      <c r="AN166" s="64"/>
      <c r="AO166" s="118"/>
      <c r="AP166" s="77"/>
      <c r="AQ166" s="76">
        <f t="shared" si="14"/>
        <v>0</v>
      </c>
    </row>
    <row r="167" spans="2:43" x14ac:dyDescent="0.25">
      <c r="B167" s="182"/>
      <c r="C167" s="116"/>
      <c r="D167" s="117"/>
      <c r="E167" s="118"/>
      <c r="F167" s="126"/>
      <c r="G167" s="127"/>
      <c r="H167" s="119"/>
      <c r="I167" s="119"/>
      <c r="J167" s="115"/>
      <c r="K167" s="80"/>
      <c r="L167" s="120"/>
      <c r="M167" s="8"/>
      <c r="N167" s="115"/>
      <c r="O167" s="78"/>
      <c r="P167" s="121"/>
      <c r="Q167" s="115"/>
      <c r="R167" s="122"/>
      <c r="S167" s="122"/>
      <c r="T167" s="122"/>
      <c r="U167" s="122"/>
      <c r="V167" s="122"/>
      <c r="W167" s="122"/>
      <c r="X167" s="128"/>
      <c r="Y167" s="128"/>
      <c r="Z167" s="128"/>
      <c r="AA167" s="128"/>
      <c r="AB167" s="128"/>
      <c r="AC167" s="122"/>
      <c r="AD167" s="122"/>
      <c r="AE167" s="122"/>
      <c r="AF167" s="122"/>
      <c r="AG167" s="122"/>
      <c r="AH167" s="122"/>
      <c r="AI167" s="122"/>
      <c r="AJ167" s="122"/>
      <c r="AK167" s="122"/>
      <c r="AL167" s="122"/>
      <c r="AM167" s="122"/>
      <c r="AN167" s="64"/>
      <c r="AO167" s="118"/>
      <c r="AP167" s="77"/>
      <c r="AQ167" s="76">
        <f t="shared" si="14"/>
        <v>0</v>
      </c>
    </row>
    <row r="168" spans="2:43" x14ac:dyDescent="0.25">
      <c r="B168" s="182"/>
      <c r="C168" s="116"/>
      <c r="D168" s="117"/>
      <c r="E168" s="118"/>
      <c r="F168" s="126"/>
      <c r="G168" s="127"/>
      <c r="H168" s="119"/>
      <c r="I168" s="119"/>
      <c r="J168" s="115"/>
      <c r="K168" s="80"/>
      <c r="L168" s="120"/>
      <c r="M168" s="8"/>
      <c r="N168" s="115"/>
      <c r="O168" s="78"/>
      <c r="P168" s="121"/>
      <c r="Q168" s="115"/>
      <c r="R168" s="122"/>
      <c r="S168" s="122"/>
      <c r="T168" s="122"/>
      <c r="U168" s="122"/>
      <c r="V168" s="122"/>
      <c r="W168" s="122"/>
      <c r="X168" s="128"/>
      <c r="Y168" s="128"/>
      <c r="Z168" s="128"/>
      <c r="AA168" s="128"/>
      <c r="AB168" s="128"/>
      <c r="AC168" s="122"/>
      <c r="AD168" s="122"/>
      <c r="AE168" s="122"/>
      <c r="AF168" s="122"/>
      <c r="AG168" s="122"/>
      <c r="AH168" s="122"/>
      <c r="AI168" s="122"/>
      <c r="AJ168" s="122"/>
      <c r="AK168" s="122"/>
      <c r="AL168" s="122"/>
      <c r="AM168" s="122"/>
      <c r="AN168" s="64"/>
      <c r="AO168" s="118"/>
      <c r="AP168" s="77"/>
      <c r="AQ168" s="76">
        <f t="shared" si="14"/>
        <v>0</v>
      </c>
    </row>
    <row r="169" spans="2:43" x14ac:dyDescent="0.25">
      <c r="B169" s="182"/>
      <c r="C169" s="116"/>
      <c r="D169" s="117"/>
      <c r="E169" s="118"/>
      <c r="F169" s="126"/>
      <c r="G169" s="127"/>
      <c r="H169" s="119"/>
      <c r="I169" s="119"/>
      <c r="J169" s="115"/>
      <c r="K169" s="80"/>
      <c r="L169" s="120"/>
      <c r="M169" s="8"/>
      <c r="N169" s="115"/>
      <c r="O169" s="78"/>
      <c r="P169" s="121"/>
      <c r="Q169" s="115"/>
      <c r="R169" s="122"/>
      <c r="S169" s="122"/>
      <c r="T169" s="122"/>
      <c r="U169" s="122"/>
      <c r="V169" s="122"/>
      <c r="W169" s="122"/>
      <c r="X169" s="128"/>
      <c r="Y169" s="128"/>
      <c r="Z169" s="128"/>
      <c r="AA169" s="128"/>
      <c r="AB169" s="128"/>
      <c r="AC169" s="122"/>
      <c r="AD169" s="122"/>
      <c r="AE169" s="122"/>
      <c r="AF169" s="122"/>
      <c r="AG169" s="122"/>
      <c r="AH169" s="122"/>
      <c r="AI169" s="122"/>
      <c r="AJ169" s="122"/>
      <c r="AK169" s="122"/>
      <c r="AL169" s="122"/>
      <c r="AM169" s="122"/>
      <c r="AN169" s="64"/>
      <c r="AO169" s="118"/>
      <c r="AP169" s="77"/>
      <c r="AQ169" s="76">
        <f t="shared" si="14"/>
        <v>0</v>
      </c>
    </row>
    <row r="170" spans="2:43" x14ac:dyDescent="0.25">
      <c r="B170" s="182"/>
      <c r="C170" s="116"/>
      <c r="D170" s="117"/>
      <c r="E170" s="118"/>
      <c r="F170" s="126"/>
      <c r="G170" s="127"/>
      <c r="H170" s="119"/>
      <c r="I170" s="119"/>
      <c r="J170" s="115"/>
      <c r="K170" s="80"/>
      <c r="L170" s="120"/>
      <c r="M170" s="8"/>
      <c r="N170" s="115"/>
      <c r="O170" s="78"/>
      <c r="P170" s="121"/>
      <c r="Q170" s="115"/>
      <c r="R170" s="122"/>
      <c r="S170" s="122"/>
      <c r="T170" s="122"/>
      <c r="U170" s="122"/>
      <c r="V170" s="122"/>
      <c r="W170" s="122"/>
      <c r="X170" s="128"/>
      <c r="Y170" s="128"/>
      <c r="Z170" s="128"/>
      <c r="AA170" s="128"/>
      <c r="AB170" s="128"/>
      <c r="AC170" s="122"/>
      <c r="AD170" s="122"/>
      <c r="AE170" s="122"/>
      <c r="AF170" s="122"/>
      <c r="AG170" s="122"/>
      <c r="AH170" s="122"/>
      <c r="AI170" s="122"/>
      <c r="AJ170" s="122"/>
      <c r="AK170" s="122"/>
      <c r="AL170" s="122"/>
      <c r="AM170" s="122"/>
      <c r="AN170" s="64"/>
      <c r="AO170" s="118"/>
      <c r="AP170" s="77"/>
      <c r="AQ170" s="76">
        <f t="shared" si="14"/>
        <v>0</v>
      </c>
    </row>
    <row r="171" spans="2:43" x14ac:dyDescent="0.25">
      <c r="B171" s="182"/>
      <c r="C171" s="116"/>
      <c r="D171" s="117"/>
      <c r="E171" s="118"/>
      <c r="F171" s="126"/>
      <c r="G171" s="127"/>
      <c r="H171" s="119"/>
      <c r="I171" s="119"/>
      <c r="J171" s="115"/>
      <c r="K171" s="80"/>
      <c r="L171" s="120"/>
      <c r="M171" s="8"/>
      <c r="N171" s="115"/>
      <c r="O171" s="78"/>
      <c r="P171" s="121"/>
      <c r="Q171" s="115"/>
      <c r="R171" s="122"/>
      <c r="S171" s="122"/>
      <c r="T171" s="122"/>
      <c r="U171" s="122"/>
      <c r="V171" s="122"/>
      <c r="W171" s="122"/>
      <c r="X171" s="128"/>
      <c r="Y171" s="128"/>
      <c r="Z171" s="128"/>
      <c r="AA171" s="128"/>
      <c r="AB171" s="128"/>
      <c r="AC171" s="122"/>
      <c r="AD171" s="122"/>
      <c r="AE171" s="122"/>
      <c r="AF171" s="122"/>
      <c r="AG171" s="122"/>
      <c r="AH171" s="122"/>
      <c r="AI171" s="122"/>
      <c r="AJ171" s="122"/>
      <c r="AK171" s="122"/>
      <c r="AL171" s="122"/>
      <c r="AM171" s="122"/>
      <c r="AN171" s="64"/>
      <c r="AO171" s="118"/>
      <c r="AP171" s="77"/>
      <c r="AQ171" s="76">
        <f t="shared" si="14"/>
        <v>0</v>
      </c>
    </row>
    <row r="172" spans="2:43" x14ac:dyDescent="0.25">
      <c r="B172" s="182"/>
      <c r="C172" s="116"/>
      <c r="D172" s="117"/>
      <c r="E172" s="118"/>
      <c r="F172" s="126"/>
      <c r="G172" s="127"/>
      <c r="H172" s="119"/>
      <c r="I172" s="119"/>
      <c r="J172" s="115"/>
      <c r="K172" s="80"/>
      <c r="L172" s="120"/>
      <c r="M172" s="8"/>
      <c r="N172" s="115"/>
      <c r="O172" s="78"/>
      <c r="P172" s="121"/>
      <c r="Q172" s="115"/>
      <c r="R172" s="122"/>
      <c r="S172" s="122"/>
      <c r="T172" s="122"/>
      <c r="U172" s="122"/>
      <c r="V172" s="122"/>
      <c r="W172" s="122"/>
      <c r="X172" s="128"/>
      <c r="Y172" s="128"/>
      <c r="Z172" s="128"/>
      <c r="AA172" s="128"/>
      <c r="AB172" s="128"/>
      <c r="AC172" s="122"/>
      <c r="AD172" s="122"/>
      <c r="AE172" s="122"/>
      <c r="AF172" s="122"/>
      <c r="AG172" s="122"/>
      <c r="AH172" s="122"/>
      <c r="AI172" s="122"/>
      <c r="AJ172" s="122"/>
      <c r="AK172" s="122"/>
      <c r="AL172" s="122"/>
      <c r="AM172" s="122"/>
      <c r="AN172" s="64"/>
      <c r="AO172" s="118"/>
      <c r="AP172" s="77"/>
      <c r="AQ172" s="76">
        <f t="shared" si="14"/>
        <v>0</v>
      </c>
    </row>
    <row r="173" spans="2:43" x14ac:dyDescent="0.25">
      <c r="B173" s="182"/>
      <c r="C173" s="116"/>
      <c r="D173" s="117"/>
      <c r="E173" s="118"/>
      <c r="F173" s="126"/>
      <c r="G173" s="127"/>
      <c r="H173" s="119"/>
      <c r="I173" s="119"/>
      <c r="J173" s="115"/>
      <c r="K173" s="80"/>
      <c r="L173" s="120"/>
      <c r="M173" s="8"/>
      <c r="N173" s="115"/>
      <c r="O173" s="78"/>
      <c r="P173" s="121"/>
      <c r="Q173" s="115"/>
      <c r="R173" s="122"/>
      <c r="S173" s="122"/>
      <c r="T173" s="122"/>
      <c r="U173" s="122"/>
      <c r="V173" s="122"/>
      <c r="W173" s="122"/>
      <c r="X173" s="128"/>
      <c r="Y173" s="128"/>
      <c r="Z173" s="128"/>
      <c r="AA173" s="128"/>
      <c r="AB173" s="128"/>
      <c r="AC173" s="122"/>
      <c r="AD173" s="122"/>
      <c r="AE173" s="122"/>
      <c r="AF173" s="122"/>
      <c r="AG173" s="122"/>
      <c r="AH173" s="122"/>
      <c r="AI173" s="122"/>
      <c r="AJ173" s="122"/>
      <c r="AK173" s="122"/>
      <c r="AL173" s="122"/>
      <c r="AM173" s="122"/>
      <c r="AN173" s="64"/>
      <c r="AO173" s="118"/>
      <c r="AP173" s="77"/>
      <c r="AQ173" s="76">
        <f t="shared" si="14"/>
        <v>0</v>
      </c>
    </row>
    <row r="174" spans="2:43" x14ac:dyDescent="0.25">
      <c r="B174" s="182"/>
      <c r="C174" s="116"/>
      <c r="D174" s="117"/>
      <c r="E174" s="118"/>
      <c r="F174" s="126"/>
      <c r="G174" s="127"/>
      <c r="H174" s="119"/>
      <c r="I174" s="119"/>
      <c r="J174" s="115"/>
      <c r="K174" s="80"/>
      <c r="L174" s="120"/>
      <c r="M174" s="8"/>
      <c r="N174" s="115"/>
      <c r="O174" s="78"/>
      <c r="P174" s="121"/>
      <c r="Q174" s="115"/>
      <c r="R174" s="122"/>
      <c r="S174" s="122"/>
      <c r="T174" s="122"/>
      <c r="U174" s="122"/>
      <c r="V174" s="122"/>
      <c r="W174" s="122"/>
      <c r="X174" s="128"/>
      <c r="Y174" s="128"/>
      <c r="Z174" s="128"/>
      <c r="AA174" s="128"/>
      <c r="AB174" s="128"/>
      <c r="AC174" s="122"/>
      <c r="AD174" s="122"/>
      <c r="AE174" s="122"/>
      <c r="AF174" s="122"/>
      <c r="AG174" s="122"/>
      <c r="AH174" s="122"/>
      <c r="AI174" s="122"/>
      <c r="AJ174" s="122"/>
      <c r="AK174" s="122"/>
      <c r="AL174" s="122"/>
      <c r="AM174" s="122"/>
      <c r="AN174" s="64"/>
      <c r="AO174" s="118"/>
      <c r="AP174" s="77"/>
      <c r="AQ174" s="76">
        <f t="shared" si="14"/>
        <v>0</v>
      </c>
    </row>
    <row r="175" spans="2:43" x14ac:dyDescent="0.25">
      <c r="B175" s="182"/>
      <c r="C175" s="116"/>
      <c r="D175" s="117"/>
      <c r="E175" s="118"/>
      <c r="F175" s="126"/>
      <c r="G175" s="127"/>
      <c r="H175" s="119"/>
      <c r="I175" s="119"/>
      <c r="J175" s="115"/>
      <c r="K175" s="80"/>
      <c r="L175" s="120"/>
      <c r="M175" s="8"/>
      <c r="N175" s="115"/>
      <c r="O175" s="78"/>
      <c r="P175" s="121"/>
      <c r="Q175" s="115"/>
      <c r="R175" s="122"/>
      <c r="S175" s="122"/>
      <c r="T175" s="122"/>
      <c r="U175" s="122"/>
      <c r="V175" s="122"/>
      <c r="W175" s="122"/>
      <c r="X175" s="128"/>
      <c r="Y175" s="128"/>
      <c r="Z175" s="128"/>
      <c r="AA175" s="128"/>
      <c r="AB175" s="128"/>
      <c r="AC175" s="122"/>
      <c r="AD175" s="122"/>
      <c r="AE175" s="122"/>
      <c r="AF175" s="122"/>
      <c r="AG175" s="122"/>
      <c r="AH175" s="122"/>
      <c r="AI175" s="122"/>
      <c r="AJ175" s="122"/>
      <c r="AK175" s="122"/>
      <c r="AL175" s="122"/>
      <c r="AM175" s="122"/>
      <c r="AN175" s="64"/>
      <c r="AO175" s="118"/>
      <c r="AP175" s="77"/>
      <c r="AQ175" s="76">
        <f t="shared" si="14"/>
        <v>0</v>
      </c>
    </row>
    <row r="176" spans="2:43" x14ac:dyDescent="0.25">
      <c r="B176" s="182"/>
      <c r="C176" s="116"/>
      <c r="D176" s="117"/>
      <c r="E176" s="118"/>
      <c r="F176" s="126"/>
      <c r="G176" s="127"/>
      <c r="H176" s="119"/>
      <c r="I176" s="119"/>
      <c r="J176" s="115"/>
      <c r="K176" s="80"/>
      <c r="L176" s="120"/>
      <c r="M176" s="8"/>
      <c r="N176" s="115"/>
      <c r="O176" s="78"/>
      <c r="P176" s="121"/>
      <c r="Q176" s="115"/>
      <c r="R176" s="122"/>
      <c r="S176" s="122"/>
      <c r="T176" s="122"/>
      <c r="U176" s="122"/>
      <c r="V176" s="122"/>
      <c r="W176" s="122"/>
      <c r="X176" s="128"/>
      <c r="Y176" s="128"/>
      <c r="Z176" s="128"/>
      <c r="AA176" s="128"/>
      <c r="AB176" s="128"/>
      <c r="AC176" s="122"/>
      <c r="AD176" s="122"/>
      <c r="AE176" s="122"/>
      <c r="AF176" s="122"/>
      <c r="AG176" s="122"/>
      <c r="AH176" s="122"/>
      <c r="AI176" s="122"/>
      <c r="AJ176" s="122"/>
      <c r="AK176" s="122"/>
      <c r="AL176" s="122"/>
      <c r="AM176" s="122"/>
      <c r="AN176" s="64"/>
      <c r="AO176" s="118"/>
      <c r="AP176" s="77"/>
      <c r="AQ176" s="76">
        <f t="shared" si="14"/>
        <v>0</v>
      </c>
    </row>
    <row r="177" spans="2:43" x14ac:dyDescent="0.25">
      <c r="B177" s="182"/>
      <c r="C177" s="116"/>
      <c r="D177" s="117"/>
      <c r="E177" s="118"/>
      <c r="F177" s="126"/>
      <c r="G177" s="127"/>
      <c r="H177" s="119"/>
      <c r="I177" s="119"/>
      <c r="J177" s="115"/>
      <c r="K177" s="80"/>
      <c r="L177" s="120"/>
      <c r="M177" s="8"/>
      <c r="N177" s="115"/>
      <c r="O177" s="78"/>
      <c r="P177" s="121"/>
      <c r="Q177" s="115"/>
      <c r="R177" s="122"/>
      <c r="S177" s="122"/>
      <c r="T177" s="122"/>
      <c r="U177" s="122"/>
      <c r="V177" s="122"/>
      <c r="W177" s="122"/>
      <c r="X177" s="128"/>
      <c r="Y177" s="128"/>
      <c r="Z177" s="128"/>
      <c r="AA177" s="128"/>
      <c r="AB177" s="128"/>
      <c r="AC177" s="122"/>
      <c r="AD177" s="122"/>
      <c r="AE177" s="122"/>
      <c r="AF177" s="122"/>
      <c r="AG177" s="122"/>
      <c r="AH177" s="122"/>
      <c r="AI177" s="122"/>
      <c r="AJ177" s="122"/>
      <c r="AK177" s="122"/>
      <c r="AL177" s="122"/>
      <c r="AM177" s="122"/>
      <c r="AN177" s="64"/>
      <c r="AO177" s="118"/>
      <c r="AP177" s="77"/>
      <c r="AQ177" s="76">
        <f t="shared" si="14"/>
        <v>0</v>
      </c>
    </row>
    <row r="178" spans="2:43" x14ac:dyDescent="0.25">
      <c r="B178" s="182"/>
      <c r="C178" s="116"/>
      <c r="D178" s="117"/>
      <c r="E178" s="118"/>
      <c r="F178" s="126"/>
      <c r="G178" s="127"/>
      <c r="H178" s="119"/>
      <c r="I178" s="119"/>
      <c r="J178" s="115"/>
      <c r="K178" s="80"/>
      <c r="L178" s="120"/>
      <c r="M178" s="8"/>
      <c r="N178" s="115"/>
      <c r="O178" s="78"/>
      <c r="P178" s="121"/>
      <c r="Q178" s="115"/>
      <c r="R178" s="122"/>
      <c r="S178" s="122"/>
      <c r="T178" s="122"/>
      <c r="U178" s="122"/>
      <c r="V178" s="122"/>
      <c r="W178" s="122"/>
      <c r="X178" s="128"/>
      <c r="Y178" s="128"/>
      <c r="Z178" s="128"/>
      <c r="AA178" s="128"/>
      <c r="AB178" s="128"/>
      <c r="AC178" s="122"/>
      <c r="AD178" s="122"/>
      <c r="AE178" s="122"/>
      <c r="AF178" s="122"/>
      <c r="AG178" s="122"/>
      <c r="AH178" s="122"/>
      <c r="AI178" s="122"/>
      <c r="AJ178" s="122"/>
      <c r="AK178" s="122"/>
      <c r="AL178" s="122"/>
      <c r="AM178" s="122"/>
      <c r="AN178" s="64"/>
      <c r="AO178" s="118"/>
      <c r="AP178" s="77"/>
      <c r="AQ178" s="76">
        <f t="shared" si="14"/>
        <v>0</v>
      </c>
    </row>
    <row r="179" spans="2:43" x14ac:dyDescent="0.25">
      <c r="B179" s="182"/>
      <c r="C179" s="116"/>
      <c r="D179" s="117"/>
      <c r="E179" s="118"/>
      <c r="F179" s="126"/>
      <c r="G179" s="127"/>
      <c r="H179" s="119"/>
      <c r="I179" s="119"/>
      <c r="J179" s="115"/>
      <c r="K179" s="80"/>
      <c r="L179" s="120"/>
      <c r="M179" s="8"/>
      <c r="N179" s="115"/>
      <c r="O179" s="78"/>
      <c r="P179" s="121"/>
      <c r="Q179" s="115"/>
      <c r="R179" s="122"/>
      <c r="S179" s="122"/>
      <c r="T179" s="122"/>
      <c r="U179" s="122"/>
      <c r="V179" s="122"/>
      <c r="W179" s="122"/>
      <c r="X179" s="128"/>
      <c r="Y179" s="128"/>
      <c r="Z179" s="128"/>
      <c r="AA179" s="128"/>
      <c r="AB179" s="128"/>
      <c r="AC179" s="122"/>
      <c r="AD179" s="122"/>
      <c r="AE179" s="122"/>
      <c r="AF179" s="122"/>
      <c r="AG179" s="122"/>
      <c r="AH179" s="122"/>
      <c r="AI179" s="122"/>
      <c r="AJ179" s="122"/>
      <c r="AK179" s="122"/>
      <c r="AL179" s="122"/>
      <c r="AM179" s="122"/>
      <c r="AN179" s="64"/>
      <c r="AO179" s="118"/>
      <c r="AP179" s="77"/>
      <c r="AQ179" s="76">
        <f t="shared" si="14"/>
        <v>0</v>
      </c>
    </row>
    <row r="180" spans="2:43" x14ac:dyDescent="0.25">
      <c r="B180" s="182"/>
      <c r="C180" s="116"/>
      <c r="D180" s="117"/>
      <c r="E180" s="118"/>
      <c r="F180" s="126"/>
      <c r="G180" s="127"/>
      <c r="H180" s="119"/>
      <c r="I180" s="119"/>
      <c r="J180" s="115"/>
      <c r="K180" s="80"/>
      <c r="L180" s="120"/>
      <c r="M180" s="8"/>
      <c r="N180" s="115"/>
      <c r="O180" s="78"/>
      <c r="P180" s="121"/>
      <c r="Q180" s="115"/>
      <c r="R180" s="122"/>
      <c r="S180" s="122"/>
      <c r="T180" s="122"/>
      <c r="U180" s="122"/>
      <c r="V180" s="122"/>
      <c r="W180" s="122"/>
      <c r="X180" s="128"/>
      <c r="Y180" s="128"/>
      <c r="Z180" s="128"/>
      <c r="AA180" s="128"/>
      <c r="AB180" s="128"/>
      <c r="AC180" s="122"/>
      <c r="AD180" s="122"/>
      <c r="AE180" s="122"/>
      <c r="AF180" s="122"/>
      <c r="AG180" s="122"/>
      <c r="AH180" s="122"/>
      <c r="AI180" s="122"/>
      <c r="AJ180" s="122"/>
      <c r="AK180" s="122"/>
      <c r="AL180" s="122"/>
      <c r="AM180" s="122"/>
      <c r="AN180" s="64"/>
      <c r="AO180" s="118"/>
      <c r="AP180" s="77"/>
      <c r="AQ180" s="76">
        <f t="shared" si="14"/>
        <v>0</v>
      </c>
    </row>
    <row r="181" spans="2:43" x14ac:dyDescent="0.25">
      <c r="B181" s="182"/>
      <c r="C181" s="116"/>
      <c r="D181" s="117"/>
      <c r="E181" s="118"/>
      <c r="F181" s="126"/>
      <c r="G181" s="127"/>
      <c r="H181" s="119"/>
      <c r="I181" s="119"/>
      <c r="J181" s="115"/>
      <c r="K181" s="80"/>
      <c r="L181" s="120"/>
      <c r="M181" s="8"/>
      <c r="N181" s="115"/>
      <c r="O181" s="78"/>
      <c r="P181" s="121"/>
      <c r="Q181" s="115"/>
      <c r="R181" s="122"/>
      <c r="S181" s="122"/>
      <c r="T181" s="122"/>
      <c r="U181" s="122"/>
      <c r="V181" s="122"/>
      <c r="W181" s="122"/>
      <c r="X181" s="128"/>
      <c r="Y181" s="128"/>
      <c r="Z181" s="128"/>
      <c r="AA181" s="128"/>
      <c r="AB181" s="128"/>
      <c r="AC181" s="122"/>
      <c r="AD181" s="122"/>
      <c r="AE181" s="122"/>
      <c r="AF181" s="122"/>
      <c r="AG181" s="122"/>
      <c r="AH181" s="122"/>
      <c r="AI181" s="122"/>
      <c r="AJ181" s="122"/>
      <c r="AK181" s="122"/>
      <c r="AL181" s="122"/>
      <c r="AM181" s="122"/>
      <c r="AN181" s="64"/>
      <c r="AO181" s="118"/>
      <c r="AP181" s="77"/>
      <c r="AQ181" s="76">
        <f t="shared" si="14"/>
        <v>0</v>
      </c>
    </row>
    <row r="182" spans="2:43" x14ac:dyDescent="0.25">
      <c r="B182" s="182"/>
      <c r="C182" s="116"/>
      <c r="D182" s="117"/>
      <c r="E182" s="118"/>
      <c r="F182" s="126"/>
      <c r="G182" s="127"/>
      <c r="H182" s="119"/>
      <c r="I182" s="119"/>
      <c r="J182" s="115"/>
      <c r="K182" s="80"/>
      <c r="L182" s="120"/>
      <c r="M182" s="8"/>
      <c r="N182" s="115"/>
      <c r="O182" s="78"/>
      <c r="P182" s="121"/>
      <c r="Q182" s="115"/>
      <c r="R182" s="122"/>
      <c r="S182" s="122"/>
      <c r="T182" s="122"/>
      <c r="U182" s="122"/>
      <c r="V182" s="122"/>
      <c r="W182" s="122"/>
      <c r="X182" s="128"/>
      <c r="Y182" s="128"/>
      <c r="Z182" s="128"/>
      <c r="AA182" s="128"/>
      <c r="AB182" s="128"/>
      <c r="AC182" s="122"/>
      <c r="AD182" s="122"/>
      <c r="AE182" s="122"/>
      <c r="AF182" s="122"/>
      <c r="AG182" s="122"/>
      <c r="AH182" s="122"/>
      <c r="AI182" s="122"/>
      <c r="AJ182" s="122"/>
      <c r="AK182" s="122"/>
      <c r="AL182" s="122"/>
      <c r="AM182" s="122"/>
      <c r="AN182" s="64"/>
      <c r="AO182" s="118"/>
      <c r="AP182" s="77"/>
      <c r="AQ182" s="76">
        <f t="shared" si="14"/>
        <v>0</v>
      </c>
    </row>
    <row r="183" spans="2:43" x14ac:dyDescent="0.25">
      <c r="B183" s="182"/>
      <c r="C183" s="116"/>
      <c r="D183" s="117"/>
      <c r="E183" s="118"/>
      <c r="F183" s="126"/>
      <c r="G183" s="127"/>
      <c r="H183" s="119"/>
      <c r="I183" s="119"/>
      <c r="J183" s="115"/>
      <c r="K183" s="80"/>
      <c r="L183" s="120"/>
      <c r="M183" s="8"/>
      <c r="N183" s="115"/>
      <c r="O183" s="78"/>
      <c r="P183" s="121"/>
      <c r="Q183" s="115"/>
      <c r="R183" s="122"/>
      <c r="S183" s="122"/>
      <c r="T183" s="122"/>
      <c r="U183" s="122"/>
      <c r="V183" s="122"/>
      <c r="W183" s="122"/>
      <c r="X183" s="128"/>
      <c r="Y183" s="128"/>
      <c r="Z183" s="128"/>
      <c r="AA183" s="128"/>
      <c r="AB183" s="128"/>
      <c r="AC183" s="122"/>
      <c r="AD183" s="122"/>
      <c r="AE183" s="122"/>
      <c r="AF183" s="122"/>
      <c r="AG183" s="122"/>
      <c r="AH183" s="122"/>
      <c r="AI183" s="122"/>
      <c r="AJ183" s="122"/>
      <c r="AK183" s="122"/>
      <c r="AL183" s="122"/>
      <c r="AM183" s="122"/>
      <c r="AN183" s="64"/>
      <c r="AO183" s="118"/>
      <c r="AP183" s="77"/>
      <c r="AQ183" s="76">
        <f t="shared" si="14"/>
        <v>0</v>
      </c>
    </row>
    <row r="184" spans="2:43" x14ac:dyDescent="0.25">
      <c r="B184" s="182"/>
      <c r="C184" s="116"/>
      <c r="D184" s="117"/>
      <c r="E184" s="118"/>
      <c r="F184" s="126"/>
      <c r="G184" s="127"/>
      <c r="H184" s="119"/>
      <c r="I184" s="119"/>
      <c r="J184" s="115"/>
      <c r="K184" s="80"/>
      <c r="L184" s="120"/>
      <c r="M184" s="8"/>
      <c r="N184" s="115"/>
      <c r="O184" s="78"/>
      <c r="P184" s="121"/>
      <c r="Q184" s="115"/>
      <c r="R184" s="122"/>
      <c r="S184" s="122"/>
      <c r="T184" s="122"/>
      <c r="U184" s="122"/>
      <c r="V184" s="122"/>
      <c r="W184" s="122"/>
      <c r="X184" s="128"/>
      <c r="Y184" s="128"/>
      <c r="Z184" s="128"/>
      <c r="AA184" s="128"/>
      <c r="AB184" s="128"/>
      <c r="AC184" s="122"/>
      <c r="AD184" s="122"/>
      <c r="AE184" s="122"/>
      <c r="AF184" s="122"/>
      <c r="AG184" s="122"/>
      <c r="AH184" s="122"/>
      <c r="AI184" s="122"/>
      <c r="AJ184" s="122"/>
      <c r="AK184" s="122"/>
      <c r="AL184" s="122"/>
      <c r="AM184" s="122"/>
      <c r="AN184" s="64"/>
      <c r="AO184" s="118"/>
      <c r="AP184" s="77"/>
      <c r="AQ184" s="76">
        <f t="shared" si="14"/>
        <v>0</v>
      </c>
    </row>
    <row r="185" spans="2:43" x14ac:dyDescent="0.25">
      <c r="B185" s="182"/>
      <c r="C185" s="116"/>
      <c r="D185" s="117"/>
      <c r="E185" s="118"/>
      <c r="F185" s="126"/>
      <c r="G185" s="127"/>
      <c r="H185" s="119"/>
      <c r="I185" s="119"/>
      <c r="J185" s="115"/>
      <c r="K185" s="80"/>
      <c r="L185" s="120"/>
      <c r="M185" s="8"/>
      <c r="N185" s="115"/>
      <c r="O185" s="78"/>
      <c r="P185" s="121"/>
      <c r="Q185" s="115"/>
      <c r="R185" s="122"/>
      <c r="S185" s="122"/>
      <c r="T185" s="122"/>
      <c r="U185" s="122"/>
      <c r="V185" s="122"/>
      <c r="W185" s="122"/>
      <c r="X185" s="128"/>
      <c r="Y185" s="128"/>
      <c r="Z185" s="128"/>
      <c r="AA185" s="128"/>
      <c r="AB185" s="128"/>
      <c r="AC185" s="122"/>
      <c r="AD185" s="122"/>
      <c r="AE185" s="122"/>
      <c r="AF185" s="122"/>
      <c r="AG185" s="122"/>
      <c r="AH185" s="122"/>
      <c r="AI185" s="122"/>
      <c r="AJ185" s="122"/>
      <c r="AK185" s="122"/>
      <c r="AL185" s="122"/>
      <c r="AM185" s="122"/>
      <c r="AN185" s="64"/>
      <c r="AO185" s="118"/>
      <c r="AP185" s="77"/>
      <c r="AQ185" s="76">
        <f t="shared" si="14"/>
        <v>0</v>
      </c>
    </row>
    <row r="186" spans="2:43" x14ac:dyDescent="0.25">
      <c r="B186" s="182"/>
      <c r="C186" s="116"/>
      <c r="D186" s="117"/>
      <c r="E186" s="118"/>
      <c r="F186" s="126"/>
      <c r="G186" s="127"/>
      <c r="H186" s="119"/>
      <c r="I186" s="119"/>
      <c r="J186" s="115"/>
      <c r="K186" s="80"/>
      <c r="L186" s="120"/>
      <c r="M186" s="8"/>
      <c r="N186" s="115"/>
      <c r="O186" s="78"/>
      <c r="P186" s="121"/>
      <c r="Q186" s="115"/>
      <c r="R186" s="122"/>
      <c r="S186" s="122"/>
      <c r="T186" s="122"/>
      <c r="U186" s="122"/>
      <c r="V186" s="122"/>
      <c r="W186" s="122"/>
      <c r="X186" s="128"/>
      <c r="Y186" s="128"/>
      <c r="Z186" s="128"/>
      <c r="AA186" s="128"/>
      <c r="AB186" s="128"/>
      <c r="AC186" s="122"/>
      <c r="AD186" s="122"/>
      <c r="AE186" s="122"/>
      <c r="AF186" s="122"/>
      <c r="AG186" s="122"/>
      <c r="AH186" s="122"/>
      <c r="AI186" s="122"/>
      <c r="AJ186" s="122"/>
      <c r="AK186" s="122"/>
      <c r="AL186" s="122"/>
      <c r="AM186" s="122"/>
      <c r="AN186" s="64"/>
      <c r="AO186" s="118"/>
      <c r="AP186" s="77"/>
      <c r="AQ186" s="76">
        <f t="shared" si="14"/>
        <v>0</v>
      </c>
    </row>
    <row r="187" spans="2:43" x14ac:dyDescent="0.25">
      <c r="B187" s="182"/>
      <c r="C187" s="116"/>
      <c r="D187" s="117"/>
      <c r="E187" s="118"/>
      <c r="F187" s="126"/>
      <c r="G187" s="127"/>
      <c r="H187" s="119"/>
      <c r="I187" s="119"/>
      <c r="J187" s="115"/>
      <c r="K187" s="80"/>
      <c r="L187" s="120"/>
      <c r="M187" s="8"/>
      <c r="N187" s="115"/>
      <c r="O187" s="78"/>
      <c r="P187" s="121"/>
      <c r="Q187" s="115"/>
      <c r="R187" s="122"/>
      <c r="S187" s="122"/>
      <c r="T187" s="122"/>
      <c r="U187" s="122"/>
      <c r="V187" s="122"/>
      <c r="W187" s="122"/>
      <c r="X187" s="128"/>
      <c r="Y187" s="128"/>
      <c r="Z187" s="128"/>
      <c r="AA187" s="128"/>
      <c r="AB187" s="128"/>
      <c r="AC187" s="122"/>
      <c r="AD187" s="122"/>
      <c r="AE187" s="122"/>
      <c r="AF187" s="122"/>
      <c r="AG187" s="122"/>
      <c r="AH187" s="122"/>
      <c r="AI187" s="122"/>
      <c r="AJ187" s="122"/>
      <c r="AK187" s="122"/>
      <c r="AL187" s="122"/>
      <c r="AM187" s="122"/>
      <c r="AN187" s="64"/>
      <c r="AO187" s="118"/>
      <c r="AP187" s="77"/>
      <c r="AQ187" s="76">
        <f t="shared" si="14"/>
        <v>0</v>
      </c>
    </row>
    <row r="188" spans="2:43" x14ac:dyDescent="0.25">
      <c r="B188" s="182"/>
      <c r="C188" s="116"/>
      <c r="D188" s="117"/>
      <c r="E188" s="118"/>
      <c r="F188" s="126"/>
      <c r="G188" s="127"/>
      <c r="H188" s="119"/>
      <c r="I188" s="119"/>
      <c r="J188" s="115"/>
      <c r="K188" s="80"/>
      <c r="L188" s="120"/>
      <c r="M188" s="8"/>
      <c r="N188" s="115"/>
      <c r="O188" s="78"/>
      <c r="P188" s="121"/>
      <c r="Q188" s="115"/>
      <c r="R188" s="122"/>
      <c r="S188" s="122"/>
      <c r="T188" s="122"/>
      <c r="U188" s="122"/>
      <c r="V188" s="122"/>
      <c r="W188" s="122"/>
      <c r="X188" s="128"/>
      <c r="Y188" s="128"/>
      <c r="Z188" s="128"/>
      <c r="AA188" s="128"/>
      <c r="AB188" s="128"/>
      <c r="AC188" s="122"/>
      <c r="AD188" s="122"/>
      <c r="AE188" s="122"/>
      <c r="AF188" s="122"/>
      <c r="AG188" s="122"/>
      <c r="AH188" s="122"/>
      <c r="AI188" s="122"/>
      <c r="AJ188" s="122"/>
      <c r="AK188" s="122"/>
      <c r="AL188" s="122"/>
      <c r="AM188" s="122"/>
      <c r="AN188" s="64"/>
      <c r="AO188" s="118"/>
      <c r="AP188" s="77"/>
      <c r="AQ188" s="76">
        <f t="shared" si="14"/>
        <v>0</v>
      </c>
    </row>
    <row r="189" spans="2:43" x14ac:dyDescent="0.25">
      <c r="B189" s="182"/>
      <c r="C189" s="116"/>
      <c r="D189" s="117"/>
      <c r="E189" s="118"/>
      <c r="F189" s="126"/>
      <c r="G189" s="127"/>
      <c r="H189" s="119"/>
      <c r="I189" s="119"/>
      <c r="J189" s="115"/>
      <c r="K189" s="80"/>
      <c r="L189" s="120"/>
      <c r="M189" s="8"/>
      <c r="N189" s="115"/>
      <c r="O189" s="78"/>
      <c r="P189" s="121"/>
      <c r="Q189" s="115"/>
      <c r="R189" s="122"/>
      <c r="S189" s="122"/>
      <c r="T189" s="122"/>
      <c r="U189" s="122"/>
      <c r="V189" s="122"/>
      <c r="W189" s="122"/>
      <c r="X189" s="128"/>
      <c r="Y189" s="128"/>
      <c r="Z189" s="128"/>
      <c r="AA189" s="128"/>
      <c r="AB189" s="128"/>
      <c r="AC189" s="122"/>
      <c r="AD189" s="122"/>
      <c r="AE189" s="122"/>
      <c r="AF189" s="122"/>
      <c r="AG189" s="122"/>
      <c r="AH189" s="122"/>
      <c r="AI189" s="122"/>
      <c r="AJ189" s="122"/>
      <c r="AK189" s="122"/>
      <c r="AL189" s="122"/>
      <c r="AM189" s="122"/>
      <c r="AN189" s="64"/>
      <c r="AO189" s="118"/>
      <c r="AP189" s="77"/>
      <c r="AQ189" s="76">
        <f t="shared" si="14"/>
        <v>0</v>
      </c>
    </row>
    <row r="190" spans="2:43" x14ac:dyDescent="0.25">
      <c r="B190" s="182"/>
      <c r="C190" s="116"/>
      <c r="D190" s="117"/>
      <c r="E190" s="118"/>
      <c r="F190" s="126"/>
      <c r="G190" s="127"/>
      <c r="H190" s="119"/>
      <c r="I190" s="119"/>
      <c r="J190" s="115"/>
      <c r="K190" s="80"/>
      <c r="L190" s="120"/>
      <c r="M190" s="8"/>
      <c r="N190" s="115"/>
      <c r="O190" s="78"/>
      <c r="P190" s="121"/>
      <c r="Q190" s="115"/>
      <c r="R190" s="122"/>
      <c r="S190" s="122"/>
      <c r="T190" s="122"/>
      <c r="U190" s="122"/>
      <c r="V190" s="122"/>
      <c r="W190" s="122"/>
      <c r="X190" s="128"/>
      <c r="Y190" s="128"/>
      <c r="Z190" s="128"/>
      <c r="AA190" s="128"/>
      <c r="AB190" s="128"/>
      <c r="AC190" s="122"/>
      <c r="AD190" s="122"/>
      <c r="AE190" s="122"/>
      <c r="AF190" s="122"/>
      <c r="AG190" s="122"/>
      <c r="AH190" s="122"/>
      <c r="AI190" s="122"/>
      <c r="AJ190" s="122"/>
      <c r="AK190" s="122"/>
      <c r="AL190" s="122"/>
      <c r="AM190" s="122"/>
      <c r="AN190" s="64"/>
      <c r="AO190" s="118"/>
      <c r="AP190" s="77"/>
      <c r="AQ190" s="76">
        <f t="shared" si="14"/>
        <v>0</v>
      </c>
    </row>
    <row r="191" spans="2:43" x14ac:dyDescent="0.25">
      <c r="B191" s="182"/>
      <c r="C191" s="116"/>
      <c r="D191" s="117"/>
      <c r="E191" s="118"/>
      <c r="F191" s="126"/>
      <c r="G191" s="127"/>
      <c r="H191" s="119"/>
      <c r="I191" s="119"/>
      <c r="J191" s="115"/>
      <c r="K191" s="80"/>
      <c r="L191" s="120"/>
      <c r="M191" s="8"/>
      <c r="N191" s="115"/>
      <c r="O191" s="78"/>
      <c r="P191" s="121"/>
      <c r="Q191" s="115"/>
      <c r="R191" s="122"/>
      <c r="S191" s="122"/>
      <c r="T191" s="122"/>
      <c r="U191" s="122"/>
      <c r="V191" s="122"/>
      <c r="W191" s="122"/>
      <c r="X191" s="128"/>
      <c r="Y191" s="128"/>
      <c r="Z191" s="128"/>
      <c r="AA191" s="128"/>
      <c r="AB191" s="128"/>
      <c r="AC191" s="122"/>
      <c r="AD191" s="122"/>
      <c r="AE191" s="122"/>
      <c r="AF191" s="122"/>
      <c r="AG191" s="122"/>
      <c r="AH191" s="122"/>
      <c r="AI191" s="122"/>
      <c r="AJ191" s="122"/>
      <c r="AK191" s="122"/>
      <c r="AL191" s="122"/>
      <c r="AM191" s="122"/>
      <c r="AN191" s="64"/>
      <c r="AO191" s="118"/>
      <c r="AP191" s="77"/>
      <c r="AQ191" s="76">
        <f t="shared" si="14"/>
        <v>0</v>
      </c>
    </row>
    <row r="192" spans="2:43" x14ac:dyDescent="0.25">
      <c r="B192" s="182"/>
      <c r="C192" s="116"/>
      <c r="D192" s="117"/>
      <c r="E192" s="118"/>
      <c r="F192" s="126"/>
      <c r="G192" s="127"/>
      <c r="H192" s="119"/>
      <c r="I192" s="119"/>
      <c r="J192" s="115"/>
      <c r="K192" s="80"/>
      <c r="L192" s="120"/>
      <c r="M192" s="8"/>
      <c r="N192" s="115"/>
      <c r="O192" s="78"/>
      <c r="P192" s="121"/>
      <c r="Q192" s="115"/>
      <c r="R192" s="122"/>
      <c r="S192" s="122"/>
      <c r="T192" s="122"/>
      <c r="U192" s="122"/>
      <c r="V192" s="122"/>
      <c r="W192" s="122"/>
      <c r="X192" s="128"/>
      <c r="Y192" s="128"/>
      <c r="Z192" s="128"/>
      <c r="AA192" s="128"/>
      <c r="AB192" s="128"/>
      <c r="AC192" s="122"/>
      <c r="AD192" s="122"/>
      <c r="AE192" s="122"/>
      <c r="AF192" s="122"/>
      <c r="AG192" s="122"/>
      <c r="AH192" s="122"/>
      <c r="AI192" s="122"/>
      <c r="AJ192" s="122"/>
      <c r="AK192" s="122"/>
      <c r="AL192" s="122"/>
      <c r="AM192" s="122"/>
      <c r="AN192" s="64"/>
      <c r="AO192" s="118"/>
      <c r="AP192" s="77"/>
      <c r="AQ192" s="76">
        <f t="shared" si="14"/>
        <v>0</v>
      </c>
    </row>
    <row r="193" spans="2:43" x14ac:dyDescent="0.25">
      <c r="B193" s="182"/>
      <c r="C193" s="116"/>
      <c r="D193" s="117"/>
      <c r="E193" s="118"/>
      <c r="F193" s="126"/>
      <c r="G193" s="127"/>
      <c r="H193" s="119"/>
      <c r="I193" s="119"/>
      <c r="J193" s="115"/>
      <c r="K193" s="80"/>
      <c r="L193" s="120"/>
      <c r="M193" s="8"/>
      <c r="N193" s="115"/>
      <c r="O193" s="78"/>
      <c r="P193" s="121"/>
      <c r="Q193" s="115"/>
      <c r="R193" s="122"/>
      <c r="S193" s="122"/>
      <c r="T193" s="122"/>
      <c r="U193" s="122"/>
      <c r="V193" s="122"/>
      <c r="W193" s="122"/>
      <c r="X193" s="128"/>
      <c r="Y193" s="128"/>
      <c r="Z193" s="128"/>
      <c r="AA193" s="128"/>
      <c r="AB193" s="128"/>
      <c r="AC193" s="122"/>
      <c r="AD193" s="122"/>
      <c r="AE193" s="122"/>
      <c r="AF193" s="122"/>
      <c r="AG193" s="122"/>
      <c r="AH193" s="122"/>
      <c r="AI193" s="122"/>
      <c r="AJ193" s="122"/>
      <c r="AK193" s="122"/>
      <c r="AL193" s="122"/>
      <c r="AM193" s="122"/>
      <c r="AN193" s="64"/>
      <c r="AO193" s="118"/>
      <c r="AP193" s="77"/>
      <c r="AQ193" s="76">
        <f t="shared" si="14"/>
        <v>0</v>
      </c>
    </row>
    <row r="194" spans="2:43" x14ac:dyDescent="0.25">
      <c r="B194" s="182"/>
      <c r="C194" s="116"/>
      <c r="D194" s="117"/>
      <c r="E194" s="118"/>
      <c r="F194" s="126"/>
      <c r="G194" s="127"/>
      <c r="H194" s="119"/>
      <c r="I194" s="119"/>
      <c r="J194" s="115"/>
      <c r="K194" s="80"/>
      <c r="L194" s="120"/>
      <c r="M194" s="8"/>
      <c r="N194" s="115"/>
      <c r="O194" s="78"/>
      <c r="P194" s="121"/>
      <c r="Q194" s="115"/>
      <c r="R194" s="122"/>
      <c r="S194" s="122"/>
      <c r="T194" s="122"/>
      <c r="U194" s="122"/>
      <c r="V194" s="122"/>
      <c r="W194" s="122"/>
      <c r="X194" s="128"/>
      <c r="Y194" s="128"/>
      <c r="Z194" s="128"/>
      <c r="AA194" s="128"/>
      <c r="AB194" s="128"/>
      <c r="AC194" s="122"/>
      <c r="AD194" s="122"/>
      <c r="AE194" s="122"/>
      <c r="AF194" s="122"/>
      <c r="AG194" s="122"/>
      <c r="AH194" s="122"/>
      <c r="AI194" s="122"/>
      <c r="AJ194" s="122"/>
      <c r="AK194" s="122"/>
      <c r="AL194" s="122"/>
      <c r="AM194" s="122"/>
      <c r="AN194" s="64"/>
      <c r="AO194" s="118"/>
      <c r="AP194" s="77"/>
      <c r="AQ194" s="76">
        <f t="shared" si="14"/>
        <v>0</v>
      </c>
    </row>
    <row r="195" spans="2:43" x14ac:dyDescent="0.25">
      <c r="B195" s="182"/>
      <c r="C195" s="116"/>
      <c r="D195" s="117"/>
      <c r="E195" s="118"/>
      <c r="F195" s="126"/>
      <c r="G195" s="127"/>
      <c r="H195" s="119"/>
      <c r="I195" s="119"/>
      <c r="J195" s="115"/>
      <c r="K195" s="80"/>
      <c r="L195" s="120"/>
      <c r="M195" s="8"/>
      <c r="N195" s="115"/>
      <c r="O195" s="78"/>
      <c r="P195" s="121"/>
      <c r="Q195" s="115"/>
      <c r="R195" s="122"/>
      <c r="S195" s="122"/>
      <c r="T195" s="122"/>
      <c r="U195" s="122"/>
      <c r="V195" s="122"/>
      <c r="W195" s="122"/>
      <c r="X195" s="128"/>
      <c r="Y195" s="128"/>
      <c r="Z195" s="128"/>
      <c r="AA195" s="128"/>
      <c r="AB195" s="128"/>
      <c r="AC195" s="122"/>
      <c r="AD195" s="122"/>
      <c r="AE195" s="122"/>
      <c r="AF195" s="122"/>
      <c r="AG195" s="122"/>
      <c r="AH195" s="122"/>
      <c r="AI195" s="122"/>
      <c r="AJ195" s="122"/>
      <c r="AK195" s="122"/>
      <c r="AL195" s="122"/>
      <c r="AM195" s="122"/>
      <c r="AN195" s="64"/>
      <c r="AO195" s="118"/>
      <c r="AP195" s="77"/>
      <c r="AQ195" s="76">
        <f t="shared" si="14"/>
        <v>0</v>
      </c>
    </row>
    <row r="196" spans="2:43" x14ac:dyDescent="0.25">
      <c r="B196" s="182"/>
      <c r="C196" s="116"/>
      <c r="D196" s="117"/>
      <c r="E196" s="118"/>
      <c r="F196" s="126"/>
      <c r="G196" s="127"/>
      <c r="H196" s="119"/>
      <c r="I196" s="119"/>
      <c r="J196" s="115"/>
      <c r="K196" s="80"/>
      <c r="L196" s="120"/>
      <c r="M196" s="8"/>
      <c r="N196" s="115"/>
      <c r="O196" s="78"/>
      <c r="P196" s="121"/>
      <c r="Q196" s="115"/>
      <c r="R196" s="122"/>
      <c r="S196" s="122"/>
      <c r="T196" s="122"/>
      <c r="U196" s="122"/>
      <c r="V196" s="122"/>
      <c r="W196" s="122"/>
      <c r="X196" s="128"/>
      <c r="Y196" s="128"/>
      <c r="Z196" s="128"/>
      <c r="AA196" s="128"/>
      <c r="AB196" s="128"/>
      <c r="AC196" s="122"/>
      <c r="AD196" s="122"/>
      <c r="AE196" s="122"/>
      <c r="AF196" s="122"/>
      <c r="AG196" s="122"/>
      <c r="AH196" s="122"/>
      <c r="AI196" s="122"/>
      <c r="AJ196" s="122"/>
      <c r="AK196" s="122"/>
      <c r="AL196" s="122"/>
      <c r="AM196" s="122"/>
      <c r="AN196" s="64"/>
      <c r="AO196" s="118"/>
      <c r="AP196" s="77"/>
      <c r="AQ196" s="76">
        <f t="shared" si="14"/>
        <v>0</v>
      </c>
    </row>
    <row r="197" spans="2:43" x14ac:dyDescent="0.25">
      <c r="B197" s="182"/>
      <c r="C197" s="116"/>
      <c r="D197" s="117"/>
      <c r="E197" s="118"/>
      <c r="F197" s="126"/>
      <c r="G197" s="127"/>
      <c r="H197" s="119"/>
      <c r="I197" s="119"/>
      <c r="J197" s="115"/>
      <c r="K197" s="80"/>
      <c r="L197" s="120"/>
      <c r="M197" s="8"/>
      <c r="N197" s="115"/>
      <c r="O197" s="78"/>
      <c r="P197" s="121"/>
      <c r="Q197" s="115"/>
      <c r="R197" s="122"/>
      <c r="S197" s="122"/>
      <c r="T197" s="122"/>
      <c r="U197" s="122"/>
      <c r="V197" s="122"/>
      <c r="W197" s="122"/>
      <c r="X197" s="128"/>
      <c r="Y197" s="128"/>
      <c r="Z197" s="128"/>
      <c r="AA197" s="128"/>
      <c r="AB197" s="128"/>
      <c r="AC197" s="122"/>
      <c r="AD197" s="122"/>
      <c r="AE197" s="122"/>
      <c r="AF197" s="122"/>
      <c r="AG197" s="122"/>
      <c r="AH197" s="122"/>
      <c r="AI197" s="122"/>
      <c r="AJ197" s="122"/>
      <c r="AK197" s="122"/>
      <c r="AL197" s="122"/>
      <c r="AM197" s="122"/>
      <c r="AN197" s="64"/>
      <c r="AO197" s="118"/>
      <c r="AP197" s="77"/>
      <c r="AQ197" s="76">
        <f t="shared" si="14"/>
        <v>0</v>
      </c>
    </row>
    <row r="198" spans="2:43" x14ac:dyDescent="0.25">
      <c r="B198" s="182"/>
      <c r="C198" s="116"/>
      <c r="D198" s="117"/>
      <c r="E198" s="118"/>
      <c r="F198" s="126"/>
      <c r="G198" s="127"/>
      <c r="H198" s="119"/>
      <c r="I198" s="119"/>
      <c r="J198" s="115"/>
      <c r="K198" s="80"/>
      <c r="L198" s="120"/>
      <c r="M198" s="8"/>
      <c r="N198" s="115"/>
      <c r="O198" s="78"/>
      <c r="P198" s="121"/>
      <c r="Q198" s="115"/>
      <c r="R198" s="122"/>
      <c r="S198" s="122"/>
      <c r="T198" s="122"/>
      <c r="U198" s="122"/>
      <c r="V198" s="122"/>
      <c r="W198" s="122"/>
      <c r="X198" s="128"/>
      <c r="Y198" s="128"/>
      <c r="Z198" s="128"/>
      <c r="AA198" s="128"/>
      <c r="AB198" s="128"/>
      <c r="AC198" s="122"/>
      <c r="AD198" s="122"/>
      <c r="AE198" s="122"/>
      <c r="AF198" s="122"/>
      <c r="AG198" s="122"/>
      <c r="AH198" s="122"/>
      <c r="AI198" s="122"/>
      <c r="AJ198" s="122"/>
      <c r="AK198" s="122"/>
      <c r="AL198" s="122"/>
      <c r="AM198" s="122"/>
      <c r="AN198" s="64"/>
      <c r="AO198" s="118"/>
      <c r="AP198" s="77"/>
      <c r="AQ198" s="76">
        <f t="shared" si="14"/>
        <v>0</v>
      </c>
    </row>
    <row r="199" spans="2:43" x14ac:dyDescent="0.25">
      <c r="B199" s="182"/>
      <c r="C199" s="116"/>
      <c r="D199" s="117"/>
      <c r="E199" s="118"/>
      <c r="F199" s="126"/>
      <c r="G199" s="127"/>
      <c r="H199" s="119"/>
      <c r="I199" s="119"/>
      <c r="J199" s="115"/>
      <c r="K199" s="80"/>
      <c r="L199" s="120"/>
      <c r="M199" s="8"/>
      <c r="N199" s="115"/>
      <c r="O199" s="78"/>
      <c r="P199" s="121"/>
      <c r="Q199" s="115"/>
      <c r="R199" s="122"/>
      <c r="S199" s="122"/>
      <c r="T199" s="122"/>
      <c r="U199" s="122"/>
      <c r="V199" s="122"/>
      <c r="W199" s="122"/>
      <c r="X199" s="128"/>
      <c r="Y199" s="128"/>
      <c r="Z199" s="128"/>
      <c r="AA199" s="128"/>
      <c r="AB199" s="128"/>
      <c r="AC199" s="122"/>
      <c r="AD199" s="122"/>
      <c r="AE199" s="122"/>
      <c r="AF199" s="122"/>
      <c r="AG199" s="122"/>
      <c r="AH199" s="122"/>
      <c r="AI199" s="122"/>
      <c r="AJ199" s="122"/>
      <c r="AK199" s="122"/>
      <c r="AL199" s="122"/>
      <c r="AM199" s="122"/>
      <c r="AN199" s="64"/>
      <c r="AO199" s="118"/>
      <c r="AP199" s="77"/>
      <c r="AQ199" s="76">
        <f t="shared" si="14"/>
        <v>0</v>
      </c>
    </row>
    <row r="200" spans="2:43" x14ac:dyDescent="0.25">
      <c r="B200" s="182"/>
      <c r="C200" s="116"/>
      <c r="D200" s="117"/>
      <c r="E200" s="118"/>
      <c r="F200" s="126"/>
      <c r="G200" s="127"/>
      <c r="H200" s="119"/>
      <c r="I200" s="119"/>
      <c r="J200" s="115"/>
      <c r="K200" s="80"/>
      <c r="L200" s="120"/>
      <c r="M200" s="8"/>
      <c r="N200" s="115"/>
      <c r="O200" s="78"/>
      <c r="P200" s="121"/>
      <c r="Q200" s="115"/>
      <c r="R200" s="122"/>
      <c r="S200" s="122"/>
      <c r="T200" s="122"/>
      <c r="U200" s="122"/>
      <c r="V200" s="122"/>
      <c r="W200" s="122"/>
      <c r="X200" s="128"/>
      <c r="Y200" s="128"/>
      <c r="Z200" s="128"/>
      <c r="AA200" s="128"/>
      <c r="AB200" s="128"/>
      <c r="AC200" s="122"/>
      <c r="AD200" s="122"/>
      <c r="AE200" s="122"/>
      <c r="AF200" s="122"/>
      <c r="AG200" s="122"/>
      <c r="AH200" s="122"/>
      <c r="AI200" s="122"/>
      <c r="AJ200" s="122"/>
      <c r="AK200" s="122"/>
      <c r="AL200" s="122"/>
      <c r="AM200" s="122"/>
      <c r="AN200" s="64"/>
      <c r="AO200" s="118"/>
      <c r="AP200" s="77"/>
      <c r="AQ200" s="76">
        <f t="shared" si="14"/>
        <v>0</v>
      </c>
    </row>
    <row r="201" spans="2:43" x14ac:dyDescent="0.25">
      <c r="B201" s="182"/>
      <c r="C201" s="116"/>
      <c r="D201" s="117"/>
      <c r="E201" s="118"/>
      <c r="F201" s="126"/>
      <c r="G201" s="127"/>
      <c r="H201" s="119"/>
      <c r="I201" s="119"/>
      <c r="J201" s="115"/>
      <c r="K201" s="80"/>
      <c r="L201" s="120"/>
      <c r="M201" s="8"/>
      <c r="N201" s="115"/>
      <c r="O201" s="78"/>
      <c r="P201" s="121"/>
      <c r="Q201" s="115"/>
      <c r="R201" s="122"/>
      <c r="S201" s="122"/>
      <c r="T201" s="122"/>
      <c r="U201" s="122"/>
      <c r="V201" s="122"/>
      <c r="W201" s="122"/>
      <c r="X201" s="128"/>
      <c r="Y201" s="128"/>
      <c r="Z201" s="128"/>
      <c r="AA201" s="128"/>
      <c r="AB201" s="128"/>
      <c r="AC201" s="122"/>
      <c r="AD201" s="122"/>
      <c r="AE201" s="122"/>
      <c r="AF201" s="122"/>
      <c r="AG201" s="122"/>
      <c r="AH201" s="122"/>
      <c r="AI201" s="122"/>
      <c r="AJ201" s="122"/>
      <c r="AK201" s="122"/>
      <c r="AL201" s="122"/>
      <c r="AM201" s="122"/>
      <c r="AN201" s="64"/>
      <c r="AO201" s="118"/>
      <c r="AP201" s="77"/>
      <c r="AQ201" s="76">
        <f t="shared" si="14"/>
        <v>0</v>
      </c>
    </row>
    <row r="202" spans="2:43" x14ac:dyDescent="0.25">
      <c r="B202" s="182"/>
      <c r="C202" s="116"/>
      <c r="D202" s="117"/>
      <c r="E202" s="118"/>
      <c r="F202" s="126"/>
      <c r="G202" s="127"/>
      <c r="H202" s="119"/>
      <c r="I202" s="119"/>
      <c r="J202" s="115"/>
      <c r="K202" s="80"/>
      <c r="L202" s="120"/>
      <c r="M202" s="8"/>
      <c r="N202" s="115"/>
      <c r="O202" s="78"/>
      <c r="P202" s="121"/>
      <c r="Q202" s="115"/>
      <c r="R202" s="122"/>
      <c r="S202" s="122"/>
      <c r="T202" s="122"/>
      <c r="U202" s="122"/>
      <c r="V202" s="122"/>
      <c r="W202" s="122"/>
      <c r="X202" s="128"/>
      <c r="Y202" s="128"/>
      <c r="Z202" s="128"/>
      <c r="AA202" s="128"/>
      <c r="AB202" s="128"/>
      <c r="AC202" s="122"/>
      <c r="AD202" s="122"/>
      <c r="AE202" s="122"/>
      <c r="AF202" s="122"/>
      <c r="AG202" s="122"/>
      <c r="AH202" s="122"/>
      <c r="AI202" s="122"/>
      <c r="AJ202" s="122"/>
      <c r="AK202" s="122"/>
      <c r="AL202" s="122"/>
      <c r="AM202" s="122"/>
      <c r="AN202" s="64"/>
      <c r="AO202" s="118"/>
      <c r="AP202" s="77"/>
      <c r="AQ202" s="76">
        <f t="shared" si="14"/>
        <v>0</v>
      </c>
    </row>
    <row r="203" spans="2:43" x14ac:dyDescent="0.25">
      <c r="B203" s="182"/>
      <c r="C203" s="116"/>
      <c r="D203" s="117"/>
      <c r="E203" s="118"/>
      <c r="F203" s="126"/>
      <c r="G203" s="127"/>
      <c r="H203" s="119"/>
      <c r="I203" s="119"/>
      <c r="J203" s="115"/>
      <c r="K203" s="80"/>
      <c r="L203" s="120"/>
      <c r="M203" s="8"/>
      <c r="N203" s="115"/>
      <c r="O203" s="78"/>
      <c r="P203" s="121"/>
      <c r="Q203" s="115"/>
      <c r="R203" s="122"/>
      <c r="S203" s="122"/>
      <c r="T203" s="122"/>
      <c r="U203" s="122"/>
      <c r="V203" s="122"/>
      <c r="W203" s="122"/>
      <c r="X203" s="128"/>
      <c r="Y203" s="128"/>
      <c r="Z203" s="128"/>
      <c r="AA203" s="128"/>
      <c r="AB203" s="128"/>
      <c r="AC203" s="122"/>
      <c r="AD203" s="122"/>
      <c r="AE203" s="122"/>
      <c r="AF203" s="122"/>
      <c r="AG203" s="122"/>
      <c r="AH203" s="122"/>
      <c r="AI203" s="122"/>
      <c r="AJ203" s="122"/>
      <c r="AK203" s="122"/>
      <c r="AL203" s="122"/>
      <c r="AM203" s="122"/>
      <c r="AN203" s="64"/>
      <c r="AO203" s="118"/>
      <c r="AP203" s="77"/>
      <c r="AQ203" s="76">
        <f t="shared" si="14"/>
        <v>0</v>
      </c>
    </row>
    <row r="204" spans="2:43" x14ac:dyDescent="0.25">
      <c r="B204" s="182"/>
      <c r="C204" s="116"/>
      <c r="D204" s="117"/>
      <c r="E204" s="118"/>
      <c r="F204" s="126"/>
      <c r="G204" s="127"/>
      <c r="H204" s="119"/>
      <c r="I204" s="119"/>
      <c r="J204" s="115"/>
      <c r="K204" s="80"/>
      <c r="L204" s="120"/>
      <c r="M204" s="8"/>
      <c r="N204" s="115"/>
      <c r="O204" s="78"/>
      <c r="P204" s="121"/>
      <c r="Q204" s="115"/>
      <c r="R204" s="122"/>
      <c r="S204" s="122"/>
      <c r="T204" s="122"/>
      <c r="U204" s="122"/>
      <c r="V204" s="122"/>
      <c r="W204" s="122"/>
      <c r="X204" s="128"/>
      <c r="Y204" s="128"/>
      <c r="Z204" s="128"/>
      <c r="AA204" s="128"/>
      <c r="AB204" s="128"/>
      <c r="AC204" s="122"/>
      <c r="AD204" s="122"/>
      <c r="AE204" s="122"/>
      <c r="AF204" s="122"/>
      <c r="AG204" s="122"/>
      <c r="AH204" s="122"/>
      <c r="AI204" s="122"/>
      <c r="AJ204" s="122"/>
      <c r="AK204" s="122"/>
      <c r="AL204" s="122"/>
      <c r="AM204" s="122"/>
      <c r="AN204" s="64"/>
      <c r="AO204" s="118"/>
      <c r="AP204" s="77"/>
      <c r="AQ204" s="76">
        <f t="shared" si="14"/>
        <v>0</v>
      </c>
    </row>
    <row r="205" spans="2:43" x14ac:dyDescent="0.25">
      <c r="B205" s="182"/>
      <c r="C205" s="116"/>
      <c r="D205" s="117"/>
      <c r="E205" s="118"/>
      <c r="F205" s="126"/>
      <c r="G205" s="127"/>
      <c r="H205" s="119"/>
      <c r="I205" s="119"/>
      <c r="J205" s="115"/>
      <c r="K205" s="80"/>
      <c r="L205" s="120"/>
      <c r="M205" s="8"/>
      <c r="N205" s="115"/>
      <c r="O205" s="78"/>
      <c r="P205" s="121"/>
      <c r="Q205" s="115"/>
      <c r="R205" s="122"/>
      <c r="S205" s="122"/>
      <c r="T205" s="122"/>
      <c r="U205" s="122"/>
      <c r="V205" s="122"/>
      <c r="W205" s="122"/>
      <c r="X205" s="128"/>
      <c r="Y205" s="128"/>
      <c r="Z205" s="128"/>
      <c r="AA205" s="128"/>
      <c r="AB205" s="128"/>
      <c r="AC205" s="122"/>
      <c r="AD205" s="122"/>
      <c r="AE205" s="122"/>
      <c r="AF205" s="122"/>
      <c r="AG205" s="122"/>
      <c r="AH205" s="122"/>
      <c r="AI205" s="122"/>
      <c r="AJ205" s="122"/>
      <c r="AK205" s="122"/>
      <c r="AL205" s="122"/>
      <c r="AM205" s="122"/>
      <c r="AN205" s="64"/>
      <c r="AO205" s="118"/>
      <c r="AP205" s="77"/>
      <c r="AQ205" s="76">
        <f t="shared" si="14"/>
        <v>0</v>
      </c>
    </row>
    <row r="206" spans="2:43" x14ac:dyDescent="0.25">
      <c r="B206" s="182"/>
      <c r="C206" s="116"/>
      <c r="D206" s="117"/>
      <c r="E206" s="118"/>
      <c r="F206" s="126"/>
      <c r="G206" s="127"/>
      <c r="H206" s="119"/>
      <c r="I206" s="119"/>
      <c r="J206" s="115"/>
      <c r="K206" s="80"/>
      <c r="L206" s="120"/>
      <c r="M206" s="8"/>
      <c r="N206" s="115"/>
      <c r="O206" s="78"/>
      <c r="P206" s="121"/>
      <c r="Q206" s="115"/>
      <c r="R206" s="122"/>
      <c r="S206" s="122"/>
      <c r="T206" s="122"/>
      <c r="U206" s="122"/>
      <c r="V206" s="122"/>
      <c r="W206" s="122"/>
      <c r="X206" s="128"/>
      <c r="Y206" s="128"/>
      <c r="Z206" s="128"/>
      <c r="AA206" s="128"/>
      <c r="AB206" s="128"/>
      <c r="AC206" s="122"/>
      <c r="AD206" s="122"/>
      <c r="AE206" s="122"/>
      <c r="AF206" s="122"/>
      <c r="AG206" s="122"/>
      <c r="AH206" s="122"/>
      <c r="AI206" s="122"/>
      <c r="AJ206" s="122"/>
      <c r="AK206" s="122"/>
      <c r="AL206" s="122"/>
      <c r="AM206" s="122"/>
      <c r="AN206" s="64"/>
      <c r="AO206" s="118"/>
      <c r="AP206" s="77"/>
      <c r="AQ206" s="76">
        <f t="shared" si="14"/>
        <v>0</v>
      </c>
    </row>
    <row r="207" spans="2:43" x14ac:dyDescent="0.25">
      <c r="B207" s="182"/>
      <c r="C207" s="116"/>
      <c r="D207" s="117"/>
      <c r="E207" s="118"/>
      <c r="F207" s="126"/>
      <c r="G207" s="127"/>
      <c r="H207" s="119"/>
      <c r="I207" s="119"/>
      <c r="J207" s="115"/>
      <c r="K207" s="80"/>
      <c r="L207" s="120"/>
      <c r="M207" s="8"/>
      <c r="N207" s="115"/>
      <c r="O207" s="78"/>
      <c r="P207" s="121"/>
      <c r="Q207" s="115"/>
      <c r="R207" s="122"/>
      <c r="S207" s="122"/>
      <c r="T207" s="122"/>
      <c r="U207" s="122"/>
      <c r="V207" s="122"/>
      <c r="W207" s="122"/>
      <c r="X207" s="128"/>
      <c r="Y207" s="128"/>
      <c r="Z207" s="128"/>
      <c r="AA207" s="128"/>
      <c r="AB207" s="128"/>
      <c r="AC207" s="122"/>
      <c r="AD207" s="122"/>
      <c r="AE207" s="122"/>
      <c r="AF207" s="122"/>
      <c r="AG207" s="122"/>
      <c r="AH207" s="122"/>
      <c r="AI207" s="122"/>
      <c r="AJ207" s="122"/>
      <c r="AK207" s="122"/>
      <c r="AL207" s="122"/>
      <c r="AM207" s="122"/>
      <c r="AN207" s="64"/>
      <c r="AO207" s="118"/>
      <c r="AP207" s="77"/>
      <c r="AQ207" s="76">
        <f t="shared" si="14"/>
        <v>0</v>
      </c>
    </row>
    <row r="208" spans="2:43" x14ac:dyDescent="0.25">
      <c r="B208" s="182"/>
      <c r="C208" s="116"/>
      <c r="D208" s="117"/>
      <c r="E208" s="118"/>
      <c r="F208" s="126"/>
      <c r="G208" s="127"/>
      <c r="H208" s="119"/>
      <c r="I208" s="119"/>
      <c r="J208" s="115"/>
      <c r="K208" s="80"/>
      <c r="L208" s="120"/>
      <c r="M208" s="8"/>
      <c r="N208" s="115"/>
      <c r="O208" s="78"/>
      <c r="P208" s="121"/>
      <c r="Q208" s="115"/>
      <c r="R208" s="122"/>
      <c r="S208" s="122"/>
      <c r="T208" s="122"/>
      <c r="U208" s="122"/>
      <c r="V208" s="122"/>
      <c r="W208" s="122"/>
      <c r="X208" s="128"/>
      <c r="Y208" s="128"/>
      <c r="Z208" s="128"/>
      <c r="AA208" s="128"/>
      <c r="AB208" s="128"/>
      <c r="AC208" s="122"/>
      <c r="AD208" s="122"/>
      <c r="AE208" s="122"/>
      <c r="AF208" s="122"/>
      <c r="AG208" s="122"/>
      <c r="AH208" s="122"/>
      <c r="AI208" s="122"/>
      <c r="AJ208" s="122"/>
      <c r="AK208" s="122"/>
      <c r="AL208" s="122"/>
      <c r="AM208" s="122"/>
      <c r="AN208" s="64"/>
      <c r="AO208" s="118"/>
      <c r="AP208" s="77"/>
      <c r="AQ208" s="76">
        <f t="shared" si="14"/>
        <v>0</v>
      </c>
    </row>
    <row r="209" spans="2:43" x14ac:dyDescent="0.25">
      <c r="B209" s="182"/>
      <c r="C209" s="116"/>
      <c r="D209" s="117"/>
      <c r="E209" s="118"/>
      <c r="F209" s="126"/>
      <c r="G209" s="127"/>
      <c r="H209" s="119"/>
      <c r="I209" s="119"/>
      <c r="J209" s="115"/>
      <c r="K209" s="80"/>
      <c r="L209" s="120"/>
      <c r="M209" s="8"/>
      <c r="N209" s="115"/>
      <c r="O209" s="78"/>
      <c r="P209" s="121"/>
      <c r="Q209" s="115"/>
      <c r="R209" s="122"/>
      <c r="S209" s="122"/>
      <c r="T209" s="122"/>
      <c r="U209" s="122"/>
      <c r="V209" s="122"/>
      <c r="W209" s="122"/>
      <c r="X209" s="128"/>
      <c r="Y209" s="128"/>
      <c r="Z209" s="128"/>
      <c r="AA209" s="128"/>
      <c r="AB209" s="128"/>
      <c r="AC209" s="122"/>
      <c r="AD209" s="122"/>
      <c r="AE209" s="122"/>
      <c r="AF209" s="122"/>
      <c r="AG209" s="122"/>
      <c r="AH209" s="122"/>
      <c r="AI209" s="122"/>
      <c r="AJ209" s="122"/>
      <c r="AK209" s="122"/>
      <c r="AL209" s="122"/>
      <c r="AM209" s="122"/>
      <c r="AN209" s="64"/>
      <c r="AO209" s="118"/>
      <c r="AP209" s="77"/>
      <c r="AQ209" s="76">
        <f t="shared" si="14"/>
        <v>0</v>
      </c>
    </row>
    <row r="210" spans="2:43" x14ac:dyDescent="0.25">
      <c r="B210" s="182"/>
      <c r="C210" s="116"/>
      <c r="D210" s="117"/>
      <c r="E210" s="118"/>
      <c r="F210" s="126"/>
      <c r="G210" s="127"/>
      <c r="H210" s="119"/>
      <c r="I210" s="119"/>
      <c r="J210" s="115"/>
      <c r="K210" s="80"/>
      <c r="L210" s="120"/>
      <c r="M210" s="8"/>
      <c r="N210" s="115"/>
      <c r="O210" s="78"/>
      <c r="P210" s="121"/>
      <c r="Q210" s="115"/>
      <c r="R210" s="122"/>
      <c r="S210" s="122"/>
      <c r="T210" s="122"/>
      <c r="U210" s="122"/>
      <c r="V210" s="122"/>
      <c r="W210" s="122"/>
      <c r="X210" s="128"/>
      <c r="Y210" s="128"/>
      <c r="Z210" s="128"/>
      <c r="AA210" s="128"/>
      <c r="AB210" s="128"/>
      <c r="AC210" s="122"/>
      <c r="AD210" s="122"/>
      <c r="AE210" s="122"/>
      <c r="AF210" s="122"/>
      <c r="AG210" s="122"/>
      <c r="AH210" s="122"/>
      <c r="AI210" s="122"/>
      <c r="AJ210" s="122"/>
      <c r="AK210" s="122"/>
      <c r="AL210" s="122"/>
      <c r="AM210" s="122"/>
      <c r="AN210" s="64"/>
      <c r="AO210" s="118"/>
      <c r="AP210" s="77"/>
      <c r="AQ210" s="76">
        <f t="shared" si="14"/>
        <v>0</v>
      </c>
    </row>
    <row r="211" spans="2:43" x14ac:dyDescent="0.25">
      <c r="B211" s="182"/>
      <c r="C211" s="116"/>
      <c r="D211" s="117"/>
      <c r="E211" s="118"/>
      <c r="F211" s="126"/>
      <c r="G211" s="127"/>
      <c r="H211" s="119"/>
      <c r="I211" s="119"/>
      <c r="J211" s="115"/>
      <c r="K211" s="80"/>
      <c r="L211" s="120"/>
      <c r="M211" s="8"/>
      <c r="N211" s="115"/>
      <c r="O211" s="78"/>
      <c r="P211" s="121"/>
      <c r="Q211" s="115"/>
      <c r="R211" s="122"/>
      <c r="S211" s="122"/>
      <c r="T211" s="122"/>
      <c r="U211" s="122"/>
      <c r="V211" s="122"/>
      <c r="W211" s="122"/>
      <c r="X211" s="128"/>
      <c r="Y211" s="128"/>
      <c r="Z211" s="128"/>
      <c r="AA211" s="128"/>
      <c r="AB211" s="128"/>
      <c r="AC211" s="122"/>
      <c r="AD211" s="122"/>
      <c r="AE211" s="122"/>
      <c r="AF211" s="122"/>
      <c r="AG211" s="122"/>
      <c r="AH211" s="122"/>
      <c r="AI211" s="122"/>
      <c r="AJ211" s="122"/>
      <c r="AK211" s="122"/>
      <c r="AL211" s="122"/>
      <c r="AM211" s="122"/>
      <c r="AN211" s="64"/>
      <c r="AO211" s="118"/>
      <c r="AP211" s="77"/>
      <c r="AQ211" s="76">
        <f t="shared" si="14"/>
        <v>0</v>
      </c>
    </row>
    <row r="212" spans="2:43" x14ac:dyDescent="0.25">
      <c r="B212" s="182"/>
      <c r="C212" s="116"/>
      <c r="D212" s="117"/>
      <c r="E212" s="118"/>
      <c r="F212" s="126"/>
      <c r="G212" s="127"/>
      <c r="H212" s="119"/>
      <c r="I212" s="119"/>
      <c r="J212" s="115"/>
      <c r="K212" s="80"/>
      <c r="L212" s="120"/>
      <c r="M212" s="8"/>
      <c r="N212" s="115"/>
      <c r="O212" s="78"/>
      <c r="P212" s="121"/>
      <c r="Q212" s="115"/>
      <c r="R212" s="122"/>
      <c r="S212" s="122"/>
      <c r="T212" s="122"/>
      <c r="U212" s="122"/>
      <c r="V212" s="122"/>
      <c r="W212" s="122"/>
      <c r="X212" s="128"/>
      <c r="Y212" s="128"/>
      <c r="Z212" s="128"/>
      <c r="AA212" s="128"/>
      <c r="AB212" s="128"/>
      <c r="AC212" s="122"/>
      <c r="AD212" s="122"/>
      <c r="AE212" s="122"/>
      <c r="AF212" s="122"/>
      <c r="AG212" s="122"/>
      <c r="AH212" s="122"/>
      <c r="AI212" s="122"/>
      <c r="AJ212" s="122"/>
      <c r="AK212" s="122"/>
      <c r="AL212" s="122"/>
      <c r="AM212" s="122"/>
      <c r="AN212" s="64"/>
      <c r="AO212" s="118"/>
      <c r="AP212" s="77"/>
      <c r="AQ212" s="76">
        <f t="shared" si="14"/>
        <v>0</v>
      </c>
    </row>
    <row r="213" spans="2:43" x14ac:dyDescent="0.25">
      <c r="B213" s="182"/>
      <c r="C213" s="116"/>
      <c r="D213" s="117"/>
      <c r="E213" s="118"/>
      <c r="F213" s="126"/>
      <c r="G213" s="127"/>
      <c r="H213" s="119"/>
      <c r="I213" s="119"/>
      <c r="J213" s="115"/>
      <c r="K213" s="80"/>
      <c r="L213" s="120"/>
      <c r="M213" s="8"/>
      <c r="N213" s="115"/>
      <c r="O213" s="78"/>
      <c r="P213" s="121"/>
      <c r="Q213" s="115"/>
      <c r="R213" s="122"/>
      <c r="S213" s="122"/>
      <c r="T213" s="122"/>
      <c r="U213" s="122"/>
      <c r="V213" s="122"/>
      <c r="W213" s="122"/>
      <c r="X213" s="128"/>
      <c r="Y213" s="128"/>
      <c r="Z213" s="128"/>
      <c r="AA213" s="128"/>
      <c r="AB213" s="128"/>
      <c r="AC213" s="122"/>
      <c r="AD213" s="122"/>
      <c r="AE213" s="122"/>
      <c r="AF213" s="122"/>
      <c r="AG213" s="122"/>
      <c r="AH213" s="122"/>
      <c r="AI213" s="122"/>
      <c r="AJ213" s="122"/>
      <c r="AK213" s="122"/>
      <c r="AL213" s="122"/>
      <c r="AM213" s="122"/>
      <c r="AN213" s="64"/>
      <c r="AO213" s="118"/>
      <c r="AP213" s="77"/>
      <c r="AQ213" s="76">
        <f t="shared" si="14"/>
        <v>0</v>
      </c>
    </row>
    <row r="214" spans="2:43" x14ac:dyDescent="0.25">
      <c r="B214" s="182"/>
      <c r="C214" s="116"/>
      <c r="D214" s="117"/>
      <c r="E214" s="118"/>
      <c r="F214" s="126"/>
      <c r="G214" s="127"/>
      <c r="H214" s="119"/>
      <c r="I214" s="119"/>
      <c r="J214" s="115"/>
      <c r="K214" s="80"/>
      <c r="L214" s="120"/>
      <c r="M214" s="8"/>
      <c r="N214" s="115"/>
      <c r="O214" s="78"/>
      <c r="P214" s="121"/>
      <c r="Q214" s="115"/>
      <c r="R214" s="122"/>
      <c r="S214" s="122"/>
      <c r="T214" s="122"/>
      <c r="U214" s="122"/>
      <c r="V214" s="122"/>
      <c r="W214" s="122"/>
      <c r="X214" s="128"/>
      <c r="Y214" s="128"/>
      <c r="Z214" s="128"/>
      <c r="AA214" s="128"/>
      <c r="AB214" s="128"/>
      <c r="AC214" s="122"/>
      <c r="AD214" s="122"/>
      <c r="AE214" s="122"/>
      <c r="AF214" s="122"/>
      <c r="AG214" s="122"/>
      <c r="AH214" s="122"/>
      <c r="AI214" s="122"/>
      <c r="AJ214" s="122"/>
      <c r="AK214" s="122"/>
      <c r="AL214" s="122"/>
      <c r="AM214" s="122"/>
      <c r="AN214" s="64"/>
      <c r="AO214" s="118"/>
      <c r="AP214" s="77"/>
      <c r="AQ214" s="76">
        <f t="shared" si="14"/>
        <v>0</v>
      </c>
    </row>
    <row r="215" spans="2:43" x14ac:dyDescent="0.25">
      <c r="B215" s="182"/>
      <c r="C215" s="116"/>
      <c r="D215" s="117"/>
      <c r="E215" s="118"/>
      <c r="F215" s="126"/>
      <c r="G215" s="127"/>
      <c r="H215" s="119"/>
      <c r="I215" s="119"/>
      <c r="J215" s="115"/>
      <c r="K215" s="80"/>
      <c r="L215" s="120"/>
      <c r="M215" s="8"/>
      <c r="N215" s="115"/>
      <c r="O215" s="78"/>
      <c r="P215" s="121"/>
      <c r="Q215" s="115"/>
      <c r="R215" s="122"/>
      <c r="S215" s="122"/>
      <c r="T215" s="122"/>
      <c r="U215" s="122"/>
      <c r="V215" s="122"/>
      <c r="W215" s="122"/>
      <c r="X215" s="128"/>
      <c r="Y215" s="128"/>
      <c r="Z215" s="128"/>
      <c r="AA215" s="128"/>
      <c r="AB215" s="128"/>
      <c r="AC215" s="122"/>
      <c r="AD215" s="122"/>
      <c r="AE215" s="122"/>
      <c r="AF215" s="122"/>
      <c r="AG215" s="122"/>
      <c r="AH215" s="122"/>
      <c r="AI215" s="122"/>
      <c r="AJ215" s="122"/>
      <c r="AK215" s="122"/>
      <c r="AL215" s="122"/>
      <c r="AM215" s="122"/>
      <c r="AN215" s="64"/>
      <c r="AO215" s="118"/>
      <c r="AP215" s="77"/>
      <c r="AQ215" s="76">
        <f t="shared" si="14"/>
        <v>0</v>
      </c>
    </row>
    <row r="216" spans="2:43" x14ac:dyDescent="0.25">
      <c r="B216" s="182"/>
      <c r="C216" s="116"/>
      <c r="D216" s="117"/>
      <c r="E216" s="118"/>
      <c r="F216" s="126"/>
      <c r="G216" s="127"/>
      <c r="H216" s="119"/>
      <c r="I216" s="119"/>
      <c r="J216" s="115"/>
      <c r="K216" s="80"/>
      <c r="L216" s="120"/>
      <c r="M216" s="8"/>
      <c r="N216" s="115"/>
      <c r="O216" s="78"/>
      <c r="P216" s="121"/>
      <c r="Q216" s="115"/>
      <c r="R216" s="122"/>
      <c r="S216" s="122"/>
      <c r="T216" s="122"/>
      <c r="U216" s="122"/>
      <c r="V216" s="122"/>
      <c r="W216" s="122"/>
      <c r="X216" s="128"/>
      <c r="Y216" s="128"/>
      <c r="Z216" s="128"/>
      <c r="AA216" s="128"/>
      <c r="AB216" s="128"/>
      <c r="AC216" s="122"/>
      <c r="AD216" s="122"/>
      <c r="AE216" s="122"/>
      <c r="AF216" s="122"/>
      <c r="AG216" s="122"/>
      <c r="AH216" s="122"/>
      <c r="AI216" s="122"/>
      <c r="AJ216" s="122"/>
      <c r="AK216" s="122"/>
      <c r="AL216" s="122"/>
      <c r="AM216" s="122"/>
      <c r="AN216" s="64"/>
      <c r="AO216" s="118"/>
      <c r="AP216" s="77"/>
      <c r="AQ216" s="76">
        <f t="shared" ref="AQ216:AQ279" si="15">IFERROR(K216*O216*AP216,"")</f>
        <v>0</v>
      </c>
    </row>
    <row r="217" spans="2:43" x14ac:dyDescent="0.25">
      <c r="B217" s="182"/>
      <c r="C217" s="116"/>
      <c r="D217" s="117"/>
      <c r="E217" s="118"/>
      <c r="F217" s="126"/>
      <c r="G217" s="127"/>
      <c r="H217" s="119"/>
      <c r="I217" s="119"/>
      <c r="J217" s="115"/>
      <c r="K217" s="80"/>
      <c r="L217" s="120"/>
      <c r="M217" s="8"/>
      <c r="N217" s="115"/>
      <c r="O217" s="78"/>
      <c r="P217" s="121"/>
      <c r="Q217" s="115"/>
      <c r="R217" s="122"/>
      <c r="S217" s="122"/>
      <c r="T217" s="122"/>
      <c r="U217" s="122"/>
      <c r="V217" s="122"/>
      <c r="W217" s="122"/>
      <c r="X217" s="128"/>
      <c r="Y217" s="128"/>
      <c r="Z217" s="128"/>
      <c r="AA217" s="128"/>
      <c r="AB217" s="128"/>
      <c r="AC217" s="122"/>
      <c r="AD217" s="122"/>
      <c r="AE217" s="122"/>
      <c r="AF217" s="122"/>
      <c r="AG217" s="122"/>
      <c r="AH217" s="122"/>
      <c r="AI217" s="122"/>
      <c r="AJ217" s="122"/>
      <c r="AK217" s="122"/>
      <c r="AL217" s="122"/>
      <c r="AM217" s="122"/>
      <c r="AN217" s="64"/>
      <c r="AO217" s="118"/>
      <c r="AP217" s="77"/>
      <c r="AQ217" s="76">
        <f t="shared" si="15"/>
        <v>0</v>
      </c>
    </row>
    <row r="218" spans="2:43" x14ac:dyDescent="0.25">
      <c r="B218" s="182"/>
      <c r="C218" s="116"/>
      <c r="D218" s="117"/>
      <c r="E218" s="118"/>
      <c r="F218" s="126"/>
      <c r="G218" s="127"/>
      <c r="H218" s="119"/>
      <c r="I218" s="119"/>
      <c r="J218" s="115"/>
      <c r="K218" s="80"/>
      <c r="L218" s="120"/>
      <c r="M218" s="8"/>
      <c r="N218" s="115"/>
      <c r="O218" s="78"/>
      <c r="P218" s="121"/>
      <c r="Q218" s="115"/>
      <c r="R218" s="122"/>
      <c r="S218" s="122"/>
      <c r="T218" s="122"/>
      <c r="U218" s="122"/>
      <c r="V218" s="122"/>
      <c r="W218" s="122"/>
      <c r="X218" s="128"/>
      <c r="Y218" s="128"/>
      <c r="Z218" s="128"/>
      <c r="AA218" s="128"/>
      <c r="AB218" s="128"/>
      <c r="AC218" s="122"/>
      <c r="AD218" s="122"/>
      <c r="AE218" s="122"/>
      <c r="AF218" s="122"/>
      <c r="AG218" s="122"/>
      <c r="AH218" s="122"/>
      <c r="AI218" s="122"/>
      <c r="AJ218" s="122"/>
      <c r="AK218" s="122"/>
      <c r="AL218" s="122"/>
      <c r="AM218" s="122"/>
      <c r="AN218" s="64"/>
      <c r="AO218" s="118"/>
      <c r="AP218" s="77"/>
      <c r="AQ218" s="76">
        <f t="shared" si="15"/>
        <v>0</v>
      </c>
    </row>
    <row r="219" spans="2:43" x14ac:dyDescent="0.25">
      <c r="B219" s="182"/>
      <c r="C219" s="116"/>
      <c r="D219" s="117"/>
      <c r="E219" s="118"/>
      <c r="F219" s="126"/>
      <c r="G219" s="127"/>
      <c r="H219" s="119"/>
      <c r="I219" s="119"/>
      <c r="J219" s="115"/>
      <c r="K219" s="80"/>
      <c r="L219" s="120"/>
      <c r="M219" s="8"/>
      <c r="N219" s="115"/>
      <c r="O219" s="78"/>
      <c r="P219" s="121"/>
      <c r="Q219" s="115"/>
      <c r="R219" s="122"/>
      <c r="S219" s="122"/>
      <c r="T219" s="122"/>
      <c r="U219" s="122"/>
      <c r="V219" s="122"/>
      <c r="W219" s="122"/>
      <c r="X219" s="128"/>
      <c r="Y219" s="128"/>
      <c r="Z219" s="128"/>
      <c r="AA219" s="128"/>
      <c r="AB219" s="128"/>
      <c r="AC219" s="122"/>
      <c r="AD219" s="122"/>
      <c r="AE219" s="122"/>
      <c r="AF219" s="122"/>
      <c r="AG219" s="122"/>
      <c r="AH219" s="122"/>
      <c r="AI219" s="122"/>
      <c r="AJ219" s="122"/>
      <c r="AK219" s="122"/>
      <c r="AL219" s="122"/>
      <c r="AM219" s="122"/>
      <c r="AN219" s="64"/>
      <c r="AO219" s="118"/>
      <c r="AP219" s="77"/>
      <c r="AQ219" s="76">
        <f t="shared" si="15"/>
        <v>0</v>
      </c>
    </row>
    <row r="220" spans="2:43" x14ac:dyDescent="0.25">
      <c r="B220" s="182"/>
      <c r="C220" s="116"/>
      <c r="D220" s="117"/>
      <c r="E220" s="118"/>
      <c r="F220" s="126"/>
      <c r="G220" s="127"/>
      <c r="H220" s="119"/>
      <c r="I220" s="119"/>
      <c r="J220" s="115"/>
      <c r="K220" s="80"/>
      <c r="L220" s="120"/>
      <c r="M220" s="8"/>
      <c r="N220" s="115"/>
      <c r="O220" s="78"/>
      <c r="P220" s="121"/>
      <c r="Q220" s="115"/>
      <c r="R220" s="122"/>
      <c r="S220" s="122"/>
      <c r="T220" s="122"/>
      <c r="U220" s="122"/>
      <c r="V220" s="122"/>
      <c r="W220" s="122"/>
      <c r="X220" s="128"/>
      <c r="Y220" s="128"/>
      <c r="Z220" s="128"/>
      <c r="AA220" s="128"/>
      <c r="AB220" s="128"/>
      <c r="AC220" s="122"/>
      <c r="AD220" s="122"/>
      <c r="AE220" s="122"/>
      <c r="AF220" s="122"/>
      <c r="AG220" s="122"/>
      <c r="AH220" s="122"/>
      <c r="AI220" s="122"/>
      <c r="AJ220" s="122"/>
      <c r="AK220" s="122"/>
      <c r="AL220" s="122"/>
      <c r="AM220" s="122"/>
      <c r="AN220" s="64"/>
      <c r="AO220" s="118"/>
      <c r="AP220" s="77"/>
      <c r="AQ220" s="76">
        <f t="shared" si="15"/>
        <v>0</v>
      </c>
    </row>
    <row r="221" spans="2:43" x14ac:dyDescent="0.25">
      <c r="B221" s="182"/>
      <c r="C221" s="116"/>
      <c r="D221" s="117"/>
      <c r="E221" s="118"/>
      <c r="F221" s="126"/>
      <c r="G221" s="127"/>
      <c r="H221" s="119"/>
      <c r="I221" s="119"/>
      <c r="J221" s="115"/>
      <c r="K221" s="80"/>
      <c r="L221" s="120"/>
      <c r="M221" s="8"/>
      <c r="N221" s="115"/>
      <c r="O221" s="78"/>
      <c r="P221" s="121"/>
      <c r="Q221" s="115"/>
      <c r="R221" s="122"/>
      <c r="S221" s="122"/>
      <c r="T221" s="122"/>
      <c r="U221" s="122"/>
      <c r="V221" s="122"/>
      <c r="W221" s="122"/>
      <c r="X221" s="128"/>
      <c r="Y221" s="128"/>
      <c r="Z221" s="128"/>
      <c r="AA221" s="128"/>
      <c r="AB221" s="128"/>
      <c r="AC221" s="122"/>
      <c r="AD221" s="122"/>
      <c r="AE221" s="122"/>
      <c r="AF221" s="122"/>
      <c r="AG221" s="122"/>
      <c r="AH221" s="122"/>
      <c r="AI221" s="122"/>
      <c r="AJ221" s="122"/>
      <c r="AK221" s="122"/>
      <c r="AL221" s="122"/>
      <c r="AM221" s="122"/>
      <c r="AN221" s="64"/>
      <c r="AO221" s="118"/>
      <c r="AP221" s="77"/>
      <c r="AQ221" s="76">
        <f t="shared" si="15"/>
        <v>0</v>
      </c>
    </row>
    <row r="222" spans="2:43" x14ac:dyDescent="0.25">
      <c r="B222" s="182"/>
      <c r="C222" s="116"/>
      <c r="D222" s="117"/>
      <c r="E222" s="118"/>
      <c r="F222" s="126"/>
      <c r="G222" s="127"/>
      <c r="H222" s="119"/>
      <c r="I222" s="119"/>
      <c r="J222" s="115"/>
      <c r="K222" s="80"/>
      <c r="L222" s="120"/>
      <c r="M222" s="8"/>
      <c r="N222" s="115"/>
      <c r="O222" s="78"/>
      <c r="P222" s="121"/>
      <c r="Q222" s="115"/>
      <c r="R222" s="122"/>
      <c r="S222" s="122"/>
      <c r="T222" s="122"/>
      <c r="U222" s="122"/>
      <c r="V222" s="122"/>
      <c r="W222" s="122"/>
      <c r="X222" s="128"/>
      <c r="Y222" s="128"/>
      <c r="Z222" s="128"/>
      <c r="AA222" s="128"/>
      <c r="AB222" s="128"/>
      <c r="AC222" s="122"/>
      <c r="AD222" s="122"/>
      <c r="AE222" s="122"/>
      <c r="AF222" s="122"/>
      <c r="AG222" s="122"/>
      <c r="AH222" s="122"/>
      <c r="AI222" s="122"/>
      <c r="AJ222" s="122"/>
      <c r="AK222" s="122"/>
      <c r="AL222" s="122"/>
      <c r="AM222" s="122"/>
      <c r="AN222" s="64"/>
      <c r="AO222" s="118"/>
      <c r="AP222" s="77"/>
      <c r="AQ222" s="76">
        <f t="shared" si="15"/>
        <v>0</v>
      </c>
    </row>
    <row r="223" spans="2:43" x14ac:dyDescent="0.25">
      <c r="B223" s="182"/>
      <c r="C223" s="116"/>
      <c r="D223" s="117"/>
      <c r="E223" s="118"/>
      <c r="F223" s="126"/>
      <c r="G223" s="127"/>
      <c r="H223" s="119"/>
      <c r="I223" s="119"/>
      <c r="J223" s="115"/>
      <c r="K223" s="80"/>
      <c r="L223" s="120"/>
      <c r="M223" s="8"/>
      <c r="N223" s="115"/>
      <c r="O223" s="78"/>
      <c r="P223" s="121"/>
      <c r="Q223" s="115"/>
      <c r="R223" s="122"/>
      <c r="S223" s="122"/>
      <c r="T223" s="122"/>
      <c r="U223" s="122"/>
      <c r="V223" s="122"/>
      <c r="W223" s="122"/>
      <c r="X223" s="128"/>
      <c r="Y223" s="128"/>
      <c r="Z223" s="128"/>
      <c r="AA223" s="128"/>
      <c r="AB223" s="128"/>
      <c r="AC223" s="122"/>
      <c r="AD223" s="122"/>
      <c r="AE223" s="122"/>
      <c r="AF223" s="122"/>
      <c r="AG223" s="122"/>
      <c r="AH223" s="122"/>
      <c r="AI223" s="122"/>
      <c r="AJ223" s="122"/>
      <c r="AK223" s="122"/>
      <c r="AL223" s="122"/>
      <c r="AM223" s="122"/>
      <c r="AN223" s="64"/>
      <c r="AO223" s="118"/>
      <c r="AP223" s="77"/>
      <c r="AQ223" s="76">
        <f t="shared" si="15"/>
        <v>0</v>
      </c>
    </row>
    <row r="224" spans="2:43" x14ac:dyDescent="0.25">
      <c r="B224" s="182"/>
      <c r="C224" s="116"/>
      <c r="D224" s="117"/>
      <c r="E224" s="118"/>
      <c r="F224" s="126"/>
      <c r="G224" s="127"/>
      <c r="H224" s="119"/>
      <c r="I224" s="119"/>
      <c r="J224" s="115"/>
      <c r="K224" s="80"/>
      <c r="L224" s="120"/>
      <c r="M224" s="8"/>
      <c r="N224" s="115"/>
      <c r="O224" s="78"/>
      <c r="P224" s="121"/>
      <c r="Q224" s="115"/>
      <c r="R224" s="122"/>
      <c r="S224" s="122"/>
      <c r="T224" s="122"/>
      <c r="U224" s="122"/>
      <c r="V224" s="122"/>
      <c r="W224" s="122"/>
      <c r="X224" s="128"/>
      <c r="Y224" s="128"/>
      <c r="Z224" s="128"/>
      <c r="AA224" s="128"/>
      <c r="AB224" s="128"/>
      <c r="AC224" s="122"/>
      <c r="AD224" s="122"/>
      <c r="AE224" s="122"/>
      <c r="AF224" s="122"/>
      <c r="AG224" s="122"/>
      <c r="AH224" s="122"/>
      <c r="AI224" s="122"/>
      <c r="AJ224" s="122"/>
      <c r="AK224" s="122"/>
      <c r="AL224" s="122"/>
      <c r="AM224" s="122"/>
      <c r="AN224" s="64"/>
      <c r="AO224" s="118"/>
      <c r="AP224" s="77"/>
      <c r="AQ224" s="76">
        <f t="shared" si="15"/>
        <v>0</v>
      </c>
    </row>
    <row r="225" spans="2:43" x14ac:dyDescent="0.25">
      <c r="B225" s="182"/>
      <c r="C225" s="116"/>
      <c r="D225" s="117"/>
      <c r="E225" s="118"/>
      <c r="F225" s="126"/>
      <c r="G225" s="127"/>
      <c r="H225" s="119"/>
      <c r="I225" s="119"/>
      <c r="J225" s="115"/>
      <c r="K225" s="80"/>
      <c r="L225" s="120"/>
      <c r="M225" s="8"/>
      <c r="N225" s="115"/>
      <c r="O225" s="78"/>
      <c r="P225" s="121"/>
      <c r="Q225" s="115"/>
      <c r="R225" s="122"/>
      <c r="S225" s="122"/>
      <c r="T225" s="122"/>
      <c r="U225" s="122"/>
      <c r="V225" s="122"/>
      <c r="W225" s="122"/>
      <c r="X225" s="128"/>
      <c r="Y225" s="128"/>
      <c r="Z225" s="128"/>
      <c r="AA225" s="128"/>
      <c r="AB225" s="128"/>
      <c r="AC225" s="122"/>
      <c r="AD225" s="122"/>
      <c r="AE225" s="122"/>
      <c r="AF225" s="122"/>
      <c r="AG225" s="122"/>
      <c r="AH225" s="122"/>
      <c r="AI225" s="122"/>
      <c r="AJ225" s="122"/>
      <c r="AK225" s="122"/>
      <c r="AL225" s="122"/>
      <c r="AM225" s="122"/>
      <c r="AN225" s="64"/>
      <c r="AO225" s="118"/>
      <c r="AP225" s="77"/>
      <c r="AQ225" s="76">
        <f t="shared" si="15"/>
        <v>0</v>
      </c>
    </row>
    <row r="226" spans="2:43" x14ac:dyDescent="0.25">
      <c r="B226" s="182"/>
      <c r="C226" s="116"/>
      <c r="D226" s="117"/>
      <c r="E226" s="118"/>
      <c r="F226" s="126"/>
      <c r="G226" s="127"/>
      <c r="H226" s="119"/>
      <c r="I226" s="119"/>
      <c r="J226" s="115"/>
      <c r="K226" s="80"/>
      <c r="L226" s="120"/>
      <c r="M226" s="8"/>
      <c r="N226" s="115"/>
      <c r="O226" s="78"/>
      <c r="P226" s="121"/>
      <c r="Q226" s="115"/>
      <c r="R226" s="122"/>
      <c r="S226" s="122"/>
      <c r="T226" s="122"/>
      <c r="U226" s="122"/>
      <c r="V226" s="122"/>
      <c r="W226" s="122"/>
      <c r="X226" s="128"/>
      <c r="Y226" s="128"/>
      <c r="Z226" s="128"/>
      <c r="AA226" s="128"/>
      <c r="AB226" s="128"/>
      <c r="AC226" s="122"/>
      <c r="AD226" s="122"/>
      <c r="AE226" s="122"/>
      <c r="AF226" s="122"/>
      <c r="AG226" s="122"/>
      <c r="AH226" s="122"/>
      <c r="AI226" s="122"/>
      <c r="AJ226" s="122"/>
      <c r="AK226" s="122"/>
      <c r="AL226" s="122"/>
      <c r="AM226" s="122"/>
      <c r="AN226" s="64"/>
      <c r="AO226" s="118"/>
      <c r="AP226" s="77"/>
      <c r="AQ226" s="76">
        <f t="shared" si="15"/>
        <v>0</v>
      </c>
    </row>
    <row r="227" spans="2:43" x14ac:dyDescent="0.25">
      <c r="B227" s="182"/>
      <c r="C227" s="116"/>
      <c r="D227" s="117"/>
      <c r="E227" s="118"/>
      <c r="F227" s="126"/>
      <c r="G227" s="127"/>
      <c r="H227" s="119"/>
      <c r="I227" s="119"/>
      <c r="J227" s="115"/>
      <c r="K227" s="80"/>
      <c r="L227" s="120"/>
      <c r="M227" s="8"/>
      <c r="N227" s="115"/>
      <c r="O227" s="78"/>
      <c r="P227" s="121"/>
      <c r="Q227" s="115"/>
      <c r="R227" s="122"/>
      <c r="S227" s="122"/>
      <c r="T227" s="122"/>
      <c r="U227" s="122"/>
      <c r="V227" s="122"/>
      <c r="W227" s="122"/>
      <c r="X227" s="128"/>
      <c r="Y227" s="128"/>
      <c r="Z227" s="128"/>
      <c r="AA227" s="128"/>
      <c r="AB227" s="128"/>
      <c r="AC227" s="122"/>
      <c r="AD227" s="122"/>
      <c r="AE227" s="122"/>
      <c r="AF227" s="122"/>
      <c r="AG227" s="122"/>
      <c r="AH227" s="122"/>
      <c r="AI227" s="122"/>
      <c r="AJ227" s="122"/>
      <c r="AK227" s="122"/>
      <c r="AL227" s="122"/>
      <c r="AM227" s="122"/>
      <c r="AN227" s="64"/>
      <c r="AO227" s="118"/>
      <c r="AP227" s="77"/>
      <c r="AQ227" s="76">
        <f t="shared" si="15"/>
        <v>0</v>
      </c>
    </row>
    <row r="228" spans="2:43" x14ac:dyDescent="0.25">
      <c r="B228" s="182"/>
      <c r="C228" s="116"/>
      <c r="D228" s="117"/>
      <c r="E228" s="118"/>
      <c r="F228" s="126"/>
      <c r="G228" s="127"/>
      <c r="H228" s="119"/>
      <c r="I228" s="119"/>
      <c r="J228" s="115"/>
      <c r="K228" s="80"/>
      <c r="L228" s="120"/>
      <c r="M228" s="8"/>
      <c r="N228" s="115"/>
      <c r="O228" s="78"/>
      <c r="P228" s="121"/>
      <c r="Q228" s="115"/>
      <c r="R228" s="122"/>
      <c r="S228" s="122"/>
      <c r="T228" s="122"/>
      <c r="U228" s="122"/>
      <c r="V228" s="122"/>
      <c r="W228" s="122"/>
      <c r="X228" s="128"/>
      <c r="Y228" s="128"/>
      <c r="Z228" s="128"/>
      <c r="AA228" s="128"/>
      <c r="AB228" s="128"/>
      <c r="AC228" s="122"/>
      <c r="AD228" s="122"/>
      <c r="AE228" s="122"/>
      <c r="AF228" s="122"/>
      <c r="AG228" s="122"/>
      <c r="AH228" s="122"/>
      <c r="AI228" s="122"/>
      <c r="AJ228" s="122"/>
      <c r="AK228" s="122"/>
      <c r="AL228" s="122"/>
      <c r="AM228" s="122"/>
      <c r="AN228" s="64"/>
      <c r="AO228" s="118"/>
      <c r="AP228" s="77"/>
      <c r="AQ228" s="76">
        <f t="shared" si="15"/>
        <v>0</v>
      </c>
    </row>
    <row r="229" spans="2:43" x14ac:dyDescent="0.25">
      <c r="B229" s="182"/>
      <c r="C229" s="116"/>
      <c r="D229" s="117"/>
      <c r="E229" s="118"/>
      <c r="F229" s="126"/>
      <c r="G229" s="127"/>
      <c r="H229" s="119"/>
      <c r="I229" s="119"/>
      <c r="J229" s="115"/>
      <c r="K229" s="80"/>
      <c r="L229" s="120"/>
      <c r="M229" s="8"/>
      <c r="N229" s="115"/>
      <c r="O229" s="78"/>
      <c r="P229" s="121"/>
      <c r="Q229" s="115"/>
      <c r="R229" s="122"/>
      <c r="S229" s="122"/>
      <c r="T229" s="122"/>
      <c r="U229" s="122"/>
      <c r="V229" s="122"/>
      <c r="W229" s="122"/>
      <c r="X229" s="128"/>
      <c r="Y229" s="128"/>
      <c r="Z229" s="128"/>
      <c r="AA229" s="128"/>
      <c r="AB229" s="128"/>
      <c r="AC229" s="122"/>
      <c r="AD229" s="122"/>
      <c r="AE229" s="122"/>
      <c r="AF229" s="122"/>
      <c r="AG229" s="122"/>
      <c r="AH229" s="122"/>
      <c r="AI229" s="122"/>
      <c r="AJ229" s="122"/>
      <c r="AK229" s="122"/>
      <c r="AL229" s="122"/>
      <c r="AM229" s="122"/>
      <c r="AN229" s="64"/>
      <c r="AO229" s="118"/>
      <c r="AP229" s="77"/>
      <c r="AQ229" s="76">
        <f t="shared" si="15"/>
        <v>0</v>
      </c>
    </row>
    <row r="230" spans="2:43" x14ac:dyDescent="0.25">
      <c r="B230" s="182"/>
      <c r="C230" s="116"/>
      <c r="D230" s="117"/>
      <c r="E230" s="118"/>
      <c r="F230" s="126"/>
      <c r="G230" s="127"/>
      <c r="H230" s="119"/>
      <c r="I230" s="119"/>
      <c r="J230" s="115"/>
      <c r="K230" s="80"/>
      <c r="L230" s="120"/>
      <c r="M230" s="8"/>
      <c r="N230" s="115"/>
      <c r="O230" s="78"/>
      <c r="P230" s="121"/>
      <c r="Q230" s="115"/>
      <c r="R230" s="122"/>
      <c r="S230" s="122"/>
      <c r="T230" s="122"/>
      <c r="U230" s="122"/>
      <c r="V230" s="122"/>
      <c r="W230" s="122"/>
      <c r="X230" s="128"/>
      <c r="Y230" s="128"/>
      <c r="Z230" s="128"/>
      <c r="AA230" s="128"/>
      <c r="AB230" s="128"/>
      <c r="AC230" s="122"/>
      <c r="AD230" s="122"/>
      <c r="AE230" s="122"/>
      <c r="AF230" s="122"/>
      <c r="AG230" s="122"/>
      <c r="AH230" s="122"/>
      <c r="AI230" s="122"/>
      <c r="AJ230" s="122"/>
      <c r="AK230" s="122"/>
      <c r="AL230" s="122"/>
      <c r="AM230" s="122"/>
      <c r="AN230" s="64"/>
      <c r="AO230" s="118"/>
      <c r="AP230" s="77"/>
      <c r="AQ230" s="76">
        <f t="shared" si="15"/>
        <v>0</v>
      </c>
    </row>
    <row r="231" spans="2:43" x14ac:dyDescent="0.25">
      <c r="B231" s="182"/>
      <c r="C231" s="116"/>
      <c r="D231" s="117"/>
      <c r="E231" s="118"/>
      <c r="F231" s="126"/>
      <c r="G231" s="127"/>
      <c r="H231" s="119"/>
      <c r="I231" s="119"/>
      <c r="J231" s="115"/>
      <c r="K231" s="80"/>
      <c r="L231" s="120"/>
      <c r="M231" s="8"/>
      <c r="N231" s="115"/>
      <c r="O231" s="78"/>
      <c r="P231" s="121"/>
      <c r="Q231" s="115"/>
      <c r="R231" s="122"/>
      <c r="S231" s="122"/>
      <c r="T231" s="122"/>
      <c r="U231" s="122"/>
      <c r="V231" s="122"/>
      <c r="W231" s="122"/>
      <c r="X231" s="128"/>
      <c r="Y231" s="128"/>
      <c r="Z231" s="128"/>
      <c r="AA231" s="128"/>
      <c r="AB231" s="128"/>
      <c r="AC231" s="122"/>
      <c r="AD231" s="122"/>
      <c r="AE231" s="122"/>
      <c r="AF231" s="122"/>
      <c r="AG231" s="122"/>
      <c r="AH231" s="122"/>
      <c r="AI231" s="122"/>
      <c r="AJ231" s="122"/>
      <c r="AK231" s="122"/>
      <c r="AL231" s="122"/>
      <c r="AM231" s="122"/>
      <c r="AN231" s="64"/>
      <c r="AO231" s="118"/>
      <c r="AP231" s="77"/>
      <c r="AQ231" s="76">
        <f t="shared" si="15"/>
        <v>0</v>
      </c>
    </row>
    <row r="232" spans="2:43" x14ac:dyDescent="0.25">
      <c r="B232" s="182"/>
      <c r="C232" s="116"/>
      <c r="D232" s="117"/>
      <c r="E232" s="118"/>
      <c r="F232" s="126"/>
      <c r="G232" s="127"/>
      <c r="H232" s="119"/>
      <c r="I232" s="119"/>
      <c r="J232" s="115"/>
      <c r="K232" s="80"/>
      <c r="L232" s="120"/>
      <c r="M232" s="8"/>
      <c r="N232" s="115"/>
      <c r="O232" s="78"/>
      <c r="P232" s="121"/>
      <c r="Q232" s="115"/>
      <c r="R232" s="122"/>
      <c r="S232" s="122"/>
      <c r="T232" s="122"/>
      <c r="U232" s="122"/>
      <c r="V232" s="122"/>
      <c r="W232" s="122"/>
      <c r="X232" s="128"/>
      <c r="Y232" s="128"/>
      <c r="Z232" s="128"/>
      <c r="AA232" s="128"/>
      <c r="AB232" s="128"/>
      <c r="AC232" s="122"/>
      <c r="AD232" s="122"/>
      <c r="AE232" s="122"/>
      <c r="AF232" s="122"/>
      <c r="AG232" s="122"/>
      <c r="AH232" s="122"/>
      <c r="AI232" s="122"/>
      <c r="AJ232" s="122"/>
      <c r="AK232" s="122"/>
      <c r="AL232" s="122"/>
      <c r="AM232" s="122"/>
      <c r="AN232" s="64"/>
      <c r="AO232" s="118"/>
      <c r="AP232" s="77"/>
      <c r="AQ232" s="76">
        <f t="shared" si="15"/>
        <v>0</v>
      </c>
    </row>
    <row r="233" spans="2:43" x14ac:dyDescent="0.25">
      <c r="B233" s="182"/>
      <c r="C233" s="116"/>
      <c r="D233" s="117"/>
      <c r="E233" s="118"/>
      <c r="F233" s="126"/>
      <c r="G233" s="127"/>
      <c r="H233" s="119"/>
      <c r="I233" s="119"/>
      <c r="J233" s="115"/>
      <c r="K233" s="80"/>
      <c r="L233" s="120"/>
      <c r="M233" s="8"/>
      <c r="N233" s="115"/>
      <c r="O233" s="78"/>
      <c r="P233" s="121"/>
      <c r="Q233" s="115"/>
      <c r="R233" s="122"/>
      <c r="S233" s="122"/>
      <c r="T233" s="122"/>
      <c r="U233" s="122"/>
      <c r="V233" s="122"/>
      <c r="W233" s="122"/>
      <c r="X233" s="128"/>
      <c r="Y233" s="128"/>
      <c r="Z233" s="128"/>
      <c r="AA233" s="128"/>
      <c r="AB233" s="128"/>
      <c r="AC233" s="122"/>
      <c r="AD233" s="122"/>
      <c r="AE233" s="122"/>
      <c r="AF233" s="122"/>
      <c r="AG233" s="122"/>
      <c r="AH233" s="122"/>
      <c r="AI233" s="122"/>
      <c r="AJ233" s="122"/>
      <c r="AK233" s="122"/>
      <c r="AL233" s="122"/>
      <c r="AM233" s="122"/>
      <c r="AN233" s="64"/>
      <c r="AO233" s="118"/>
      <c r="AP233" s="77"/>
      <c r="AQ233" s="76">
        <f t="shared" si="15"/>
        <v>0</v>
      </c>
    </row>
    <row r="234" spans="2:43" x14ac:dyDescent="0.25">
      <c r="B234" s="182"/>
      <c r="C234" s="116"/>
      <c r="D234" s="117"/>
      <c r="E234" s="118"/>
      <c r="F234" s="126"/>
      <c r="G234" s="127"/>
      <c r="H234" s="119"/>
      <c r="I234" s="119"/>
      <c r="J234" s="115"/>
      <c r="K234" s="80"/>
      <c r="L234" s="120"/>
      <c r="M234" s="8"/>
      <c r="N234" s="115"/>
      <c r="O234" s="78"/>
      <c r="P234" s="121"/>
      <c r="Q234" s="115"/>
      <c r="R234" s="122"/>
      <c r="S234" s="122"/>
      <c r="T234" s="122"/>
      <c r="U234" s="122"/>
      <c r="V234" s="122"/>
      <c r="W234" s="122"/>
      <c r="X234" s="128"/>
      <c r="Y234" s="128"/>
      <c r="Z234" s="128"/>
      <c r="AA234" s="128"/>
      <c r="AB234" s="128"/>
      <c r="AC234" s="122"/>
      <c r="AD234" s="122"/>
      <c r="AE234" s="122"/>
      <c r="AF234" s="122"/>
      <c r="AG234" s="122"/>
      <c r="AH234" s="122"/>
      <c r="AI234" s="122"/>
      <c r="AJ234" s="122"/>
      <c r="AK234" s="122"/>
      <c r="AL234" s="122"/>
      <c r="AM234" s="122"/>
      <c r="AN234" s="64"/>
      <c r="AO234" s="118"/>
      <c r="AP234" s="77"/>
      <c r="AQ234" s="76">
        <f t="shared" si="15"/>
        <v>0</v>
      </c>
    </row>
    <row r="235" spans="2:43" x14ac:dyDescent="0.25">
      <c r="B235" s="182"/>
      <c r="C235" s="116"/>
      <c r="D235" s="117"/>
      <c r="E235" s="118"/>
      <c r="F235" s="126"/>
      <c r="G235" s="127"/>
      <c r="H235" s="119"/>
      <c r="I235" s="119"/>
      <c r="J235" s="115"/>
      <c r="K235" s="80"/>
      <c r="L235" s="120"/>
      <c r="M235" s="8"/>
      <c r="N235" s="115"/>
      <c r="O235" s="78"/>
      <c r="P235" s="121"/>
      <c r="Q235" s="115"/>
      <c r="R235" s="122"/>
      <c r="S235" s="122"/>
      <c r="T235" s="122"/>
      <c r="U235" s="122"/>
      <c r="V235" s="122"/>
      <c r="W235" s="122"/>
      <c r="X235" s="128"/>
      <c r="Y235" s="128"/>
      <c r="Z235" s="128"/>
      <c r="AA235" s="128"/>
      <c r="AB235" s="128"/>
      <c r="AC235" s="122"/>
      <c r="AD235" s="122"/>
      <c r="AE235" s="122"/>
      <c r="AF235" s="122"/>
      <c r="AG235" s="122"/>
      <c r="AH235" s="122"/>
      <c r="AI235" s="122"/>
      <c r="AJ235" s="122"/>
      <c r="AK235" s="122"/>
      <c r="AL235" s="122"/>
      <c r="AM235" s="122"/>
      <c r="AN235" s="64"/>
      <c r="AO235" s="118"/>
      <c r="AP235" s="77"/>
      <c r="AQ235" s="76">
        <f t="shared" si="15"/>
        <v>0</v>
      </c>
    </row>
    <row r="236" spans="2:43" x14ac:dyDescent="0.25">
      <c r="B236" s="182"/>
      <c r="C236" s="116"/>
      <c r="D236" s="117"/>
      <c r="E236" s="118"/>
      <c r="F236" s="126"/>
      <c r="G236" s="127"/>
      <c r="H236" s="119"/>
      <c r="I236" s="119"/>
      <c r="J236" s="115"/>
      <c r="K236" s="80"/>
      <c r="L236" s="120"/>
      <c r="M236" s="8"/>
      <c r="N236" s="115"/>
      <c r="O236" s="78"/>
      <c r="P236" s="121"/>
      <c r="Q236" s="115"/>
      <c r="R236" s="122"/>
      <c r="S236" s="122"/>
      <c r="T236" s="122"/>
      <c r="U236" s="122"/>
      <c r="V236" s="122"/>
      <c r="W236" s="122"/>
      <c r="X236" s="128"/>
      <c r="Y236" s="128"/>
      <c r="Z236" s="128"/>
      <c r="AA236" s="128"/>
      <c r="AB236" s="128"/>
      <c r="AC236" s="122"/>
      <c r="AD236" s="122"/>
      <c r="AE236" s="122"/>
      <c r="AF236" s="122"/>
      <c r="AG236" s="122"/>
      <c r="AH236" s="122"/>
      <c r="AI236" s="122"/>
      <c r="AJ236" s="122"/>
      <c r="AK236" s="122"/>
      <c r="AL236" s="122"/>
      <c r="AM236" s="122"/>
      <c r="AN236" s="64"/>
      <c r="AO236" s="118"/>
      <c r="AP236" s="77"/>
      <c r="AQ236" s="76">
        <f t="shared" si="15"/>
        <v>0</v>
      </c>
    </row>
    <row r="237" spans="2:43" x14ac:dyDescent="0.25">
      <c r="B237" s="182"/>
      <c r="C237" s="116"/>
      <c r="D237" s="117"/>
      <c r="E237" s="118"/>
      <c r="F237" s="126"/>
      <c r="G237" s="127"/>
      <c r="H237" s="119"/>
      <c r="I237" s="119"/>
      <c r="J237" s="115"/>
      <c r="K237" s="80"/>
      <c r="L237" s="120"/>
      <c r="M237" s="8"/>
      <c r="N237" s="115"/>
      <c r="O237" s="78"/>
      <c r="P237" s="121"/>
      <c r="Q237" s="115"/>
      <c r="R237" s="122"/>
      <c r="S237" s="122"/>
      <c r="T237" s="122"/>
      <c r="U237" s="122"/>
      <c r="V237" s="122"/>
      <c r="W237" s="122"/>
      <c r="X237" s="128"/>
      <c r="Y237" s="128"/>
      <c r="Z237" s="128"/>
      <c r="AA237" s="128"/>
      <c r="AB237" s="128"/>
      <c r="AC237" s="122"/>
      <c r="AD237" s="122"/>
      <c r="AE237" s="122"/>
      <c r="AF237" s="122"/>
      <c r="AG237" s="122"/>
      <c r="AH237" s="122"/>
      <c r="AI237" s="122"/>
      <c r="AJ237" s="122"/>
      <c r="AK237" s="122"/>
      <c r="AL237" s="122"/>
      <c r="AM237" s="122"/>
      <c r="AN237" s="64"/>
      <c r="AO237" s="118"/>
      <c r="AP237" s="77"/>
      <c r="AQ237" s="76">
        <f t="shared" si="15"/>
        <v>0</v>
      </c>
    </row>
    <row r="238" spans="2:43" x14ac:dyDescent="0.25">
      <c r="B238" s="182"/>
      <c r="C238" s="116"/>
      <c r="D238" s="117"/>
      <c r="E238" s="118"/>
      <c r="F238" s="126"/>
      <c r="G238" s="127"/>
      <c r="H238" s="119"/>
      <c r="I238" s="119"/>
      <c r="J238" s="115"/>
      <c r="K238" s="80"/>
      <c r="L238" s="120"/>
      <c r="M238" s="8"/>
      <c r="N238" s="115"/>
      <c r="O238" s="78"/>
      <c r="P238" s="121"/>
      <c r="Q238" s="115"/>
      <c r="R238" s="122"/>
      <c r="S238" s="122"/>
      <c r="T238" s="122"/>
      <c r="U238" s="122"/>
      <c r="V238" s="122"/>
      <c r="W238" s="122"/>
      <c r="X238" s="128"/>
      <c r="Y238" s="128"/>
      <c r="Z238" s="128"/>
      <c r="AA238" s="128"/>
      <c r="AB238" s="128"/>
      <c r="AC238" s="122"/>
      <c r="AD238" s="122"/>
      <c r="AE238" s="122"/>
      <c r="AF238" s="122"/>
      <c r="AG238" s="122"/>
      <c r="AH238" s="122"/>
      <c r="AI238" s="122"/>
      <c r="AJ238" s="122"/>
      <c r="AK238" s="122"/>
      <c r="AL238" s="122"/>
      <c r="AM238" s="122"/>
      <c r="AN238" s="64"/>
      <c r="AO238" s="118"/>
      <c r="AP238" s="77"/>
      <c r="AQ238" s="76">
        <f t="shared" si="15"/>
        <v>0</v>
      </c>
    </row>
    <row r="239" spans="2:43" x14ac:dyDescent="0.25">
      <c r="B239" s="182"/>
      <c r="C239" s="116"/>
      <c r="D239" s="117"/>
      <c r="E239" s="118"/>
      <c r="F239" s="126"/>
      <c r="G239" s="127"/>
      <c r="H239" s="119"/>
      <c r="I239" s="119"/>
      <c r="J239" s="115"/>
      <c r="K239" s="80"/>
      <c r="L239" s="120"/>
      <c r="M239" s="8"/>
      <c r="N239" s="115"/>
      <c r="O239" s="78"/>
      <c r="P239" s="121"/>
      <c r="Q239" s="115"/>
      <c r="R239" s="122"/>
      <c r="S239" s="122"/>
      <c r="T239" s="122"/>
      <c r="U239" s="122"/>
      <c r="V239" s="122"/>
      <c r="W239" s="122"/>
      <c r="X239" s="128"/>
      <c r="Y239" s="128"/>
      <c r="Z239" s="128"/>
      <c r="AA239" s="128"/>
      <c r="AB239" s="128"/>
      <c r="AC239" s="122"/>
      <c r="AD239" s="122"/>
      <c r="AE239" s="122"/>
      <c r="AF239" s="122"/>
      <c r="AG239" s="122"/>
      <c r="AH239" s="122"/>
      <c r="AI239" s="122"/>
      <c r="AJ239" s="122"/>
      <c r="AK239" s="122"/>
      <c r="AL239" s="122"/>
      <c r="AM239" s="122"/>
      <c r="AN239" s="64"/>
      <c r="AO239" s="118"/>
      <c r="AP239" s="77"/>
      <c r="AQ239" s="76">
        <f t="shared" si="15"/>
        <v>0</v>
      </c>
    </row>
    <row r="240" spans="2:43" x14ac:dyDescent="0.25">
      <c r="B240" s="182"/>
      <c r="C240" s="116"/>
      <c r="D240" s="117"/>
      <c r="E240" s="118"/>
      <c r="F240" s="126"/>
      <c r="G240" s="127"/>
      <c r="H240" s="119"/>
      <c r="I240" s="119"/>
      <c r="J240" s="115"/>
      <c r="K240" s="80"/>
      <c r="L240" s="120"/>
      <c r="M240" s="8"/>
      <c r="N240" s="115"/>
      <c r="O240" s="78"/>
      <c r="P240" s="121"/>
      <c r="Q240" s="115"/>
      <c r="R240" s="122"/>
      <c r="S240" s="122"/>
      <c r="T240" s="122"/>
      <c r="U240" s="122"/>
      <c r="V240" s="122"/>
      <c r="W240" s="122"/>
      <c r="X240" s="128"/>
      <c r="Y240" s="128"/>
      <c r="Z240" s="128"/>
      <c r="AA240" s="128"/>
      <c r="AB240" s="128"/>
      <c r="AC240" s="122"/>
      <c r="AD240" s="122"/>
      <c r="AE240" s="122"/>
      <c r="AF240" s="122"/>
      <c r="AG240" s="122"/>
      <c r="AH240" s="122"/>
      <c r="AI240" s="122"/>
      <c r="AJ240" s="122"/>
      <c r="AK240" s="122"/>
      <c r="AL240" s="122"/>
      <c r="AM240" s="122"/>
      <c r="AN240" s="64"/>
      <c r="AO240" s="118"/>
      <c r="AP240" s="77"/>
      <c r="AQ240" s="76">
        <f t="shared" si="15"/>
        <v>0</v>
      </c>
    </row>
    <row r="241" spans="2:43" x14ac:dyDescent="0.25">
      <c r="B241" s="182"/>
      <c r="C241" s="116"/>
      <c r="D241" s="117"/>
      <c r="E241" s="118"/>
      <c r="F241" s="126"/>
      <c r="G241" s="127"/>
      <c r="H241" s="119"/>
      <c r="I241" s="119"/>
      <c r="J241" s="115"/>
      <c r="K241" s="80"/>
      <c r="L241" s="120"/>
      <c r="M241" s="8"/>
      <c r="N241" s="115"/>
      <c r="O241" s="78"/>
      <c r="P241" s="121"/>
      <c r="Q241" s="115"/>
      <c r="R241" s="122"/>
      <c r="S241" s="122"/>
      <c r="T241" s="122"/>
      <c r="U241" s="122"/>
      <c r="V241" s="122"/>
      <c r="W241" s="122"/>
      <c r="X241" s="128"/>
      <c r="Y241" s="128"/>
      <c r="Z241" s="128"/>
      <c r="AA241" s="128"/>
      <c r="AB241" s="128"/>
      <c r="AC241" s="122"/>
      <c r="AD241" s="122"/>
      <c r="AE241" s="122"/>
      <c r="AF241" s="122"/>
      <c r="AG241" s="122"/>
      <c r="AH241" s="122"/>
      <c r="AI241" s="122"/>
      <c r="AJ241" s="122"/>
      <c r="AK241" s="122"/>
      <c r="AL241" s="122"/>
      <c r="AM241" s="122"/>
      <c r="AN241" s="64"/>
      <c r="AO241" s="118"/>
      <c r="AP241" s="77"/>
      <c r="AQ241" s="76">
        <f t="shared" si="15"/>
        <v>0</v>
      </c>
    </row>
    <row r="242" spans="2:43" x14ac:dyDescent="0.25">
      <c r="B242" s="182"/>
      <c r="C242" s="116"/>
      <c r="D242" s="117"/>
      <c r="E242" s="118"/>
      <c r="F242" s="126"/>
      <c r="G242" s="127"/>
      <c r="H242" s="119"/>
      <c r="I242" s="119"/>
      <c r="J242" s="115"/>
      <c r="K242" s="80"/>
      <c r="L242" s="120"/>
      <c r="M242" s="8"/>
      <c r="N242" s="115"/>
      <c r="O242" s="78"/>
      <c r="P242" s="121"/>
      <c r="Q242" s="115"/>
      <c r="R242" s="122"/>
      <c r="S242" s="122"/>
      <c r="T242" s="122"/>
      <c r="U242" s="122"/>
      <c r="V242" s="122"/>
      <c r="W242" s="122"/>
      <c r="X242" s="128"/>
      <c r="Y242" s="128"/>
      <c r="Z242" s="128"/>
      <c r="AA242" s="128"/>
      <c r="AB242" s="128"/>
      <c r="AC242" s="122"/>
      <c r="AD242" s="122"/>
      <c r="AE242" s="122"/>
      <c r="AF242" s="122"/>
      <c r="AG242" s="122"/>
      <c r="AH242" s="122"/>
      <c r="AI242" s="122"/>
      <c r="AJ242" s="122"/>
      <c r="AK242" s="122"/>
      <c r="AL242" s="122"/>
      <c r="AM242" s="122"/>
      <c r="AN242" s="64"/>
      <c r="AO242" s="118"/>
      <c r="AP242" s="77"/>
      <c r="AQ242" s="76">
        <f t="shared" si="15"/>
        <v>0</v>
      </c>
    </row>
    <row r="243" spans="2:43" x14ac:dyDescent="0.25">
      <c r="B243" s="182"/>
      <c r="C243" s="116"/>
      <c r="D243" s="117"/>
      <c r="E243" s="118"/>
      <c r="F243" s="126"/>
      <c r="G243" s="127"/>
      <c r="H243" s="119"/>
      <c r="I243" s="119"/>
      <c r="J243" s="115"/>
      <c r="K243" s="80"/>
      <c r="L243" s="120"/>
      <c r="M243" s="8"/>
      <c r="N243" s="115"/>
      <c r="O243" s="78"/>
      <c r="P243" s="121"/>
      <c r="Q243" s="115"/>
      <c r="R243" s="122"/>
      <c r="S243" s="122"/>
      <c r="T243" s="122"/>
      <c r="U243" s="122"/>
      <c r="V243" s="122"/>
      <c r="W243" s="122"/>
      <c r="X243" s="128"/>
      <c r="Y243" s="128"/>
      <c r="Z243" s="128"/>
      <c r="AA243" s="128"/>
      <c r="AB243" s="128"/>
      <c r="AC243" s="122"/>
      <c r="AD243" s="122"/>
      <c r="AE243" s="122"/>
      <c r="AF243" s="122"/>
      <c r="AG243" s="122"/>
      <c r="AH243" s="122"/>
      <c r="AI243" s="122"/>
      <c r="AJ243" s="122"/>
      <c r="AK243" s="122"/>
      <c r="AL243" s="122"/>
      <c r="AM243" s="122"/>
      <c r="AN243" s="64"/>
      <c r="AO243" s="118"/>
      <c r="AP243" s="77"/>
      <c r="AQ243" s="76">
        <f t="shared" si="15"/>
        <v>0</v>
      </c>
    </row>
    <row r="244" spans="2:43" x14ac:dyDescent="0.25">
      <c r="B244" s="182"/>
      <c r="C244" s="116"/>
      <c r="D244" s="117"/>
      <c r="E244" s="118"/>
      <c r="F244" s="126"/>
      <c r="G244" s="127"/>
      <c r="H244" s="119"/>
      <c r="I244" s="119"/>
      <c r="J244" s="115"/>
      <c r="K244" s="80"/>
      <c r="L244" s="120"/>
      <c r="M244" s="8"/>
      <c r="N244" s="115"/>
      <c r="O244" s="78"/>
      <c r="P244" s="121"/>
      <c r="Q244" s="115"/>
      <c r="R244" s="122"/>
      <c r="S244" s="122"/>
      <c r="T244" s="122"/>
      <c r="U244" s="122"/>
      <c r="V244" s="122"/>
      <c r="W244" s="122"/>
      <c r="X244" s="128"/>
      <c r="Y244" s="128"/>
      <c r="Z244" s="128"/>
      <c r="AA244" s="128"/>
      <c r="AB244" s="128"/>
      <c r="AC244" s="122"/>
      <c r="AD244" s="122"/>
      <c r="AE244" s="122"/>
      <c r="AF244" s="122"/>
      <c r="AG244" s="122"/>
      <c r="AH244" s="122"/>
      <c r="AI244" s="122"/>
      <c r="AJ244" s="122"/>
      <c r="AK244" s="122"/>
      <c r="AL244" s="122"/>
      <c r="AM244" s="122"/>
      <c r="AN244" s="64"/>
      <c r="AO244" s="118"/>
      <c r="AP244" s="77"/>
      <c r="AQ244" s="76">
        <f t="shared" si="15"/>
        <v>0</v>
      </c>
    </row>
    <row r="245" spans="2:43" x14ac:dyDescent="0.25">
      <c r="B245" s="182"/>
      <c r="C245" s="116"/>
      <c r="D245" s="117"/>
      <c r="E245" s="118"/>
      <c r="F245" s="126"/>
      <c r="G245" s="127"/>
      <c r="H245" s="119"/>
      <c r="I245" s="119"/>
      <c r="J245" s="115"/>
      <c r="K245" s="80"/>
      <c r="L245" s="120"/>
      <c r="M245" s="8"/>
      <c r="N245" s="115"/>
      <c r="O245" s="78"/>
      <c r="P245" s="121"/>
      <c r="Q245" s="115"/>
      <c r="R245" s="122"/>
      <c r="S245" s="122"/>
      <c r="T245" s="122"/>
      <c r="U245" s="122"/>
      <c r="V245" s="122"/>
      <c r="W245" s="122"/>
      <c r="X245" s="128"/>
      <c r="Y245" s="128"/>
      <c r="Z245" s="128"/>
      <c r="AA245" s="128"/>
      <c r="AB245" s="128"/>
      <c r="AC245" s="122"/>
      <c r="AD245" s="122"/>
      <c r="AE245" s="122"/>
      <c r="AF245" s="122"/>
      <c r="AG245" s="122"/>
      <c r="AH245" s="122"/>
      <c r="AI245" s="122"/>
      <c r="AJ245" s="122"/>
      <c r="AK245" s="122"/>
      <c r="AL245" s="122"/>
      <c r="AM245" s="122"/>
      <c r="AN245" s="64"/>
      <c r="AO245" s="118"/>
      <c r="AP245" s="77"/>
      <c r="AQ245" s="76">
        <f t="shared" si="15"/>
        <v>0</v>
      </c>
    </row>
    <row r="246" spans="2:43" x14ac:dyDescent="0.25">
      <c r="B246" s="182"/>
      <c r="C246" s="116"/>
      <c r="D246" s="117"/>
      <c r="E246" s="118"/>
      <c r="F246" s="126"/>
      <c r="G246" s="127"/>
      <c r="H246" s="119"/>
      <c r="I246" s="119"/>
      <c r="J246" s="115"/>
      <c r="K246" s="80"/>
      <c r="L246" s="120"/>
      <c r="M246" s="8"/>
      <c r="N246" s="115"/>
      <c r="O246" s="78"/>
      <c r="P246" s="121"/>
      <c r="Q246" s="115"/>
      <c r="R246" s="122"/>
      <c r="S246" s="122"/>
      <c r="T246" s="122"/>
      <c r="U246" s="122"/>
      <c r="V246" s="122"/>
      <c r="W246" s="122"/>
      <c r="X246" s="128"/>
      <c r="Y246" s="128"/>
      <c r="Z246" s="128"/>
      <c r="AA246" s="128"/>
      <c r="AB246" s="128"/>
      <c r="AC246" s="122"/>
      <c r="AD246" s="122"/>
      <c r="AE246" s="122"/>
      <c r="AF246" s="122"/>
      <c r="AG246" s="122"/>
      <c r="AH246" s="122"/>
      <c r="AI246" s="122"/>
      <c r="AJ246" s="122"/>
      <c r="AK246" s="122"/>
      <c r="AL246" s="122"/>
      <c r="AM246" s="122"/>
      <c r="AN246" s="64"/>
      <c r="AO246" s="118"/>
      <c r="AP246" s="77"/>
      <c r="AQ246" s="76">
        <f t="shared" si="15"/>
        <v>0</v>
      </c>
    </row>
    <row r="247" spans="2:43" x14ac:dyDescent="0.25">
      <c r="B247" s="182"/>
      <c r="C247" s="116"/>
      <c r="D247" s="117"/>
      <c r="E247" s="118"/>
      <c r="F247" s="126"/>
      <c r="G247" s="127"/>
      <c r="H247" s="119"/>
      <c r="I247" s="119"/>
      <c r="J247" s="115"/>
      <c r="K247" s="80"/>
      <c r="L247" s="120"/>
      <c r="M247" s="8"/>
      <c r="N247" s="115"/>
      <c r="O247" s="78"/>
      <c r="P247" s="121"/>
      <c r="Q247" s="115"/>
      <c r="R247" s="122"/>
      <c r="S247" s="122"/>
      <c r="T247" s="122"/>
      <c r="U247" s="122"/>
      <c r="V247" s="122"/>
      <c r="W247" s="122"/>
      <c r="X247" s="128"/>
      <c r="Y247" s="128"/>
      <c r="Z247" s="128"/>
      <c r="AA247" s="128"/>
      <c r="AB247" s="128"/>
      <c r="AC247" s="122"/>
      <c r="AD247" s="122"/>
      <c r="AE247" s="122"/>
      <c r="AF247" s="122"/>
      <c r="AG247" s="122"/>
      <c r="AH247" s="122"/>
      <c r="AI247" s="122"/>
      <c r="AJ247" s="122"/>
      <c r="AK247" s="122"/>
      <c r="AL247" s="122"/>
      <c r="AM247" s="122"/>
      <c r="AN247" s="64"/>
      <c r="AO247" s="118"/>
      <c r="AP247" s="77"/>
      <c r="AQ247" s="76">
        <f t="shared" si="15"/>
        <v>0</v>
      </c>
    </row>
    <row r="248" spans="2:43" x14ac:dyDescent="0.25">
      <c r="B248" s="182"/>
      <c r="C248" s="116"/>
      <c r="D248" s="117"/>
      <c r="E248" s="118"/>
      <c r="F248" s="126"/>
      <c r="G248" s="127"/>
      <c r="H248" s="119"/>
      <c r="I248" s="119"/>
      <c r="J248" s="115"/>
      <c r="K248" s="80"/>
      <c r="L248" s="120"/>
      <c r="M248" s="8"/>
      <c r="N248" s="115"/>
      <c r="O248" s="78"/>
      <c r="P248" s="121"/>
      <c r="Q248" s="115"/>
      <c r="R248" s="122"/>
      <c r="S248" s="122"/>
      <c r="T248" s="122"/>
      <c r="U248" s="122"/>
      <c r="V248" s="122"/>
      <c r="W248" s="122"/>
      <c r="X248" s="128"/>
      <c r="Y248" s="128"/>
      <c r="Z248" s="128"/>
      <c r="AA248" s="128"/>
      <c r="AB248" s="128"/>
      <c r="AC248" s="122"/>
      <c r="AD248" s="122"/>
      <c r="AE248" s="122"/>
      <c r="AF248" s="122"/>
      <c r="AG248" s="122"/>
      <c r="AH248" s="122"/>
      <c r="AI248" s="122"/>
      <c r="AJ248" s="122"/>
      <c r="AK248" s="122"/>
      <c r="AL248" s="122"/>
      <c r="AM248" s="122"/>
      <c r="AN248" s="64"/>
      <c r="AO248" s="118"/>
      <c r="AP248" s="77"/>
      <c r="AQ248" s="76">
        <f t="shared" si="15"/>
        <v>0</v>
      </c>
    </row>
    <row r="249" spans="2:43" x14ac:dyDescent="0.25">
      <c r="B249" s="182"/>
      <c r="C249" s="116"/>
      <c r="D249" s="117"/>
      <c r="E249" s="118"/>
      <c r="F249" s="126"/>
      <c r="G249" s="127"/>
      <c r="H249" s="119"/>
      <c r="I249" s="119"/>
      <c r="J249" s="115"/>
      <c r="K249" s="80"/>
      <c r="L249" s="120"/>
      <c r="M249" s="8"/>
      <c r="N249" s="115"/>
      <c r="O249" s="78"/>
      <c r="P249" s="121"/>
      <c r="Q249" s="115"/>
      <c r="R249" s="122"/>
      <c r="S249" s="122"/>
      <c r="T249" s="122"/>
      <c r="U249" s="122"/>
      <c r="V249" s="122"/>
      <c r="W249" s="122"/>
      <c r="X249" s="128"/>
      <c r="Y249" s="128"/>
      <c r="Z249" s="128"/>
      <c r="AA249" s="128"/>
      <c r="AB249" s="128"/>
      <c r="AC249" s="122"/>
      <c r="AD249" s="122"/>
      <c r="AE249" s="122"/>
      <c r="AF249" s="122"/>
      <c r="AG249" s="122"/>
      <c r="AH249" s="122"/>
      <c r="AI249" s="122"/>
      <c r="AJ249" s="122"/>
      <c r="AK249" s="122"/>
      <c r="AL249" s="122"/>
      <c r="AM249" s="122"/>
      <c r="AN249" s="64"/>
      <c r="AO249" s="118"/>
      <c r="AP249" s="77"/>
      <c r="AQ249" s="76">
        <f t="shared" si="15"/>
        <v>0</v>
      </c>
    </row>
    <row r="250" spans="2:43" x14ac:dyDescent="0.25">
      <c r="B250" s="182"/>
      <c r="C250" s="116"/>
      <c r="D250" s="117"/>
      <c r="E250" s="118"/>
      <c r="F250" s="126"/>
      <c r="G250" s="127"/>
      <c r="H250" s="119"/>
      <c r="I250" s="119"/>
      <c r="J250" s="115"/>
      <c r="K250" s="80"/>
      <c r="L250" s="120"/>
      <c r="M250" s="8"/>
      <c r="N250" s="115"/>
      <c r="O250" s="78"/>
      <c r="P250" s="121"/>
      <c r="Q250" s="115"/>
      <c r="R250" s="122"/>
      <c r="S250" s="122"/>
      <c r="T250" s="122"/>
      <c r="U250" s="122"/>
      <c r="V250" s="122"/>
      <c r="W250" s="122"/>
      <c r="X250" s="128"/>
      <c r="Y250" s="128"/>
      <c r="Z250" s="128"/>
      <c r="AA250" s="128"/>
      <c r="AB250" s="128"/>
      <c r="AC250" s="122"/>
      <c r="AD250" s="122"/>
      <c r="AE250" s="122"/>
      <c r="AF250" s="122"/>
      <c r="AG250" s="122"/>
      <c r="AH250" s="122"/>
      <c r="AI250" s="122"/>
      <c r="AJ250" s="122"/>
      <c r="AK250" s="122"/>
      <c r="AL250" s="122"/>
      <c r="AM250" s="122"/>
      <c r="AN250" s="64"/>
      <c r="AO250" s="118"/>
      <c r="AP250" s="77"/>
      <c r="AQ250" s="76">
        <f t="shared" si="15"/>
        <v>0</v>
      </c>
    </row>
    <row r="251" spans="2:43" x14ac:dyDescent="0.25">
      <c r="B251" s="182"/>
      <c r="C251" s="116"/>
      <c r="D251" s="117"/>
      <c r="E251" s="118"/>
      <c r="F251" s="126"/>
      <c r="G251" s="127"/>
      <c r="H251" s="119"/>
      <c r="I251" s="119"/>
      <c r="J251" s="115"/>
      <c r="K251" s="80"/>
      <c r="L251" s="120"/>
      <c r="M251" s="8"/>
      <c r="N251" s="115"/>
      <c r="O251" s="78"/>
      <c r="P251" s="121"/>
      <c r="Q251" s="115"/>
      <c r="R251" s="122"/>
      <c r="S251" s="122"/>
      <c r="T251" s="122"/>
      <c r="U251" s="122"/>
      <c r="V251" s="122"/>
      <c r="W251" s="122"/>
      <c r="X251" s="128"/>
      <c r="Y251" s="128"/>
      <c r="Z251" s="128"/>
      <c r="AA251" s="128"/>
      <c r="AB251" s="128"/>
      <c r="AC251" s="122"/>
      <c r="AD251" s="122"/>
      <c r="AE251" s="122"/>
      <c r="AF251" s="122"/>
      <c r="AG251" s="122"/>
      <c r="AH251" s="122"/>
      <c r="AI251" s="122"/>
      <c r="AJ251" s="122"/>
      <c r="AK251" s="122"/>
      <c r="AL251" s="122"/>
      <c r="AM251" s="122"/>
      <c r="AN251" s="64"/>
      <c r="AO251" s="118"/>
      <c r="AP251" s="77"/>
      <c r="AQ251" s="76">
        <f t="shared" si="15"/>
        <v>0</v>
      </c>
    </row>
    <row r="252" spans="2:43" x14ac:dyDescent="0.25">
      <c r="B252" s="182"/>
      <c r="C252" s="116"/>
      <c r="D252" s="117"/>
      <c r="E252" s="118"/>
      <c r="F252" s="126"/>
      <c r="G252" s="127"/>
      <c r="H252" s="119"/>
      <c r="I252" s="119"/>
      <c r="J252" s="115"/>
      <c r="K252" s="80"/>
      <c r="L252" s="120"/>
      <c r="M252" s="8"/>
      <c r="N252" s="115"/>
      <c r="O252" s="78"/>
      <c r="P252" s="121"/>
      <c r="Q252" s="115"/>
      <c r="R252" s="122"/>
      <c r="S252" s="122"/>
      <c r="T252" s="122"/>
      <c r="U252" s="122"/>
      <c r="V252" s="122"/>
      <c r="W252" s="122"/>
      <c r="X252" s="128"/>
      <c r="Y252" s="128"/>
      <c r="Z252" s="128"/>
      <c r="AA252" s="128"/>
      <c r="AB252" s="128"/>
      <c r="AC252" s="122"/>
      <c r="AD252" s="122"/>
      <c r="AE252" s="122"/>
      <c r="AF252" s="122"/>
      <c r="AG252" s="122"/>
      <c r="AH252" s="122"/>
      <c r="AI252" s="122"/>
      <c r="AJ252" s="122"/>
      <c r="AK252" s="122"/>
      <c r="AL252" s="122"/>
      <c r="AM252" s="122"/>
      <c r="AN252" s="64"/>
      <c r="AO252" s="118"/>
      <c r="AP252" s="77"/>
      <c r="AQ252" s="76">
        <f t="shared" si="15"/>
        <v>0</v>
      </c>
    </row>
    <row r="253" spans="2:43" x14ac:dyDescent="0.25">
      <c r="B253" s="182"/>
      <c r="C253" s="116"/>
      <c r="D253" s="117"/>
      <c r="E253" s="118"/>
      <c r="F253" s="126"/>
      <c r="G253" s="127"/>
      <c r="H253" s="119"/>
      <c r="I253" s="119"/>
      <c r="J253" s="115"/>
      <c r="K253" s="80"/>
      <c r="L253" s="120"/>
      <c r="M253" s="8"/>
      <c r="N253" s="115"/>
      <c r="O253" s="78"/>
      <c r="P253" s="121"/>
      <c r="Q253" s="115"/>
      <c r="R253" s="122"/>
      <c r="S253" s="122"/>
      <c r="T253" s="122"/>
      <c r="U253" s="122"/>
      <c r="V253" s="122"/>
      <c r="W253" s="122"/>
      <c r="X253" s="128"/>
      <c r="Y253" s="128"/>
      <c r="Z253" s="128"/>
      <c r="AA253" s="128"/>
      <c r="AB253" s="128"/>
      <c r="AC253" s="122"/>
      <c r="AD253" s="122"/>
      <c r="AE253" s="122"/>
      <c r="AF253" s="122"/>
      <c r="AG253" s="122"/>
      <c r="AH253" s="122"/>
      <c r="AI253" s="122"/>
      <c r="AJ253" s="122"/>
      <c r="AK253" s="122"/>
      <c r="AL253" s="122"/>
      <c r="AM253" s="122"/>
      <c r="AN253" s="64"/>
      <c r="AO253" s="118"/>
      <c r="AP253" s="77"/>
      <c r="AQ253" s="76">
        <f t="shared" si="15"/>
        <v>0</v>
      </c>
    </row>
    <row r="254" spans="2:43" x14ac:dyDescent="0.25">
      <c r="B254" s="182"/>
      <c r="C254" s="116"/>
      <c r="D254" s="117"/>
      <c r="E254" s="118"/>
      <c r="F254" s="126"/>
      <c r="G254" s="127"/>
      <c r="H254" s="119"/>
      <c r="I254" s="119"/>
      <c r="J254" s="115"/>
      <c r="K254" s="80"/>
      <c r="L254" s="120"/>
      <c r="M254" s="8"/>
      <c r="N254" s="115"/>
      <c r="O254" s="78"/>
      <c r="P254" s="121"/>
      <c r="Q254" s="115"/>
      <c r="R254" s="122"/>
      <c r="S254" s="122"/>
      <c r="T254" s="122"/>
      <c r="U254" s="122"/>
      <c r="V254" s="122"/>
      <c r="W254" s="122"/>
      <c r="X254" s="128"/>
      <c r="Y254" s="128"/>
      <c r="Z254" s="128"/>
      <c r="AA254" s="128"/>
      <c r="AB254" s="128"/>
      <c r="AC254" s="122"/>
      <c r="AD254" s="122"/>
      <c r="AE254" s="122"/>
      <c r="AF254" s="122"/>
      <c r="AG254" s="122"/>
      <c r="AH254" s="122"/>
      <c r="AI254" s="122"/>
      <c r="AJ254" s="122"/>
      <c r="AK254" s="122"/>
      <c r="AL254" s="122"/>
      <c r="AM254" s="122"/>
      <c r="AN254" s="64"/>
      <c r="AO254" s="118"/>
      <c r="AP254" s="77"/>
      <c r="AQ254" s="76">
        <f t="shared" si="15"/>
        <v>0</v>
      </c>
    </row>
    <row r="255" spans="2:43" x14ac:dyDescent="0.25">
      <c r="B255" s="182"/>
      <c r="C255" s="116"/>
      <c r="D255" s="117"/>
      <c r="E255" s="118"/>
      <c r="F255" s="126"/>
      <c r="G255" s="127"/>
      <c r="H255" s="119"/>
      <c r="I255" s="119"/>
      <c r="J255" s="115"/>
      <c r="K255" s="80"/>
      <c r="L255" s="120"/>
      <c r="M255" s="8"/>
      <c r="N255" s="115"/>
      <c r="O255" s="78"/>
      <c r="P255" s="121"/>
      <c r="Q255" s="115"/>
      <c r="R255" s="122"/>
      <c r="S255" s="122"/>
      <c r="T255" s="122"/>
      <c r="U255" s="122"/>
      <c r="V255" s="122"/>
      <c r="W255" s="122"/>
      <c r="X255" s="128"/>
      <c r="Y255" s="128"/>
      <c r="Z255" s="128"/>
      <c r="AA255" s="128"/>
      <c r="AB255" s="128"/>
      <c r="AC255" s="122"/>
      <c r="AD255" s="122"/>
      <c r="AE255" s="122"/>
      <c r="AF255" s="122"/>
      <c r="AG255" s="122"/>
      <c r="AH255" s="122"/>
      <c r="AI255" s="122"/>
      <c r="AJ255" s="122"/>
      <c r="AK255" s="122"/>
      <c r="AL255" s="122"/>
      <c r="AM255" s="122"/>
      <c r="AN255" s="64"/>
      <c r="AO255" s="118"/>
      <c r="AP255" s="77"/>
      <c r="AQ255" s="76">
        <f t="shared" si="15"/>
        <v>0</v>
      </c>
    </row>
    <row r="256" spans="2:43" x14ac:dyDescent="0.25">
      <c r="B256" s="182"/>
      <c r="C256" s="116"/>
      <c r="D256" s="117"/>
      <c r="E256" s="118"/>
      <c r="F256" s="126"/>
      <c r="G256" s="127"/>
      <c r="H256" s="119"/>
      <c r="I256" s="119"/>
      <c r="J256" s="115"/>
      <c r="K256" s="80"/>
      <c r="L256" s="120"/>
      <c r="M256" s="8"/>
      <c r="N256" s="115"/>
      <c r="O256" s="78"/>
      <c r="P256" s="121"/>
      <c r="Q256" s="115"/>
      <c r="R256" s="122"/>
      <c r="S256" s="122"/>
      <c r="T256" s="122"/>
      <c r="U256" s="122"/>
      <c r="V256" s="122"/>
      <c r="W256" s="122"/>
      <c r="X256" s="128"/>
      <c r="Y256" s="128"/>
      <c r="Z256" s="128"/>
      <c r="AA256" s="128"/>
      <c r="AB256" s="128"/>
      <c r="AC256" s="122"/>
      <c r="AD256" s="122"/>
      <c r="AE256" s="122"/>
      <c r="AF256" s="122"/>
      <c r="AG256" s="122"/>
      <c r="AH256" s="122"/>
      <c r="AI256" s="122"/>
      <c r="AJ256" s="122"/>
      <c r="AK256" s="122"/>
      <c r="AL256" s="122"/>
      <c r="AM256" s="122"/>
      <c r="AN256" s="64"/>
      <c r="AO256" s="118"/>
      <c r="AP256" s="77"/>
      <c r="AQ256" s="76">
        <f t="shared" si="15"/>
        <v>0</v>
      </c>
    </row>
    <row r="257" spans="2:43" x14ac:dyDescent="0.25">
      <c r="B257" s="182"/>
      <c r="C257" s="116"/>
      <c r="D257" s="117"/>
      <c r="E257" s="118"/>
      <c r="F257" s="126"/>
      <c r="G257" s="127"/>
      <c r="H257" s="119"/>
      <c r="I257" s="119"/>
      <c r="J257" s="115"/>
      <c r="K257" s="80"/>
      <c r="L257" s="120"/>
      <c r="M257" s="8"/>
      <c r="N257" s="115"/>
      <c r="O257" s="78"/>
      <c r="P257" s="121"/>
      <c r="Q257" s="115"/>
      <c r="R257" s="122"/>
      <c r="S257" s="122"/>
      <c r="T257" s="122"/>
      <c r="U257" s="122"/>
      <c r="V257" s="122"/>
      <c r="W257" s="122"/>
      <c r="X257" s="128"/>
      <c r="Y257" s="128"/>
      <c r="Z257" s="128"/>
      <c r="AA257" s="128"/>
      <c r="AB257" s="128"/>
      <c r="AC257" s="122"/>
      <c r="AD257" s="122"/>
      <c r="AE257" s="122"/>
      <c r="AF257" s="122"/>
      <c r="AG257" s="122"/>
      <c r="AH257" s="122"/>
      <c r="AI257" s="122"/>
      <c r="AJ257" s="122"/>
      <c r="AK257" s="122"/>
      <c r="AL257" s="122"/>
      <c r="AM257" s="122"/>
      <c r="AN257" s="64"/>
      <c r="AO257" s="118"/>
      <c r="AP257" s="77"/>
      <c r="AQ257" s="76">
        <f t="shared" si="15"/>
        <v>0</v>
      </c>
    </row>
    <row r="258" spans="2:43" x14ac:dyDescent="0.25">
      <c r="B258" s="182"/>
      <c r="C258" s="116"/>
      <c r="D258" s="117"/>
      <c r="E258" s="118"/>
      <c r="F258" s="126"/>
      <c r="G258" s="127"/>
      <c r="H258" s="119"/>
      <c r="I258" s="119"/>
      <c r="J258" s="115"/>
      <c r="K258" s="80"/>
      <c r="L258" s="120"/>
      <c r="M258" s="8"/>
      <c r="N258" s="115"/>
      <c r="O258" s="78"/>
      <c r="P258" s="121"/>
      <c r="Q258" s="115"/>
      <c r="R258" s="122"/>
      <c r="S258" s="122"/>
      <c r="T258" s="122"/>
      <c r="U258" s="122"/>
      <c r="V258" s="122"/>
      <c r="W258" s="122"/>
      <c r="X258" s="128"/>
      <c r="Y258" s="128"/>
      <c r="Z258" s="128"/>
      <c r="AA258" s="128"/>
      <c r="AB258" s="128"/>
      <c r="AC258" s="122"/>
      <c r="AD258" s="122"/>
      <c r="AE258" s="122"/>
      <c r="AF258" s="122"/>
      <c r="AG258" s="122"/>
      <c r="AH258" s="122"/>
      <c r="AI258" s="122"/>
      <c r="AJ258" s="122"/>
      <c r="AK258" s="122"/>
      <c r="AL258" s="122"/>
      <c r="AM258" s="122"/>
      <c r="AN258" s="64"/>
      <c r="AO258" s="118"/>
      <c r="AP258" s="77"/>
      <c r="AQ258" s="76">
        <f t="shared" si="15"/>
        <v>0</v>
      </c>
    </row>
    <row r="259" spans="2:43" x14ac:dyDescent="0.25">
      <c r="B259" s="182"/>
      <c r="C259" s="116"/>
      <c r="D259" s="117"/>
      <c r="E259" s="118"/>
      <c r="F259" s="126"/>
      <c r="G259" s="127"/>
      <c r="H259" s="119"/>
      <c r="I259" s="119"/>
      <c r="J259" s="115"/>
      <c r="K259" s="80"/>
      <c r="L259" s="120"/>
      <c r="M259" s="8"/>
      <c r="N259" s="115"/>
      <c r="O259" s="78"/>
      <c r="P259" s="121"/>
      <c r="Q259" s="115"/>
      <c r="R259" s="122"/>
      <c r="S259" s="122"/>
      <c r="T259" s="122"/>
      <c r="U259" s="122"/>
      <c r="V259" s="122"/>
      <c r="W259" s="122"/>
      <c r="X259" s="128"/>
      <c r="Y259" s="128"/>
      <c r="Z259" s="128"/>
      <c r="AA259" s="128"/>
      <c r="AB259" s="128"/>
      <c r="AC259" s="122"/>
      <c r="AD259" s="122"/>
      <c r="AE259" s="122"/>
      <c r="AF259" s="122"/>
      <c r="AG259" s="122"/>
      <c r="AH259" s="122"/>
      <c r="AI259" s="122"/>
      <c r="AJ259" s="122"/>
      <c r="AK259" s="122"/>
      <c r="AL259" s="122"/>
      <c r="AM259" s="122"/>
      <c r="AN259" s="64"/>
      <c r="AO259" s="118"/>
      <c r="AP259" s="77"/>
      <c r="AQ259" s="76">
        <f t="shared" si="15"/>
        <v>0</v>
      </c>
    </row>
    <row r="260" spans="2:43" x14ac:dyDescent="0.25">
      <c r="B260" s="182"/>
      <c r="C260" s="116"/>
      <c r="D260" s="117"/>
      <c r="E260" s="118"/>
      <c r="F260" s="126"/>
      <c r="G260" s="127"/>
      <c r="H260" s="119"/>
      <c r="I260" s="119"/>
      <c r="J260" s="115"/>
      <c r="K260" s="80"/>
      <c r="L260" s="120"/>
      <c r="M260" s="8"/>
      <c r="N260" s="115"/>
      <c r="O260" s="78"/>
      <c r="P260" s="121"/>
      <c r="Q260" s="115"/>
      <c r="R260" s="122"/>
      <c r="S260" s="122"/>
      <c r="T260" s="122"/>
      <c r="U260" s="122"/>
      <c r="V260" s="122"/>
      <c r="W260" s="122"/>
      <c r="X260" s="128"/>
      <c r="Y260" s="128"/>
      <c r="Z260" s="128"/>
      <c r="AA260" s="128"/>
      <c r="AB260" s="128"/>
      <c r="AC260" s="122"/>
      <c r="AD260" s="122"/>
      <c r="AE260" s="122"/>
      <c r="AF260" s="122"/>
      <c r="AG260" s="122"/>
      <c r="AH260" s="122"/>
      <c r="AI260" s="122"/>
      <c r="AJ260" s="122"/>
      <c r="AK260" s="122"/>
      <c r="AL260" s="122"/>
      <c r="AM260" s="122"/>
      <c r="AN260" s="64"/>
      <c r="AO260" s="118"/>
      <c r="AP260" s="77"/>
      <c r="AQ260" s="76">
        <f t="shared" si="15"/>
        <v>0</v>
      </c>
    </row>
    <row r="261" spans="2:43" x14ac:dyDescent="0.25">
      <c r="B261" s="182"/>
      <c r="C261" s="116"/>
      <c r="D261" s="117"/>
      <c r="E261" s="118"/>
      <c r="F261" s="126"/>
      <c r="G261" s="127"/>
      <c r="H261" s="119"/>
      <c r="I261" s="119"/>
      <c r="J261" s="115"/>
      <c r="K261" s="80"/>
      <c r="L261" s="120"/>
      <c r="M261" s="8"/>
      <c r="N261" s="115"/>
      <c r="O261" s="78"/>
      <c r="P261" s="121"/>
      <c r="Q261" s="115"/>
      <c r="R261" s="122"/>
      <c r="S261" s="122"/>
      <c r="T261" s="122"/>
      <c r="U261" s="122"/>
      <c r="V261" s="122"/>
      <c r="W261" s="122"/>
      <c r="X261" s="128"/>
      <c r="Y261" s="128"/>
      <c r="Z261" s="128"/>
      <c r="AA261" s="128"/>
      <c r="AB261" s="128"/>
      <c r="AC261" s="122"/>
      <c r="AD261" s="122"/>
      <c r="AE261" s="122"/>
      <c r="AF261" s="122"/>
      <c r="AG261" s="122"/>
      <c r="AH261" s="122"/>
      <c r="AI261" s="122"/>
      <c r="AJ261" s="122"/>
      <c r="AK261" s="122"/>
      <c r="AL261" s="122"/>
      <c r="AM261" s="122"/>
      <c r="AN261" s="64"/>
      <c r="AO261" s="118"/>
      <c r="AP261" s="77"/>
      <c r="AQ261" s="76">
        <f t="shared" si="15"/>
        <v>0</v>
      </c>
    </row>
    <row r="262" spans="2:43" x14ac:dyDescent="0.25">
      <c r="B262" s="182"/>
      <c r="C262" s="116"/>
      <c r="D262" s="117"/>
      <c r="E262" s="118"/>
      <c r="F262" s="126"/>
      <c r="G262" s="127"/>
      <c r="H262" s="119"/>
      <c r="I262" s="119"/>
      <c r="J262" s="115"/>
      <c r="K262" s="80"/>
      <c r="L262" s="120"/>
      <c r="M262" s="8"/>
      <c r="N262" s="115"/>
      <c r="O262" s="78"/>
      <c r="P262" s="121"/>
      <c r="Q262" s="115"/>
      <c r="R262" s="122"/>
      <c r="S262" s="122"/>
      <c r="T262" s="122"/>
      <c r="U262" s="122"/>
      <c r="V262" s="122"/>
      <c r="W262" s="122"/>
      <c r="X262" s="128"/>
      <c r="Y262" s="128"/>
      <c r="Z262" s="128"/>
      <c r="AA262" s="128"/>
      <c r="AB262" s="128"/>
      <c r="AC262" s="122"/>
      <c r="AD262" s="122"/>
      <c r="AE262" s="122"/>
      <c r="AF262" s="122"/>
      <c r="AG262" s="122"/>
      <c r="AH262" s="122"/>
      <c r="AI262" s="122"/>
      <c r="AJ262" s="122"/>
      <c r="AK262" s="122"/>
      <c r="AL262" s="122"/>
      <c r="AM262" s="122"/>
      <c r="AN262" s="64"/>
      <c r="AO262" s="118"/>
      <c r="AP262" s="77"/>
      <c r="AQ262" s="76">
        <f t="shared" si="15"/>
        <v>0</v>
      </c>
    </row>
    <row r="263" spans="2:43" x14ac:dyDescent="0.25">
      <c r="B263" s="182"/>
      <c r="C263" s="116"/>
      <c r="D263" s="117"/>
      <c r="E263" s="118"/>
      <c r="F263" s="126"/>
      <c r="G263" s="127"/>
      <c r="H263" s="119"/>
      <c r="I263" s="119"/>
      <c r="J263" s="115"/>
      <c r="K263" s="80"/>
      <c r="L263" s="120"/>
      <c r="M263" s="8"/>
      <c r="N263" s="115"/>
      <c r="O263" s="78"/>
      <c r="P263" s="121"/>
      <c r="Q263" s="115"/>
      <c r="R263" s="122"/>
      <c r="S263" s="122"/>
      <c r="T263" s="122"/>
      <c r="U263" s="122"/>
      <c r="V263" s="122"/>
      <c r="W263" s="122"/>
      <c r="X263" s="128"/>
      <c r="Y263" s="128"/>
      <c r="Z263" s="128"/>
      <c r="AA263" s="128"/>
      <c r="AB263" s="128"/>
      <c r="AC263" s="122"/>
      <c r="AD263" s="122"/>
      <c r="AE263" s="122"/>
      <c r="AF263" s="122"/>
      <c r="AG263" s="122"/>
      <c r="AH263" s="122"/>
      <c r="AI263" s="122"/>
      <c r="AJ263" s="122"/>
      <c r="AK263" s="122"/>
      <c r="AL263" s="122"/>
      <c r="AM263" s="122"/>
      <c r="AN263" s="64"/>
      <c r="AO263" s="118"/>
      <c r="AP263" s="77"/>
      <c r="AQ263" s="76">
        <f t="shared" si="15"/>
        <v>0</v>
      </c>
    </row>
    <row r="264" spans="2:43" x14ac:dyDescent="0.25">
      <c r="B264" s="182"/>
      <c r="C264" s="116"/>
      <c r="D264" s="117"/>
      <c r="E264" s="118"/>
      <c r="F264" s="126"/>
      <c r="G264" s="127"/>
      <c r="H264" s="119"/>
      <c r="I264" s="119"/>
      <c r="J264" s="115"/>
      <c r="K264" s="80"/>
      <c r="L264" s="120"/>
      <c r="M264" s="8"/>
      <c r="N264" s="115"/>
      <c r="O264" s="78"/>
      <c r="P264" s="121"/>
      <c r="Q264" s="115"/>
      <c r="R264" s="122"/>
      <c r="S264" s="122"/>
      <c r="T264" s="122"/>
      <c r="U264" s="122"/>
      <c r="V264" s="122"/>
      <c r="W264" s="122"/>
      <c r="X264" s="128"/>
      <c r="Y264" s="128"/>
      <c r="Z264" s="128"/>
      <c r="AA264" s="128"/>
      <c r="AB264" s="128"/>
      <c r="AC264" s="122"/>
      <c r="AD264" s="122"/>
      <c r="AE264" s="122"/>
      <c r="AF264" s="122"/>
      <c r="AG264" s="122"/>
      <c r="AH264" s="122"/>
      <c r="AI264" s="122"/>
      <c r="AJ264" s="122"/>
      <c r="AK264" s="122"/>
      <c r="AL264" s="122"/>
      <c r="AM264" s="122"/>
      <c r="AN264" s="64"/>
      <c r="AO264" s="118"/>
      <c r="AP264" s="77"/>
      <c r="AQ264" s="76">
        <f t="shared" si="15"/>
        <v>0</v>
      </c>
    </row>
    <row r="265" spans="2:43" x14ac:dyDescent="0.25">
      <c r="B265" s="182"/>
      <c r="C265" s="116"/>
      <c r="D265" s="117"/>
      <c r="E265" s="118"/>
      <c r="F265" s="126"/>
      <c r="G265" s="127"/>
      <c r="H265" s="119"/>
      <c r="I265" s="119"/>
      <c r="J265" s="115"/>
      <c r="K265" s="80"/>
      <c r="L265" s="120"/>
      <c r="M265" s="8"/>
      <c r="N265" s="115"/>
      <c r="O265" s="78"/>
      <c r="P265" s="121"/>
      <c r="Q265" s="115"/>
      <c r="R265" s="122"/>
      <c r="S265" s="122"/>
      <c r="T265" s="122"/>
      <c r="U265" s="122"/>
      <c r="V265" s="122"/>
      <c r="W265" s="122"/>
      <c r="X265" s="128"/>
      <c r="Y265" s="128"/>
      <c r="Z265" s="128"/>
      <c r="AA265" s="128"/>
      <c r="AB265" s="128"/>
      <c r="AC265" s="122"/>
      <c r="AD265" s="122"/>
      <c r="AE265" s="122"/>
      <c r="AF265" s="122"/>
      <c r="AG265" s="122"/>
      <c r="AH265" s="122"/>
      <c r="AI265" s="122"/>
      <c r="AJ265" s="122"/>
      <c r="AK265" s="122"/>
      <c r="AL265" s="122"/>
      <c r="AM265" s="122"/>
      <c r="AN265" s="64"/>
      <c r="AO265" s="118"/>
      <c r="AP265" s="77"/>
      <c r="AQ265" s="76">
        <f t="shared" si="15"/>
        <v>0</v>
      </c>
    </row>
    <row r="266" spans="2:43" x14ac:dyDescent="0.25">
      <c r="B266" s="182"/>
      <c r="C266" s="116"/>
      <c r="D266" s="117"/>
      <c r="E266" s="118"/>
      <c r="F266" s="126"/>
      <c r="G266" s="127"/>
      <c r="H266" s="119"/>
      <c r="I266" s="119"/>
      <c r="J266" s="115"/>
      <c r="K266" s="80"/>
      <c r="L266" s="120"/>
      <c r="M266" s="8"/>
      <c r="N266" s="115"/>
      <c r="O266" s="78"/>
      <c r="P266" s="121"/>
      <c r="Q266" s="115"/>
      <c r="R266" s="122"/>
      <c r="S266" s="122"/>
      <c r="T266" s="122"/>
      <c r="U266" s="122"/>
      <c r="V266" s="122"/>
      <c r="W266" s="122"/>
      <c r="X266" s="128"/>
      <c r="Y266" s="128"/>
      <c r="Z266" s="128"/>
      <c r="AA266" s="128"/>
      <c r="AB266" s="128"/>
      <c r="AC266" s="122"/>
      <c r="AD266" s="122"/>
      <c r="AE266" s="122"/>
      <c r="AF266" s="122"/>
      <c r="AG266" s="122"/>
      <c r="AH266" s="122"/>
      <c r="AI266" s="122"/>
      <c r="AJ266" s="122"/>
      <c r="AK266" s="122"/>
      <c r="AL266" s="122"/>
      <c r="AM266" s="122"/>
      <c r="AN266" s="64"/>
      <c r="AO266" s="118"/>
      <c r="AP266" s="77"/>
      <c r="AQ266" s="76">
        <f t="shared" si="15"/>
        <v>0</v>
      </c>
    </row>
    <row r="267" spans="2:43" x14ac:dyDescent="0.25">
      <c r="B267" s="182"/>
      <c r="C267" s="116"/>
      <c r="D267" s="117"/>
      <c r="E267" s="118"/>
      <c r="F267" s="126"/>
      <c r="G267" s="127"/>
      <c r="H267" s="119"/>
      <c r="I267" s="119"/>
      <c r="J267" s="115"/>
      <c r="K267" s="80"/>
      <c r="L267" s="120"/>
      <c r="M267" s="8"/>
      <c r="N267" s="115"/>
      <c r="O267" s="78"/>
      <c r="P267" s="121"/>
      <c r="Q267" s="115"/>
      <c r="R267" s="122"/>
      <c r="S267" s="122"/>
      <c r="T267" s="122"/>
      <c r="U267" s="122"/>
      <c r="V267" s="122"/>
      <c r="W267" s="122"/>
      <c r="X267" s="128"/>
      <c r="Y267" s="128"/>
      <c r="Z267" s="128"/>
      <c r="AA267" s="128"/>
      <c r="AB267" s="128"/>
      <c r="AC267" s="122"/>
      <c r="AD267" s="122"/>
      <c r="AE267" s="122"/>
      <c r="AF267" s="122"/>
      <c r="AG267" s="122"/>
      <c r="AH267" s="122"/>
      <c r="AI267" s="122"/>
      <c r="AJ267" s="122"/>
      <c r="AK267" s="122"/>
      <c r="AL267" s="122"/>
      <c r="AM267" s="122"/>
      <c r="AN267" s="64"/>
      <c r="AO267" s="118"/>
      <c r="AP267" s="77"/>
      <c r="AQ267" s="76">
        <f t="shared" si="15"/>
        <v>0</v>
      </c>
    </row>
    <row r="268" spans="2:43" x14ac:dyDescent="0.25">
      <c r="B268" s="182"/>
      <c r="C268" s="116"/>
      <c r="D268" s="117"/>
      <c r="E268" s="118"/>
      <c r="F268" s="126"/>
      <c r="G268" s="127"/>
      <c r="H268" s="119"/>
      <c r="I268" s="119"/>
      <c r="J268" s="115"/>
      <c r="K268" s="80"/>
      <c r="L268" s="120"/>
      <c r="M268" s="8"/>
      <c r="N268" s="115"/>
      <c r="O268" s="78"/>
      <c r="P268" s="121"/>
      <c r="Q268" s="115"/>
      <c r="R268" s="122"/>
      <c r="S268" s="122"/>
      <c r="T268" s="122"/>
      <c r="U268" s="122"/>
      <c r="V268" s="122"/>
      <c r="W268" s="122"/>
      <c r="X268" s="128"/>
      <c r="Y268" s="128"/>
      <c r="Z268" s="128"/>
      <c r="AA268" s="128"/>
      <c r="AB268" s="128"/>
      <c r="AC268" s="122"/>
      <c r="AD268" s="122"/>
      <c r="AE268" s="122"/>
      <c r="AF268" s="122"/>
      <c r="AG268" s="122"/>
      <c r="AH268" s="122"/>
      <c r="AI268" s="122"/>
      <c r="AJ268" s="122"/>
      <c r="AK268" s="122"/>
      <c r="AL268" s="122"/>
      <c r="AM268" s="122"/>
      <c r="AN268" s="64"/>
      <c r="AO268" s="118"/>
      <c r="AP268" s="77"/>
      <c r="AQ268" s="76">
        <f t="shared" si="15"/>
        <v>0</v>
      </c>
    </row>
    <row r="269" spans="2:43" x14ac:dyDescent="0.25">
      <c r="B269" s="182"/>
      <c r="C269" s="116"/>
      <c r="D269" s="117"/>
      <c r="E269" s="118"/>
      <c r="F269" s="126"/>
      <c r="G269" s="127"/>
      <c r="H269" s="119"/>
      <c r="I269" s="119"/>
      <c r="J269" s="115"/>
      <c r="K269" s="80"/>
      <c r="L269" s="120"/>
      <c r="M269" s="8"/>
      <c r="N269" s="115"/>
      <c r="O269" s="78"/>
      <c r="P269" s="121"/>
      <c r="Q269" s="115"/>
      <c r="R269" s="122"/>
      <c r="S269" s="122"/>
      <c r="T269" s="122"/>
      <c r="U269" s="122"/>
      <c r="V269" s="122"/>
      <c r="W269" s="122"/>
      <c r="X269" s="128"/>
      <c r="Y269" s="128"/>
      <c r="Z269" s="128"/>
      <c r="AA269" s="128"/>
      <c r="AB269" s="128"/>
      <c r="AC269" s="122"/>
      <c r="AD269" s="122"/>
      <c r="AE269" s="122"/>
      <c r="AF269" s="122"/>
      <c r="AG269" s="122"/>
      <c r="AH269" s="122"/>
      <c r="AI269" s="122"/>
      <c r="AJ269" s="122"/>
      <c r="AK269" s="122"/>
      <c r="AL269" s="122"/>
      <c r="AM269" s="122"/>
      <c r="AN269" s="64"/>
      <c r="AO269" s="118"/>
      <c r="AP269" s="77"/>
      <c r="AQ269" s="76">
        <f t="shared" si="15"/>
        <v>0</v>
      </c>
    </row>
    <row r="270" spans="2:43" x14ac:dyDescent="0.25">
      <c r="B270" s="182"/>
      <c r="C270" s="116"/>
      <c r="D270" s="117"/>
      <c r="E270" s="118"/>
      <c r="F270" s="126"/>
      <c r="G270" s="127"/>
      <c r="H270" s="119"/>
      <c r="I270" s="119"/>
      <c r="J270" s="115"/>
      <c r="K270" s="80"/>
      <c r="L270" s="120"/>
      <c r="M270" s="8"/>
      <c r="N270" s="115"/>
      <c r="O270" s="78"/>
      <c r="P270" s="121"/>
      <c r="Q270" s="115"/>
      <c r="R270" s="122"/>
      <c r="S270" s="122"/>
      <c r="T270" s="122"/>
      <c r="U270" s="122"/>
      <c r="V270" s="122"/>
      <c r="W270" s="122"/>
      <c r="X270" s="128"/>
      <c r="Y270" s="128"/>
      <c r="Z270" s="128"/>
      <c r="AA270" s="128"/>
      <c r="AB270" s="128"/>
      <c r="AC270" s="122"/>
      <c r="AD270" s="122"/>
      <c r="AE270" s="122"/>
      <c r="AF270" s="122"/>
      <c r="AG270" s="122"/>
      <c r="AH270" s="122"/>
      <c r="AI270" s="122"/>
      <c r="AJ270" s="122"/>
      <c r="AK270" s="122"/>
      <c r="AL270" s="122"/>
      <c r="AM270" s="122"/>
      <c r="AN270" s="64"/>
      <c r="AO270" s="118"/>
      <c r="AP270" s="77"/>
      <c r="AQ270" s="76">
        <f t="shared" si="15"/>
        <v>0</v>
      </c>
    </row>
    <row r="271" spans="2:43" x14ac:dyDescent="0.25">
      <c r="B271" s="182"/>
      <c r="C271" s="116"/>
      <c r="D271" s="117"/>
      <c r="E271" s="118"/>
      <c r="F271" s="126"/>
      <c r="G271" s="127"/>
      <c r="H271" s="119"/>
      <c r="I271" s="119"/>
      <c r="J271" s="115"/>
      <c r="K271" s="80"/>
      <c r="L271" s="120"/>
      <c r="M271" s="8"/>
      <c r="N271" s="115"/>
      <c r="O271" s="78"/>
      <c r="P271" s="121"/>
      <c r="Q271" s="115"/>
      <c r="R271" s="122"/>
      <c r="S271" s="122"/>
      <c r="T271" s="122"/>
      <c r="U271" s="122"/>
      <c r="V271" s="122"/>
      <c r="W271" s="122"/>
      <c r="X271" s="128"/>
      <c r="Y271" s="128"/>
      <c r="Z271" s="128"/>
      <c r="AA271" s="128"/>
      <c r="AB271" s="128"/>
      <c r="AC271" s="122"/>
      <c r="AD271" s="122"/>
      <c r="AE271" s="122"/>
      <c r="AF271" s="122"/>
      <c r="AG271" s="122"/>
      <c r="AH271" s="122"/>
      <c r="AI271" s="122"/>
      <c r="AJ271" s="122"/>
      <c r="AK271" s="122"/>
      <c r="AL271" s="122"/>
      <c r="AM271" s="122"/>
      <c r="AN271" s="64"/>
      <c r="AO271" s="118"/>
      <c r="AP271" s="77"/>
      <c r="AQ271" s="76">
        <f t="shared" si="15"/>
        <v>0</v>
      </c>
    </row>
    <row r="272" spans="2:43" x14ac:dyDescent="0.25">
      <c r="B272" s="182"/>
      <c r="C272" s="116"/>
      <c r="D272" s="117"/>
      <c r="E272" s="118"/>
      <c r="F272" s="126"/>
      <c r="G272" s="127"/>
      <c r="H272" s="119"/>
      <c r="I272" s="119"/>
      <c r="J272" s="115"/>
      <c r="K272" s="80"/>
      <c r="L272" s="120"/>
      <c r="M272" s="8"/>
      <c r="N272" s="115"/>
      <c r="O272" s="78"/>
      <c r="P272" s="121"/>
      <c r="Q272" s="115"/>
      <c r="R272" s="122"/>
      <c r="S272" s="122"/>
      <c r="T272" s="122"/>
      <c r="U272" s="122"/>
      <c r="V272" s="122"/>
      <c r="W272" s="122"/>
      <c r="X272" s="128"/>
      <c r="Y272" s="128"/>
      <c r="Z272" s="128"/>
      <c r="AA272" s="128"/>
      <c r="AB272" s="128"/>
      <c r="AC272" s="122"/>
      <c r="AD272" s="122"/>
      <c r="AE272" s="122"/>
      <c r="AF272" s="122"/>
      <c r="AG272" s="122"/>
      <c r="AH272" s="122"/>
      <c r="AI272" s="122"/>
      <c r="AJ272" s="122"/>
      <c r="AK272" s="122"/>
      <c r="AL272" s="122"/>
      <c r="AM272" s="122"/>
      <c r="AN272" s="64"/>
      <c r="AO272" s="118"/>
      <c r="AP272" s="77"/>
      <c r="AQ272" s="76">
        <f t="shared" si="15"/>
        <v>0</v>
      </c>
    </row>
    <row r="273" spans="2:43" x14ac:dyDescent="0.25">
      <c r="B273" s="182"/>
      <c r="C273" s="116"/>
      <c r="D273" s="117"/>
      <c r="E273" s="118"/>
      <c r="F273" s="126"/>
      <c r="G273" s="127"/>
      <c r="H273" s="119"/>
      <c r="I273" s="119"/>
      <c r="J273" s="115"/>
      <c r="K273" s="80"/>
      <c r="L273" s="120"/>
      <c r="M273" s="8"/>
      <c r="N273" s="115"/>
      <c r="O273" s="78"/>
      <c r="P273" s="121"/>
      <c r="Q273" s="115"/>
      <c r="R273" s="122"/>
      <c r="S273" s="122"/>
      <c r="T273" s="122"/>
      <c r="U273" s="122"/>
      <c r="V273" s="122"/>
      <c r="W273" s="122"/>
      <c r="X273" s="128"/>
      <c r="Y273" s="128"/>
      <c r="Z273" s="128"/>
      <c r="AA273" s="128"/>
      <c r="AB273" s="128"/>
      <c r="AC273" s="122"/>
      <c r="AD273" s="122"/>
      <c r="AE273" s="122"/>
      <c r="AF273" s="122"/>
      <c r="AG273" s="122"/>
      <c r="AH273" s="122"/>
      <c r="AI273" s="122"/>
      <c r="AJ273" s="122"/>
      <c r="AK273" s="122"/>
      <c r="AL273" s="122"/>
      <c r="AM273" s="122"/>
      <c r="AN273" s="64"/>
      <c r="AO273" s="118"/>
      <c r="AP273" s="77"/>
      <c r="AQ273" s="76">
        <f t="shared" si="15"/>
        <v>0</v>
      </c>
    </row>
    <row r="274" spans="2:43" x14ac:dyDescent="0.25">
      <c r="B274" s="182"/>
      <c r="C274" s="116"/>
      <c r="D274" s="117"/>
      <c r="E274" s="118"/>
      <c r="F274" s="126"/>
      <c r="G274" s="127"/>
      <c r="H274" s="119"/>
      <c r="I274" s="119"/>
      <c r="J274" s="115"/>
      <c r="K274" s="80"/>
      <c r="L274" s="120"/>
      <c r="M274" s="8"/>
      <c r="N274" s="115"/>
      <c r="O274" s="78"/>
      <c r="P274" s="121"/>
      <c r="Q274" s="115"/>
      <c r="R274" s="122"/>
      <c r="S274" s="122"/>
      <c r="T274" s="122"/>
      <c r="U274" s="122"/>
      <c r="V274" s="122"/>
      <c r="W274" s="122"/>
      <c r="X274" s="128"/>
      <c r="Y274" s="128"/>
      <c r="Z274" s="128"/>
      <c r="AA274" s="128"/>
      <c r="AB274" s="128"/>
      <c r="AC274" s="122"/>
      <c r="AD274" s="122"/>
      <c r="AE274" s="122"/>
      <c r="AF274" s="122"/>
      <c r="AG274" s="122"/>
      <c r="AH274" s="122"/>
      <c r="AI274" s="122"/>
      <c r="AJ274" s="122"/>
      <c r="AK274" s="122"/>
      <c r="AL274" s="122"/>
      <c r="AM274" s="122"/>
      <c r="AN274" s="64"/>
      <c r="AO274" s="118"/>
      <c r="AP274" s="77"/>
      <c r="AQ274" s="76">
        <f t="shared" si="15"/>
        <v>0</v>
      </c>
    </row>
    <row r="275" spans="2:43" x14ac:dyDescent="0.25">
      <c r="B275" s="182"/>
      <c r="C275" s="116"/>
      <c r="D275" s="117"/>
      <c r="E275" s="118"/>
      <c r="F275" s="126"/>
      <c r="G275" s="127"/>
      <c r="H275" s="119"/>
      <c r="I275" s="119"/>
      <c r="J275" s="115"/>
      <c r="K275" s="80"/>
      <c r="L275" s="120"/>
      <c r="M275" s="8"/>
      <c r="N275" s="115"/>
      <c r="O275" s="78"/>
      <c r="P275" s="121"/>
      <c r="Q275" s="115"/>
      <c r="R275" s="122"/>
      <c r="S275" s="122"/>
      <c r="T275" s="122"/>
      <c r="U275" s="122"/>
      <c r="V275" s="122"/>
      <c r="W275" s="122"/>
      <c r="X275" s="128"/>
      <c r="Y275" s="128"/>
      <c r="Z275" s="128"/>
      <c r="AA275" s="128"/>
      <c r="AB275" s="128"/>
      <c r="AC275" s="122"/>
      <c r="AD275" s="122"/>
      <c r="AE275" s="122"/>
      <c r="AF275" s="122"/>
      <c r="AG275" s="122"/>
      <c r="AH275" s="122"/>
      <c r="AI275" s="122"/>
      <c r="AJ275" s="122"/>
      <c r="AK275" s="122"/>
      <c r="AL275" s="122"/>
      <c r="AM275" s="122"/>
      <c r="AN275" s="64"/>
      <c r="AO275" s="118"/>
      <c r="AP275" s="77"/>
      <c r="AQ275" s="76">
        <f t="shared" si="15"/>
        <v>0</v>
      </c>
    </row>
    <row r="276" spans="2:43" x14ac:dyDescent="0.25">
      <c r="B276" s="182"/>
      <c r="C276" s="116"/>
      <c r="D276" s="117"/>
      <c r="E276" s="118"/>
      <c r="F276" s="126"/>
      <c r="G276" s="127"/>
      <c r="H276" s="119"/>
      <c r="I276" s="119"/>
      <c r="J276" s="115"/>
      <c r="K276" s="80"/>
      <c r="L276" s="120"/>
      <c r="M276" s="8"/>
      <c r="N276" s="115"/>
      <c r="O276" s="78"/>
      <c r="P276" s="121"/>
      <c r="Q276" s="115"/>
      <c r="R276" s="122"/>
      <c r="S276" s="122"/>
      <c r="T276" s="122"/>
      <c r="U276" s="122"/>
      <c r="V276" s="122"/>
      <c r="W276" s="122"/>
      <c r="X276" s="128"/>
      <c r="Y276" s="128"/>
      <c r="Z276" s="128"/>
      <c r="AA276" s="128"/>
      <c r="AB276" s="128"/>
      <c r="AC276" s="122"/>
      <c r="AD276" s="122"/>
      <c r="AE276" s="122"/>
      <c r="AF276" s="122"/>
      <c r="AG276" s="122"/>
      <c r="AH276" s="122"/>
      <c r="AI276" s="122"/>
      <c r="AJ276" s="122"/>
      <c r="AK276" s="122"/>
      <c r="AL276" s="122"/>
      <c r="AM276" s="122"/>
      <c r="AN276" s="64"/>
      <c r="AO276" s="118"/>
      <c r="AP276" s="77"/>
      <c r="AQ276" s="76">
        <f t="shared" si="15"/>
        <v>0</v>
      </c>
    </row>
    <row r="277" spans="2:43" x14ac:dyDescent="0.25">
      <c r="B277" s="182"/>
      <c r="C277" s="116"/>
      <c r="D277" s="117"/>
      <c r="E277" s="118"/>
      <c r="F277" s="126"/>
      <c r="G277" s="127"/>
      <c r="H277" s="119"/>
      <c r="I277" s="119"/>
      <c r="J277" s="115"/>
      <c r="K277" s="80"/>
      <c r="L277" s="120"/>
      <c r="M277" s="8"/>
      <c r="N277" s="115"/>
      <c r="O277" s="78"/>
      <c r="P277" s="121"/>
      <c r="Q277" s="115"/>
      <c r="R277" s="122"/>
      <c r="S277" s="122"/>
      <c r="T277" s="122"/>
      <c r="U277" s="122"/>
      <c r="V277" s="122"/>
      <c r="W277" s="122"/>
      <c r="X277" s="128"/>
      <c r="Y277" s="128"/>
      <c r="Z277" s="128"/>
      <c r="AA277" s="128"/>
      <c r="AB277" s="128"/>
      <c r="AC277" s="122"/>
      <c r="AD277" s="122"/>
      <c r="AE277" s="122"/>
      <c r="AF277" s="122"/>
      <c r="AG277" s="122"/>
      <c r="AH277" s="122"/>
      <c r="AI277" s="122"/>
      <c r="AJ277" s="122"/>
      <c r="AK277" s="122"/>
      <c r="AL277" s="122"/>
      <c r="AM277" s="122"/>
      <c r="AN277" s="64"/>
      <c r="AO277" s="118"/>
      <c r="AP277" s="77"/>
      <c r="AQ277" s="76">
        <f t="shared" si="15"/>
        <v>0</v>
      </c>
    </row>
    <row r="278" spans="2:43" x14ac:dyDescent="0.25">
      <c r="B278" s="182"/>
      <c r="C278" s="116"/>
      <c r="D278" s="117"/>
      <c r="E278" s="118"/>
      <c r="F278" s="126"/>
      <c r="G278" s="127"/>
      <c r="H278" s="119"/>
      <c r="I278" s="119"/>
      <c r="J278" s="115"/>
      <c r="K278" s="80"/>
      <c r="L278" s="120"/>
      <c r="M278" s="8"/>
      <c r="N278" s="115"/>
      <c r="O278" s="78"/>
      <c r="P278" s="121"/>
      <c r="Q278" s="115"/>
      <c r="R278" s="122"/>
      <c r="S278" s="122"/>
      <c r="T278" s="122"/>
      <c r="U278" s="122"/>
      <c r="V278" s="122"/>
      <c r="W278" s="122"/>
      <c r="X278" s="128"/>
      <c r="Y278" s="128"/>
      <c r="Z278" s="128"/>
      <c r="AA278" s="128"/>
      <c r="AB278" s="128"/>
      <c r="AC278" s="122"/>
      <c r="AD278" s="122"/>
      <c r="AE278" s="122"/>
      <c r="AF278" s="122"/>
      <c r="AG278" s="122"/>
      <c r="AH278" s="122"/>
      <c r="AI278" s="122"/>
      <c r="AJ278" s="122"/>
      <c r="AK278" s="122"/>
      <c r="AL278" s="122"/>
      <c r="AM278" s="122"/>
      <c r="AN278" s="64"/>
      <c r="AO278" s="118"/>
      <c r="AP278" s="77"/>
      <c r="AQ278" s="76">
        <f t="shared" si="15"/>
        <v>0</v>
      </c>
    </row>
    <row r="279" spans="2:43" x14ac:dyDescent="0.25">
      <c r="B279" s="182"/>
      <c r="C279" s="116"/>
      <c r="D279" s="117"/>
      <c r="E279" s="118"/>
      <c r="F279" s="126"/>
      <c r="G279" s="127"/>
      <c r="H279" s="119"/>
      <c r="I279" s="119"/>
      <c r="J279" s="115"/>
      <c r="K279" s="80"/>
      <c r="L279" s="120"/>
      <c r="M279" s="8"/>
      <c r="N279" s="115"/>
      <c r="O279" s="78"/>
      <c r="P279" s="121"/>
      <c r="Q279" s="115"/>
      <c r="R279" s="122"/>
      <c r="S279" s="122"/>
      <c r="T279" s="122"/>
      <c r="U279" s="122"/>
      <c r="V279" s="122"/>
      <c r="W279" s="122"/>
      <c r="X279" s="128"/>
      <c r="Y279" s="128"/>
      <c r="Z279" s="128"/>
      <c r="AA279" s="128"/>
      <c r="AB279" s="128"/>
      <c r="AC279" s="122"/>
      <c r="AD279" s="122"/>
      <c r="AE279" s="122"/>
      <c r="AF279" s="122"/>
      <c r="AG279" s="122"/>
      <c r="AH279" s="122"/>
      <c r="AI279" s="122"/>
      <c r="AJ279" s="122"/>
      <c r="AK279" s="122"/>
      <c r="AL279" s="122"/>
      <c r="AM279" s="122"/>
      <c r="AN279" s="64"/>
      <c r="AO279" s="118"/>
      <c r="AP279" s="77"/>
      <c r="AQ279" s="76">
        <f t="shared" si="15"/>
        <v>0</v>
      </c>
    </row>
    <row r="280" spans="2:43" x14ac:dyDescent="0.25">
      <c r="B280" s="182"/>
      <c r="C280" s="116"/>
      <c r="D280" s="117"/>
      <c r="E280" s="118"/>
      <c r="F280" s="126"/>
      <c r="G280" s="127"/>
      <c r="H280" s="119"/>
      <c r="I280" s="119"/>
      <c r="J280" s="115"/>
      <c r="K280" s="80"/>
      <c r="L280" s="120"/>
      <c r="M280" s="8"/>
      <c r="N280" s="115"/>
      <c r="O280" s="78"/>
      <c r="P280" s="121"/>
      <c r="Q280" s="115"/>
      <c r="R280" s="122"/>
      <c r="S280" s="122"/>
      <c r="T280" s="122"/>
      <c r="U280" s="122"/>
      <c r="V280" s="122"/>
      <c r="W280" s="122"/>
      <c r="X280" s="128"/>
      <c r="Y280" s="128"/>
      <c r="Z280" s="128"/>
      <c r="AA280" s="128"/>
      <c r="AB280" s="128"/>
      <c r="AC280" s="122"/>
      <c r="AD280" s="122"/>
      <c r="AE280" s="122"/>
      <c r="AF280" s="122"/>
      <c r="AG280" s="122"/>
      <c r="AH280" s="122"/>
      <c r="AI280" s="122"/>
      <c r="AJ280" s="122"/>
      <c r="AK280" s="122"/>
      <c r="AL280" s="122"/>
      <c r="AM280" s="122"/>
      <c r="AN280" s="64"/>
      <c r="AO280" s="118"/>
      <c r="AP280" s="77"/>
      <c r="AQ280" s="76">
        <f t="shared" ref="AQ280:AQ343" si="16">IFERROR(K280*O280*AP280,"")</f>
        <v>0</v>
      </c>
    </row>
    <row r="281" spans="2:43" x14ac:dyDescent="0.25">
      <c r="B281" s="182"/>
      <c r="C281" s="116"/>
      <c r="D281" s="117"/>
      <c r="E281" s="118"/>
      <c r="F281" s="126"/>
      <c r="G281" s="127"/>
      <c r="H281" s="119"/>
      <c r="I281" s="119"/>
      <c r="J281" s="115"/>
      <c r="K281" s="80"/>
      <c r="L281" s="120"/>
      <c r="M281" s="8"/>
      <c r="N281" s="115"/>
      <c r="O281" s="78"/>
      <c r="P281" s="121"/>
      <c r="Q281" s="115"/>
      <c r="R281" s="122"/>
      <c r="S281" s="122"/>
      <c r="T281" s="122"/>
      <c r="U281" s="122"/>
      <c r="V281" s="122"/>
      <c r="W281" s="122"/>
      <c r="X281" s="128"/>
      <c r="Y281" s="128"/>
      <c r="Z281" s="128"/>
      <c r="AA281" s="128"/>
      <c r="AB281" s="128"/>
      <c r="AC281" s="122"/>
      <c r="AD281" s="122"/>
      <c r="AE281" s="122"/>
      <c r="AF281" s="122"/>
      <c r="AG281" s="122"/>
      <c r="AH281" s="122"/>
      <c r="AI281" s="122"/>
      <c r="AJ281" s="122"/>
      <c r="AK281" s="122"/>
      <c r="AL281" s="122"/>
      <c r="AM281" s="122"/>
      <c r="AN281" s="64"/>
      <c r="AO281" s="118"/>
      <c r="AP281" s="77"/>
      <c r="AQ281" s="76">
        <f t="shared" si="16"/>
        <v>0</v>
      </c>
    </row>
    <row r="282" spans="2:43" x14ac:dyDescent="0.25">
      <c r="B282" s="182"/>
      <c r="C282" s="116"/>
      <c r="D282" s="117"/>
      <c r="E282" s="118"/>
      <c r="F282" s="126"/>
      <c r="G282" s="127"/>
      <c r="H282" s="119"/>
      <c r="I282" s="119"/>
      <c r="J282" s="115"/>
      <c r="K282" s="80"/>
      <c r="L282" s="120"/>
      <c r="M282" s="8"/>
      <c r="N282" s="115"/>
      <c r="O282" s="78"/>
      <c r="P282" s="121"/>
      <c r="Q282" s="115"/>
      <c r="R282" s="122"/>
      <c r="S282" s="122"/>
      <c r="T282" s="122"/>
      <c r="U282" s="122"/>
      <c r="V282" s="122"/>
      <c r="W282" s="122"/>
      <c r="X282" s="128"/>
      <c r="Y282" s="128"/>
      <c r="Z282" s="128"/>
      <c r="AA282" s="128"/>
      <c r="AB282" s="128"/>
      <c r="AC282" s="122"/>
      <c r="AD282" s="122"/>
      <c r="AE282" s="122"/>
      <c r="AF282" s="122"/>
      <c r="AG282" s="122"/>
      <c r="AH282" s="122"/>
      <c r="AI282" s="122"/>
      <c r="AJ282" s="122"/>
      <c r="AK282" s="122"/>
      <c r="AL282" s="122"/>
      <c r="AM282" s="122"/>
      <c r="AN282" s="64"/>
      <c r="AO282" s="118"/>
      <c r="AP282" s="77"/>
      <c r="AQ282" s="76">
        <f t="shared" si="16"/>
        <v>0</v>
      </c>
    </row>
    <row r="283" spans="2:43" x14ac:dyDescent="0.25">
      <c r="B283" s="182"/>
      <c r="C283" s="116"/>
      <c r="D283" s="117"/>
      <c r="E283" s="118"/>
      <c r="F283" s="126"/>
      <c r="G283" s="127"/>
      <c r="H283" s="119"/>
      <c r="I283" s="119"/>
      <c r="J283" s="115"/>
      <c r="K283" s="80"/>
      <c r="L283" s="120"/>
      <c r="M283" s="8"/>
      <c r="N283" s="115"/>
      <c r="O283" s="78"/>
      <c r="P283" s="121"/>
      <c r="Q283" s="115"/>
      <c r="R283" s="122"/>
      <c r="S283" s="122"/>
      <c r="T283" s="122"/>
      <c r="U283" s="122"/>
      <c r="V283" s="122"/>
      <c r="W283" s="122"/>
      <c r="X283" s="128"/>
      <c r="Y283" s="128"/>
      <c r="Z283" s="128"/>
      <c r="AA283" s="128"/>
      <c r="AB283" s="128"/>
      <c r="AC283" s="122"/>
      <c r="AD283" s="122"/>
      <c r="AE283" s="122"/>
      <c r="AF283" s="122"/>
      <c r="AG283" s="122"/>
      <c r="AH283" s="122"/>
      <c r="AI283" s="122"/>
      <c r="AJ283" s="122"/>
      <c r="AK283" s="122"/>
      <c r="AL283" s="122"/>
      <c r="AM283" s="122"/>
      <c r="AN283" s="64"/>
      <c r="AO283" s="118"/>
      <c r="AP283" s="77"/>
      <c r="AQ283" s="76">
        <f t="shared" si="16"/>
        <v>0</v>
      </c>
    </row>
    <row r="284" spans="2:43" x14ac:dyDescent="0.25">
      <c r="B284" s="182"/>
      <c r="C284" s="116"/>
      <c r="D284" s="117"/>
      <c r="E284" s="118"/>
      <c r="F284" s="126"/>
      <c r="G284" s="127"/>
      <c r="H284" s="119"/>
      <c r="I284" s="119"/>
      <c r="J284" s="115"/>
      <c r="K284" s="80"/>
      <c r="L284" s="120"/>
      <c r="M284" s="8"/>
      <c r="N284" s="115"/>
      <c r="O284" s="78"/>
      <c r="P284" s="121"/>
      <c r="Q284" s="115"/>
      <c r="R284" s="122"/>
      <c r="S284" s="122"/>
      <c r="T284" s="122"/>
      <c r="U284" s="122"/>
      <c r="V284" s="122"/>
      <c r="W284" s="122"/>
      <c r="X284" s="128"/>
      <c r="Y284" s="128"/>
      <c r="Z284" s="128"/>
      <c r="AA284" s="128"/>
      <c r="AB284" s="128"/>
      <c r="AC284" s="122"/>
      <c r="AD284" s="122"/>
      <c r="AE284" s="122"/>
      <c r="AF284" s="122"/>
      <c r="AG284" s="122"/>
      <c r="AH284" s="122"/>
      <c r="AI284" s="122"/>
      <c r="AJ284" s="122"/>
      <c r="AK284" s="122"/>
      <c r="AL284" s="122"/>
      <c r="AM284" s="122"/>
      <c r="AN284" s="64"/>
      <c r="AO284" s="118"/>
      <c r="AP284" s="77"/>
      <c r="AQ284" s="76">
        <f t="shared" si="16"/>
        <v>0</v>
      </c>
    </row>
    <row r="285" spans="2:43" x14ac:dyDescent="0.25">
      <c r="B285" s="182"/>
      <c r="C285" s="116"/>
      <c r="D285" s="117"/>
      <c r="E285" s="118"/>
      <c r="F285" s="126"/>
      <c r="G285" s="127"/>
      <c r="H285" s="119"/>
      <c r="I285" s="119"/>
      <c r="J285" s="115"/>
      <c r="K285" s="80"/>
      <c r="L285" s="120"/>
      <c r="M285" s="8"/>
      <c r="N285" s="115"/>
      <c r="O285" s="78"/>
      <c r="P285" s="121"/>
      <c r="Q285" s="115"/>
      <c r="R285" s="122"/>
      <c r="S285" s="122"/>
      <c r="T285" s="122"/>
      <c r="U285" s="122"/>
      <c r="V285" s="122"/>
      <c r="W285" s="122"/>
      <c r="X285" s="128"/>
      <c r="Y285" s="128"/>
      <c r="Z285" s="128"/>
      <c r="AA285" s="128"/>
      <c r="AB285" s="128"/>
      <c r="AC285" s="122"/>
      <c r="AD285" s="122"/>
      <c r="AE285" s="122"/>
      <c r="AF285" s="122"/>
      <c r="AG285" s="122"/>
      <c r="AH285" s="122"/>
      <c r="AI285" s="122"/>
      <c r="AJ285" s="122"/>
      <c r="AK285" s="122"/>
      <c r="AL285" s="122"/>
      <c r="AM285" s="122"/>
      <c r="AN285" s="64"/>
      <c r="AO285" s="118"/>
      <c r="AP285" s="77"/>
      <c r="AQ285" s="76">
        <f t="shared" si="16"/>
        <v>0</v>
      </c>
    </row>
    <row r="286" spans="2:43" x14ac:dyDescent="0.25">
      <c r="B286" s="182"/>
      <c r="C286" s="116"/>
      <c r="D286" s="117"/>
      <c r="E286" s="118"/>
      <c r="F286" s="126"/>
      <c r="G286" s="127"/>
      <c r="H286" s="119"/>
      <c r="I286" s="119"/>
      <c r="J286" s="115"/>
      <c r="K286" s="80"/>
      <c r="L286" s="120"/>
      <c r="M286" s="8"/>
      <c r="N286" s="115"/>
      <c r="O286" s="78"/>
      <c r="P286" s="121"/>
      <c r="Q286" s="115"/>
      <c r="R286" s="122"/>
      <c r="S286" s="122"/>
      <c r="T286" s="122"/>
      <c r="U286" s="122"/>
      <c r="V286" s="122"/>
      <c r="W286" s="122"/>
      <c r="X286" s="128"/>
      <c r="Y286" s="128"/>
      <c r="Z286" s="128"/>
      <c r="AA286" s="128"/>
      <c r="AB286" s="128"/>
      <c r="AC286" s="122"/>
      <c r="AD286" s="122"/>
      <c r="AE286" s="122"/>
      <c r="AF286" s="122"/>
      <c r="AG286" s="122"/>
      <c r="AH286" s="122"/>
      <c r="AI286" s="122"/>
      <c r="AJ286" s="122"/>
      <c r="AK286" s="122"/>
      <c r="AL286" s="122"/>
      <c r="AM286" s="122"/>
      <c r="AN286" s="64"/>
      <c r="AO286" s="118"/>
      <c r="AP286" s="77"/>
      <c r="AQ286" s="76">
        <f t="shared" si="16"/>
        <v>0</v>
      </c>
    </row>
    <row r="287" spans="2:43" x14ac:dyDescent="0.25">
      <c r="B287" s="182"/>
      <c r="C287" s="116"/>
      <c r="D287" s="117"/>
      <c r="E287" s="118"/>
      <c r="F287" s="126"/>
      <c r="G287" s="127"/>
      <c r="H287" s="119"/>
      <c r="I287" s="119"/>
      <c r="J287" s="115"/>
      <c r="K287" s="80"/>
      <c r="L287" s="120"/>
      <c r="M287" s="8"/>
      <c r="N287" s="115"/>
      <c r="O287" s="78"/>
      <c r="P287" s="121"/>
      <c r="Q287" s="115"/>
      <c r="R287" s="122"/>
      <c r="S287" s="122"/>
      <c r="T287" s="122"/>
      <c r="U287" s="122"/>
      <c r="V287" s="122"/>
      <c r="W287" s="122"/>
      <c r="X287" s="128"/>
      <c r="Y287" s="128"/>
      <c r="Z287" s="128"/>
      <c r="AA287" s="128"/>
      <c r="AB287" s="128"/>
      <c r="AC287" s="122"/>
      <c r="AD287" s="122"/>
      <c r="AE287" s="122"/>
      <c r="AF287" s="122"/>
      <c r="AG287" s="122"/>
      <c r="AH287" s="122"/>
      <c r="AI287" s="122"/>
      <c r="AJ287" s="122"/>
      <c r="AK287" s="122"/>
      <c r="AL287" s="122"/>
      <c r="AM287" s="122"/>
      <c r="AN287" s="64"/>
      <c r="AO287" s="118"/>
      <c r="AP287" s="77"/>
      <c r="AQ287" s="76">
        <f t="shared" si="16"/>
        <v>0</v>
      </c>
    </row>
    <row r="288" spans="2:43" x14ac:dyDescent="0.25">
      <c r="B288" s="182"/>
      <c r="C288" s="116"/>
      <c r="D288" s="117"/>
      <c r="E288" s="118"/>
      <c r="F288" s="126"/>
      <c r="G288" s="127"/>
      <c r="H288" s="119"/>
      <c r="I288" s="119"/>
      <c r="J288" s="115"/>
      <c r="K288" s="80"/>
      <c r="L288" s="120"/>
      <c r="M288" s="8"/>
      <c r="N288" s="115"/>
      <c r="O288" s="78"/>
      <c r="P288" s="121"/>
      <c r="Q288" s="115"/>
      <c r="R288" s="122"/>
      <c r="S288" s="122"/>
      <c r="T288" s="122"/>
      <c r="U288" s="122"/>
      <c r="V288" s="122"/>
      <c r="W288" s="122"/>
      <c r="X288" s="128"/>
      <c r="Y288" s="128"/>
      <c r="Z288" s="128"/>
      <c r="AA288" s="128"/>
      <c r="AB288" s="128"/>
      <c r="AC288" s="122"/>
      <c r="AD288" s="122"/>
      <c r="AE288" s="122"/>
      <c r="AF288" s="122"/>
      <c r="AG288" s="122"/>
      <c r="AH288" s="122"/>
      <c r="AI288" s="122"/>
      <c r="AJ288" s="122"/>
      <c r="AK288" s="122"/>
      <c r="AL288" s="122"/>
      <c r="AM288" s="122"/>
      <c r="AN288" s="64"/>
      <c r="AO288" s="118"/>
      <c r="AP288" s="77"/>
      <c r="AQ288" s="76">
        <f t="shared" si="16"/>
        <v>0</v>
      </c>
    </row>
    <row r="289" spans="2:43" x14ac:dyDescent="0.25">
      <c r="B289" s="182"/>
      <c r="C289" s="116"/>
      <c r="D289" s="117"/>
      <c r="E289" s="118"/>
      <c r="F289" s="126"/>
      <c r="G289" s="127"/>
      <c r="H289" s="119"/>
      <c r="I289" s="119"/>
      <c r="J289" s="115"/>
      <c r="K289" s="80"/>
      <c r="L289" s="120"/>
      <c r="M289" s="8"/>
      <c r="N289" s="115"/>
      <c r="O289" s="78"/>
      <c r="P289" s="121"/>
      <c r="Q289" s="115"/>
      <c r="R289" s="122"/>
      <c r="S289" s="122"/>
      <c r="T289" s="122"/>
      <c r="U289" s="122"/>
      <c r="V289" s="122"/>
      <c r="W289" s="122"/>
      <c r="X289" s="128"/>
      <c r="Y289" s="128"/>
      <c r="Z289" s="128"/>
      <c r="AA289" s="128"/>
      <c r="AB289" s="128"/>
      <c r="AC289" s="122"/>
      <c r="AD289" s="122"/>
      <c r="AE289" s="122"/>
      <c r="AF289" s="122"/>
      <c r="AG289" s="122"/>
      <c r="AH289" s="122"/>
      <c r="AI289" s="122"/>
      <c r="AJ289" s="122"/>
      <c r="AK289" s="122"/>
      <c r="AL289" s="122"/>
      <c r="AM289" s="122"/>
      <c r="AN289" s="64"/>
      <c r="AO289" s="118"/>
      <c r="AP289" s="77"/>
      <c r="AQ289" s="76">
        <f t="shared" si="16"/>
        <v>0</v>
      </c>
    </row>
    <row r="290" spans="2:43" x14ac:dyDescent="0.25">
      <c r="B290" s="182"/>
      <c r="C290" s="116"/>
      <c r="D290" s="117"/>
      <c r="E290" s="118"/>
      <c r="F290" s="126"/>
      <c r="G290" s="127"/>
      <c r="H290" s="119"/>
      <c r="I290" s="119"/>
      <c r="J290" s="115"/>
      <c r="K290" s="80"/>
      <c r="L290" s="120"/>
      <c r="M290" s="8"/>
      <c r="N290" s="115"/>
      <c r="O290" s="78"/>
      <c r="P290" s="121"/>
      <c r="Q290" s="115"/>
      <c r="R290" s="122"/>
      <c r="S290" s="122"/>
      <c r="T290" s="122"/>
      <c r="U290" s="122"/>
      <c r="V290" s="122"/>
      <c r="W290" s="122"/>
      <c r="X290" s="128"/>
      <c r="Y290" s="128"/>
      <c r="Z290" s="128"/>
      <c r="AA290" s="128"/>
      <c r="AB290" s="128"/>
      <c r="AC290" s="122"/>
      <c r="AD290" s="122"/>
      <c r="AE290" s="122"/>
      <c r="AF290" s="122"/>
      <c r="AG290" s="122"/>
      <c r="AH290" s="122"/>
      <c r="AI290" s="122"/>
      <c r="AJ290" s="122"/>
      <c r="AK290" s="122"/>
      <c r="AL290" s="122"/>
      <c r="AM290" s="122"/>
      <c r="AN290" s="64"/>
      <c r="AO290" s="118"/>
      <c r="AP290" s="77"/>
      <c r="AQ290" s="76">
        <f t="shared" si="16"/>
        <v>0</v>
      </c>
    </row>
    <row r="291" spans="2:43" x14ac:dyDescent="0.25">
      <c r="B291" s="182"/>
      <c r="C291" s="116"/>
      <c r="D291" s="117"/>
      <c r="E291" s="118"/>
      <c r="F291" s="126"/>
      <c r="G291" s="127"/>
      <c r="H291" s="119"/>
      <c r="I291" s="119"/>
      <c r="J291" s="115"/>
      <c r="K291" s="80"/>
      <c r="L291" s="120"/>
      <c r="M291" s="8"/>
      <c r="N291" s="115"/>
      <c r="O291" s="78"/>
      <c r="P291" s="121"/>
      <c r="Q291" s="115"/>
      <c r="R291" s="122"/>
      <c r="S291" s="122"/>
      <c r="T291" s="122"/>
      <c r="U291" s="122"/>
      <c r="V291" s="122"/>
      <c r="W291" s="122"/>
      <c r="X291" s="128"/>
      <c r="Y291" s="128"/>
      <c r="Z291" s="128"/>
      <c r="AA291" s="128"/>
      <c r="AB291" s="128"/>
      <c r="AC291" s="122"/>
      <c r="AD291" s="122"/>
      <c r="AE291" s="122"/>
      <c r="AF291" s="122"/>
      <c r="AG291" s="122"/>
      <c r="AH291" s="122"/>
      <c r="AI291" s="122"/>
      <c r="AJ291" s="122"/>
      <c r="AK291" s="122"/>
      <c r="AL291" s="122"/>
      <c r="AM291" s="122"/>
      <c r="AN291" s="64"/>
      <c r="AO291" s="118"/>
      <c r="AP291" s="77"/>
      <c r="AQ291" s="76">
        <f t="shared" si="16"/>
        <v>0</v>
      </c>
    </row>
    <row r="292" spans="2:43" x14ac:dyDescent="0.25">
      <c r="B292" s="182"/>
      <c r="C292" s="116"/>
      <c r="D292" s="117"/>
      <c r="E292" s="118"/>
      <c r="F292" s="126"/>
      <c r="G292" s="127"/>
      <c r="H292" s="119"/>
      <c r="I292" s="119"/>
      <c r="J292" s="115"/>
      <c r="K292" s="80"/>
      <c r="L292" s="120"/>
      <c r="M292" s="8"/>
      <c r="N292" s="115"/>
      <c r="O292" s="78"/>
      <c r="P292" s="121"/>
      <c r="Q292" s="115"/>
      <c r="R292" s="122"/>
      <c r="S292" s="122"/>
      <c r="T292" s="122"/>
      <c r="U292" s="122"/>
      <c r="V292" s="122"/>
      <c r="W292" s="122"/>
      <c r="X292" s="128"/>
      <c r="Y292" s="128"/>
      <c r="Z292" s="128"/>
      <c r="AA292" s="128"/>
      <c r="AB292" s="128"/>
      <c r="AC292" s="122"/>
      <c r="AD292" s="122"/>
      <c r="AE292" s="122"/>
      <c r="AF292" s="122"/>
      <c r="AG292" s="122"/>
      <c r="AH292" s="122"/>
      <c r="AI292" s="122"/>
      <c r="AJ292" s="122"/>
      <c r="AK292" s="122"/>
      <c r="AL292" s="122"/>
      <c r="AM292" s="122"/>
      <c r="AN292" s="64"/>
      <c r="AO292" s="118"/>
      <c r="AP292" s="77"/>
      <c r="AQ292" s="76">
        <f t="shared" si="16"/>
        <v>0</v>
      </c>
    </row>
    <row r="293" spans="2:43" x14ac:dyDescent="0.25">
      <c r="B293" s="182"/>
      <c r="C293" s="116"/>
      <c r="D293" s="117"/>
      <c r="E293" s="118"/>
      <c r="F293" s="126"/>
      <c r="G293" s="127"/>
      <c r="H293" s="119"/>
      <c r="I293" s="119"/>
      <c r="J293" s="115"/>
      <c r="K293" s="80"/>
      <c r="L293" s="120"/>
      <c r="M293" s="8"/>
      <c r="N293" s="115"/>
      <c r="O293" s="78"/>
      <c r="P293" s="121"/>
      <c r="Q293" s="115"/>
      <c r="R293" s="122"/>
      <c r="S293" s="122"/>
      <c r="T293" s="122"/>
      <c r="U293" s="122"/>
      <c r="V293" s="122"/>
      <c r="W293" s="122"/>
      <c r="X293" s="128"/>
      <c r="Y293" s="128"/>
      <c r="Z293" s="128"/>
      <c r="AA293" s="128"/>
      <c r="AB293" s="128"/>
      <c r="AC293" s="122"/>
      <c r="AD293" s="122"/>
      <c r="AE293" s="122"/>
      <c r="AF293" s="122"/>
      <c r="AG293" s="122"/>
      <c r="AH293" s="122"/>
      <c r="AI293" s="122"/>
      <c r="AJ293" s="122"/>
      <c r="AK293" s="122"/>
      <c r="AL293" s="122"/>
      <c r="AM293" s="122"/>
      <c r="AN293" s="64"/>
      <c r="AO293" s="118"/>
      <c r="AP293" s="77"/>
      <c r="AQ293" s="76">
        <f t="shared" si="16"/>
        <v>0</v>
      </c>
    </row>
    <row r="294" spans="2:43" x14ac:dyDescent="0.25">
      <c r="B294" s="182"/>
      <c r="C294" s="116"/>
      <c r="D294" s="117"/>
      <c r="E294" s="118"/>
      <c r="F294" s="126"/>
      <c r="G294" s="127"/>
      <c r="H294" s="119"/>
      <c r="I294" s="119"/>
      <c r="J294" s="115"/>
      <c r="K294" s="80"/>
      <c r="L294" s="120"/>
      <c r="M294" s="8"/>
      <c r="N294" s="115"/>
      <c r="O294" s="78"/>
      <c r="P294" s="121"/>
      <c r="Q294" s="115"/>
      <c r="R294" s="122"/>
      <c r="S294" s="122"/>
      <c r="T294" s="122"/>
      <c r="U294" s="122"/>
      <c r="V294" s="122"/>
      <c r="W294" s="122"/>
      <c r="X294" s="128"/>
      <c r="Y294" s="128"/>
      <c r="Z294" s="128"/>
      <c r="AA294" s="128"/>
      <c r="AB294" s="128"/>
      <c r="AC294" s="122"/>
      <c r="AD294" s="122"/>
      <c r="AE294" s="122"/>
      <c r="AF294" s="122"/>
      <c r="AG294" s="122"/>
      <c r="AH294" s="122"/>
      <c r="AI294" s="122"/>
      <c r="AJ294" s="122"/>
      <c r="AK294" s="122"/>
      <c r="AL294" s="122"/>
      <c r="AM294" s="122"/>
      <c r="AN294" s="64"/>
      <c r="AO294" s="118"/>
      <c r="AP294" s="77"/>
      <c r="AQ294" s="76">
        <f t="shared" si="16"/>
        <v>0</v>
      </c>
    </row>
    <row r="295" spans="2:43" x14ac:dyDescent="0.25">
      <c r="B295" s="182"/>
      <c r="C295" s="116"/>
      <c r="D295" s="117"/>
      <c r="E295" s="118"/>
      <c r="F295" s="126"/>
      <c r="G295" s="127"/>
      <c r="H295" s="119"/>
      <c r="I295" s="119"/>
      <c r="J295" s="115"/>
      <c r="K295" s="80"/>
      <c r="L295" s="120"/>
      <c r="M295" s="8"/>
      <c r="N295" s="115"/>
      <c r="O295" s="78"/>
      <c r="P295" s="121"/>
      <c r="Q295" s="115"/>
      <c r="R295" s="122"/>
      <c r="S295" s="122"/>
      <c r="T295" s="122"/>
      <c r="U295" s="122"/>
      <c r="V295" s="122"/>
      <c r="W295" s="122"/>
      <c r="X295" s="128"/>
      <c r="Y295" s="128"/>
      <c r="Z295" s="128"/>
      <c r="AA295" s="128"/>
      <c r="AB295" s="128"/>
      <c r="AC295" s="122"/>
      <c r="AD295" s="122"/>
      <c r="AE295" s="122"/>
      <c r="AF295" s="122"/>
      <c r="AG295" s="122"/>
      <c r="AH295" s="122"/>
      <c r="AI295" s="122"/>
      <c r="AJ295" s="122"/>
      <c r="AK295" s="122"/>
      <c r="AL295" s="122"/>
      <c r="AM295" s="122"/>
      <c r="AN295" s="64"/>
      <c r="AO295" s="118"/>
      <c r="AP295" s="77"/>
      <c r="AQ295" s="76">
        <f t="shared" si="16"/>
        <v>0</v>
      </c>
    </row>
    <row r="296" spans="2:43" x14ac:dyDescent="0.25">
      <c r="B296" s="182"/>
      <c r="C296" s="116"/>
      <c r="D296" s="117"/>
      <c r="E296" s="118"/>
      <c r="F296" s="126"/>
      <c r="G296" s="127"/>
      <c r="H296" s="119"/>
      <c r="I296" s="119"/>
      <c r="J296" s="115"/>
      <c r="K296" s="80"/>
      <c r="L296" s="120"/>
      <c r="M296" s="8"/>
      <c r="N296" s="115"/>
      <c r="O296" s="78"/>
      <c r="P296" s="121"/>
      <c r="Q296" s="115"/>
      <c r="R296" s="122"/>
      <c r="S296" s="122"/>
      <c r="T296" s="122"/>
      <c r="U296" s="122"/>
      <c r="V296" s="122"/>
      <c r="W296" s="122"/>
      <c r="X296" s="128"/>
      <c r="Y296" s="128"/>
      <c r="Z296" s="128"/>
      <c r="AA296" s="128"/>
      <c r="AB296" s="128"/>
      <c r="AC296" s="122"/>
      <c r="AD296" s="122"/>
      <c r="AE296" s="122"/>
      <c r="AF296" s="122"/>
      <c r="AG296" s="122"/>
      <c r="AH296" s="122"/>
      <c r="AI296" s="122"/>
      <c r="AJ296" s="122"/>
      <c r="AK296" s="122"/>
      <c r="AL296" s="122"/>
      <c r="AM296" s="122"/>
      <c r="AN296" s="64"/>
      <c r="AO296" s="118"/>
      <c r="AP296" s="77"/>
      <c r="AQ296" s="76">
        <f t="shared" si="16"/>
        <v>0</v>
      </c>
    </row>
    <row r="297" spans="2:43" x14ac:dyDescent="0.25">
      <c r="B297" s="182"/>
      <c r="C297" s="116"/>
      <c r="D297" s="117"/>
      <c r="E297" s="118"/>
      <c r="F297" s="126"/>
      <c r="G297" s="127"/>
      <c r="H297" s="119"/>
      <c r="I297" s="119"/>
      <c r="J297" s="115"/>
      <c r="K297" s="80"/>
      <c r="L297" s="120"/>
      <c r="M297" s="8"/>
      <c r="N297" s="115"/>
      <c r="O297" s="78"/>
      <c r="P297" s="121"/>
      <c r="Q297" s="115"/>
      <c r="R297" s="122"/>
      <c r="S297" s="122"/>
      <c r="T297" s="122"/>
      <c r="U297" s="122"/>
      <c r="V297" s="122"/>
      <c r="W297" s="122"/>
      <c r="X297" s="128"/>
      <c r="Y297" s="128"/>
      <c r="Z297" s="128"/>
      <c r="AA297" s="128"/>
      <c r="AB297" s="128"/>
      <c r="AC297" s="122"/>
      <c r="AD297" s="122"/>
      <c r="AE297" s="122"/>
      <c r="AF297" s="122"/>
      <c r="AG297" s="122"/>
      <c r="AH297" s="122"/>
      <c r="AI297" s="122"/>
      <c r="AJ297" s="122"/>
      <c r="AK297" s="122"/>
      <c r="AL297" s="122"/>
      <c r="AM297" s="122"/>
      <c r="AN297" s="64"/>
      <c r="AO297" s="118"/>
      <c r="AP297" s="77"/>
      <c r="AQ297" s="76">
        <f t="shared" si="16"/>
        <v>0</v>
      </c>
    </row>
    <row r="298" spans="2:43" x14ac:dyDescent="0.25">
      <c r="B298" s="182"/>
      <c r="C298" s="116"/>
      <c r="D298" s="117"/>
      <c r="E298" s="118"/>
      <c r="F298" s="126"/>
      <c r="G298" s="127"/>
      <c r="H298" s="119"/>
      <c r="I298" s="119"/>
      <c r="J298" s="115"/>
      <c r="K298" s="80"/>
      <c r="L298" s="120"/>
      <c r="M298" s="8"/>
      <c r="N298" s="115"/>
      <c r="O298" s="78"/>
      <c r="P298" s="121"/>
      <c r="Q298" s="115"/>
      <c r="R298" s="122"/>
      <c r="S298" s="122"/>
      <c r="T298" s="122"/>
      <c r="U298" s="122"/>
      <c r="V298" s="122"/>
      <c r="W298" s="122"/>
      <c r="X298" s="128"/>
      <c r="Y298" s="128"/>
      <c r="Z298" s="128"/>
      <c r="AA298" s="128"/>
      <c r="AB298" s="128"/>
      <c r="AC298" s="122"/>
      <c r="AD298" s="122"/>
      <c r="AE298" s="122"/>
      <c r="AF298" s="122"/>
      <c r="AG298" s="122"/>
      <c r="AH298" s="122"/>
      <c r="AI298" s="122"/>
      <c r="AJ298" s="122"/>
      <c r="AK298" s="122"/>
      <c r="AL298" s="122"/>
      <c r="AM298" s="122"/>
      <c r="AN298" s="64"/>
      <c r="AO298" s="118"/>
      <c r="AP298" s="77"/>
      <c r="AQ298" s="76">
        <f t="shared" si="16"/>
        <v>0</v>
      </c>
    </row>
    <row r="299" spans="2:43" x14ac:dyDescent="0.25">
      <c r="B299" s="182"/>
      <c r="C299" s="116"/>
      <c r="D299" s="117"/>
      <c r="E299" s="118"/>
      <c r="F299" s="126"/>
      <c r="G299" s="127"/>
      <c r="H299" s="119"/>
      <c r="I299" s="119"/>
      <c r="J299" s="115"/>
      <c r="K299" s="80"/>
      <c r="L299" s="120"/>
      <c r="M299" s="8"/>
      <c r="N299" s="115"/>
      <c r="O299" s="78"/>
      <c r="P299" s="121"/>
      <c r="Q299" s="115"/>
      <c r="R299" s="122"/>
      <c r="S299" s="122"/>
      <c r="T299" s="122"/>
      <c r="U299" s="122"/>
      <c r="V299" s="122"/>
      <c r="W299" s="122"/>
      <c r="X299" s="128"/>
      <c r="Y299" s="128"/>
      <c r="Z299" s="128"/>
      <c r="AA299" s="128"/>
      <c r="AB299" s="128"/>
      <c r="AC299" s="122"/>
      <c r="AD299" s="122"/>
      <c r="AE299" s="122"/>
      <c r="AF299" s="122"/>
      <c r="AG299" s="122"/>
      <c r="AH299" s="122"/>
      <c r="AI299" s="122"/>
      <c r="AJ299" s="122"/>
      <c r="AK299" s="122"/>
      <c r="AL299" s="122"/>
      <c r="AM299" s="122"/>
      <c r="AN299" s="64"/>
      <c r="AO299" s="118"/>
      <c r="AP299" s="77"/>
      <c r="AQ299" s="76">
        <f t="shared" si="16"/>
        <v>0</v>
      </c>
    </row>
    <row r="300" spans="2:43" x14ac:dyDescent="0.25">
      <c r="B300" s="182"/>
      <c r="C300" s="116"/>
      <c r="D300" s="117"/>
      <c r="E300" s="118"/>
      <c r="F300" s="126"/>
      <c r="G300" s="127"/>
      <c r="H300" s="119"/>
      <c r="I300" s="119"/>
      <c r="J300" s="115"/>
      <c r="K300" s="80"/>
      <c r="L300" s="120"/>
      <c r="M300" s="8"/>
      <c r="N300" s="115"/>
      <c r="O300" s="78"/>
      <c r="P300" s="121"/>
      <c r="Q300" s="115"/>
      <c r="R300" s="122"/>
      <c r="S300" s="122"/>
      <c r="T300" s="122"/>
      <c r="U300" s="122"/>
      <c r="V300" s="122"/>
      <c r="W300" s="122"/>
      <c r="X300" s="128"/>
      <c r="Y300" s="128"/>
      <c r="Z300" s="128"/>
      <c r="AA300" s="128"/>
      <c r="AB300" s="128"/>
      <c r="AC300" s="122"/>
      <c r="AD300" s="122"/>
      <c r="AE300" s="122"/>
      <c r="AF300" s="122"/>
      <c r="AG300" s="122"/>
      <c r="AH300" s="122"/>
      <c r="AI300" s="122"/>
      <c r="AJ300" s="122"/>
      <c r="AK300" s="122"/>
      <c r="AL300" s="122"/>
      <c r="AM300" s="122"/>
      <c r="AN300" s="64"/>
      <c r="AO300" s="118"/>
      <c r="AP300" s="77"/>
      <c r="AQ300" s="76">
        <f t="shared" si="16"/>
        <v>0</v>
      </c>
    </row>
    <row r="301" spans="2:43" x14ac:dyDescent="0.25">
      <c r="B301" s="182"/>
      <c r="C301" s="116"/>
      <c r="D301" s="117"/>
      <c r="E301" s="118"/>
      <c r="F301" s="126"/>
      <c r="G301" s="127"/>
      <c r="H301" s="119"/>
      <c r="I301" s="119"/>
      <c r="J301" s="115"/>
      <c r="K301" s="80"/>
      <c r="L301" s="120"/>
      <c r="M301" s="8"/>
      <c r="N301" s="115"/>
      <c r="O301" s="78"/>
      <c r="P301" s="121"/>
      <c r="Q301" s="115"/>
      <c r="R301" s="122"/>
      <c r="S301" s="122"/>
      <c r="T301" s="122"/>
      <c r="U301" s="122"/>
      <c r="V301" s="122"/>
      <c r="W301" s="122"/>
      <c r="X301" s="128"/>
      <c r="Y301" s="128"/>
      <c r="Z301" s="128"/>
      <c r="AA301" s="128"/>
      <c r="AB301" s="128"/>
      <c r="AC301" s="122"/>
      <c r="AD301" s="122"/>
      <c r="AE301" s="122"/>
      <c r="AF301" s="122"/>
      <c r="AG301" s="122"/>
      <c r="AH301" s="122"/>
      <c r="AI301" s="122"/>
      <c r="AJ301" s="122"/>
      <c r="AK301" s="122"/>
      <c r="AL301" s="122"/>
      <c r="AM301" s="122"/>
      <c r="AN301" s="64"/>
      <c r="AO301" s="118"/>
      <c r="AP301" s="77"/>
      <c r="AQ301" s="76">
        <f t="shared" si="16"/>
        <v>0</v>
      </c>
    </row>
    <row r="302" spans="2:43" x14ac:dyDescent="0.25">
      <c r="B302" s="182"/>
      <c r="C302" s="116"/>
      <c r="D302" s="117"/>
      <c r="E302" s="118"/>
      <c r="F302" s="126"/>
      <c r="G302" s="127"/>
      <c r="H302" s="119"/>
      <c r="I302" s="119"/>
      <c r="J302" s="115"/>
      <c r="K302" s="80"/>
      <c r="L302" s="120"/>
      <c r="M302" s="8"/>
      <c r="N302" s="115"/>
      <c r="O302" s="78"/>
      <c r="P302" s="121"/>
      <c r="Q302" s="115"/>
      <c r="R302" s="122"/>
      <c r="S302" s="122"/>
      <c r="T302" s="122"/>
      <c r="U302" s="122"/>
      <c r="V302" s="122"/>
      <c r="W302" s="122"/>
      <c r="X302" s="128"/>
      <c r="Y302" s="128"/>
      <c r="Z302" s="128"/>
      <c r="AA302" s="128"/>
      <c r="AB302" s="128"/>
      <c r="AC302" s="122"/>
      <c r="AD302" s="122"/>
      <c r="AE302" s="122"/>
      <c r="AF302" s="122"/>
      <c r="AG302" s="122"/>
      <c r="AH302" s="122"/>
      <c r="AI302" s="122"/>
      <c r="AJ302" s="122"/>
      <c r="AK302" s="122"/>
      <c r="AL302" s="122"/>
      <c r="AM302" s="122"/>
      <c r="AN302" s="64"/>
      <c r="AO302" s="118"/>
      <c r="AP302" s="77"/>
      <c r="AQ302" s="76">
        <f t="shared" si="16"/>
        <v>0</v>
      </c>
    </row>
    <row r="303" spans="2:43" x14ac:dyDescent="0.25">
      <c r="B303" s="182"/>
      <c r="C303" s="116"/>
      <c r="D303" s="117"/>
      <c r="E303" s="118"/>
      <c r="F303" s="126"/>
      <c r="G303" s="127"/>
      <c r="H303" s="119"/>
      <c r="I303" s="119"/>
      <c r="J303" s="115"/>
      <c r="K303" s="80"/>
      <c r="L303" s="120"/>
      <c r="M303" s="8"/>
      <c r="N303" s="115"/>
      <c r="O303" s="78"/>
      <c r="P303" s="121"/>
      <c r="Q303" s="115"/>
      <c r="R303" s="122"/>
      <c r="S303" s="122"/>
      <c r="T303" s="122"/>
      <c r="U303" s="122"/>
      <c r="V303" s="122"/>
      <c r="W303" s="122"/>
      <c r="X303" s="128"/>
      <c r="Y303" s="128"/>
      <c r="Z303" s="128"/>
      <c r="AA303" s="128"/>
      <c r="AB303" s="128"/>
      <c r="AC303" s="122"/>
      <c r="AD303" s="122"/>
      <c r="AE303" s="122"/>
      <c r="AF303" s="122"/>
      <c r="AG303" s="122"/>
      <c r="AH303" s="122"/>
      <c r="AI303" s="122"/>
      <c r="AJ303" s="122"/>
      <c r="AK303" s="122"/>
      <c r="AL303" s="122"/>
      <c r="AM303" s="122"/>
      <c r="AN303" s="64"/>
      <c r="AO303" s="118"/>
      <c r="AP303" s="77"/>
      <c r="AQ303" s="76">
        <f t="shared" si="16"/>
        <v>0</v>
      </c>
    </row>
    <row r="304" spans="2:43" x14ac:dyDescent="0.25">
      <c r="B304" s="182"/>
      <c r="C304" s="116"/>
      <c r="D304" s="117"/>
      <c r="E304" s="118"/>
      <c r="F304" s="126"/>
      <c r="G304" s="127"/>
      <c r="H304" s="119"/>
      <c r="I304" s="119"/>
      <c r="J304" s="115"/>
      <c r="K304" s="80"/>
      <c r="L304" s="120"/>
      <c r="M304" s="8"/>
      <c r="N304" s="115"/>
      <c r="O304" s="78"/>
      <c r="P304" s="121"/>
      <c r="Q304" s="115"/>
      <c r="R304" s="122"/>
      <c r="S304" s="122"/>
      <c r="T304" s="122"/>
      <c r="U304" s="122"/>
      <c r="V304" s="122"/>
      <c r="W304" s="122"/>
      <c r="X304" s="128"/>
      <c r="Y304" s="128"/>
      <c r="Z304" s="128"/>
      <c r="AA304" s="128"/>
      <c r="AB304" s="128"/>
      <c r="AC304" s="122"/>
      <c r="AD304" s="122"/>
      <c r="AE304" s="122"/>
      <c r="AF304" s="122"/>
      <c r="AG304" s="122"/>
      <c r="AH304" s="122"/>
      <c r="AI304" s="122"/>
      <c r="AJ304" s="122"/>
      <c r="AK304" s="122"/>
      <c r="AL304" s="122"/>
      <c r="AM304" s="122"/>
      <c r="AN304" s="64"/>
      <c r="AO304" s="118"/>
      <c r="AP304" s="77"/>
      <c r="AQ304" s="76">
        <f t="shared" si="16"/>
        <v>0</v>
      </c>
    </row>
    <row r="305" spans="2:43" x14ac:dyDescent="0.25">
      <c r="B305" s="182"/>
      <c r="C305" s="116"/>
      <c r="D305" s="117"/>
      <c r="E305" s="118"/>
      <c r="F305" s="126"/>
      <c r="G305" s="127"/>
      <c r="H305" s="119"/>
      <c r="I305" s="119"/>
      <c r="J305" s="115"/>
      <c r="K305" s="80"/>
      <c r="L305" s="120"/>
      <c r="M305" s="8"/>
      <c r="N305" s="115"/>
      <c r="O305" s="78"/>
      <c r="P305" s="121"/>
      <c r="Q305" s="115"/>
      <c r="R305" s="122"/>
      <c r="S305" s="122"/>
      <c r="T305" s="122"/>
      <c r="U305" s="122"/>
      <c r="V305" s="122"/>
      <c r="W305" s="122"/>
      <c r="X305" s="128"/>
      <c r="Y305" s="128"/>
      <c r="Z305" s="128"/>
      <c r="AA305" s="128"/>
      <c r="AB305" s="128"/>
      <c r="AC305" s="122"/>
      <c r="AD305" s="122"/>
      <c r="AE305" s="122"/>
      <c r="AF305" s="122"/>
      <c r="AG305" s="122"/>
      <c r="AH305" s="122"/>
      <c r="AI305" s="122"/>
      <c r="AJ305" s="122"/>
      <c r="AK305" s="122"/>
      <c r="AL305" s="122"/>
      <c r="AM305" s="122"/>
      <c r="AN305" s="64"/>
      <c r="AO305" s="118"/>
      <c r="AP305" s="77"/>
      <c r="AQ305" s="76">
        <f t="shared" si="16"/>
        <v>0</v>
      </c>
    </row>
    <row r="306" spans="2:43" x14ac:dyDescent="0.25">
      <c r="B306" s="182"/>
      <c r="C306" s="116"/>
      <c r="D306" s="117"/>
      <c r="E306" s="118"/>
      <c r="F306" s="126"/>
      <c r="G306" s="127"/>
      <c r="H306" s="119"/>
      <c r="I306" s="119"/>
      <c r="J306" s="115"/>
      <c r="K306" s="80"/>
      <c r="L306" s="120"/>
      <c r="M306" s="8"/>
      <c r="N306" s="115"/>
      <c r="O306" s="78"/>
      <c r="P306" s="121"/>
      <c r="Q306" s="115"/>
      <c r="R306" s="122"/>
      <c r="S306" s="122"/>
      <c r="T306" s="122"/>
      <c r="U306" s="122"/>
      <c r="V306" s="122"/>
      <c r="W306" s="122"/>
      <c r="X306" s="128"/>
      <c r="Y306" s="128"/>
      <c r="Z306" s="128"/>
      <c r="AA306" s="128"/>
      <c r="AB306" s="128"/>
      <c r="AC306" s="122"/>
      <c r="AD306" s="122"/>
      <c r="AE306" s="122"/>
      <c r="AF306" s="122"/>
      <c r="AG306" s="122"/>
      <c r="AH306" s="122"/>
      <c r="AI306" s="122"/>
      <c r="AJ306" s="122"/>
      <c r="AK306" s="122"/>
      <c r="AL306" s="122"/>
      <c r="AM306" s="122"/>
      <c r="AN306" s="64"/>
      <c r="AO306" s="118"/>
      <c r="AP306" s="77"/>
      <c r="AQ306" s="76">
        <f t="shared" si="16"/>
        <v>0</v>
      </c>
    </row>
    <row r="307" spans="2:43" x14ac:dyDescent="0.25">
      <c r="B307" s="182"/>
      <c r="C307" s="116"/>
      <c r="D307" s="117"/>
      <c r="E307" s="118"/>
      <c r="F307" s="126"/>
      <c r="G307" s="127"/>
      <c r="H307" s="119"/>
      <c r="I307" s="119"/>
      <c r="J307" s="115"/>
      <c r="K307" s="80"/>
      <c r="L307" s="120"/>
      <c r="M307" s="8"/>
      <c r="N307" s="115"/>
      <c r="O307" s="78"/>
      <c r="P307" s="121"/>
      <c r="Q307" s="115"/>
      <c r="R307" s="122"/>
      <c r="S307" s="122"/>
      <c r="T307" s="122"/>
      <c r="U307" s="122"/>
      <c r="V307" s="122"/>
      <c r="W307" s="122"/>
      <c r="X307" s="128"/>
      <c r="Y307" s="128"/>
      <c r="Z307" s="128"/>
      <c r="AA307" s="128"/>
      <c r="AB307" s="128"/>
      <c r="AC307" s="122"/>
      <c r="AD307" s="122"/>
      <c r="AE307" s="122"/>
      <c r="AF307" s="122"/>
      <c r="AG307" s="122"/>
      <c r="AH307" s="122"/>
      <c r="AI307" s="122"/>
      <c r="AJ307" s="122"/>
      <c r="AK307" s="122"/>
      <c r="AL307" s="122"/>
      <c r="AM307" s="122"/>
      <c r="AN307" s="64"/>
      <c r="AO307" s="118"/>
      <c r="AP307" s="77"/>
      <c r="AQ307" s="76">
        <f t="shared" si="16"/>
        <v>0</v>
      </c>
    </row>
    <row r="308" spans="2:43" x14ac:dyDescent="0.25">
      <c r="B308" s="182"/>
      <c r="C308" s="116"/>
      <c r="D308" s="117"/>
      <c r="E308" s="118"/>
      <c r="F308" s="126"/>
      <c r="G308" s="127"/>
      <c r="H308" s="119"/>
      <c r="I308" s="119"/>
      <c r="J308" s="115"/>
      <c r="K308" s="80"/>
      <c r="L308" s="120"/>
      <c r="M308" s="8"/>
      <c r="N308" s="115"/>
      <c r="O308" s="78"/>
      <c r="P308" s="121"/>
      <c r="Q308" s="115"/>
      <c r="R308" s="122"/>
      <c r="S308" s="122"/>
      <c r="T308" s="122"/>
      <c r="U308" s="122"/>
      <c r="V308" s="122"/>
      <c r="W308" s="122"/>
      <c r="X308" s="128"/>
      <c r="Y308" s="128"/>
      <c r="Z308" s="128"/>
      <c r="AA308" s="128"/>
      <c r="AB308" s="128"/>
      <c r="AC308" s="122"/>
      <c r="AD308" s="122"/>
      <c r="AE308" s="122"/>
      <c r="AF308" s="122"/>
      <c r="AG308" s="122"/>
      <c r="AH308" s="122"/>
      <c r="AI308" s="122"/>
      <c r="AJ308" s="122"/>
      <c r="AK308" s="122"/>
      <c r="AL308" s="122"/>
      <c r="AM308" s="122"/>
      <c r="AN308" s="64"/>
      <c r="AO308" s="118"/>
      <c r="AP308" s="77"/>
      <c r="AQ308" s="76">
        <f t="shared" si="16"/>
        <v>0</v>
      </c>
    </row>
    <row r="309" spans="2:43" x14ac:dyDescent="0.25">
      <c r="B309" s="182"/>
      <c r="C309" s="116"/>
      <c r="D309" s="117"/>
      <c r="E309" s="118"/>
      <c r="F309" s="126"/>
      <c r="G309" s="127"/>
      <c r="H309" s="119"/>
      <c r="I309" s="119"/>
      <c r="J309" s="115"/>
      <c r="K309" s="80"/>
      <c r="L309" s="120"/>
      <c r="M309" s="8"/>
      <c r="N309" s="115"/>
      <c r="O309" s="78"/>
      <c r="P309" s="121"/>
      <c r="Q309" s="115"/>
      <c r="R309" s="122"/>
      <c r="S309" s="122"/>
      <c r="T309" s="122"/>
      <c r="U309" s="122"/>
      <c r="V309" s="122"/>
      <c r="W309" s="122"/>
      <c r="X309" s="128"/>
      <c r="Y309" s="128"/>
      <c r="Z309" s="128"/>
      <c r="AA309" s="128"/>
      <c r="AB309" s="128"/>
      <c r="AC309" s="122"/>
      <c r="AD309" s="122"/>
      <c r="AE309" s="122"/>
      <c r="AF309" s="122"/>
      <c r="AG309" s="122"/>
      <c r="AH309" s="122"/>
      <c r="AI309" s="122"/>
      <c r="AJ309" s="122"/>
      <c r="AK309" s="122"/>
      <c r="AL309" s="122"/>
      <c r="AM309" s="122"/>
      <c r="AN309" s="64"/>
      <c r="AO309" s="118"/>
      <c r="AP309" s="77"/>
      <c r="AQ309" s="76">
        <f t="shared" si="16"/>
        <v>0</v>
      </c>
    </row>
    <row r="310" spans="2:43" x14ac:dyDescent="0.25">
      <c r="B310" s="182"/>
      <c r="C310" s="116"/>
      <c r="D310" s="117"/>
      <c r="E310" s="118"/>
      <c r="F310" s="126"/>
      <c r="G310" s="127"/>
      <c r="H310" s="119"/>
      <c r="I310" s="119"/>
      <c r="J310" s="115"/>
      <c r="K310" s="80"/>
      <c r="L310" s="120"/>
      <c r="M310" s="8"/>
      <c r="N310" s="115"/>
      <c r="O310" s="78"/>
      <c r="P310" s="121"/>
      <c r="Q310" s="115"/>
      <c r="R310" s="122"/>
      <c r="S310" s="122"/>
      <c r="T310" s="122"/>
      <c r="U310" s="122"/>
      <c r="V310" s="122"/>
      <c r="W310" s="122"/>
      <c r="X310" s="128"/>
      <c r="Y310" s="128"/>
      <c r="Z310" s="128"/>
      <c r="AA310" s="128"/>
      <c r="AB310" s="128"/>
      <c r="AC310" s="122"/>
      <c r="AD310" s="122"/>
      <c r="AE310" s="122"/>
      <c r="AF310" s="122"/>
      <c r="AG310" s="122"/>
      <c r="AH310" s="122"/>
      <c r="AI310" s="122"/>
      <c r="AJ310" s="122"/>
      <c r="AK310" s="122"/>
      <c r="AL310" s="122"/>
      <c r="AM310" s="122"/>
      <c r="AN310" s="64"/>
      <c r="AO310" s="118"/>
      <c r="AP310" s="77"/>
      <c r="AQ310" s="76">
        <f t="shared" si="16"/>
        <v>0</v>
      </c>
    </row>
    <row r="311" spans="2:43" x14ac:dyDescent="0.25">
      <c r="B311" s="182"/>
      <c r="C311" s="116"/>
      <c r="D311" s="117"/>
      <c r="E311" s="118"/>
      <c r="F311" s="126"/>
      <c r="G311" s="127"/>
      <c r="H311" s="119"/>
      <c r="I311" s="119"/>
      <c r="J311" s="115"/>
      <c r="K311" s="80"/>
      <c r="L311" s="120"/>
      <c r="M311" s="8"/>
      <c r="N311" s="115"/>
      <c r="O311" s="78"/>
      <c r="P311" s="121"/>
      <c r="Q311" s="115"/>
      <c r="R311" s="122"/>
      <c r="S311" s="122"/>
      <c r="T311" s="122"/>
      <c r="U311" s="122"/>
      <c r="V311" s="122"/>
      <c r="W311" s="122"/>
      <c r="X311" s="128"/>
      <c r="Y311" s="128"/>
      <c r="Z311" s="128"/>
      <c r="AA311" s="128"/>
      <c r="AB311" s="128"/>
      <c r="AC311" s="122"/>
      <c r="AD311" s="122"/>
      <c r="AE311" s="122"/>
      <c r="AF311" s="122"/>
      <c r="AG311" s="122"/>
      <c r="AH311" s="122"/>
      <c r="AI311" s="122"/>
      <c r="AJ311" s="122"/>
      <c r="AK311" s="122"/>
      <c r="AL311" s="122"/>
      <c r="AM311" s="122"/>
      <c r="AN311" s="64"/>
      <c r="AO311" s="118"/>
      <c r="AP311" s="77"/>
      <c r="AQ311" s="76">
        <f t="shared" si="16"/>
        <v>0</v>
      </c>
    </row>
    <row r="312" spans="2:43" x14ac:dyDescent="0.25">
      <c r="B312" s="182"/>
      <c r="C312" s="116"/>
      <c r="D312" s="117"/>
      <c r="E312" s="118"/>
      <c r="F312" s="126"/>
      <c r="G312" s="127"/>
      <c r="H312" s="119"/>
      <c r="I312" s="119"/>
      <c r="J312" s="115"/>
      <c r="K312" s="80"/>
      <c r="L312" s="120"/>
      <c r="M312" s="8"/>
      <c r="N312" s="115"/>
      <c r="O312" s="78"/>
      <c r="P312" s="121"/>
      <c r="Q312" s="115"/>
      <c r="R312" s="122"/>
      <c r="S312" s="122"/>
      <c r="T312" s="122"/>
      <c r="U312" s="122"/>
      <c r="V312" s="122"/>
      <c r="W312" s="122"/>
      <c r="X312" s="128"/>
      <c r="Y312" s="128"/>
      <c r="Z312" s="128"/>
      <c r="AA312" s="128"/>
      <c r="AB312" s="128"/>
      <c r="AC312" s="122"/>
      <c r="AD312" s="122"/>
      <c r="AE312" s="122"/>
      <c r="AF312" s="122"/>
      <c r="AG312" s="122"/>
      <c r="AH312" s="122"/>
      <c r="AI312" s="122"/>
      <c r="AJ312" s="122"/>
      <c r="AK312" s="122"/>
      <c r="AL312" s="122"/>
      <c r="AM312" s="122"/>
      <c r="AN312" s="64"/>
      <c r="AO312" s="118"/>
      <c r="AP312" s="77"/>
      <c r="AQ312" s="76">
        <f t="shared" si="16"/>
        <v>0</v>
      </c>
    </row>
    <row r="313" spans="2:43" x14ac:dyDescent="0.25">
      <c r="B313" s="182"/>
      <c r="C313" s="116"/>
      <c r="D313" s="117"/>
      <c r="E313" s="118"/>
      <c r="F313" s="126"/>
      <c r="G313" s="127"/>
      <c r="H313" s="119"/>
      <c r="I313" s="119"/>
      <c r="J313" s="115"/>
      <c r="K313" s="80"/>
      <c r="L313" s="120"/>
      <c r="M313" s="8"/>
      <c r="N313" s="115"/>
      <c r="O313" s="78"/>
      <c r="P313" s="121"/>
      <c r="Q313" s="115"/>
      <c r="R313" s="122"/>
      <c r="S313" s="122"/>
      <c r="T313" s="122"/>
      <c r="U313" s="122"/>
      <c r="V313" s="122"/>
      <c r="W313" s="122"/>
      <c r="X313" s="128"/>
      <c r="Y313" s="128"/>
      <c r="Z313" s="128"/>
      <c r="AA313" s="128"/>
      <c r="AB313" s="128"/>
      <c r="AC313" s="122"/>
      <c r="AD313" s="122"/>
      <c r="AE313" s="122"/>
      <c r="AF313" s="122"/>
      <c r="AG313" s="122"/>
      <c r="AH313" s="122"/>
      <c r="AI313" s="122"/>
      <c r="AJ313" s="122"/>
      <c r="AK313" s="122"/>
      <c r="AL313" s="122"/>
      <c r="AM313" s="122"/>
      <c r="AN313" s="64"/>
      <c r="AO313" s="118"/>
      <c r="AP313" s="77"/>
      <c r="AQ313" s="76">
        <f t="shared" si="16"/>
        <v>0</v>
      </c>
    </row>
    <row r="314" spans="2:43" x14ac:dyDescent="0.25">
      <c r="B314" s="182"/>
      <c r="C314" s="116"/>
      <c r="D314" s="117"/>
      <c r="E314" s="118"/>
      <c r="F314" s="126"/>
      <c r="G314" s="127"/>
      <c r="H314" s="119"/>
      <c r="I314" s="119"/>
      <c r="J314" s="115"/>
      <c r="K314" s="80"/>
      <c r="L314" s="120"/>
      <c r="M314" s="8"/>
      <c r="N314" s="115"/>
      <c r="O314" s="78"/>
      <c r="P314" s="121"/>
      <c r="Q314" s="115"/>
      <c r="R314" s="122"/>
      <c r="S314" s="122"/>
      <c r="T314" s="122"/>
      <c r="U314" s="122"/>
      <c r="V314" s="122"/>
      <c r="W314" s="122"/>
      <c r="X314" s="128"/>
      <c r="Y314" s="128"/>
      <c r="Z314" s="128"/>
      <c r="AA314" s="128"/>
      <c r="AB314" s="128"/>
      <c r="AC314" s="122"/>
      <c r="AD314" s="122"/>
      <c r="AE314" s="122"/>
      <c r="AF314" s="122"/>
      <c r="AG314" s="122"/>
      <c r="AH314" s="122"/>
      <c r="AI314" s="122"/>
      <c r="AJ314" s="122"/>
      <c r="AK314" s="122"/>
      <c r="AL314" s="122"/>
      <c r="AM314" s="122"/>
      <c r="AN314" s="64"/>
      <c r="AO314" s="118"/>
      <c r="AP314" s="77"/>
      <c r="AQ314" s="76">
        <f t="shared" si="16"/>
        <v>0</v>
      </c>
    </row>
    <row r="315" spans="2:43" x14ac:dyDescent="0.25">
      <c r="B315" s="182"/>
      <c r="C315" s="116"/>
      <c r="D315" s="117"/>
      <c r="E315" s="118"/>
      <c r="F315" s="126"/>
      <c r="G315" s="127"/>
      <c r="H315" s="119"/>
      <c r="I315" s="119"/>
      <c r="J315" s="115"/>
      <c r="K315" s="80"/>
      <c r="L315" s="120"/>
      <c r="M315" s="8"/>
      <c r="N315" s="115"/>
      <c r="O315" s="78"/>
      <c r="P315" s="121"/>
      <c r="Q315" s="115"/>
      <c r="R315" s="122"/>
      <c r="S315" s="122"/>
      <c r="T315" s="122"/>
      <c r="U315" s="122"/>
      <c r="V315" s="122"/>
      <c r="W315" s="122"/>
      <c r="X315" s="128"/>
      <c r="Y315" s="128"/>
      <c r="Z315" s="128"/>
      <c r="AA315" s="128"/>
      <c r="AB315" s="128"/>
      <c r="AC315" s="122"/>
      <c r="AD315" s="122"/>
      <c r="AE315" s="122"/>
      <c r="AF315" s="122"/>
      <c r="AG315" s="122"/>
      <c r="AH315" s="122"/>
      <c r="AI315" s="122"/>
      <c r="AJ315" s="122"/>
      <c r="AK315" s="122"/>
      <c r="AL315" s="122"/>
      <c r="AM315" s="122"/>
      <c r="AN315" s="64"/>
      <c r="AO315" s="118"/>
      <c r="AP315" s="77"/>
      <c r="AQ315" s="76">
        <f t="shared" si="16"/>
        <v>0</v>
      </c>
    </row>
    <row r="316" spans="2:43" x14ac:dyDescent="0.25">
      <c r="B316" s="182"/>
      <c r="C316" s="116"/>
      <c r="D316" s="117"/>
      <c r="E316" s="118"/>
      <c r="F316" s="126"/>
      <c r="G316" s="127"/>
      <c r="H316" s="119"/>
      <c r="I316" s="119"/>
      <c r="J316" s="115"/>
      <c r="K316" s="80"/>
      <c r="L316" s="120"/>
      <c r="M316" s="8"/>
      <c r="N316" s="115"/>
      <c r="O316" s="78"/>
      <c r="P316" s="121"/>
      <c r="Q316" s="115"/>
      <c r="R316" s="122"/>
      <c r="S316" s="122"/>
      <c r="T316" s="122"/>
      <c r="U316" s="122"/>
      <c r="V316" s="122"/>
      <c r="W316" s="122"/>
      <c r="X316" s="128"/>
      <c r="Y316" s="128"/>
      <c r="Z316" s="128"/>
      <c r="AA316" s="128"/>
      <c r="AB316" s="128"/>
      <c r="AC316" s="122"/>
      <c r="AD316" s="122"/>
      <c r="AE316" s="122"/>
      <c r="AF316" s="122"/>
      <c r="AG316" s="122"/>
      <c r="AH316" s="122"/>
      <c r="AI316" s="122"/>
      <c r="AJ316" s="122"/>
      <c r="AK316" s="122"/>
      <c r="AL316" s="122"/>
      <c r="AM316" s="122"/>
      <c r="AN316" s="64"/>
      <c r="AO316" s="118"/>
      <c r="AP316" s="77"/>
      <c r="AQ316" s="76">
        <f t="shared" si="16"/>
        <v>0</v>
      </c>
    </row>
    <row r="317" spans="2:43" x14ac:dyDescent="0.25">
      <c r="B317" s="182"/>
      <c r="C317" s="116"/>
      <c r="D317" s="117"/>
      <c r="E317" s="118"/>
      <c r="F317" s="126"/>
      <c r="G317" s="127"/>
      <c r="H317" s="119"/>
      <c r="I317" s="119"/>
      <c r="J317" s="115"/>
      <c r="K317" s="80"/>
      <c r="L317" s="120"/>
      <c r="M317" s="8"/>
      <c r="N317" s="115"/>
      <c r="O317" s="78"/>
      <c r="P317" s="121"/>
      <c r="Q317" s="115"/>
      <c r="R317" s="122"/>
      <c r="S317" s="122"/>
      <c r="T317" s="122"/>
      <c r="U317" s="122"/>
      <c r="V317" s="122"/>
      <c r="W317" s="122"/>
      <c r="X317" s="128"/>
      <c r="Y317" s="128"/>
      <c r="Z317" s="128"/>
      <c r="AA317" s="128"/>
      <c r="AB317" s="128"/>
      <c r="AC317" s="122"/>
      <c r="AD317" s="122"/>
      <c r="AE317" s="122"/>
      <c r="AF317" s="122"/>
      <c r="AG317" s="122"/>
      <c r="AH317" s="122"/>
      <c r="AI317" s="122"/>
      <c r="AJ317" s="122"/>
      <c r="AK317" s="122"/>
      <c r="AL317" s="122"/>
      <c r="AM317" s="122"/>
      <c r="AN317" s="64"/>
      <c r="AO317" s="118"/>
      <c r="AP317" s="77"/>
      <c r="AQ317" s="76">
        <f t="shared" si="16"/>
        <v>0</v>
      </c>
    </row>
    <row r="318" spans="2:43" x14ac:dyDescent="0.25">
      <c r="B318" s="182"/>
      <c r="C318" s="116"/>
      <c r="D318" s="117"/>
      <c r="E318" s="118"/>
      <c r="F318" s="126"/>
      <c r="G318" s="127"/>
      <c r="H318" s="119"/>
      <c r="I318" s="119"/>
      <c r="J318" s="115"/>
      <c r="K318" s="80"/>
      <c r="L318" s="120"/>
      <c r="M318" s="8"/>
      <c r="N318" s="115"/>
      <c r="O318" s="78"/>
      <c r="P318" s="121"/>
      <c r="Q318" s="115"/>
      <c r="R318" s="122"/>
      <c r="S318" s="122"/>
      <c r="T318" s="122"/>
      <c r="U318" s="122"/>
      <c r="V318" s="122"/>
      <c r="W318" s="122"/>
      <c r="X318" s="128"/>
      <c r="Y318" s="128"/>
      <c r="Z318" s="128"/>
      <c r="AA318" s="128"/>
      <c r="AB318" s="128"/>
      <c r="AC318" s="122"/>
      <c r="AD318" s="122"/>
      <c r="AE318" s="122"/>
      <c r="AF318" s="122"/>
      <c r="AG318" s="122"/>
      <c r="AH318" s="122"/>
      <c r="AI318" s="122"/>
      <c r="AJ318" s="122"/>
      <c r="AK318" s="122"/>
      <c r="AL318" s="122"/>
      <c r="AM318" s="122"/>
      <c r="AN318" s="64"/>
      <c r="AO318" s="118"/>
      <c r="AP318" s="77"/>
      <c r="AQ318" s="76">
        <f t="shared" si="16"/>
        <v>0</v>
      </c>
    </row>
    <row r="319" spans="2:43" x14ac:dyDescent="0.25">
      <c r="B319" s="182"/>
      <c r="C319" s="116"/>
      <c r="D319" s="117"/>
      <c r="E319" s="118"/>
      <c r="F319" s="126"/>
      <c r="G319" s="127"/>
      <c r="H319" s="119"/>
      <c r="I319" s="119"/>
      <c r="J319" s="115"/>
      <c r="K319" s="80"/>
      <c r="L319" s="120"/>
      <c r="M319" s="8"/>
      <c r="N319" s="115"/>
      <c r="O319" s="78"/>
      <c r="P319" s="121"/>
      <c r="Q319" s="115"/>
      <c r="R319" s="122"/>
      <c r="S319" s="122"/>
      <c r="T319" s="122"/>
      <c r="U319" s="122"/>
      <c r="V319" s="122"/>
      <c r="W319" s="122"/>
      <c r="X319" s="128"/>
      <c r="Y319" s="128"/>
      <c r="Z319" s="128"/>
      <c r="AA319" s="128"/>
      <c r="AB319" s="128"/>
      <c r="AC319" s="122"/>
      <c r="AD319" s="122"/>
      <c r="AE319" s="122"/>
      <c r="AF319" s="122"/>
      <c r="AG319" s="122"/>
      <c r="AH319" s="122"/>
      <c r="AI319" s="122"/>
      <c r="AJ319" s="122"/>
      <c r="AK319" s="122"/>
      <c r="AL319" s="122"/>
      <c r="AM319" s="122"/>
      <c r="AN319" s="64"/>
      <c r="AO319" s="118"/>
      <c r="AP319" s="77"/>
      <c r="AQ319" s="76">
        <f t="shared" si="16"/>
        <v>0</v>
      </c>
    </row>
    <row r="320" spans="2:43" x14ac:dyDescent="0.25">
      <c r="B320" s="182"/>
      <c r="C320" s="116"/>
      <c r="D320" s="117"/>
      <c r="E320" s="118"/>
      <c r="F320" s="126"/>
      <c r="G320" s="127"/>
      <c r="H320" s="119"/>
      <c r="I320" s="119"/>
      <c r="J320" s="115"/>
      <c r="K320" s="80"/>
      <c r="L320" s="120"/>
      <c r="M320" s="8"/>
      <c r="N320" s="115"/>
      <c r="O320" s="78"/>
      <c r="P320" s="121"/>
      <c r="Q320" s="115"/>
      <c r="R320" s="122"/>
      <c r="S320" s="122"/>
      <c r="T320" s="122"/>
      <c r="U320" s="122"/>
      <c r="V320" s="122"/>
      <c r="W320" s="122"/>
      <c r="X320" s="128"/>
      <c r="Y320" s="128"/>
      <c r="Z320" s="128"/>
      <c r="AA320" s="128"/>
      <c r="AB320" s="128"/>
      <c r="AC320" s="122"/>
      <c r="AD320" s="122"/>
      <c r="AE320" s="122"/>
      <c r="AF320" s="122"/>
      <c r="AG320" s="122"/>
      <c r="AH320" s="122"/>
      <c r="AI320" s="122"/>
      <c r="AJ320" s="122"/>
      <c r="AK320" s="122"/>
      <c r="AL320" s="122"/>
      <c r="AM320" s="122"/>
      <c r="AN320" s="64"/>
      <c r="AO320" s="118"/>
      <c r="AP320" s="77"/>
      <c r="AQ320" s="76">
        <f t="shared" si="16"/>
        <v>0</v>
      </c>
    </row>
    <row r="321" spans="2:43" x14ac:dyDescent="0.25">
      <c r="B321" s="182"/>
      <c r="C321" s="116"/>
      <c r="D321" s="117"/>
      <c r="E321" s="118"/>
      <c r="F321" s="126"/>
      <c r="G321" s="127"/>
      <c r="H321" s="119"/>
      <c r="I321" s="119"/>
      <c r="J321" s="115"/>
      <c r="K321" s="80"/>
      <c r="L321" s="120"/>
      <c r="M321" s="8"/>
      <c r="N321" s="115"/>
      <c r="O321" s="78"/>
      <c r="P321" s="121"/>
      <c r="Q321" s="115"/>
      <c r="R321" s="122"/>
      <c r="S321" s="122"/>
      <c r="T321" s="122"/>
      <c r="U321" s="122"/>
      <c r="V321" s="122"/>
      <c r="W321" s="122"/>
      <c r="X321" s="128"/>
      <c r="Y321" s="128"/>
      <c r="Z321" s="128"/>
      <c r="AA321" s="128"/>
      <c r="AB321" s="128"/>
      <c r="AC321" s="122"/>
      <c r="AD321" s="122"/>
      <c r="AE321" s="122"/>
      <c r="AF321" s="122"/>
      <c r="AG321" s="122"/>
      <c r="AH321" s="122"/>
      <c r="AI321" s="122"/>
      <c r="AJ321" s="122"/>
      <c r="AK321" s="122"/>
      <c r="AL321" s="122"/>
      <c r="AM321" s="122"/>
      <c r="AN321" s="64"/>
      <c r="AO321" s="118"/>
      <c r="AP321" s="77"/>
      <c r="AQ321" s="76">
        <f t="shared" si="16"/>
        <v>0</v>
      </c>
    </row>
    <row r="322" spans="2:43" x14ac:dyDescent="0.25">
      <c r="B322" s="182"/>
      <c r="C322" s="116"/>
      <c r="D322" s="117"/>
      <c r="E322" s="118"/>
      <c r="F322" s="126"/>
      <c r="G322" s="127"/>
      <c r="H322" s="119"/>
      <c r="I322" s="119"/>
      <c r="J322" s="115"/>
      <c r="K322" s="80"/>
      <c r="L322" s="120"/>
      <c r="M322" s="8"/>
      <c r="N322" s="115"/>
      <c r="O322" s="78"/>
      <c r="P322" s="121"/>
      <c r="Q322" s="115"/>
      <c r="R322" s="122"/>
      <c r="S322" s="122"/>
      <c r="T322" s="122"/>
      <c r="U322" s="122"/>
      <c r="V322" s="122"/>
      <c r="W322" s="122"/>
      <c r="X322" s="128"/>
      <c r="Y322" s="128"/>
      <c r="Z322" s="128"/>
      <c r="AA322" s="128"/>
      <c r="AB322" s="128"/>
      <c r="AC322" s="122"/>
      <c r="AD322" s="122"/>
      <c r="AE322" s="122"/>
      <c r="AF322" s="122"/>
      <c r="AG322" s="122"/>
      <c r="AH322" s="122"/>
      <c r="AI322" s="122"/>
      <c r="AJ322" s="122"/>
      <c r="AK322" s="122"/>
      <c r="AL322" s="122"/>
      <c r="AM322" s="122"/>
      <c r="AN322" s="64"/>
      <c r="AO322" s="118"/>
      <c r="AP322" s="77"/>
      <c r="AQ322" s="76">
        <f t="shared" si="16"/>
        <v>0</v>
      </c>
    </row>
    <row r="323" spans="2:43" x14ac:dyDescent="0.25">
      <c r="B323" s="182"/>
      <c r="C323" s="116"/>
      <c r="D323" s="117"/>
      <c r="E323" s="118"/>
      <c r="F323" s="126"/>
      <c r="G323" s="127"/>
      <c r="H323" s="119"/>
      <c r="I323" s="119"/>
      <c r="J323" s="115"/>
      <c r="K323" s="80"/>
      <c r="L323" s="120"/>
      <c r="M323" s="8"/>
      <c r="N323" s="115"/>
      <c r="O323" s="78"/>
      <c r="P323" s="121"/>
      <c r="Q323" s="115"/>
      <c r="R323" s="122"/>
      <c r="S323" s="122"/>
      <c r="T323" s="122"/>
      <c r="U323" s="122"/>
      <c r="V323" s="122"/>
      <c r="W323" s="122"/>
      <c r="X323" s="128"/>
      <c r="Y323" s="128"/>
      <c r="Z323" s="128"/>
      <c r="AA323" s="128"/>
      <c r="AB323" s="128"/>
      <c r="AC323" s="122"/>
      <c r="AD323" s="122"/>
      <c r="AE323" s="122"/>
      <c r="AF323" s="122"/>
      <c r="AG323" s="122"/>
      <c r="AH323" s="122"/>
      <c r="AI323" s="122"/>
      <c r="AJ323" s="122"/>
      <c r="AK323" s="122"/>
      <c r="AL323" s="122"/>
      <c r="AM323" s="122"/>
      <c r="AN323" s="64"/>
      <c r="AO323" s="118"/>
      <c r="AP323" s="77"/>
      <c r="AQ323" s="76">
        <f t="shared" si="16"/>
        <v>0</v>
      </c>
    </row>
    <row r="324" spans="2:43" x14ac:dyDescent="0.25">
      <c r="B324" s="182"/>
      <c r="C324" s="116"/>
      <c r="D324" s="117"/>
      <c r="E324" s="118"/>
      <c r="F324" s="126"/>
      <c r="G324" s="127"/>
      <c r="H324" s="119"/>
      <c r="I324" s="119"/>
      <c r="J324" s="115"/>
      <c r="K324" s="80"/>
      <c r="L324" s="120"/>
      <c r="M324" s="8"/>
      <c r="N324" s="115"/>
      <c r="O324" s="78"/>
      <c r="P324" s="121"/>
      <c r="Q324" s="115"/>
      <c r="R324" s="122"/>
      <c r="S324" s="122"/>
      <c r="T324" s="122"/>
      <c r="U324" s="122"/>
      <c r="V324" s="122"/>
      <c r="W324" s="122"/>
      <c r="X324" s="128"/>
      <c r="Y324" s="128"/>
      <c r="Z324" s="128"/>
      <c r="AA324" s="128"/>
      <c r="AB324" s="128"/>
      <c r="AC324" s="122"/>
      <c r="AD324" s="122"/>
      <c r="AE324" s="122"/>
      <c r="AF324" s="122"/>
      <c r="AG324" s="122"/>
      <c r="AH324" s="122"/>
      <c r="AI324" s="122"/>
      <c r="AJ324" s="122"/>
      <c r="AK324" s="122"/>
      <c r="AL324" s="122"/>
      <c r="AM324" s="122"/>
      <c r="AN324" s="64"/>
      <c r="AO324" s="118"/>
      <c r="AP324" s="77"/>
      <c r="AQ324" s="76">
        <f t="shared" si="16"/>
        <v>0</v>
      </c>
    </row>
    <row r="325" spans="2:43" x14ac:dyDescent="0.25">
      <c r="B325" s="182"/>
      <c r="C325" s="116"/>
      <c r="D325" s="117"/>
      <c r="E325" s="118"/>
      <c r="F325" s="126"/>
      <c r="G325" s="127"/>
      <c r="H325" s="119"/>
      <c r="I325" s="119"/>
      <c r="J325" s="115"/>
      <c r="K325" s="80"/>
      <c r="L325" s="120"/>
      <c r="M325" s="8"/>
      <c r="N325" s="115"/>
      <c r="O325" s="78"/>
      <c r="P325" s="121"/>
      <c r="Q325" s="115"/>
      <c r="R325" s="122"/>
      <c r="S325" s="122"/>
      <c r="T325" s="122"/>
      <c r="U325" s="122"/>
      <c r="V325" s="122"/>
      <c r="W325" s="122"/>
      <c r="X325" s="128"/>
      <c r="Y325" s="128"/>
      <c r="Z325" s="128"/>
      <c r="AA325" s="128"/>
      <c r="AB325" s="128"/>
      <c r="AC325" s="122"/>
      <c r="AD325" s="122"/>
      <c r="AE325" s="122"/>
      <c r="AF325" s="122"/>
      <c r="AG325" s="122"/>
      <c r="AH325" s="122"/>
      <c r="AI325" s="122"/>
      <c r="AJ325" s="122"/>
      <c r="AK325" s="122"/>
      <c r="AL325" s="122"/>
      <c r="AM325" s="122"/>
      <c r="AN325" s="64"/>
      <c r="AO325" s="118"/>
      <c r="AP325" s="77"/>
      <c r="AQ325" s="76">
        <f t="shared" si="16"/>
        <v>0</v>
      </c>
    </row>
    <row r="326" spans="2:43" x14ac:dyDescent="0.25">
      <c r="B326" s="182"/>
      <c r="C326" s="116"/>
      <c r="D326" s="117"/>
      <c r="E326" s="118"/>
      <c r="F326" s="126"/>
      <c r="G326" s="127"/>
      <c r="H326" s="119"/>
      <c r="I326" s="119"/>
      <c r="J326" s="115"/>
      <c r="K326" s="80"/>
      <c r="L326" s="120"/>
      <c r="M326" s="8"/>
      <c r="N326" s="115"/>
      <c r="O326" s="78"/>
      <c r="P326" s="121"/>
      <c r="Q326" s="115"/>
      <c r="R326" s="122"/>
      <c r="S326" s="122"/>
      <c r="T326" s="122"/>
      <c r="U326" s="122"/>
      <c r="V326" s="122"/>
      <c r="W326" s="122"/>
      <c r="X326" s="128"/>
      <c r="Y326" s="128"/>
      <c r="Z326" s="128"/>
      <c r="AA326" s="128"/>
      <c r="AB326" s="128"/>
      <c r="AC326" s="122"/>
      <c r="AD326" s="122"/>
      <c r="AE326" s="122"/>
      <c r="AF326" s="122"/>
      <c r="AG326" s="122"/>
      <c r="AH326" s="122"/>
      <c r="AI326" s="122"/>
      <c r="AJ326" s="122"/>
      <c r="AK326" s="122"/>
      <c r="AL326" s="122"/>
      <c r="AM326" s="122"/>
      <c r="AN326" s="64"/>
      <c r="AO326" s="118"/>
      <c r="AP326" s="77"/>
      <c r="AQ326" s="76">
        <f t="shared" si="16"/>
        <v>0</v>
      </c>
    </row>
    <row r="327" spans="2:43" x14ac:dyDescent="0.25">
      <c r="B327" s="182"/>
      <c r="C327" s="116"/>
      <c r="D327" s="117"/>
      <c r="E327" s="118"/>
      <c r="F327" s="126"/>
      <c r="G327" s="127"/>
      <c r="H327" s="119"/>
      <c r="I327" s="119"/>
      <c r="J327" s="115"/>
      <c r="K327" s="80"/>
      <c r="L327" s="120"/>
      <c r="M327" s="8"/>
      <c r="N327" s="115"/>
      <c r="O327" s="78"/>
      <c r="P327" s="121"/>
      <c r="Q327" s="115"/>
      <c r="R327" s="122"/>
      <c r="S327" s="122"/>
      <c r="T327" s="122"/>
      <c r="U327" s="122"/>
      <c r="V327" s="122"/>
      <c r="W327" s="122"/>
      <c r="X327" s="128"/>
      <c r="Y327" s="128"/>
      <c r="Z327" s="128"/>
      <c r="AA327" s="128"/>
      <c r="AB327" s="128"/>
      <c r="AC327" s="122"/>
      <c r="AD327" s="122"/>
      <c r="AE327" s="122"/>
      <c r="AF327" s="122"/>
      <c r="AG327" s="122"/>
      <c r="AH327" s="122"/>
      <c r="AI327" s="122"/>
      <c r="AJ327" s="122"/>
      <c r="AK327" s="122"/>
      <c r="AL327" s="122"/>
      <c r="AM327" s="122"/>
      <c r="AN327" s="64"/>
      <c r="AO327" s="118"/>
      <c r="AP327" s="77"/>
      <c r="AQ327" s="76">
        <f t="shared" si="16"/>
        <v>0</v>
      </c>
    </row>
    <row r="328" spans="2:43" x14ac:dyDescent="0.25">
      <c r="B328" s="182"/>
      <c r="C328" s="116"/>
      <c r="D328" s="117"/>
      <c r="E328" s="118"/>
      <c r="F328" s="126"/>
      <c r="G328" s="127"/>
      <c r="H328" s="119"/>
      <c r="I328" s="119"/>
      <c r="J328" s="115"/>
      <c r="K328" s="80"/>
      <c r="L328" s="120"/>
      <c r="M328" s="8"/>
      <c r="N328" s="115"/>
      <c r="O328" s="78"/>
      <c r="P328" s="121"/>
      <c r="Q328" s="115"/>
      <c r="R328" s="122"/>
      <c r="S328" s="122"/>
      <c r="T328" s="122"/>
      <c r="U328" s="122"/>
      <c r="V328" s="122"/>
      <c r="W328" s="122"/>
      <c r="X328" s="128"/>
      <c r="Y328" s="128"/>
      <c r="Z328" s="128"/>
      <c r="AA328" s="128"/>
      <c r="AB328" s="128"/>
      <c r="AC328" s="122"/>
      <c r="AD328" s="122"/>
      <c r="AE328" s="122"/>
      <c r="AF328" s="122"/>
      <c r="AG328" s="122"/>
      <c r="AH328" s="122"/>
      <c r="AI328" s="122"/>
      <c r="AJ328" s="122"/>
      <c r="AK328" s="122"/>
      <c r="AL328" s="122"/>
      <c r="AM328" s="122"/>
      <c r="AN328" s="64"/>
      <c r="AO328" s="118"/>
      <c r="AP328" s="77"/>
      <c r="AQ328" s="76">
        <f t="shared" si="16"/>
        <v>0</v>
      </c>
    </row>
    <row r="329" spans="2:43" x14ac:dyDescent="0.25">
      <c r="B329" s="182"/>
      <c r="C329" s="116"/>
      <c r="D329" s="117"/>
      <c r="E329" s="118"/>
      <c r="F329" s="126"/>
      <c r="G329" s="127"/>
      <c r="H329" s="119"/>
      <c r="I329" s="119"/>
      <c r="J329" s="115"/>
      <c r="K329" s="80"/>
      <c r="L329" s="120"/>
      <c r="M329" s="8"/>
      <c r="N329" s="115"/>
      <c r="O329" s="78"/>
      <c r="P329" s="121"/>
      <c r="Q329" s="115"/>
      <c r="R329" s="122"/>
      <c r="S329" s="122"/>
      <c r="T329" s="122"/>
      <c r="U329" s="122"/>
      <c r="V329" s="122"/>
      <c r="W329" s="122"/>
      <c r="X329" s="128"/>
      <c r="Y329" s="128"/>
      <c r="Z329" s="128"/>
      <c r="AA329" s="128"/>
      <c r="AB329" s="128"/>
      <c r="AC329" s="122"/>
      <c r="AD329" s="122"/>
      <c r="AE329" s="122"/>
      <c r="AF329" s="122"/>
      <c r="AG329" s="122"/>
      <c r="AH329" s="122"/>
      <c r="AI329" s="122"/>
      <c r="AJ329" s="122"/>
      <c r="AK329" s="122"/>
      <c r="AL329" s="122"/>
      <c r="AM329" s="122"/>
      <c r="AN329" s="64"/>
      <c r="AO329" s="118"/>
      <c r="AP329" s="77"/>
      <c r="AQ329" s="76">
        <f t="shared" si="16"/>
        <v>0</v>
      </c>
    </row>
    <row r="330" spans="2:43" x14ac:dyDescent="0.25">
      <c r="B330" s="182"/>
      <c r="C330" s="116"/>
      <c r="D330" s="117"/>
      <c r="E330" s="118"/>
      <c r="F330" s="126"/>
      <c r="G330" s="127"/>
      <c r="H330" s="119"/>
      <c r="I330" s="119"/>
      <c r="J330" s="115"/>
      <c r="K330" s="80"/>
      <c r="L330" s="120"/>
      <c r="M330" s="8"/>
      <c r="N330" s="115"/>
      <c r="O330" s="78"/>
      <c r="P330" s="121"/>
      <c r="Q330" s="115"/>
      <c r="R330" s="122"/>
      <c r="S330" s="122"/>
      <c r="T330" s="122"/>
      <c r="U330" s="122"/>
      <c r="V330" s="122"/>
      <c r="W330" s="122"/>
      <c r="X330" s="128"/>
      <c r="Y330" s="128"/>
      <c r="Z330" s="128"/>
      <c r="AA330" s="128"/>
      <c r="AB330" s="128"/>
      <c r="AC330" s="122"/>
      <c r="AD330" s="122"/>
      <c r="AE330" s="122"/>
      <c r="AF330" s="122"/>
      <c r="AG330" s="122"/>
      <c r="AH330" s="122"/>
      <c r="AI330" s="122"/>
      <c r="AJ330" s="122"/>
      <c r="AK330" s="122"/>
      <c r="AL330" s="122"/>
      <c r="AM330" s="122"/>
      <c r="AN330" s="64"/>
      <c r="AO330" s="118"/>
      <c r="AP330" s="77"/>
      <c r="AQ330" s="76">
        <f t="shared" si="16"/>
        <v>0</v>
      </c>
    </row>
    <row r="331" spans="2:43" x14ac:dyDescent="0.25">
      <c r="B331" s="182"/>
      <c r="C331" s="116"/>
      <c r="D331" s="117"/>
      <c r="E331" s="118"/>
      <c r="F331" s="126"/>
      <c r="G331" s="127"/>
      <c r="H331" s="119"/>
      <c r="I331" s="119"/>
      <c r="J331" s="115"/>
      <c r="K331" s="80"/>
      <c r="L331" s="120"/>
      <c r="M331" s="8"/>
      <c r="N331" s="115"/>
      <c r="O331" s="78"/>
      <c r="P331" s="121"/>
      <c r="Q331" s="115"/>
      <c r="R331" s="122"/>
      <c r="S331" s="122"/>
      <c r="T331" s="122"/>
      <c r="U331" s="122"/>
      <c r="V331" s="122"/>
      <c r="W331" s="122"/>
      <c r="X331" s="128"/>
      <c r="Y331" s="128"/>
      <c r="Z331" s="128"/>
      <c r="AA331" s="128"/>
      <c r="AB331" s="128"/>
      <c r="AC331" s="122"/>
      <c r="AD331" s="122"/>
      <c r="AE331" s="122"/>
      <c r="AF331" s="122"/>
      <c r="AG331" s="122"/>
      <c r="AH331" s="122"/>
      <c r="AI331" s="122"/>
      <c r="AJ331" s="122"/>
      <c r="AK331" s="122"/>
      <c r="AL331" s="122"/>
      <c r="AM331" s="122"/>
      <c r="AN331" s="64"/>
      <c r="AO331" s="118"/>
      <c r="AP331" s="77"/>
      <c r="AQ331" s="76">
        <f t="shared" si="16"/>
        <v>0</v>
      </c>
    </row>
    <row r="332" spans="2:43" x14ac:dyDescent="0.25">
      <c r="B332" s="182"/>
      <c r="C332" s="116"/>
      <c r="D332" s="117"/>
      <c r="E332" s="118"/>
      <c r="F332" s="126"/>
      <c r="G332" s="127"/>
      <c r="H332" s="119"/>
      <c r="I332" s="119"/>
      <c r="J332" s="115"/>
      <c r="K332" s="80"/>
      <c r="L332" s="120"/>
      <c r="M332" s="8"/>
      <c r="N332" s="115"/>
      <c r="O332" s="78"/>
      <c r="P332" s="121"/>
      <c r="Q332" s="115"/>
      <c r="R332" s="122"/>
      <c r="S332" s="122"/>
      <c r="T332" s="122"/>
      <c r="U332" s="122"/>
      <c r="V332" s="122"/>
      <c r="W332" s="122"/>
      <c r="X332" s="128"/>
      <c r="Y332" s="128"/>
      <c r="Z332" s="128"/>
      <c r="AA332" s="128"/>
      <c r="AB332" s="128"/>
      <c r="AC332" s="122"/>
      <c r="AD332" s="122"/>
      <c r="AE332" s="122"/>
      <c r="AF332" s="122"/>
      <c r="AG332" s="122"/>
      <c r="AH332" s="122"/>
      <c r="AI332" s="122"/>
      <c r="AJ332" s="122"/>
      <c r="AK332" s="122"/>
      <c r="AL332" s="122"/>
      <c r="AM332" s="122"/>
      <c r="AN332" s="64"/>
      <c r="AO332" s="118"/>
      <c r="AP332" s="77"/>
      <c r="AQ332" s="76">
        <f t="shared" si="16"/>
        <v>0</v>
      </c>
    </row>
    <row r="333" spans="2:43" x14ac:dyDescent="0.25">
      <c r="B333" s="182"/>
      <c r="C333" s="116"/>
      <c r="D333" s="117"/>
      <c r="E333" s="118"/>
      <c r="F333" s="126"/>
      <c r="G333" s="127"/>
      <c r="H333" s="119"/>
      <c r="I333" s="119"/>
      <c r="J333" s="115"/>
      <c r="K333" s="80"/>
      <c r="L333" s="120"/>
      <c r="M333" s="8"/>
      <c r="N333" s="115"/>
      <c r="O333" s="78"/>
      <c r="P333" s="121"/>
      <c r="Q333" s="115"/>
      <c r="R333" s="122"/>
      <c r="S333" s="122"/>
      <c r="T333" s="122"/>
      <c r="U333" s="122"/>
      <c r="V333" s="122"/>
      <c r="W333" s="122"/>
      <c r="X333" s="128"/>
      <c r="Y333" s="128"/>
      <c r="Z333" s="128"/>
      <c r="AA333" s="128"/>
      <c r="AB333" s="128"/>
      <c r="AC333" s="122"/>
      <c r="AD333" s="122"/>
      <c r="AE333" s="122"/>
      <c r="AF333" s="122"/>
      <c r="AG333" s="122"/>
      <c r="AH333" s="122"/>
      <c r="AI333" s="122"/>
      <c r="AJ333" s="122"/>
      <c r="AK333" s="122"/>
      <c r="AL333" s="122"/>
      <c r="AM333" s="122"/>
      <c r="AN333" s="64"/>
      <c r="AO333" s="118"/>
      <c r="AP333" s="77"/>
      <c r="AQ333" s="76">
        <f t="shared" si="16"/>
        <v>0</v>
      </c>
    </row>
    <row r="334" spans="2:43" x14ac:dyDescent="0.25">
      <c r="B334" s="182"/>
      <c r="C334" s="116"/>
      <c r="D334" s="117"/>
      <c r="E334" s="118"/>
      <c r="F334" s="126"/>
      <c r="G334" s="127"/>
      <c r="H334" s="119"/>
      <c r="I334" s="119"/>
      <c r="J334" s="115"/>
      <c r="K334" s="80"/>
      <c r="L334" s="120"/>
      <c r="M334" s="8"/>
      <c r="N334" s="115"/>
      <c r="O334" s="78"/>
      <c r="P334" s="121"/>
      <c r="Q334" s="115"/>
      <c r="R334" s="122"/>
      <c r="S334" s="122"/>
      <c r="T334" s="122"/>
      <c r="U334" s="122"/>
      <c r="V334" s="122"/>
      <c r="W334" s="122"/>
      <c r="X334" s="128"/>
      <c r="Y334" s="128"/>
      <c r="Z334" s="128"/>
      <c r="AA334" s="128"/>
      <c r="AB334" s="128"/>
      <c r="AC334" s="122"/>
      <c r="AD334" s="122"/>
      <c r="AE334" s="122"/>
      <c r="AF334" s="122"/>
      <c r="AG334" s="122"/>
      <c r="AH334" s="122"/>
      <c r="AI334" s="122"/>
      <c r="AJ334" s="122"/>
      <c r="AK334" s="122"/>
      <c r="AL334" s="122"/>
      <c r="AM334" s="122"/>
      <c r="AN334" s="64"/>
      <c r="AO334" s="118"/>
      <c r="AP334" s="77"/>
      <c r="AQ334" s="76">
        <f t="shared" si="16"/>
        <v>0</v>
      </c>
    </row>
    <row r="335" spans="2:43" x14ac:dyDescent="0.25">
      <c r="B335" s="182"/>
      <c r="C335" s="116"/>
      <c r="D335" s="117"/>
      <c r="E335" s="118"/>
      <c r="F335" s="126"/>
      <c r="G335" s="127"/>
      <c r="H335" s="119"/>
      <c r="I335" s="119"/>
      <c r="J335" s="115"/>
      <c r="K335" s="80"/>
      <c r="L335" s="120"/>
      <c r="M335" s="8"/>
      <c r="N335" s="115"/>
      <c r="O335" s="78"/>
      <c r="P335" s="121"/>
      <c r="Q335" s="115"/>
      <c r="R335" s="122"/>
      <c r="S335" s="122"/>
      <c r="T335" s="122"/>
      <c r="U335" s="122"/>
      <c r="V335" s="122"/>
      <c r="W335" s="122"/>
      <c r="X335" s="128"/>
      <c r="Y335" s="128"/>
      <c r="Z335" s="128"/>
      <c r="AA335" s="128"/>
      <c r="AB335" s="128"/>
      <c r="AC335" s="122"/>
      <c r="AD335" s="122"/>
      <c r="AE335" s="122"/>
      <c r="AF335" s="122"/>
      <c r="AG335" s="122"/>
      <c r="AH335" s="122"/>
      <c r="AI335" s="122"/>
      <c r="AJ335" s="122"/>
      <c r="AK335" s="122"/>
      <c r="AL335" s="122"/>
      <c r="AM335" s="122"/>
      <c r="AN335" s="64"/>
      <c r="AO335" s="118"/>
      <c r="AP335" s="77"/>
      <c r="AQ335" s="76">
        <f t="shared" si="16"/>
        <v>0</v>
      </c>
    </row>
    <row r="336" spans="2:43" x14ac:dyDescent="0.25">
      <c r="B336" s="182"/>
      <c r="C336" s="116"/>
      <c r="D336" s="117"/>
      <c r="E336" s="118"/>
      <c r="F336" s="126"/>
      <c r="G336" s="127"/>
      <c r="H336" s="119"/>
      <c r="I336" s="119"/>
      <c r="J336" s="115"/>
      <c r="K336" s="80"/>
      <c r="L336" s="120"/>
      <c r="M336" s="8"/>
      <c r="N336" s="115"/>
      <c r="O336" s="78"/>
      <c r="P336" s="121"/>
      <c r="Q336" s="115"/>
      <c r="R336" s="122"/>
      <c r="S336" s="122"/>
      <c r="T336" s="122"/>
      <c r="U336" s="122"/>
      <c r="V336" s="122"/>
      <c r="W336" s="122"/>
      <c r="X336" s="128"/>
      <c r="Y336" s="128"/>
      <c r="Z336" s="128"/>
      <c r="AA336" s="128"/>
      <c r="AB336" s="128"/>
      <c r="AC336" s="122"/>
      <c r="AD336" s="122"/>
      <c r="AE336" s="122"/>
      <c r="AF336" s="122"/>
      <c r="AG336" s="122"/>
      <c r="AH336" s="122"/>
      <c r="AI336" s="122"/>
      <c r="AJ336" s="122"/>
      <c r="AK336" s="122"/>
      <c r="AL336" s="122"/>
      <c r="AM336" s="122"/>
      <c r="AN336" s="64"/>
      <c r="AO336" s="118"/>
      <c r="AP336" s="77"/>
      <c r="AQ336" s="76">
        <f t="shared" si="16"/>
        <v>0</v>
      </c>
    </row>
    <row r="337" spans="2:43" x14ac:dyDescent="0.25">
      <c r="B337" s="182"/>
      <c r="C337" s="116"/>
      <c r="D337" s="117"/>
      <c r="E337" s="118"/>
      <c r="F337" s="126"/>
      <c r="G337" s="127"/>
      <c r="H337" s="119"/>
      <c r="I337" s="119"/>
      <c r="J337" s="115"/>
      <c r="K337" s="80"/>
      <c r="L337" s="120"/>
      <c r="M337" s="8"/>
      <c r="N337" s="115"/>
      <c r="O337" s="78"/>
      <c r="P337" s="121"/>
      <c r="Q337" s="115"/>
      <c r="R337" s="122"/>
      <c r="S337" s="122"/>
      <c r="T337" s="122"/>
      <c r="U337" s="122"/>
      <c r="V337" s="122"/>
      <c r="W337" s="122"/>
      <c r="X337" s="128"/>
      <c r="Y337" s="128"/>
      <c r="Z337" s="128"/>
      <c r="AA337" s="128"/>
      <c r="AB337" s="128"/>
      <c r="AC337" s="122"/>
      <c r="AD337" s="122"/>
      <c r="AE337" s="122"/>
      <c r="AF337" s="122"/>
      <c r="AG337" s="122"/>
      <c r="AH337" s="122"/>
      <c r="AI337" s="122"/>
      <c r="AJ337" s="122"/>
      <c r="AK337" s="122"/>
      <c r="AL337" s="122"/>
      <c r="AM337" s="122"/>
      <c r="AN337" s="64"/>
      <c r="AO337" s="118"/>
      <c r="AP337" s="77"/>
      <c r="AQ337" s="76">
        <f t="shared" si="16"/>
        <v>0</v>
      </c>
    </row>
    <row r="338" spans="2:43" x14ac:dyDescent="0.25">
      <c r="B338" s="182"/>
      <c r="C338" s="116"/>
      <c r="D338" s="117"/>
      <c r="E338" s="118"/>
      <c r="F338" s="126"/>
      <c r="G338" s="127"/>
      <c r="H338" s="119"/>
      <c r="I338" s="119"/>
      <c r="J338" s="115"/>
      <c r="K338" s="80"/>
      <c r="L338" s="120"/>
      <c r="M338" s="8"/>
      <c r="N338" s="115"/>
      <c r="O338" s="78"/>
      <c r="P338" s="121"/>
      <c r="Q338" s="115"/>
      <c r="R338" s="122"/>
      <c r="S338" s="122"/>
      <c r="T338" s="122"/>
      <c r="U338" s="122"/>
      <c r="V338" s="122"/>
      <c r="W338" s="122"/>
      <c r="X338" s="128"/>
      <c r="Y338" s="128"/>
      <c r="Z338" s="128"/>
      <c r="AA338" s="128"/>
      <c r="AB338" s="128"/>
      <c r="AC338" s="122"/>
      <c r="AD338" s="122"/>
      <c r="AE338" s="122"/>
      <c r="AF338" s="122"/>
      <c r="AG338" s="122"/>
      <c r="AH338" s="122"/>
      <c r="AI338" s="122"/>
      <c r="AJ338" s="122"/>
      <c r="AK338" s="122"/>
      <c r="AL338" s="122"/>
      <c r="AM338" s="122"/>
      <c r="AN338" s="64"/>
      <c r="AO338" s="118"/>
      <c r="AP338" s="77"/>
      <c r="AQ338" s="76">
        <f t="shared" si="16"/>
        <v>0</v>
      </c>
    </row>
    <row r="339" spans="2:43" x14ac:dyDescent="0.25">
      <c r="B339" s="182"/>
      <c r="C339" s="116"/>
      <c r="D339" s="117"/>
      <c r="E339" s="118"/>
      <c r="F339" s="126"/>
      <c r="G339" s="127"/>
      <c r="H339" s="119"/>
      <c r="I339" s="119"/>
      <c r="J339" s="115"/>
      <c r="K339" s="80"/>
      <c r="L339" s="120"/>
      <c r="M339" s="8"/>
      <c r="N339" s="115"/>
      <c r="O339" s="78"/>
      <c r="P339" s="121"/>
      <c r="Q339" s="115"/>
      <c r="R339" s="122"/>
      <c r="S339" s="122"/>
      <c r="T339" s="122"/>
      <c r="U339" s="122"/>
      <c r="V339" s="122"/>
      <c r="W339" s="122"/>
      <c r="X339" s="128"/>
      <c r="Y339" s="128"/>
      <c r="Z339" s="128"/>
      <c r="AA339" s="128"/>
      <c r="AB339" s="128"/>
      <c r="AC339" s="122"/>
      <c r="AD339" s="122"/>
      <c r="AE339" s="122"/>
      <c r="AF339" s="122"/>
      <c r="AG339" s="122"/>
      <c r="AH339" s="122"/>
      <c r="AI339" s="122"/>
      <c r="AJ339" s="122"/>
      <c r="AK339" s="122"/>
      <c r="AL339" s="122"/>
      <c r="AM339" s="122"/>
      <c r="AN339" s="64"/>
      <c r="AO339" s="118"/>
      <c r="AP339" s="77"/>
      <c r="AQ339" s="76">
        <f t="shared" si="16"/>
        <v>0</v>
      </c>
    </row>
    <row r="340" spans="2:43" x14ac:dyDescent="0.25">
      <c r="B340" s="182"/>
      <c r="C340" s="116"/>
      <c r="D340" s="117"/>
      <c r="E340" s="118"/>
      <c r="F340" s="126"/>
      <c r="G340" s="127"/>
      <c r="H340" s="119"/>
      <c r="I340" s="119"/>
      <c r="J340" s="115"/>
      <c r="K340" s="80"/>
      <c r="L340" s="120"/>
      <c r="M340" s="8"/>
      <c r="N340" s="115"/>
      <c r="O340" s="78"/>
      <c r="P340" s="121"/>
      <c r="Q340" s="115"/>
      <c r="R340" s="122"/>
      <c r="S340" s="122"/>
      <c r="T340" s="122"/>
      <c r="U340" s="122"/>
      <c r="V340" s="122"/>
      <c r="W340" s="122"/>
      <c r="X340" s="128"/>
      <c r="Y340" s="128"/>
      <c r="Z340" s="128"/>
      <c r="AA340" s="128"/>
      <c r="AB340" s="128"/>
      <c r="AC340" s="122"/>
      <c r="AD340" s="122"/>
      <c r="AE340" s="122"/>
      <c r="AF340" s="122"/>
      <c r="AG340" s="122"/>
      <c r="AH340" s="122"/>
      <c r="AI340" s="122"/>
      <c r="AJ340" s="122"/>
      <c r="AK340" s="122"/>
      <c r="AL340" s="122"/>
      <c r="AM340" s="122"/>
      <c r="AN340" s="64"/>
      <c r="AO340" s="118"/>
      <c r="AP340" s="77"/>
      <c r="AQ340" s="76">
        <f t="shared" si="16"/>
        <v>0</v>
      </c>
    </row>
    <row r="341" spans="2:43" x14ac:dyDescent="0.25">
      <c r="B341" s="182"/>
      <c r="C341" s="116"/>
      <c r="D341" s="117"/>
      <c r="E341" s="118"/>
      <c r="F341" s="126"/>
      <c r="G341" s="127"/>
      <c r="H341" s="119"/>
      <c r="I341" s="119"/>
      <c r="J341" s="115"/>
      <c r="K341" s="80"/>
      <c r="L341" s="120"/>
      <c r="M341" s="8"/>
      <c r="N341" s="115"/>
      <c r="O341" s="78"/>
      <c r="P341" s="121"/>
      <c r="Q341" s="115"/>
      <c r="R341" s="122"/>
      <c r="S341" s="122"/>
      <c r="T341" s="122"/>
      <c r="U341" s="122"/>
      <c r="V341" s="122"/>
      <c r="W341" s="122"/>
      <c r="X341" s="128"/>
      <c r="Y341" s="128"/>
      <c r="Z341" s="128"/>
      <c r="AA341" s="128"/>
      <c r="AB341" s="128"/>
      <c r="AC341" s="122"/>
      <c r="AD341" s="122"/>
      <c r="AE341" s="122"/>
      <c r="AF341" s="122"/>
      <c r="AG341" s="122"/>
      <c r="AH341" s="122"/>
      <c r="AI341" s="122"/>
      <c r="AJ341" s="122"/>
      <c r="AK341" s="122"/>
      <c r="AL341" s="122"/>
      <c r="AM341" s="122"/>
      <c r="AN341" s="64"/>
      <c r="AO341" s="118"/>
      <c r="AP341" s="77"/>
      <c r="AQ341" s="76">
        <f t="shared" si="16"/>
        <v>0</v>
      </c>
    </row>
    <row r="342" spans="2:43" x14ac:dyDescent="0.25">
      <c r="B342" s="182"/>
      <c r="C342" s="116"/>
      <c r="D342" s="117"/>
      <c r="E342" s="118"/>
      <c r="F342" s="126"/>
      <c r="G342" s="127"/>
      <c r="H342" s="119"/>
      <c r="I342" s="119"/>
      <c r="J342" s="115"/>
      <c r="K342" s="80"/>
      <c r="L342" s="120"/>
      <c r="M342" s="8"/>
      <c r="N342" s="115"/>
      <c r="O342" s="78"/>
      <c r="P342" s="121"/>
      <c r="Q342" s="115"/>
      <c r="R342" s="122"/>
      <c r="S342" s="122"/>
      <c r="T342" s="122"/>
      <c r="U342" s="122"/>
      <c r="V342" s="122"/>
      <c r="W342" s="122"/>
      <c r="X342" s="128"/>
      <c r="Y342" s="128"/>
      <c r="Z342" s="128"/>
      <c r="AA342" s="128"/>
      <c r="AB342" s="128"/>
      <c r="AC342" s="122"/>
      <c r="AD342" s="122"/>
      <c r="AE342" s="122"/>
      <c r="AF342" s="122"/>
      <c r="AG342" s="122"/>
      <c r="AH342" s="122"/>
      <c r="AI342" s="122"/>
      <c r="AJ342" s="122"/>
      <c r="AK342" s="122"/>
      <c r="AL342" s="122"/>
      <c r="AM342" s="122"/>
      <c r="AN342" s="64"/>
      <c r="AO342" s="118"/>
      <c r="AP342" s="77"/>
      <c r="AQ342" s="76">
        <f t="shared" si="16"/>
        <v>0</v>
      </c>
    </row>
    <row r="343" spans="2:43" x14ac:dyDescent="0.25">
      <c r="B343" s="182"/>
      <c r="C343" s="116"/>
      <c r="D343" s="117"/>
      <c r="E343" s="118"/>
      <c r="F343" s="126"/>
      <c r="G343" s="127"/>
      <c r="H343" s="119"/>
      <c r="I343" s="119"/>
      <c r="J343" s="115"/>
      <c r="K343" s="80"/>
      <c r="L343" s="120"/>
      <c r="M343" s="8"/>
      <c r="N343" s="115"/>
      <c r="O343" s="78"/>
      <c r="P343" s="121"/>
      <c r="Q343" s="115"/>
      <c r="R343" s="122"/>
      <c r="S343" s="122"/>
      <c r="T343" s="122"/>
      <c r="U343" s="122"/>
      <c r="V343" s="122"/>
      <c r="W343" s="122"/>
      <c r="X343" s="128"/>
      <c r="Y343" s="128"/>
      <c r="Z343" s="128"/>
      <c r="AA343" s="128"/>
      <c r="AB343" s="128"/>
      <c r="AC343" s="122"/>
      <c r="AD343" s="122"/>
      <c r="AE343" s="122"/>
      <c r="AF343" s="122"/>
      <c r="AG343" s="122"/>
      <c r="AH343" s="122"/>
      <c r="AI343" s="122"/>
      <c r="AJ343" s="122"/>
      <c r="AK343" s="122"/>
      <c r="AL343" s="122"/>
      <c r="AM343" s="122"/>
      <c r="AN343" s="64"/>
      <c r="AO343" s="118"/>
      <c r="AP343" s="77"/>
      <c r="AQ343" s="76">
        <f t="shared" si="16"/>
        <v>0</v>
      </c>
    </row>
    <row r="344" spans="2:43" x14ac:dyDescent="0.25">
      <c r="B344" s="182"/>
      <c r="C344" s="116"/>
      <c r="D344" s="117"/>
      <c r="E344" s="118"/>
      <c r="F344" s="126"/>
      <c r="G344" s="127"/>
      <c r="H344" s="119"/>
      <c r="I344" s="119"/>
      <c r="J344" s="115"/>
      <c r="K344" s="80"/>
      <c r="L344" s="120"/>
      <c r="M344" s="8"/>
      <c r="N344" s="115"/>
      <c r="O344" s="78"/>
      <c r="P344" s="121"/>
      <c r="Q344" s="115"/>
      <c r="R344" s="122"/>
      <c r="S344" s="122"/>
      <c r="T344" s="122"/>
      <c r="U344" s="122"/>
      <c r="V344" s="122"/>
      <c r="W344" s="122"/>
      <c r="X344" s="128"/>
      <c r="Y344" s="128"/>
      <c r="Z344" s="128"/>
      <c r="AA344" s="128"/>
      <c r="AB344" s="128"/>
      <c r="AC344" s="122"/>
      <c r="AD344" s="122"/>
      <c r="AE344" s="122"/>
      <c r="AF344" s="122"/>
      <c r="AG344" s="122"/>
      <c r="AH344" s="122"/>
      <c r="AI344" s="122"/>
      <c r="AJ344" s="122"/>
      <c r="AK344" s="122"/>
      <c r="AL344" s="122"/>
      <c r="AM344" s="122"/>
      <c r="AN344" s="64"/>
      <c r="AO344" s="118"/>
      <c r="AP344" s="77"/>
      <c r="AQ344" s="76">
        <f t="shared" ref="AQ344:AQ407" si="17">IFERROR(K344*O344*AP344,"")</f>
        <v>0</v>
      </c>
    </row>
    <row r="345" spans="2:43" x14ac:dyDescent="0.25">
      <c r="B345" s="182"/>
      <c r="C345" s="116"/>
      <c r="D345" s="117"/>
      <c r="E345" s="118"/>
      <c r="F345" s="126"/>
      <c r="G345" s="127"/>
      <c r="H345" s="119"/>
      <c r="I345" s="119"/>
      <c r="J345" s="115"/>
      <c r="K345" s="80"/>
      <c r="L345" s="120"/>
      <c r="M345" s="8"/>
      <c r="N345" s="115"/>
      <c r="O345" s="78"/>
      <c r="P345" s="121"/>
      <c r="Q345" s="115"/>
      <c r="R345" s="122"/>
      <c r="S345" s="122"/>
      <c r="T345" s="122"/>
      <c r="U345" s="122"/>
      <c r="V345" s="122"/>
      <c r="W345" s="122"/>
      <c r="X345" s="128"/>
      <c r="Y345" s="128"/>
      <c r="Z345" s="128"/>
      <c r="AA345" s="128"/>
      <c r="AB345" s="128"/>
      <c r="AC345" s="122"/>
      <c r="AD345" s="122"/>
      <c r="AE345" s="122"/>
      <c r="AF345" s="122"/>
      <c r="AG345" s="122"/>
      <c r="AH345" s="122"/>
      <c r="AI345" s="122"/>
      <c r="AJ345" s="122"/>
      <c r="AK345" s="122"/>
      <c r="AL345" s="122"/>
      <c r="AM345" s="122"/>
      <c r="AN345" s="64"/>
      <c r="AO345" s="118"/>
      <c r="AP345" s="77"/>
      <c r="AQ345" s="76">
        <f t="shared" si="17"/>
        <v>0</v>
      </c>
    </row>
    <row r="346" spans="2:43" x14ac:dyDescent="0.25">
      <c r="B346" s="182"/>
      <c r="C346" s="116"/>
      <c r="D346" s="117"/>
      <c r="E346" s="118"/>
      <c r="F346" s="126"/>
      <c r="G346" s="127"/>
      <c r="H346" s="119"/>
      <c r="I346" s="119"/>
      <c r="J346" s="115"/>
      <c r="K346" s="80"/>
      <c r="L346" s="120"/>
      <c r="M346" s="8"/>
      <c r="N346" s="115"/>
      <c r="O346" s="78"/>
      <c r="P346" s="121"/>
      <c r="Q346" s="115"/>
      <c r="R346" s="122"/>
      <c r="S346" s="122"/>
      <c r="T346" s="122"/>
      <c r="U346" s="122"/>
      <c r="V346" s="122"/>
      <c r="W346" s="122"/>
      <c r="X346" s="128"/>
      <c r="Y346" s="128"/>
      <c r="Z346" s="128"/>
      <c r="AA346" s="128"/>
      <c r="AB346" s="128"/>
      <c r="AC346" s="122"/>
      <c r="AD346" s="122"/>
      <c r="AE346" s="122"/>
      <c r="AF346" s="122"/>
      <c r="AG346" s="122"/>
      <c r="AH346" s="122"/>
      <c r="AI346" s="122"/>
      <c r="AJ346" s="122"/>
      <c r="AK346" s="122"/>
      <c r="AL346" s="122"/>
      <c r="AM346" s="122"/>
      <c r="AN346" s="64"/>
      <c r="AO346" s="118"/>
      <c r="AP346" s="77"/>
      <c r="AQ346" s="76">
        <f t="shared" si="17"/>
        <v>0</v>
      </c>
    </row>
    <row r="347" spans="2:43" x14ac:dyDescent="0.25">
      <c r="B347" s="182"/>
      <c r="C347" s="116"/>
      <c r="D347" s="117"/>
      <c r="E347" s="118"/>
      <c r="F347" s="126"/>
      <c r="G347" s="127"/>
      <c r="H347" s="119"/>
      <c r="I347" s="119"/>
      <c r="J347" s="115"/>
      <c r="K347" s="80"/>
      <c r="L347" s="120"/>
      <c r="M347" s="8"/>
      <c r="N347" s="115"/>
      <c r="O347" s="78"/>
      <c r="P347" s="121"/>
      <c r="Q347" s="115"/>
      <c r="R347" s="122"/>
      <c r="S347" s="122"/>
      <c r="T347" s="122"/>
      <c r="U347" s="122"/>
      <c r="V347" s="122"/>
      <c r="W347" s="122"/>
      <c r="X347" s="128"/>
      <c r="Y347" s="128"/>
      <c r="Z347" s="128"/>
      <c r="AA347" s="128"/>
      <c r="AB347" s="128"/>
      <c r="AC347" s="122"/>
      <c r="AD347" s="122"/>
      <c r="AE347" s="122"/>
      <c r="AF347" s="122"/>
      <c r="AG347" s="122"/>
      <c r="AH347" s="122"/>
      <c r="AI347" s="122"/>
      <c r="AJ347" s="122"/>
      <c r="AK347" s="122"/>
      <c r="AL347" s="122"/>
      <c r="AM347" s="122"/>
      <c r="AN347" s="64"/>
      <c r="AO347" s="118"/>
      <c r="AP347" s="77"/>
      <c r="AQ347" s="76">
        <f t="shared" si="17"/>
        <v>0</v>
      </c>
    </row>
    <row r="348" spans="2:43" x14ac:dyDescent="0.25">
      <c r="B348" s="182"/>
      <c r="C348" s="116"/>
      <c r="D348" s="117"/>
      <c r="E348" s="118"/>
      <c r="F348" s="126"/>
      <c r="G348" s="127"/>
      <c r="H348" s="119"/>
      <c r="I348" s="119"/>
      <c r="J348" s="115"/>
      <c r="K348" s="80"/>
      <c r="L348" s="120"/>
      <c r="M348" s="8"/>
      <c r="N348" s="115"/>
      <c r="O348" s="78"/>
      <c r="P348" s="121"/>
      <c r="Q348" s="115"/>
      <c r="R348" s="122"/>
      <c r="S348" s="122"/>
      <c r="T348" s="122"/>
      <c r="U348" s="122"/>
      <c r="V348" s="122"/>
      <c r="W348" s="122"/>
      <c r="X348" s="128"/>
      <c r="Y348" s="128"/>
      <c r="Z348" s="128"/>
      <c r="AA348" s="128"/>
      <c r="AB348" s="128"/>
      <c r="AC348" s="122"/>
      <c r="AD348" s="122"/>
      <c r="AE348" s="122"/>
      <c r="AF348" s="122"/>
      <c r="AG348" s="122"/>
      <c r="AH348" s="122"/>
      <c r="AI348" s="122"/>
      <c r="AJ348" s="122"/>
      <c r="AK348" s="122"/>
      <c r="AL348" s="122"/>
      <c r="AM348" s="122"/>
      <c r="AN348" s="64"/>
      <c r="AO348" s="118"/>
      <c r="AP348" s="77"/>
      <c r="AQ348" s="76">
        <f t="shared" si="17"/>
        <v>0</v>
      </c>
    </row>
    <row r="349" spans="2:43" x14ac:dyDescent="0.25">
      <c r="B349" s="182"/>
      <c r="C349" s="116"/>
      <c r="D349" s="117"/>
      <c r="E349" s="118"/>
      <c r="F349" s="126"/>
      <c r="G349" s="127"/>
      <c r="H349" s="119"/>
      <c r="I349" s="119"/>
      <c r="J349" s="115"/>
      <c r="K349" s="80"/>
      <c r="L349" s="120"/>
      <c r="M349" s="8"/>
      <c r="N349" s="115"/>
      <c r="O349" s="78"/>
      <c r="P349" s="121"/>
      <c r="Q349" s="115"/>
      <c r="R349" s="122"/>
      <c r="S349" s="122"/>
      <c r="T349" s="122"/>
      <c r="U349" s="122"/>
      <c r="V349" s="122"/>
      <c r="W349" s="122"/>
      <c r="X349" s="128"/>
      <c r="Y349" s="128"/>
      <c r="Z349" s="128"/>
      <c r="AA349" s="128"/>
      <c r="AB349" s="128"/>
      <c r="AC349" s="122"/>
      <c r="AD349" s="122"/>
      <c r="AE349" s="122"/>
      <c r="AF349" s="122"/>
      <c r="AG349" s="122"/>
      <c r="AH349" s="122"/>
      <c r="AI349" s="122"/>
      <c r="AJ349" s="122"/>
      <c r="AK349" s="122"/>
      <c r="AL349" s="122"/>
      <c r="AM349" s="122"/>
      <c r="AN349" s="64"/>
      <c r="AO349" s="118"/>
      <c r="AP349" s="77"/>
      <c r="AQ349" s="76">
        <f t="shared" si="17"/>
        <v>0</v>
      </c>
    </row>
    <row r="350" spans="2:43" x14ac:dyDescent="0.25">
      <c r="B350" s="182"/>
      <c r="C350" s="116"/>
      <c r="D350" s="117"/>
      <c r="E350" s="118"/>
      <c r="F350" s="126"/>
      <c r="G350" s="127"/>
      <c r="H350" s="119"/>
      <c r="I350" s="119"/>
      <c r="J350" s="115"/>
      <c r="K350" s="80"/>
      <c r="L350" s="120"/>
      <c r="M350" s="8"/>
      <c r="N350" s="115"/>
      <c r="O350" s="78"/>
      <c r="P350" s="121"/>
      <c r="Q350" s="115"/>
      <c r="R350" s="122"/>
      <c r="S350" s="122"/>
      <c r="T350" s="122"/>
      <c r="U350" s="122"/>
      <c r="V350" s="122"/>
      <c r="W350" s="122"/>
      <c r="X350" s="128"/>
      <c r="Y350" s="128"/>
      <c r="Z350" s="128"/>
      <c r="AA350" s="128"/>
      <c r="AB350" s="128"/>
      <c r="AC350" s="122"/>
      <c r="AD350" s="122"/>
      <c r="AE350" s="122"/>
      <c r="AF350" s="122"/>
      <c r="AG350" s="122"/>
      <c r="AH350" s="122"/>
      <c r="AI350" s="122"/>
      <c r="AJ350" s="122"/>
      <c r="AK350" s="122"/>
      <c r="AL350" s="122"/>
      <c r="AM350" s="122"/>
      <c r="AN350" s="64"/>
      <c r="AO350" s="118"/>
      <c r="AP350" s="77"/>
      <c r="AQ350" s="76">
        <f t="shared" si="17"/>
        <v>0</v>
      </c>
    </row>
    <row r="351" spans="2:43" x14ac:dyDescent="0.25">
      <c r="B351" s="182"/>
      <c r="C351" s="116"/>
      <c r="D351" s="117"/>
      <c r="E351" s="118"/>
      <c r="F351" s="126"/>
      <c r="G351" s="127"/>
      <c r="H351" s="119"/>
      <c r="I351" s="119"/>
      <c r="J351" s="115"/>
      <c r="K351" s="80"/>
      <c r="L351" s="120"/>
      <c r="M351" s="8"/>
      <c r="N351" s="115"/>
      <c r="O351" s="78"/>
      <c r="P351" s="121"/>
      <c r="Q351" s="115"/>
      <c r="R351" s="122"/>
      <c r="S351" s="122"/>
      <c r="T351" s="122"/>
      <c r="U351" s="122"/>
      <c r="V351" s="122"/>
      <c r="W351" s="122"/>
      <c r="X351" s="128"/>
      <c r="Y351" s="128"/>
      <c r="Z351" s="128"/>
      <c r="AA351" s="128"/>
      <c r="AB351" s="128"/>
      <c r="AC351" s="122"/>
      <c r="AD351" s="122"/>
      <c r="AE351" s="122"/>
      <c r="AF351" s="122"/>
      <c r="AG351" s="122"/>
      <c r="AH351" s="122"/>
      <c r="AI351" s="122"/>
      <c r="AJ351" s="122"/>
      <c r="AK351" s="122"/>
      <c r="AL351" s="122"/>
      <c r="AM351" s="122"/>
      <c r="AN351" s="64"/>
      <c r="AO351" s="118"/>
      <c r="AP351" s="77"/>
      <c r="AQ351" s="76">
        <f t="shared" si="17"/>
        <v>0</v>
      </c>
    </row>
    <row r="352" spans="2:43" x14ac:dyDescent="0.25">
      <c r="B352" s="182"/>
      <c r="C352" s="116"/>
      <c r="D352" s="117"/>
      <c r="E352" s="118"/>
      <c r="F352" s="126"/>
      <c r="G352" s="127"/>
      <c r="H352" s="119"/>
      <c r="I352" s="119"/>
      <c r="J352" s="115"/>
      <c r="K352" s="80"/>
      <c r="L352" s="120"/>
      <c r="M352" s="8"/>
      <c r="N352" s="115"/>
      <c r="O352" s="78"/>
      <c r="P352" s="121"/>
      <c r="Q352" s="115"/>
      <c r="R352" s="122"/>
      <c r="S352" s="122"/>
      <c r="T352" s="122"/>
      <c r="U352" s="122"/>
      <c r="V352" s="122"/>
      <c r="W352" s="122"/>
      <c r="X352" s="128"/>
      <c r="Y352" s="128"/>
      <c r="Z352" s="128"/>
      <c r="AA352" s="128"/>
      <c r="AB352" s="128"/>
      <c r="AC352" s="122"/>
      <c r="AD352" s="122"/>
      <c r="AE352" s="122"/>
      <c r="AF352" s="122"/>
      <c r="AG352" s="122"/>
      <c r="AH352" s="122"/>
      <c r="AI352" s="122"/>
      <c r="AJ352" s="122"/>
      <c r="AK352" s="122"/>
      <c r="AL352" s="122"/>
      <c r="AM352" s="122"/>
      <c r="AN352" s="64"/>
      <c r="AO352" s="118"/>
      <c r="AP352" s="77"/>
      <c r="AQ352" s="76">
        <f t="shared" si="17"/>
        <v>0</v>
      </c>
    </row>
    <row r="353" spans="2:43" x14ac:dyDescent="0.25">
      <c r="B353" s="182"/>
      <c r="C353" s="116"/>
      <c r="D353" s="117"/>
      <c r="E353" s="118"/>
      <c r="F353" s="126"/>
      <c r="G353" s="127"/>
      <c r="H353" s="119"/>
      <c r="I353" s="119"/>
      <c r="J353" s="115"/>
      <c r="K353" s="80"/>
      <c r="L353" s="120"/>
      <c r="M353" s="8"/>
      <c r="N353" s="115"/>
      <c r="O353" s="78"/>
      <c r="P353" s="121"/>
      <c r="Q353" s="115"/>
      <c r="R353" s="122"/>
      <c r="S353" s="122"/>
      <c r="T353" s="122"/>
      <c r="U353" s="122"/>
      <c r="V353" s="122"/>
      <c r="W353" s="122"/>
      <c r="X353" s="128"/>
      <c r="Y353" s="128"/>
      <c r="Z353" s="128"/>
      <c r="AA353" s="128"/>
      <c r="AB353" s="128"/>
      <c r="AC353" s="122"/>
      <c r="AD353" s="122"/>
      <c r="AE353" s="122"/>
      <c r="AF353" s="122"/>
      <c r="AG353" s="122"/>
      <c r="AH353" s="122"/>
      <c r="AI353" s="122"/>
      <c r="AJ353" s="122"/>
      <c r="AK353" s="122"/>
      <c r="AL353" s="122"/>
      <c r="AM353" s="122"/>
      <c r="AN353" s="64"/>
      <c r="AO353" s="118"/>
      <c r="AP353" s="77"/>
      <c r="AQ353" s="76">
        <f t="shared" si="17"/>
        <v>0</v>
      </c>
    </row>
    <row r="354" spans="2:43" x14ac:dyDescent="0.25">
      <c r="B354" s="182"/>
      <c r="C354" s="116"/>
      <c r="D354" s="117"/>
      <c r="E354" s="118"/>
      <c r="F354" s="126"/>
      <c r="G354" s="127"/>
      <c r="H354" s="119"/>
      <c r="I354" s="119"/>
      <c r="J354" s="115"/>
      <c r="K354" s="80"/>
      <c r="L354" s="120"/>
      <c r="M354" s="8"/>
      <c r="N354" s="115"/>
      <c r="O354" s="78"/>
      <c r="P354" s="121"/>
      <c r="Q354" s="115"/>
      <c r="R354" s="122"/>
      <c r="S354" s="122"/>
      <c r="T354" s="122"/>
      <c r="U354" s="122"/>
      <c r="V354" s="122"/>
      <c r="W354" s="122"/>
      <c r="X354" s="128"/>
      <c r="Y354" s="128"/>
      <c r="Z354" s="128"/>
      <c r="AA354" s="128"/>
      <c r="AB354" s="128"/>
      <c r="AC354" s="122"/>
      <c r="AD354" s="122"/>
      <c r="AE354" s="122"/>
      <c r="AF354" s="122"/>
      <c r="AG354" s="122"/>
      <c r="AH354" s="122"/>
      <c r="AI354" s="122"/>
      <c r="AJ354" s="122"/>
      <c r="AK354" s="122"/>
      <c r="AL354" s="122"/>
      <c r="AM354" s="122"/>
      <c r="AN354" s="64"/>
      <c r="AO354" s="118"/>
      <c r="AP354" s="77"/>
      <c r="AQ354" s="76">
        <f t="shared" si="17"/>
        <v>0</v>
      </c>
    </row>
    <row r="355" spans="2:43" x14ac:dyDescent="0.25">
      <c r="B355" s="182"/>
      <c r="C355" s="116"/>
      <c r="D355" s="117"/>
      <c r="E355" s="118"/>
      <c r="F355" s="126"/>
      <c r="G355" s="127"/>
      <c r="H355" s="119"/>
      <c r="I355" s="119"/>
      <c r="J355" s="115"/>
      <c r="K355" s="80"/>
      <c r="L355" s="120"/>
      <c r="M355" s="8"/>
      <c r="N355" s="115"/>
      <c r="O355" s="78"/>
      <c r="P355" s="121"/>
      <c r="Q355" s="115"/>
      <c r="R355" s="122"/>
      <c r="S355" s="122"/>
      <c r="T355" s="122"/>
      <c r="U355" s="122"/>
      <c r="V355" s="122"/>
      <c r="W355" s="122"/>
      <c r="X355" s="128"/>
      <c r="Y355" s="128"/>
      <c r="Z355" s="128"/>
      <c r="AA355" s="128"/>
      <c r="AB355" s="128"/>
      <c r="AC355" s="122"/>
      <c r="AD355" s="122"/>
      <c r="AE355" s="122"/>
      <c r="AF355" s="122"/>
      <c r="AG355" s="122"/>
      <c r="AH355" s="122"/>
      <c r="AI355" s="122"/>
      <c r="AJ355" s="122"/>
      <c r="AK355" s="122"/>
      <c r="AL355" s="122"/>
      <c r="AM355" s="122"/>
      <c r="AN355" s="64"/>
      <c r="AO355" s="118"/>
      <c r="AP355" s="77"/>
      <c r="AQ355" s="76">
        <f t="shared" si="17"/>
        <v>0</v>
      </c>
    </row>
    <row r="356" spans="2:43" x14ac:dyDescent="0.25">
      <c r="B356" s="182"/>
      <c r="C356" s="116"/>
      <c r="D356" s="117"/>
      <c r="E356" s="118"/>
      <c r="F356" s="126"/>
      <c r="G356" s="127"/>
      <c r="H356" s="119"/>
      <c r="I356" s="119"/>
      <c r="J356" s="115"/>
      <c r="K356" s="80"/>
      <c r="L356" s="120"/>
      <c r="M356" s="8"/>
      <c r="N356" s="115"/>
      <c r="O356" s="78"/>
      <c r="P356" s="121"/>
      <c r="Q356" s="115"/>
      <c r="R356" s="122"/>
      <c r="S356" s="122"/>
      <c r="T356" s="122"/>
      <c r="U356" s="122"/>
      <c r="V356" s="122"/>
      <c r="W356" s="122"/>
      <c r="X356" s="128"/>
      <c r="Y356" s="128"/>
      <c r="Z356" s="128"/>
      <c r="AA356" s="128"/>
      <c r="AB356" s="128"/>
      <c r="AC356" s="122"/>
      <c r="AD356" s="122"/>
      <c r="AE356" s="122"/>
      <c r="AF356" s="122"/>
      <c r="AG356" s="122"/>
      <c r="AH356" s="122"/>
      <c r="AI356" s="122"/>
      <c r="AJ356" s="122"/>
      <c r="AK356" s="122"/>
      <c r="AL356" s="122"/>
      <c r="AM356" s="122"/>
      <c r="AN356" s="64"/>
      <c r="AO356" s="118"/>
      <c r="AP356" s="77"/>
      <c r="AQ356" s="76">
        <f t="shared" si="17"/>
        <v>0</v>
      </c>
    </row>
    <row r="357" spans="2:43" x14ac:dyDescent="0.25">
      <c r="B357" s="182"/>
      <c r="C357" s="116"/>
      <c r="D357" s="117"/>
      <c r="E357" s="118"/>
      <c r="F357" s="126"/>
      <c r="G357" s="127"/>
      <c r="H357" s="119"/>
      <c r="I357" s="119"/>
      <c r="J357" s="115"/>
      <c r="K357" s="80"/>
      <c r="L357" s="120"/>
      <c r="M357" s="8"/>
      <c r="N357" s="115"/>
      <c r="O357" s="78"/>
      <c r="P357" s="121"/>
      <c r="Q357" s="115"/>
      <c r="R357" s="122"/>
      <c r="S357" s="122"/>
      <c r="T357" s="122"/>
      <c r="U357" s="122"/>
      <c r="V357" s="122"/>
      <c r="W357" s="122"/>
      <c r="X357" s="128"/>
      <c r="Y357" s="128"/>
      <c r="Z357" s="128"/>
      <c r="AA357" s="128"/>
      <c r="AB357" s="128"/>
      <c r="AC357" s="122"/>
      <c r="AD357" s="122"/>
      <c r="AE357" s="122"/>
      <c r="AF357" s="122"/>
      <c r="AG357" s="122"/>
      <c r="AH357" s="122"/>
      <c r="AI357" s="122"/>
      <c r="AJ357" s="122"/>
      <c r="AK357" s="122"/>
      <c r="AL357" s="122"/>
      <c r="AM357" s="122"/>
      <c r="AN357" s="64"/>
      <c r="AO357" s="118"/>
      <c r="AP357" s="77"/>
      <c r="AQ357" s="76">
        <f t="shared" si="17"/>
        <v>0</v>
      </c>
    </row>
    <row r="358" spans="2:43" x14ac:dyDescent="0.25">
      <c r="B358" s="182"/>
      <c r="C358" s="116"/>
      <c r="D358" s="117"/>
      <c r="E358" s="118"/>
      <c r="F358" s="126"/>
      <c r="G358" s="127"/>
      <c r="H358" s="119"/>
      <c r="I358" s="119"/>
      <c r="J358" s="115"/>
      <c r="K358" s="80"/>
      <c r="L358" s="120"/>
      <c r="M358" s="8"/>
      <c r="N358" s="115"/>
      <c r="O358" s="78"/>
      <c r="P358" s="121"/>
      <c r="Q358" s="115"/>
      <c r="R358" s="122"/>
      <c r="S358" s="122"/>
      <c r="T358" s="122"/>
      <c r="U358" s="122"/>
      <c r="V358" s="122"/>
      <c r="W358" s="122"/>
      <c r="X358" s="128"/>
      <c r="Y358" s="128"/>
      <c r="Z358" s="128"/>
      <c r="AA358" s="128"/>
      <c r="AB358" s="128"/>
      <c r="AC358" s="122"/>
      <c r="AD358" s="122"/>
      <c r="AE358" s="122"/>
      <c r="AF358" s="122"/>
      <c r="AG358" s="122"/>
      <c r="AH358" s="122"/>
      <c r="AI358" s="122"/>
      <c r="AJ358" s="122"/>
      <c r="AK358" s="122"/>
      <c r="AL358" s="122"/>
      <c r="AM358" s="122"/>
      <c r="AN358" s="64"/>
      <c r="AO358" s="118"/>
      <c r="AP358" s="77"/>
      <c r="AQ358" s="76">
        <f t="shared" si="17"/>
        <v>0</v>
      </c>
    </row>
    <row r="359" spans="2:43" x14ac:dyDescent="0.25">
      <c r="B359" s="182"/>
      <c r="C359" s="116"/>
      <c r="D359" s="117"/>
      <c r="E359" s="118"/>
      <c r="F359" s="126"/>
      <c r="G359" s="127"/>
      <c r="H359" s="119"/>
      <c r="I359" s="119"/>
      <c r="J359" s="115"/>
      <c r="K359" s="80"/>
      <c r="L359" s="120"/>
      <c r="M359" s="8"/>
      <c r="N359" s="115"/>
      <c r="O359" s="78"/>
      <c r="P359" s="121"/>
      <c r="Q359" s="115"/>
      <c r="R359" s="122"/>
      <c r="S359" s="122"/>
      <c r="T359" s="122"/>
      <c r="U359" s="122"/>
      <c r="V359" s="122"/>
      <c r="W359" s="122"/>
      <c r="X359" s="128"/>
      <c r="Y359" s="128"/>
      <c r="Z359" s="128"/>
      <c r="AA359" s="128"/>
      <c r="AB359" s="128"/>
      <c r="AC359" s="122"/>
      <c r="AD359" s="122"/>
      <c r="AE359" s="122"/>
      <c r="AF359" s="122"/>
      <c r="AG359" s="122"/>
      <c r="AH359" s="122"/>
      <c r="AI359" s="122"/>
      <c r="AJ359" s="122"/>
      <c r="AK359" s="122"/>
      <c r="AL359" s="122"/>
      <c r="AM359" s="122"/>
      <c r="AN359" s="64"/>
      <c r="AO359" s="118"/>
      <c r="AP359" s="77"/>
      <c r="AQ359" s="76">
        <f t="shared" si="17"/>
        <v>0</v>
      </c>
    </row>
    <row r="360" spans="2:43" x14ac:dyDescent="0.25">
      <c r="B360" s="182"/>
      <c r="C360" s="116"/>
      <c r="D360" s="117"/>
      <c r="E360" s="118"/>
      <c r="F360" s="126"/>
      <c r="G360" s="127"/>
      <c r="H360" s="119"/>
      <c r="I360" s="119"/>
      <c r="J360" s="115"/>
      <c r="K360" s="80"/>
      <c r="L360" s="120"/>
      <c r="M360" s="8"/>
      <c r="N360" s="115"/>
      <c r="O360" s="78"/>
      <c r="P360" s="121"/>
      <c r="Q360" s="115"/>
      <c r="R360" s="122"/>
      <c r="S360" s="122"/>
      <c r="T360" s="122"/>
      <c r="U360" s="122"/>
      <c r="V360" s="122"/>
      <c r="W360" s="122"/>
      <c r="X360" s="128"/>
      <c r="Y360" s="128"/>
      <c r="Z360" s="128"/>
      <c r="AA360" s="128"/>
      <c r="AB360" s="128"/>
      <c r="AC360" s="122"/>
      <c r="AD360" s="122"/>
      <c r="AE360" s="122"/>
      <c r="AF360" s="122"/>
      <c r="AG360" s="122"/>
      <c r="AH360" s="122"/>
      <c r="AI360" s="122"/>
      <c r="AJ360" s="122"/>
      <c r="AK360" s="122"/>
      <c r="AL360" s="122"/>
      <c r="AM360" s="122"/>
      <c r="AN360" s="64"/>
      <c r="AO360" s="118"/>
      <c r="AP360" s="77"/>
      <c r="AQ360" s="76">
        <f t="shared" si="17"/>
        <v>0</v>
      </c>
    </row>
    <row r="361" spans="2:43" x14ac:dyDescent="0.25">
      <c r="B361" s="182"/>
      <c r="C361" s="116"/>
      <c r="D361" s="117"/>
      <c r="E361" s="118"/>
      <c r="F361" s="126"/>
      <c r="G361" s="127"/>
      <c r="H361" s="119"/>
      <c r="I361" s="119"/>
      <c r="J361" s="115"/>
      <c r="K361" s="80"/>
      <c r="L361" s="120"/>
      <c r="M361" s="8"/>
      <c r="N361" s="115"/>
      <c r="O361" s="78"/>
      <c r="P361" s="121"/>
      <c r="Q361" s="115"/>
      <c r="R361" s="122"/>
      <c r="S361" s="122"/>
      <c r="T361" s="122"/>
      <c r="U361" s="122"/>
      <c r="V361" s="122"/>
      <c r="W361" s="122"/>
      <c r="X361" s="128"/>
      <c r="Y361" s="128"/>
      <c r="Z361" s="128"/>
      <c r="AA361" s="128"/>
      <c r="AB361" s="128"/>
      <c r="AC361" s="122"/>
      <c r="AD361" s="122"/>
      <c r="AE361" s="122"/>
      <c r="AF361" s="122"/>
      <c r="AG361" s="122"/>
      <c r="AH361" s="122"/>
      <c r="AI361" s="122"/>
      <c r="AJ361" s="122"/>
      <c r="AK361" s="122"/>
      <c r="AL361" s="122"/>
      <c r="AM361" s="122"/>
      <c r="AN361" s="64"/>
      <c r="AO361" s="118"/>
      <c r="AP361" s="77"/>
      <c r="AQ361" s="76">
        <f t="shared" si="17"/>
        <v>0</v>
      </c>
    </row>
    <row r="362" spans="2:43" x14ac:dyDescent="0.25">
      <c r="B362" s="182"/>
      <c r="C362" s="116"/>
      <c r="D362" s="117"/>
      <c r="E362" s="118"/>
      <c r="F362" s="126"/>
      <c r="G362" s="127"/>
      <c r="H362" s="119"/>
      <c r="I362" s="119"/>
      <c r="J362" s="115"/>
      <c r="K362" s="80"/>
      <c r="L362" s="120"/>
      <c r="M362" s="8"/>
      <c r="N362" s="115"/>
      <c r="O362" s="78"/>
      <c r="P362" s="121"/>
      <c r="Q362" s="115"/>
      <c r="R362" s="122"/>
      <c r="S362" s="122"/>
      <c r="T362" s="122"/>
      <c r="U362" s="122"/>
      <c r="V362" s="122"/>
      <c r="W362" s="122"/>
      <c r="X362" s="128"/>
      <c r="Y362" s="128"/>
      <c r="Z362" s="128"/>
      <c r="AA362" s="128"/>
      <c r="AB362" s="128"/>
      <c r="AC362" s="122"/>
      <c r="AD362" s="122"/>
      <c r="AE362" s="122"/>
      <c r="AF362" s="122"/>
      <c r="AG362" s="122"/>
      <c r="AH362" s="122"/>
      <c r="AI362" s="122"/>
      <c r="AJ362" s="122"/>
      <c r="AK362" s="122"/>
      <c r="AL362" s="122"/>
      <c r="AM362" s="122"/>
      <c r="AN362" s="64"/>
      <c r="AO362" s="118"/>
      <c r="AP362" s="77"/>
      <c r="AQ362" s="76">
        <f t="shared" si="17"/>
        <v>0</v>
      </c>
    </row>
    <row r="363" spans="2:43" x14ac:dyDescent="0.25">
      <c r="B363" s="182"/>
      <c r="C363" s="116"/>
      <c r="D363" s="117"/>
      <c r="E363" s="118"/>
      <c r="F363" s="126"/>
      <c r="G363" s="127"/>
      <c r="H363" s="119"/>
      <c r="I363" s="119"/>
      <c r="J363" s="115"/>
      <c r="K363" s="80"/>
      <c r="L363" s="120"/>
      <c r="M363" s="8"/>
      <c r="N363" s="115"/>
      <c r="O363" s="78"/>
      <c r="P363" s="121"/>
      <c r="Q363" s="115"/>
      <c r="R363" s="122"/>
      <c r="S363" s="122"/>
      <c r="T363" s="122"/>
      <c r="U363" s="122"/>
      <c r="V363" s="122"/>
      <c r="W363" s="122"/>
      <c r="X363" s="128"/>
      <c r="Y363" s="128"/>
      <c r="Z363" s="128"/>
      <c r="AA363" s="128"/>
      <c r="AB363" s="128"/>
      <c r="AC363" s="122"/>
      <c r="AD363" s="122"/>
      <c r="AE363" s="122"/>
      <c r="AF363" s="122"/>
      <c r="AG363" s="122"/>
      <c r="AH363" s="122"/>
      <c r="AI363" s="122"/>
      <c r="AJ363" s="122"/>
      <c r="AK363" s="122"/>
      <c r="AL363" s="122"/>
      <c r="AM363" s="122"/>
      <c r="AN363" s="64"/>
      <c r="AO363" s="118"/>
      <c r="AP363" s="77"/>
      <c r="AQ363" s="76">
        <f t="shared" si="17"/>
        <v>0</v>
      </c>
    </row>
    <row r="364" spans="2:43" x14ac:dyDescent="0.25">
      <c r="B364" s="182"/>
      <c r="C364" s="116"/>
      <c r="D364" s="117"/>
      <c r="E364" s="118"/>
      <c r="F364" s="126"/>
      <c r="G364" s="127"/>
      <c r="H364" s="119"/>
      <c r="I364" s="119"/>
      <c r="J364" s="115"/>
      <c r="K364" s="80"/>
      <c r="L364" s="120"/>
      <c r="M364" s="8"/>
      <c r="N364" s="115"/>
      <c r="O364" s="78"/>
      <c r="P364" s="121"/>
      <c r="Q364" s="115"/>
      <c r="R364" s="122"/>
      <c r="S364" s="122"/>
      <c r="T364" s="122"/>
      <c r="U364" s="122"/>
      <c r="V364" s="122"/>
      <c r="W364" s="122"/>
      <c r="X364" s="128"/>
      <c r="Y364" s="128"/>
      <c r="Z364" s="128"/>
      <c r="AA364" s="128"/>
      <c r="AB364" s="128"/>
      <c r="AC364" s="122"/>
      <c r="AD364" s="122"/>
      <c r="AE364" s="122"/>
      <c r="AF364" s="122"/>
      <c r="AG364" s="122"/>
      <c r="AH364" s="122"/>
      <c r="AI364" s="122"/>
      <c r="AJ364" s="122"/>
      <c r="AK364" s="122"/>
      <c r="AL364" s="122"/>
      <c r="AM364" s="122"/>
      <c r="AN364" s="64"/>
      <c r="AO364" s="118"/>
      <c r="AP364" s="77"/>
      <c r="AQ364" s="76">
        <f t="shared" si="17"/>
        <v>0</v>
      </c>
    </row>
    <row r="365" spans="2:43" x14ac:dyDescent="0.25">
      <c r="B365" s="182"/>
      <c r="C365" s="116"/>
      <c r="D365" s="117"/>
      <c r="E365" s="118"/>
      <c r="F365" s="126"/>
      <c r="G365" s="127"/>
      <c r="H365" s="119"/>
      <c r="I365" s="119"/>
      <c r="J365" s="115"/>
      <c r="K365" s="80"/>
      <c r="L365" s="120"/>
      <c r="M365" s="8"/>
      <c r="N365" s="115"/>
      <c r="O365" s="78"/>
      <c r="P365" s="121"/>
      <c r="Q365" s="115"/>
      <c r="R365" s="122"/>
      <c r="S365" s="122"/>
      <c r="T365" s="122"/>
      <c r="U365" s="122"/>
      <c r="V365" s="122"/>
      <c r="W365" s="122"/>
      <c r="X365" s="128"/>
      <c r="Y365" s="128"/>
      <c r="Z365" s="128"/>
      <c r="AA365" s="128"/>
      <c r="AB365" s="128"/>
      <c r="AC365" s="122"/>
      <c r="AD365" s="122"/>
      <c r="AE365" s="122"/>
      <c r="AF365" s="122"/>
      <c r="AG365" s="122"/>
      <c r="AH365" s="122"/>
      <c r="AI365" s="122"/>
      <c r="AJ365" s="122"/>
      <c r="AK365" s="122"/>
      <c r="AL365" s="122"/>
      <c r="AM365" s="122"/>
      <c r="AN365" s="64"/>
      <c r="AO365" s="118"/>
      <c r="AP365" s="77"/>
      <c r="AQ365" s="76">
        <f t="shared" si="17"/>
        <v>0</v>
      </c>
    </row>
    <row r="366" spans="2:43" x14ac:dyDescent="0.25">
      <c r="B366" s="182"/>
      <c r="C366" s="116"/>
      <c r="D366" s="117"/>
      <c r="E366" s="118"/>
      <c r="F366" s="126"/>
      <c r="G366" s="127"/>
      <c r="H366" s="119"/>
      <c r="I366" s="119"/>
      <c r="J366" s="115"/>
      <c r="K366" s="80"/>
      <c r="L366" s="120"/>
      <c r="M366" s="8"/>
      <c r="N366" s="115"/>
      <c r="O366" s="78"/>
      <c r="P366" s="121"/>
      <c r="Q366" s="115"/>
      <c r="R366" s="122"/>
      <c r="S366" s="122"/>
      <c r="T366" s="122"/>
      <c r="U366" s="122"/>
      <c r="V366" s="122"/>
      <c r="W366" s="122"/>
      <c r="X366" s="128"/>
      <c r="Y366" s="128"/>
      <c r="Z366" s="128"/>
      <c r="AA366" s="128"/>
      <c r="AB366" s="128"/>
      <c r="AC366" s="122"/>
      <c r="AD366" s="122"/>
      <c r="AE366" s="122"/>
      <c r="AF366" s="122"/>
      <c r="AG366" s="122"/>
      <c r="AH366" s="122"/>
      <c r="AI366" s="122"/>
      <c r="AJ366" s="122"/>
      <c r="AK366" s="122"/>
      <c r="AL366" s="122"/>
      <c r="AM366" s="122"/>
      <c r="AN366" s="64"/>
      <c r="AO366" s="118"/>
      <c r="AP366" s="77"/>
      <c r="AQ366" s="76">
        <f t="shared" si="17"/>
        <v>0</v>
      </c>
    </row>
    <row r="367" spans="2:43" x14ac:dyDescent="0.25">
      <c r="B367" s="182"/>
      <c r="C367" s="116"/>
      <c r="D367" s="117"/>
      <c r="E367" s="118"/>
      <c r="F367" s="126"/>
      <c r="G367" s="127"/>
      <c r="H367" s="119"/>
      <c r="I367" s="119"/>
      <c r="J367" s="115"/>
      <c r="K367" s="80"/>
      <c r="L367" s="120"/>
      <c r="M367" s="8"/>
      <c r="N367" s="115"/>
      <c r="O367" s="78"/>
      <c r="P367" s="121"/>
      <c r="Q367" s="115"/>
      <c r="R367" s="122"/>
      <c r="S367" s="122"/>
      <c r="T367" s="122"/>
      <c r="U367" s="122"/>
      <c r="V367" s="122"/>
      <c r="W367" s="122"/>
      <c r="X367" s="128"/>
      <c r="Y367" s="128"/>
      <c r="Z367" s="128"/>
      <c r="AA367" s="128"/>
      <c r="AB367" s="128"/>
      <c r="AC367" s="122"/>
      <c r="AD367" s="122"/>
      <c r="AE367" s="122"/>
      <c r="AF367" s="122"/>
      <c r="AG367" s="122"/>
      <c r="AH367" s="122"/>
      <c r="AI367" s="122"/>
      <c r="AJ367" s="122"/>
      <c r="AK367" s="122"/>
      <c r="AL367" s="122"/>
      <c r="AM367" s="122"/>
      <c r="AN367" s="64"/>
      <c r="AO367" s="118"/>
      <c r="AP367" s="77"/>
      <c r="AQ367" s="76">
        <f t="shared" si="17"/>
        <v>0</v>
      </c>
    </row>
    <row r="368" spans="2:43" x14ac:dyDescent="0.25">
      <c r="B368" s="182"/>
      <c r="C368" s="116"/>
      <c r="D368" s="117"/>
      <c r="E368" s="118"/>
      <c r="F368" s="126"/>
      <c r="G368" s="127"/>
      <c r="H368" s="119"/>
      <c r="I368" s="119"/>
      <c r="J368" s="115"/>
      <c r="K368" s="80"/>
      <c r="L368" s="120"/>
      <c r="M368" s="8"/>
      <c r="N368" s="115"/>
      <c r="O368" s="78"/>
      <c r="P368" s="121"/>
      <c r="Q368" s="115"/>
      <c r="R368" s="122"/>
      <c r="S368" s="122"/>
      <c r="T368" s="122"/>
      <c r="U368" s="122"/>
      <c r="V368" s="122"/>
      <c r="W368" s="122"/>
      <c r="X368" s="128"/>
      <c r="Y368" s="128"/>
      <c r="Z368" s="128"/>
      <c r="AA368" s="128"/>
      <c r="AB368" s="128"/>
      <c r="AC368" s="122"/>
      <c r="AD368" s="122"/>
      <c r="AE368" s="122"/>
      <c r="AF368" s="122"/>
      <c r="AG368" s="122"/>
      <c r="AH368" s="122"/>
      <c r="AI368" s="122"/>
      <c r="AJ368" s="122"/>
      <c r="AK368" s="122"/>
      <c r="AL368" s="122"/>
      <c r="AM368" s="122"/>
      <c r="AN368" s="64"/>
      <c r="AO368" s="118"/>
      <c r="AP368" s="77"/>
      <c r="AQ368" s="76">
        <f t="shared" si="17"/>
        <v>0</v>
      </c>
    </row>
    <row r="369" spans="2:43" x14ac:dyDescent="0.25">
      <c r="B369" s="182"/>
      <c r="C369" s="116"/>
      <c r="D369" s="117"/>
      <c r="E369" s="118"/>
      <c r="F369" s="126"/>
      <c r="G369" s="127"/>
      <c r="H369" s="119"/>
      <c r="I369" s="119"/>
      <c r="J369" s="115"/>
      <c r="K369" s="80"/>
      <c r="L369" s="120"/>
      <c r="M369" s="8"/>
      <c r="N369" s="115"/>
      <c r="O369" s="78"/>
      <c r="P369" s="121"/>
      <c r="Q369" s="115"/>
      <c r="R369" s="122"/>
      <c r="S369" s="122"/>
      <c r="T369" s="122"/>
      <c r="U369" s="122"/>
      <c r="V369" s="122"/>
      <c r="W369" s="122"/>
      <c r="X369" s="128"/>
      <c r="Y369" s="128"/>
      <c r="Z369" s="128"/>
      <c r="AA369" s="128"/>
      <c r="AB369" s="128"/>
      <c r="AC369" s="122"/>
      <c r="AD369" s="122"/>
      <c r="AE369" s="122"/>
      <c r="AF369" s="122"/>
      <c r="AG369" s="122"/>
      <c r="AH369" s="122"/>
      <c r="AI369" s="122"/>
      <c r="AJ369" s="122"/>
      <c r="AK369" s="122"/>
      <c r="AL369" s="122"/>
      <c r="AM369" s="122"/>
      <c r="AN369" s="64"/>
      <c r="AO369" s="118"/>
      <c r="AP369" s="77"/>
      <c r="AQ369" s="76">
        <f t="shared" si="17"/>
        <v>0</v>
      </c>
    </row>
    <row r="370" spans="2:43" x14ac:dyDescent="0.25">
      <c r="B370" s="182"/>
      <c r="C370" s="116"/>
      <c r="D370" s="117"/>
      <c r="E370" s="118"/>
      <c r="F370" s="126"/>
      <c r="G370" s="127"/>
      <c r="H370" s="119"/>
      <c r="I370" s="119"/>
      <c r="J370" s="115"/>
      <c r="K370" s="80"/>
      <c r="L370" s="120"/>
      <c r="M370" s="8"/>
      <c r="N370" s="115"/>
      <c r="O370" s="78"/>
      <c r="P370" s="121"/>
      <c r="Q370" s="115"/>
      <c r="R370" s="122"/>
      <c r="S370" s="122"/>
      <c r="T370" s="122"/>
      <c r="U370" s="122"/>
      <c r="V370" s="122"/>
      <c r="W370" s="122"/>
      <c r="X370" s="128"/>
      <c r="Y370" s="128"/>
      <c r="Z370" s="128"/>
      <c r="AA370" s="128"/>
      <c r="AB370" s="128"/>
      <c r="AC370" s="122"/>
      <c r="AD370" s="122"/>
      <c r="AE370" s="122"/>
      <c r="AF370" s="122"/>
      <c r="AG370" s="122"/>
      <c r="AH370" s="122"/>
      <c r="AI370" s="122"/>
      <c r="AJ370" s="122"/>
      <c r="AK370" s="122"/>
      <c r="AL370" s="122"/>
      <c r="AM370" s="122"/>
      <c r="AN370" s="64"/>
      <c r="AO370" s="118"/>
      <c r="AP370" s="77"/>
      <c r="AQ370" s="76">
        <f t="shared" si="17"/>
        <v>0</v>
      </c>
    </row>
    <row r="371" spans="2:43" x14ac:dyDescent="0.25">
      <c r="B371" s="182"/>
      <c r="C371" s="116"/>
      <c r="D371" s="117"/>
      <c r="E371" s="118"/>
      <c r="F371" s="126"/>
      <c r="G371" s="127"/>
      <c r="H371" s="119"/>
      <c r="I371" s="119"/>
      <c r="J371" s="115"/>
      <c r="K371" s="80"/>
      <c r="L371" s="120"/>
      <c r="M371" s="8"/>
      <c r="N371" s="115"/>
      <c r="O371" s="78"/>
      <c r="P371" s="121"/>
      <c r="Q371" s="115"/>
      <c r="R371" s="122"/>
      <c r="S371" s="122"/>
      <c r="T371" s="122"/>
      <c r="U371" s="122"/>
      <c r="V371" s="122"/>
      <c r="W371" s="122"/>
      <c r="X371" s="128"/>
      <c r="Y371" s="128"/>
      <c r="Z371" s="128"/>
      <c r="AA371" s="128"/>
      <c r="AB371" s="128"/>
      <c r="AC371" s="122"/>
      <c r="AD371" s="122"/>
      <c r="AE371" s="122"/>
      <c r="AF371" s="122"/>
      <c r="AG371" s="122"/>
      <c r="AH371" s="122"/>
      <c r="AI371" s="122"/>
      <c r="AJ371" s="122"/>
      <c r="AK371" s="122"/>
      <c r="AL371" s="122"/>
      <c r="AM371" s="122"/>
      <c r="AN371" s="64"/>
      <c r="AO371" s="118"/>
      <c r="AP371" s="77"/>
      <c r="AQ371" s="76">
        <f t="shared" si="17"/>
        <v>0</v>
      </c>
    </row>
    <row r="372" spans="2:43" x14ac:dyDescent="0.25">
      <c r="B372" s="182"/>
      <c r="C372" s="116"/>
      <c r="D372" s="117"/>
      <c r="E372" s="118"/>
      <c r="F372" s="126"/>
      <c r="G372" s="127"/>
      <c r="H372" s="119"/>
      <c r="I372" s="119"/>
      <c r="J372" s="115"/>
      <c r="K372" s="80"/>
      <c r="L372" s="120"/>
      <c r="M372" s="8"/>
      <c r="N372" s="115"/>
      <c r="O372" s="78"/>
      <c r="P372" s="121"/>
      <c r="Q372" s="115"/>
      <c r="R372" s="122"/>
      <c r="S372" s="122"/>
      <c r="T372" s="122"/>
      <c r="U372" s="122"/>
      <c r="V372" s="122"/>
      <c r="W372" s="122"/>
      <c r="X372" s="128"/>
      <c r="Y372" s="128"/>
      <c r="Z372" s="128"/>
      <c r="AA372" s="128"/>
      <c r="AB372" s="128"/>
      <c r="AC372" s="122"/>
      <c r="AD372" s="122"/>
      <c r="AE372" s="122"/>
      <c r="AF372" s="122"/>
      <c r="AG372" s="122"/>
      <c r="AH372" s="122"/>
      <c r="AI372" s="122"/>
      <c r="AJ372" s="122"/>
      <c r="AK372" s="122"/>
      <c r="AL372" s="122"/>
      <c r="AM372" s="122"/>
      <c r="AN372" s="64"/>
      <c r="AO372" s="118"/>
      <c r="AP372" s="77"/>
      <c r="AQ372" s="76">
        <f t="shared" si="17"/>
        <v>0</v>
      </c>
    </row>
    <row r="373" spans="2:43" x14ac:dyDescent="0.25">
      <c r="B373" s="182"/>
      <c r="C373" s="116"/>
      <c r="D373" s="117"/>
      <c r="E373" s="118"/>
      <c r="F373" s="126"/>
      <c r="G373" s="127"/>
      <c r="H373" s="119"/>
      <c r="I373" s="119"/>
      <c r="J373" s="115"/>
      <c r="K373" s="80"/>
      <c r="L373" s="120"/>
      <c r="M373" s="8"/>
      <c r="N373" s="115"/>
      <c r="O373" s="78"/>
      <c r="P373" s="121"/>
      <c r="Q373" s="115"/>
      <c r="R373" s="122"/>
      <c r="S373" s="122"/>
      <c r="T373" s="122"/>
      <c r="U373" s="122"/>
      <c r="V373" s="122"/>
      <c r="W373" s="122"/>
      <c r="X373" s="128"/>
      <c r="Y373" s="128"/>
      <c r="Z373" s="128"/>
      <c r="AA373" s="128"/>
      <c r="AB373" s="128"/>
      <c r="AC373" s="122"/>
      <c r="AD373" s="122"/>
      <c r="AE373" s="122"/>
      <c r="AF373" s="122"/>
      <c r="AG373" s="122"/>
      <c r="AH373" s="122"/>
      <c r="AI373" s="122"/>
      <c r="AJ373" s="122"/>
      <c r="AK373" s="122"/>
      <c r="AL373" s="122"/>
      <c r="AM373" s="122"/>
      <c r="AN373" s="64"/>
      <c r="AO373" s="118"/>
      <c r="AP373" s="77"/>
      <c r="AQ373" s="76">
        <f t="shared" si="17"/>
        <v>0</v>
      </c>
    </row>
    <row r="374" spans="2:43" x14ac:dyDescent="0.25">
      <c r="B374" s="182"/>
      <c r="C374" s="116"/>
      <c r="D374" s="117"/>
      <c r="E374" s="118"/>
      <c r="F374" s="126"/>
      <c r="G374" s="127"/>
      <c r="H374" s="119"/>
      <c r="I374" s="119"/>
      <c r="J374" s="115"/>
      <c r="K374" s="80"/>
      <c r="L374" s="120"/>
      <c r="M374" s="8"/>
      <c r="N374" s="115"/>
      <c r="O374" s="78"/>
      <c r="P374" s="121"/>
      <c r="Q374" s="115"/>
      <c r="R374" s="122"/>
      <c r="S374" s="122"/>
      <c r="T374" s="122"/>
      <c r="U374" s="122"/>
      <c r="V374" s="122"/>
      <c r="W374" s="122"/>
      <c r="X374" s="128"/>
      <c r="Y374" s="128"/>
      <c r="Z374" s="128"/>
      <c r="AA374" s="128"/>
      <c r="AB374" s="128"/>
      <c r="AC374" s="122"/>
      <c r="AD374" s="122"/>
      <c r="AE374" s="122"/>
      <c r="AF374" s="122"/>
      <c r="AG374" s="122"/>
      <c r="AH374" s="122"/>
      <c r="AI374" s="122"/>
      <c r="AJ374" s="122"/>
      <c r="AK374" s="122"/>
      <c r="AL374" s="122"/>
      <c r="AM374" s="122"/>
      <c r="AN374" s="64"/>
      <c r="AO374" s="118"/>
      <c r="AP374" s="77"/>
      <c r="AQ374" s="76">
        <f t="shared" si="17"/>
        <v>0</v>
      </c>
    </row>
    <row r="375" spans="2:43" x14ac:dyDescent="0.25">
      <c r="B375" s="182"/>
      <c r="C375" s="116"/>
      <c r="D375" s="117"/>
      <c r="E375" s="118"/>
      <c r="F375" s="126"/>
      <c r="G375" s="127"/>
      <c r="H375" s="119"/>
      <c r="I375" s="119"/>
      <c r="J375" s="115"/>
      <c r="K375" s="80"/>
      <c r="L375" s="120"/>
      <c r="M375" s="8"/>
      <c r="N375" s="115"/>
      <c r="O375" s="78"/>
      <c r="P375" s="121"/>
      <c r="Q375" s="115"/>
      <c r="R375" s="122"/>
      <c r="S375" s="122"/>
      <c r="T375" s="122"/>
      <c r="U375" s="122"/>
      <c r="V375" s="122"/>
      <c r="W375" s="122"/>
      <c r="X375" s="128"/>
      <c r="Y375" s="128"/>
      <c r="Z375" s="128"/>
      <c r="AA375" s="128"/>
      <c r="AB375" s="128"/>
      <c r="AC375" s="122"/>
      <c r="AD375" s="122"/>
      <c r="AE375" s="122"/>
      <c r="AF375" s="122"/>
      <c r="AG375" s="122"/>
      <c r="AH375" s="122"/>
      <c r="AI375" s="122"/>
      <c r="AJ375" s="122"/>
      <c r="AK375" s="122"/>
      <c r="AL375" s="122"/>
      <c r="AM375" s="122"/>
      <c r="AN375" s="64"/>
      <c r="AO375" s="118"/>
      <c r="AP375" s="77"/>
      <c r="AQ375" s="76">
        <f t="shared" si="17"/>
        <v>0</v>
      </c>
    </row>
    <row r="376" spans="2:43" x14ac:dyDescent="0.25">
      <c r="B376" s="182"/>
      <c r="C376" s="116"/>
      <c r="D376" s="117"/>
      <c r="E376" s="118"/>
      <c r="F376" s="126"/>
      <c r="G376" s="127"/>
      <c r="H376" s="119"/>
      <c r="I376" s="119"/>
      <c r="J376" s="115"/>
      <c r="K376" s="80"/>
      <c r="L376" s="120"/>
      <c r="M376" s="8"/>
      <c r="N376" s="115"/>
      <c r="O376" s="78"/>
      <c r="P376" s="121"/>
      <c r="Q376" s="115"/>
      <c r="R376" s="122"/>
      <c r="S376" s="122"/>
      <c r="T376" s="122"/>
      <c r="U376" s="122"/>
      <c r="V376" s="122"/>
      <c r="W376" s="122"/>
      <c r="X376" s="128"/>
      <c r="Y376" s="128"/>
      <c r="Z376" s="128"/>
      <c r="AA376" s="128"/>
      <c r="AB376" s="128"/>
      <c r="AC376" s="122"/>
      <c r="AD376" s="122"/>
      <c r="AE376" s="122"/>
      <c r="AF376" s="122"/>
      <c r="AG376" s="122"/>
      <c r="AH376" s="122"/>
      <c r="AI376" s="122"/>
      <c r="AJ376" s="122"/>
      <c r="AK376" s="122"/>
      <c r="AL376" s="122"/>
      <c r="AM376" s="122"/>
      <c r="AN376" s="64"/>
      <c r="AO376" s="118"/>
      <c r="AP376" s="77"/>
      <c r="AQ376" s="76">
        <f t="shared" si="17"/>
        <v>0</v>
      </c>
    </row>
    <row r="377" spans="2:43" x14ac:dyDescent="0.25">
      <c r="B377" s="182"/>
      <c r="C377" s="116"/>
      <c r="D377" s="117"/>
      <c r="E377" s="118"/>
      <c r="F377" s="126"/>
      <c r="G377" s="127"/>
      <c r="H377" s="119"/>
      <c r="I377" s="119"/>
      <c r="J377" s="115"/>
      <c r="K377" s="80"/>
      <c r="L377" s="120"/>
      <c r="M377" s="8"/>
      <c r="N377" s="115"/>
      <c r="O377" s="78"/>
      <c r="P377" s="121"/>
      <c r="Q377" s="115"/>
      <c r="R377" s="122"/>
      <c r="S377" s="122"/>
      <c r="T377" s="122"/>
      <c r="U377" s="122"/>
      <c r="V377" s="122"/>
      <c r="W377" s="122"/>
      <c r="X377" s="128"/>
      <c r="Y377" s="128"/>
      <c r="Z377" s="128"/>
      <c r="AA377" s="128"/>
      <c r="AB377" s="128"/>
      <c r="AC377" s="122"/>
      <c r="AD377" s="122"/>
      <c r="AE377" s="122"/>
      <c r="AF377" s="122"/>
      <c r="AG377" s="122"/>
      <c r="AH377" s="122"/>
      <c r="AI377" s="122"/>
      <c r="AJ377" s="122"/>
      <c r="AK377" s="122"/>
      <c r="AL377" s="122"/>
      <c r="AM377" s="122"/>
      <c r="AN377" s="64"/>
      <c r="AO377" s="118"/>
      <c r="AP377" s="77"/>
      <c r="AQ377" s="76">
        <f t="shared" si="17"/>
        <v>0</v>
      </c>
    </row>
    <row r="378" spans="2:43" x14ac:dyDescent="0.25">
      <c r="B378" s="182"/>
      <c r="C378" s="116"/>
      <c r="D378" s="117"/>
      <c r="E378" s="118"/>
      <c r="F378" s="126"/>
      <c r="G378" s="127"/>
      <c r="H378" s="119"/>
      <c r="I378" s="119"/>
      <c r="J378" s="115"/>
      <c r="K378" s="80"/>
      <c r="L378" s="120"/>
      <c r="M378" s="8"/>
      <c r="N378" s="115"/>
      <c r="O378" s="78"/>
      <c r="P378" s="121"/>
      <c r="Q378" s="115"/>
      <c r="R378" s="122"/>
      <c r="S378" s="122"/>
      <c r="T378" s="122"/>
      <c r="U378" s="122"/>
      <c r="V378" s="122"/>
      <c r="W378" s="122"/>
      <c r="X378" s="128"/>
      <c r="Y378" s="128"/>
      <c r="Z378" s="128"/>
      <c r="AA378" s="128"/>
      <c r="AB378" s="128"/>
      <c r="AC378" s="122"/>
      <c r="AD378" s="122"/>
      <c r="AE378" s="122"/>
      <c r="AF378" s="122"/>
      <c r="AG378" s="122"/>
      <c r="AH378" s="122"/>
      <c r="AI378" s="122"/>
      <c r="AJ378" s="122"/>
      <c r="AK378" s="122"/>
      <c r="AL378" s="122"/>
      <c r="AM378" s="122"/>
      <c r="AN378" s="64"/>
      <c r="AO378" s="118"/>
      <c r="AP378" s="77"/>
      <c r="AQ378" s="76">
        <f t="shared" si="17"/>
        <v>0</v>
      </c>
    </row>
    <row r="379" spans="2:43" x14ac:dyDescent="0.25">
      <c r="B379" s="182"/>
      <c r="C379" s="116"/>
      <c r="D379" s="117"/>
      <c r="E379" s="118"/>
      <c r="F379" s="126"/>
      <c r="G379" s="127"/>
      <c r="H379" s="119"/>
      <c r="I379" s="119"/>
      <c r="J379" s="115"/>
      <c r="K379" s="80"/>
      <c r="L379" s="120"/>
      <c r="M379" s="8"/>
      <c r="N379" s="115"/>
      <c r="O379" s="78"/>
      <c r="P379" s="121"/>
      <c r="Q379" s="115"/>
      <c r="R379" s="122"/>
      <c r="S379" s="122"/>
      <c r="T379" s="122"/>
      <c r="U379" s="122"/>
      <c r="V379" s="122"/>
      <c r="W379" s="122"/>
      <c r="X379" s="128"/>
      <c r="Y379" s="128"/>
      <c r="Z379" s="128"/>
      <c r="AA379" s="128"/>
      <c r="AB379" s="128"/>
      <c r="AC379" s="122"/>
      <c r="AD379" s="122"/>
      <c r="AE379" s="122"/>
      <c r="AF379" s="122"/>
      <c r="AG379" s="122"/>
      <c r="AH379" s="122"/>
      <c r="AI379" s="122"/>
      <c r="AJ379" s="122"/>
      <c r="AK379" s="122"/>
      <c r="AL379" s="122"/>
      <c r="AM379" s="122"/>
      <c r="AN379" s="64"/>
      <c r="AO379" s="118"/>
      <c r="AP379" s="77"/>
      <c r="AQ379" s="76">
        <f t="shared" si="17"/>
        <v>0</v>
      </c>
    </row>
    <row r="380" spans="2:43" x14ac:dyDescent="0.25">
      <c r="B380" s="182"/>
      <c r="C380" s="116"/>
      <c r="D380" s="117"/>
      <c r="E380" s="118"/>
      <c r="F380" s="126"/>
      <c r="G380" s="127"/>
      <c r="H380" s="119"/>
      <c r="I380" s="119"/>
      <c r="J380" s="115"/>
      <c r="K380" s="80"/>
      <c r="L380" s="120"/>
      <c r="M380" s="8"/>
      <c r="N380" s="115"/>
      <c r="O380" s="78"/>
      <c r="P380" s="121"/>
      <c r="Q380" s="115"/>
      <c r="R380" s="122"/>
      <c r="S380" s="122"/>
      <c r="T380" s="122"/>
      <c r="U380" s="122"/>
      <c r="V380" s="122"/>
      <c r="W380" s="122"/>
      <c r="X380" s="128"/>
      <c r="Y380" s="128"/>
      <c r="Z380" s="128"/>
      <c r="AA380" s="128"/>
      <c r="AB380" s="128"/>
      <c r="AC380" s="122"/>
      <c r="AD380" s="122"/>
      <c r="AE380" s="122"/>
      <c r="AF380" s="122"/>
      <c r="AG380" s="122"/>
      <c r="AH380" s="122"/>
      <c r="AI380" s="122"/>
      <c r="AJ380" s="122"/>
      <c r="AK380" s="122"/>
      <c r="AL380" s="122"/>
      <c r="AM380" s="122"/>
      <c r="AN380" s="64"/>
      <c r="AO380" s="118"/>
      <c r="AP380" s="77"/>
      <c r="AQ380" s="76">
        <f t="shared" si="17"/>
        <v>0</v>
      </c>
    </row>
    <row r="381" spans="2:43" x14ac:dyDescent="0.25">
      <c r="B381" s="182"/>
      <c r="C381" s="116"/>
      <c r="D381" s="117"/>
      <c r="E381" s="118"/>
      <c r="F381" s="126"/>
      <c r="G381" s="127"/>
      <c r="H381" s="119"/>
      <c r="I381" s="119"/>
      <c r="J381" s="115"/>
      <c r="K381" s="80"/>
      <c r="L381" s="120"/>
      <c r="M381" s="8"/>
      <c r="N381" s="115"/>
      <c r="O381" s="78"/>
      <c r="P381" s="121"/>
      <c r="Q381" s="115"/>
      <c r="R381" s="122"/>
      <c r="S381" s="122"/>
      <c r="T381" s="122"/>
      <c r="U381" s="122"/>
      <c r="V381" s="122"/>
      <c r="W381" s="122"/>
      <c r="X381" s="128"/>
      <c r="Y381" s="128"/>
      <c r="Z381" s="128"/>
      <c r="AA381" s="128"/>
      <c r="AB381" s="128"/>
      <c r="AC381" s="122"/>
      <c r="AD381" s="122"/>
      <c r="AE381" s="122"/>
      <c r="AF381" s="122"/>
      <c r="AG381" s="122"/>
      <c r="AH381" s="122"/>
      <c r="AI381" s="122"/>
      <c r="AJ381" s="122"/>
      <c r="AK381" s="122"/>
      <c r="AL381" s="122"/>
      <c r="AM381" s="122"/>
      <c r="AN381" s="64"/>
      <c r="AO381" s="118"/>
      <c r="AP381" s="77"/>
      <c r="AQ381" s="76">
        <f t="shared" si="17"/>
        <v>0</v>
      </c>
    </row>
    <row r="382" spans="2:43" x14ac:dyDescent="0.25">
      <c r="B382" s="182"/>
      <c r="C382" s="116"/>
      <c r="D382" s="117"/>
      <c r="E382" s="118"/>
      <c r="F382" s="126"/>
      <c r="G382" s="127"/>
      <c r="H382" s="119"/>
      <c r="I382" s="119"/>
      <c r="J382" s="115"/>
      <c r="K382" s="80"/>
      <c r="L382" s="120"/>
      <c r="M382" s="8"/>
      <c r="N382" s="115"/>
      <c r="O382" s="78"/>
      <c r="P382" s="121"/>
      <c r="Q382" s="115"/>
      <c r="R382" s="122"/>
      <c r="S382" s="122"/>
      <c r="T382" s="122"/>
      <c r="U382" s="122"/>
      <c r="V382" s="122"/>
      <c r="W382" s="122"/>
      <c r="X382" s="128"/>
      <c r="Y382" s="128"/>
      <c r="Z382" s="128"/>
      <c r="AA382" s="128"/>
      <c r="AB382" s="128"/>
      <c r="AC382" s="122"/>
      <c r="AD382" s="122"/>
      <c r="AE382" s="122"/>
      <c r="AF382" s="122"/>
      <c r="AG382" s="122"/>
      <c r="AH382" s="122"/>
      <c r="AI382" s="122"/>
      <c r="AJ382" s="122"/>
      <c r="AK382" s="122"/>
      <c r="AL382" s="122"/>
      <c r="AM382" s="122"/>
      <c r="AN382" s="64"/>
      <c r="AO382" s="118"/>
      <c r="AP382" s="77"/>
      <c r="AQ382" s="76">
        <f t="shared" si="17"/>
        <v>0</v>
      </c>
    </row>
    <row r="383" spans="2:43" x14ac:dyDescent="0.25">
      <c r="B383" s="182"/>
      <c r="C383" s="116"/>
      <c r="D383" s="117"/>
      <c r="E383" s="118"/>
      <c r="F383" s="126"/>
      <c r="G383" s="127"/>
      <c r="H383" s="119"/>
      <c r="I383" s="119"/>
      <c r="J383" s="115"/>
      <c r="K383" s="80"/>
      <c r="L383" s="120"/>
      <c r="M383" s="8"/>
      <c r="N383" s="115"/>
      <c r="O383" s="78"/>
      <c r="P383" s="121"/>
      <c r="Q383" s="115"/>
      <c r="R383" s="122"/>
      <c r="S383" s="122"/>
      <c r="T383" s="122"/>
      <c r="U383" s="122"/>
      <c r="V383" s="122"/>
      <c r="W383" s="122"/>
      <c r="X383" s="128"/>
      <c r="Y383" s="128"/>
      <c r="Z383" s="128"/>
      <c r="AA383" s="128"/>
      <c r="AB383" s="128"/>
      <c r="AC383" s="122"/>
      <c r="AD383" s="122"/>
      <c r="AE383" s="122"/>
      <c r="AF383" s="122"/>
      <c r="AG383" s="122"/>
      <c r="AH383" s="122"/>
      <c r="AI383" s="122"/>
      <c r="AJ383" s="122"/>
      <c r="AK383" s="122"/>
      <c r="AL383" s="122"/>
      <c r="AM383" s="122"/>
      <c r="AN383" s="64"/>
      <c r="AO383" s="118"/>
      <c r="AP383" s="77"/>
      <c r="AQ383" s="76">
        <f t="shared" si="17"/>
        <v>0</v>
      </c>
    </row>
    <row r="384" spans="2:43" x14ac:dyDescent="0.25">
      <c r="B384" s="182"/>
      <c r="C384" s="116"/>
      <c r="D384" s="117"/>
      <c r="E384" s="118"/>
      <c r="F384" s="126"/>
      <c r="G384" s="127"/>
      <c r="H384" s="119"/>
      <c r="I384" s="119"/>
      <c r="J384" s="115"/>
      <c r="K384" s="80"/>
      <c r="L384" s="120"/>
      <c r="M384" s="8"/>
      <c r="N384" s="115"/>
      <c r="O384" s="78"/>
      <c r="P384" s="121"/>
      <c r="Q384" s="115"/>
      <c r="R384" s="122"/>
      <c r="S384" s="122"/>
      <c r="T384" s="122"/>
      <c r="U384" s="122"/>
      <c r="V384" s="122"/>
      <c r="W384" s="122"/>
      <c r="X384" s="128"/>
      <c r="Y384" s="128"/>
      <c r="Z384" s="128"/>
      <c r="AA384" s="128"/>
      <c r="AB384" s="128"/>
      <c r="AC384" s="122"/>
      <c r="AD384" s="122"/>
      <c r="AE384" s="122"/>
      <c r="AF384" s="122"/>
      <c r="AG384" s="122"/>
      <c r="AH384" s="122"/>
      <c r="AI384" s="122"/>
      <c r="AJ384" s="122"/>
      <c r="AK384" s="122"/>
      <c r="AL384" s="122"/>
      <c r="AM384" s="122"/>
      <c r="AN384" s="64"/>
      <c r="AO384" s="118"/>
      <c r="AP384" s="77"/>
      <c r="AQ384" s="76">
        <f t="shared" si="17"/>
        <v>0</v>
      </c>
    </row>
    <row r="385" spans="2:43" x14ac:dyDescent="0.25">
      <c r="B385" s="182"/>
      <c r="C385" s="116"/>
      <c r="D385" s="117"/>
      <c r="E385" s="118"/>
      <c r="F385" s="126"/>
      <c r="G385" s="127"/>
      <c r="H385" s="119"/>
      <c r="I385" s="119"/>
      <c r="J385" s="115"/>
      <c r="K385" s="80"/>
      <c r="L385" s="120"/>
      <c r="M385" s="8"/>
      <c r="N385" s="115"/>
      <c r="O385" s="78"/>
      <c r="P385" s="121"/>
      <c r="Q385" s="115"/>
      <c r="R385" s="122"/>
      <c r="S385" s="122"/>
      <c r="T385" s="122"/>
      <c r="U385" s="122"/>
      <c r="V385" s="122"/>
      <c r="W385" s="122"/>
      <c r="X385" s="128"/>
      <c r="Y385" s="128"/>
      <c r="Z385" s="128"/>
      <c r="AA385" s="128"/>
      <c r="AB385" s="128"/>
      <c r="AC385" s="122"/>
      <c r="AD385" s="122"/>
      <c r="AE385" s="122"/>
      <c r="AF385" s="122"/>
      <c r="AG385" s="122"/>
      <c r="AH385" s="122"/>
      <c r="AI385" s="122"/>
      <c r="AJ385" s="122"/>
      <c r="AK385" s="122"/>
      <c r="AL385" s="122"/>
      <c r="AM385" s="122"/>
      <c r="AN385" s="64"/>
      <c r="AO385" s="118"/>
      <c r="AP385" s="77"/>
      <c r="AQ385" s="76">
        <f t="shared" si="17"/>
        <v>0</v>
      </c>
    </row>
    <row r="386" spans="2:43" x14ac:dyDescent="0.25">
      <c r="B386" s="182"/>
      <c r="C386" s="116"/>
      <c r="D386" s="117"/>
      <c r="E386" s="118"/>
      <c r="F386" s="126"/>
      <c r="G386" s="127"/>
      <c r="H386" s="119"/>
      <c r="I386" s="119"/>
      <c r="J386" s="115"/>
      <c r="K386" s="80"/>
      <c r="L386" s="120"/>
      <c r="M386" s="8"/>
      <c r="N386" s="115"/>
      <c r="O386" s="78"/>
      <c r="P386" s="121"/>
      <c r="Q386" s="115"/>
      <c r="R386" s="122"/>
      <c r="S386" s="122"/>
      <c r="T386" s="122"/>
      <c r="U386" s="122"/>
      <c r="V386" s="122"/>
      <c r="W386" s="122"/>
      <c r="X386" s="128"/>
      <c r="Y386" s="128"/>
      <c r="Z386" s="128"/>
      <c r="AA386" s="128"/>
      <c r="AB386" s="128"/>
      <c r="AC386" s="122"/>
      <c r="AD386" s="122"/>
      <c r="AE386" s="122"/>
      <c r="AF386" s="122"/>
      <c r="AG386" s="122"/>
      <c r="AH386" s="122"/>
      <c r="AI386" s="122"/>
      <c r="AJ386" s="122"/>
      <c r="AK386" s="122"/>
      <c r="AL386" s="122"/>
      <c r="AM386" s="122"/>
      <c r="AN386" s="64"/>
      <c r="AO386" s="118"/>
      <c r="AP386" s="77"/>
      <c r="AQ386" s="76">
        <f t="shared" si="17"/>
        <v>0</v>
      </c>
    </row>
    <row r="387" spans="2:43" x14ac:dyDescent="0.25">
      <c r="B387" s="182"/>
      <c r="C387" s="116"/>
      <c r="D387" s="117"/>
      <c r="E387" s="118"/>
      <c r="F387" s="126"/>
      <c r="G387" s="127"/>
      <c r="H387" s="119"/>
      <c r="I387" s="119"/>
      <c r="J387" s="115"/>
      <c r="K387" s="80"/>
      <c r="L387" s="120"/>
      <c r="M387" s="8"/>
      <c r="N387" s="115"/>
      <c r="O387" s="78"/>
      <c r="P387" s="121"/>
      <c r="Q387" s="115"/>
      <c r="R387" s="122"/>
      <c r="S387" s="122"/>
      <c r="T387" s="122"/>
      <c r="U387" s="122"/>
      <c r="V387" s="122"/>
      <c r="W387" s="122"/>
      <c r="X387" s="128"/>
      <c r="Y387" s="128"/>
      <c r="Z387" s="128"/>
      <c r="AA387" s="128"/>
      <c r="AB387" s="128"/>
      <c r="AC387" s="122"/>
      <c r="AD387" s="122"/>
      <c r="AE387" s="122"/>
      <c r="AF387" s="122"/>
      <c r="AG387" s="122"/>
      <c r="AH387" s="122"/>
      <c r="AI387" s="122"/>
      <c r="AJ387" s="122"/>
      <c r="AK387" s="122"/>
      <c r="AL387" s="122"/>
      <c r="AM387" s="122"/>
      <c r="AN387" s="64"/>
      <c r="AO387" s="118"/>
      <c r="AP387" s="77"/>
      <c r="AQ387" s="76">
        <f t="shared" si="17"/>
        <v>0</v>
      </c>
    </row>
    <row r="388" spans="2:43" x14ac:dyDescent="0.25">
      <c r="B388" s="182"/>
      <c r="C388" s="116"/>
      <c r="D388" s="117"/>
      <c r="E388" s="118"/>
      <c r="F388" s="126"/>
      <c r="G388" s="127"/>
      <c r="H388" s="119"/>
      <c r="I388" s="119"/>
      <c r="J388" s="115"/>
      <c r="K388" s="80"/>
      <c r="L388" s="120"/>
      <c r="M388" s="8"/>
      <c r="N388" s="115"/>
      <c r="O388" s="78"/>
      <c r="P388" s="121"/>
      <c r="Q388" s="115"/>
      <c r="R388" s="122"/>
      <c r="S388" s="122"/>
      <c r="T388" s="122"/>
      <c r="U388" s="122"/>
      <c r="V388" s="122"/>
      <c r="W388" s="122"/>
      <c r="X388" s="128"/>
      <c r="Y388" s="128"/>
      <c r="Z388" s="128"/>
      <c r="AA388" s="128"/>
      <c r="AB388" s="128"/>
      <c r="AC388" s="122"/>
      <c r="AD388" s="122"/>
      <c r="AE388" s="122"/>
      <c r="AF388" s="122"/>
      <c r="AG388" s="122"/>
      <c r="AH388" s="122"/>
      <c r="AI388" s="122"/>
      <c r="AJ388" s="122"/>
      <c r="AK388" s="122"/>
      <c r="AL388" s="122"/>
      <c r="AM388" s="122"/>
      <c r="AN388" s="64"/>
      <c r="AO388" s="118"/>
      <c r="AP388" s="77"/>
      <c r="AQ388" s="76">
        <f t="shared" si="17"/>
        <v>0</v>
      </c>
    </row>
    <row r="389" spans="2:43" x14ac:dyDescent="0.25">
      <c r="B389" s="182"/>
      <c r="C389" s="116"/>
      <c r="D389" s="117"/>
      <c r="E389" s="118"/>
      <c r="F389" s="126"/>
      <c r="G389" s="127"/>
      <c r="H389" s="119"/>
      <c r="I389" s="119"/>
      <c r="J389" s="115"/>
      <c r="K389" s="80"/>
      <c r="L389" s="120"/>
      <c r="M389" s="8"/>
      <c r="N389" s="115"/>
      <c r="O389" s="78"/>
      <c r="P389" s="121"/>
      <c r="Q389" s="115"/>
      <c r="R389" s="122"/>
      <c r="S389" s="122"/>
      <c r="T389" s="122"/>
      <c r="U389" s="122"/>
      <c r="V389" s="122"/>
      <c r="W389" s="122"/>
      <c r="X389" s="128"/>
      <c r="Y389" s="128"/>
      <c r="Z389" s="128"/>
      <c r="AA389" s="128"/>
      <c r="AB389" s="128"/>
      <c r="AC389" s="122"/>
      <c r="AD389" s="122"/>
      <c r="AE389" s="122"/>
      <c r="AF389" s="122"/>
      <c r="AG389" s="122"/>
      <c r="AH389" s="122"/>
      <c r="AI389" s="122"/>
      <c r="AJ389" s="122"/>
      <c r="AK389" s="122"/>
      <c r="AL389" s="122"/>
      <c r="AM389" s="122"/>
      <c r="AN389" s="64"/>
      <c r="AO389" s="118"/>
      <c r="AP389" s="77"/>
      <c r="AQ389" s="76">
        <f t="shared" si="17"/>
        <v>0</v>
      </c>
    </row>
    <row r="390" spans="2:43" x14ac:dyDescent="0.25">
      <c r="B390" s="182"/>
      <c r="C390" s="116"/>
      <c r="D390" s="117"/>
      <c r="E390" s="118"/>
      <c r="F390" s="126"/>
      <c r="G390" s="127"/>
      <c r="H390" s="119"/>
      <c r="I390" s="119"/>
      <c r="J390" s="115"/>
      <c r="K390" s="80"/>
      <c r="L390" s="120"/>
      <c r="M390" s="8"/>
      <c r="N390" s="115"/>
      <c r="O390" s="78"/>
      <c r="P390" s="121"/>
      <c r="Q390" s="115"/>
      <c r="R390" s="122"/>
      <c r="S390" s="122"/>
      <c r="T390" s="122"/>
      <c r="U390" s="122"/>
      <c r="V390" s="122"/>
      <c r="W390" s="122"/>
      <c r="X390" s="128"/>
      <c r="Y390" s="128"/>
      <c r="Z390" s="128"/>
      <c r="AA390" s="128"/>
      <c r="AB390" s="128"/>
      <c r="AC390" s="122"/>
      <c r="AD390" s="122"/>
      <c r="AE390" s="122"/>
      <c r="AF390" s="122"/>
      <c r="AG390" s="122"/>
      <c r="AH390" s="122"/>
      <c r="AI390" s="122"/>
      <c r="AJ390" s="122"/>
      <c r="AK390" s="122"/>
      <c r="AL390" s="122"/>
      <c r="AM390" s="122"/>
      <c r="AN390" s="64"/>
      <c r="AO390" s="118"/>
      <c r="AP390" s="77"/>
      <c r="AQ390" s="76">
        <f t="shared" si="17"/>
        <v>0</v>
      </c>
    </row>
    <row r="391" spans="2:43" x14ac:dyDescent="0.25">
      <c r="B391" s="182"/>
      <c r="C391" s="116"/>
      <c r="D391" s="117"/>
      <c r="E391" s="118"/>
      <c r="F391" s="126"/>
      <c r="G391" s="127"/>
      <c r="H391" s="119"/>
      <c r="I391" s="119"/>
      <c r="J391" s="115"/>
      <c r="K391" s="80"/>
      <c r="L391" s="120"/>
      <c r="M391" s="8"/>
      <c r="N391" s="115"/>
      <c r="O391" s="78"/>
      <c r="P391" s="121"/>
      <c r="Q391" s="115"/>
      <c r="R391" s="122"/>
      <c r="S391" s="122"/>
      <c r="T391" s="122"/>
      <c r="U391" s="122"/>
      <c r="V391" s="122"/>
      <c r="W391" s="122"/>
      <c r="X391" s="128"/>
      <c r="Y391" s="128"/>
      <c r="Z391" s="128"/>
      <c r="AA391" s="128"/>
      <c r="AB391" s="128"/>
      <c r="AC391" s="122"/>
      <c r="AD391" s="122"/>
      <c r="AE391" s="122"/>
      <c r="AF391" s="122"/>
      <c r="AG391" s="122"/>
      <c r="AH391" s="122"/>
      <c r="AI391" s="122"/>
      <c r="AJ391" s="122"/>
      <c r="AK391" s="122"/>
      <c r="AL391" s="122"/>
      <c r="AM391" s="122"/>
      <c r="AN391" s="64"/>
      <c r="AO391" s="118"/>
      <c r="AP391" s="77"/>
      <c r="AQ391" s="76">
        <f t="shared" si="17"/>
        <v>0</v>
      </c>
    </row>
    <row r="392" spans="2:43" x14ac:dyDescent="0.25">
      <c r="B392" s="182"/>
      <c r="C392" s="116"/>
      <c r="D392" s="117"/>
      <c r="E392" s="118"/>
      <c r="F392" s="126"/>
      <c r="G392" s="127"/>
      <c r="H392" s="119"/>
      <c r="I392" s="119"/>
      <c r="J392" s="115"/>
      <c r="K392" s="80"/>
      <c r="L392" s="120"/>
      <c r="M392" s="8"/>
      <c r="N392" s="115"/>
      <c r="O392" s="78"/>
      <c r="P392" s="121"/>
      <c r="Q392" s="115"/>
      <c r="R392" s="122"/>
      <c r="S392" s="122"/>
      <c r="T392" s="122"/>
      <c r="U392" s="122"/>
      <c r="V392" s="122"/>
      <c r="W392" s="122"/>
      <c r="X392" s="128"/>
      <c r="Y392" s="128"/>
      <c r="Z392" s="128"/>
      <c r="AA392" s="128"/>
      <c r="AB392" s="128"/>
      <c r="AC392" s="122"/>
      <c r="AD392" s="122"/>
      <c r="AE392" s="122"/>
      <c r="AF392" s="122"/>
      <c r="AG392" s="122"/>
      <c r="AH392" s="122"/>
      <c r="AI392" s="122"/>
      <c r="AJ392" s="122"/>
      <c r="AK392" s="122"/>
      <c r="AL392" s="122"/>
      <c r="AM392" s="122"/>
      <c r="AN392" s="64"/>
      <c r="AO392" s="118"/>
      <c r="AP392" s="77"/>
      <c r="AQ392" s="76">
        <f t="shared" si="17"/>
        <v>0</v>
      </c>
    </row>
    <row r="393" spans="2:43" x14ac:dyDescent="0.25">
      <c r="B393" s="182"/>
      <c r="C393" s="116"/>
      <c r="D393" s="117"/>
      <c r="E393" s="118"/>
      <c r="F393" s="126"/>
      <c r="G393" s="127"/>
      <c r="H393" s="119"/>
      <c r="I393" s="119"/>
      <c r="J393" s="115"/>
      <c r="K393" s="80"/>
      <c r="L393" s="120"/>
      <c r="M393" s="8"/>
      <c r="N393" s="115"/>
      <c r="O393" s="78"/>
      <c r="P393" s="121"/>
      <c r="Q393" s="115"/>
      <c r="R393" s="122"/>
      <c r="S393" s="122"/>
      <c r="T393" s="122"/>
      <c r="U393" s="122"/>
      <c r="V393" s="122"/>
      <c r="W393" s="122"/>
      <c r="X393" s="128"/>
      <c r="Y393" s="128"/>
      <c r="Z393" s="128"/>
      <c r="AA393" s="128"/>
      <c r="AB393" s="128"/>
      <c r="AC393" s="122"/>
      <c r="AD393" s="122"/>
      <c r="AE393" s="122"/>
      <c r="AF393" s="122"/>
      <c r="AG393" s="122"/>
      <c r="AH393" s="122"/>
      <c r="AI393" s="122"/>
      <c r="AJ393" s="122"/>
      <c r="AK393" s="122"/>
      <c r="AL393" s="122"/>
      <c r="AM393" s="122"/>
      <c r="AN393" s="64"/>
      <c r="AO393" s="118"/>
      <c r="AP393" s="77"/>
      <c r="AQ393" s="76">
        <f t="shared" si="17"/>
        <v>0</v>
      </c>
    </row>
    <row r="394" spans="2:43" x14ac:dyDescent="0.25">
      <c r="B394" s="182"/>
      <c r="C394" s="116"/>
      <c r="D394" s="117"/>
      <c r="E394" s="118"/>
      <c r="F394" s="126"/>
      <c r="G394" s="127"/>
      <c r="H394" s="119"/>
      <c r="I394" s="119"/>
      <c r="J394" s="115"/>
      <c r="K394" s="80"/>
      <c r="L394" s="120"/>
      <c r="M394" s="8"/>
      <c r="N394" s="115"/>
      <c r="O394" s="78"/>
      <c r="P394" s="121"/>
      <c r="Q394" s="115"/>
      <c r="R394" s="122"/>
      <c r="S394" s="122"/>
      <c r="T394" s="122"/>
      <c r="U394" s="122"/>
      <c r="V394" s="122"/>
      <c r="W394" s="122"/>
      <c r="X394" s="128"/>
      <c r="Y394" s="128"/>
      <c r="Z394" s="128"/>
      <c r="AA394" s="128"/>
      <c r="AB394" s="128"/>
      <c r="AC394" s="122"/>
      <c r="AD394" s="122"/>
      <c r="AE394" s="122"/>
      <c r="AF394" s="122"/>
      <c r="AG394" s="122"/>
      <c r="AH394" s="122"/>
      <c r="AI394" s="122"/>
      <c r="AJ394" s="122"/>
      <c r="AK394" s="122"/>
      <c r="AL394" s="122"/>
      <c r="AM394" s="122"/>
      <c r="AN394" s="64"/>
      <c r="AO394" s="118"/>
      <c r="AP394" s="77"/>
      <c r="AQ394" s="76">
        <f t="shared" si="17"/>
        <v>0</v>
      </c>
    </row>
    <row r="395" spans="2:43" x14ac:dyDescent="0.25">
      <c r="B395" s="182"/>
      <c r="C395" s="116"/>
      <c r="D395" s="117"/>
      <c r="E395" s="118"/>
      <c r="F395" s="126"/>
      <c r="G395" s="127"/>
      <c r="H395" s="119"/>
      <c r="I395" s="119"/>
      <c r="J395" s="115"/>
      <c r="K395" s="80"/>
      <c r="L395" s="120"/>
      <c r="M395" s="8"/>
      <c r="N395" s="115"/>
      <c r="O395" s="78"/>
      <c r="P395" s="121"/>
      <c r="Q395" s="115"/>
      <c r="R395" s="122"/>
      <c r="S395" s="122"/>
      <c r="T395" s="122"/>
      <c r="U395" s="122"/>
      <c r="V395" s="122"/>
      <c r="W395" s="122"/>
      <c r="X395" s="128"/>
      <c r="Y395" s="128"/>
      <c r="Z395" s="128"/>
      <c r="AA395" s="128"/>
      <c r="AB395" s="128"/>
      <c r="AC395" s="122"/>
      <c r="AD395" s="122"/>
      <c r="AE395" s="122"/>
      <c r="AF395" s="122"/>
      <c r="AG395" s="122"/>
      <c r="AH395" s="122"/>
      <c r="AI395" s="122"/>
      <c r="AJ395" s="122"/>
      <c r="AK395" s="122"/>
      <c r="AL395" s="122"/>
      <c r="AM395" s="122"/>
      <c r="AN395" s="64"/>
      <c r="AO395" s="118"/>
      <c r="AP395" s="77"/>
      <c r="AQ395" s="76">
        <f t="shared" si="17"/>
        <v>0</v>
      </c>
    </row>
    <row r="396" spans="2:43" x14ac:dyDescent="0.25">
      <c r="B396" s="182"/>
      <c r="C396" s="116"/>
      <c r="D396" s="117"/>
      <c r="E396" s="118"/>
      <c r="F396" s="126"/>
      <c r="G396" s="127"/>
      <c r="H396" s="119"/>
      <c r="I396" s="119"/>
      <c r="J396" s="115"/>
      <c r="K396" s="80"/>
      <c r="L396" s="120"/>
      <c r="M396" s="8"/>
      <c r="N396" s="115"/>
      <c r="O396" s="78"/>
      <c r="P396" s="121"/>
      <c r="Q396" s="115"/>
      <c r="R396" s="122"/>
      <c r="S396" s="122"/>
      <c r="T396" s="122"/>
      <c r="U396" s="122"/>
      <c r="V396" s="122"/>
      <c r="W396" s="122"/>
      <c r="X396" s="128"/>
      <c r="Y396" s="128"/>
      <c r="Z396" s="128"/>
      <c r="AA396" s="128"/>
      <c r="AB396" s="128"/>
      <c r="AC396" s="122"/>
      <c r="AD396" s="122"/>
      <c r="AE396" s="122"/>
      <c r="AF396" s="122"/>
      <c r="AG396" s="122"/>
      <c r="AH396" s="122"/>
      <c r="AI396" s="122"/>
      <c r="AJ396" s="122"/>
      <c r="AK396" s="122"/>
      <c r="AL396" s="122"/>
      <c r="AM396" s="122"/>
      <c r="AN396" s="64"/>
      <c r="AO396" s="118"/>
      <c r="AP396" s="77"/>
      <c r="AQ396" s="76">
        <f t="shared" si="17"/>
        <v>0</v>
      </c>
    </row>
    <row r="397" spans="2:43" x14ac:dyDescent="0.25">
      <c r="B397" s="182"/>
      <c r="C397" s="116"/>
      <c r="D397" s="117"/>
      <c r="E397" s="118"/>
      <c r="F397" s="126"/>
      <c r="G397" s="127"/>
      <c r="H397" s="119"/>
      <c r="I397" s="119"/>
      <c r="J397" s="115"/>
      <c r="K397" s="80"/>
      <c r="L397" s="120"/>
      <c r="M397" s="8"/>
      <c r="N397" s="115"/>
      <c r="O397" s="78"/>
      <c r="P397" s="121"/>
      <c r="Q397" s="115"/>
      <c r="R397" s="122"/>
      <c r="S397" s="122"/>
      <c r="T397" s="122"/>
      <c r="U397" s="122"/>
      <c r="V397" s="122"/>
      <c r="W397" s="122"/>
      <c r="X397" s="128"/>
      <c r="Y397" s="128"/>
      <c r="Z397" s="128"/>
      <c r="AA397" s="128"/>
      <c r="AB397" s="128"/>
      <c r="AC397" s="122"/>
      <c r="AD397" s="122"/>
      <c r="AE397" s="122"/>
      <c r="AF397" s="122"/>
      <c r="AG397" s="122"/>
      <c r="AH397" s="122"/>
      <c r="AI397" s="122"/>
      <c r="AJ397" s="122"/>
      <c r="AK397" s="122"/>
      <c r="AL397" s="122"/>
      <c r="AM397" s="122"/>
      <c r="AN397" s="64"/>
      <c r="AO397" s="118"/>
      <c r="AP397" s="77"/>
      <c r="AQ397" s="76">
        <f t="shared" si="17"/>
        <v>0</v>
      </c>
    </row>
    <row r="398" spans="2:43" x14ac:dyDescent="0.25">
      <c r="B398" s="182"/>
      <c r="C398" s="116"/>
      <c r="D398" s="117"/>
      <c r="E398" s="118"/>
      <c r="F398" s="126"/>
      <c r="G398" s="127"/>
      <c r="H398" s="119"/>
      <c r="I398" s="119"/>
      <c r="J398" s="115"/>
      <c r="K398" s="80"/>
      <c r="L398" s="120"/>
      <c r="M398" s="8"/>
      <c r="N398" s="115"/>
      <c r="O398" s="78"/>
      <c r="P398" s="121"/>
      <c r="Q398" s="115"/>
      <c r="R398" s="122"/>
      <c r="S398" s="122"/>
      <c r="T398" s="122"/>
      <c r="U398" s="122"/>
      <c r="V398" s="122"/>
      <c r="W398" s="122"/>
      <c r="X398" s="128"/>
      <c r="Y398" s="128"/>
      <c r="Z398" s="128"/>
      <c r="AA398" s="128"/>
      <c r="AB398" s="128"/>
      <c r="AC398" s="122"/>
      <c r="AD398" s="122"/>
      <c r="AE398" s="122"/>
      <c r="AF398" s="122"/>
      <c r="AG398" s="122"/>
      <c r="AH398" s="122"/>
      <c r="AI398" s="122"/>
      <c r="AJ398" s="122"/>
      <c r="AK398" s="122"/>
      <c r="AL398" s="122"/>
      <c r="AM398" s="122"/>
      <c r="AN398" s="64"/>
      <c r="AO398" s="118"/>
      <c r="AP398" s="77"/>
      <c r="AQ398" s="76">
        <f t="shared" si="17"/>
        <v>0</v>
      </c>
    </row>
    <row r="399" spans="2:43" x14ac:dyDescent="0.25">
      <c r="B399" s="182"/>
      <c r="C399" s="116"/>
      <c r="D399" s="117"/>
      <c r="E399" s="118"/>
      <c r="F399" s="126"/>
      <c r="G399" s="127"/>
      <c r="H399" s="119"/>
      <c r="I399" s="119"/>
      <c r="J399" s="115"/>
      <c r="K399" s="80"/>
      <c r="L399" s="120"/>
      <c r="M399" s="8"/>
      <c r="N399" s="115"/>
      <c r="O399" s="78"/>
      <c r="P399" s="121"/>
      <c r="Q399" s="115"/>
      <c r="R399" s="122"/>
      <c r="S399" s="122"/>
      <c r="T399" s="122"/>
      <c r="U399" s="122"/>
      <c r="V399" s="122"/>
      <c r="W399" s="122"/>
      <c r="X399" s="128"/>
      <c r="Y399" s="128"/>
      <c r="Z399" s="128"/>
      <c r="AA399" s="128"/>
      <c r="AB399" s="128"/>
      <c r="AC399" s="122"/>
      <c r="AD399" s="122"/>
      <c r="AE399" s="122"/>
      <c r="AF399" s="122"/>
      <c r="AG399" s="122"/>
      <c r="AH399" s="122"/>
      <c r="AI399" s="122"/>
      <c r="AJ399" s="122"/>
      <c r="AK399" s="122"/>
      <c r="AL399" s="122"/>
      <c r="AM399" s="122"/>
      <c r="AN399" s="64"/>
      <c r="AO399" s="118"/>
      <c r="AP399" s="77"/>
      <c r="AQ399" s="76">
        <f t="shared" si="17"/>
        <v>0</v>
      </c>
    </row>
    <row r="400" spans="2:43" x14ac:dyDescent="0.25">
      <c r="B400" s="182"/>
      <c r="C400" s="116"/>
      <c r="D400" s="117"/>
      <c r="E400" s="118"/>
      <c r="F400" s="126"/>
      <c r="G400" s="127"/>
      <c r="H400" s="119"/>
      <c r="I400" s="119"/>
      <c r="J400" s="115"/>
      <c r="K400" s="80"/>
      <c r="L400" s="120"/>
      <c r="M400" s="8"/>
      <c r="N400" s="115"/>
      <c r="O400" s="78"/>
      <c r="P400" s="121"/>
      <c r="Q400" s="115"/>
      <c r="R400" s="122"/>
      <c r="S400" s="122"/>
      <c r="T400" s="122"/>
      <c r="U400" s="122"/>
      <c r="V400" s="122"/>
      <c r="W400" s="122"/>
      <c r="X400" s="128"/>
      <c r="Y400" s="128"/>
      <c r="Z400" s="128"/>
      <c r="AA400" s="128"/>
      <c r="AB400" s="128"/>
      <c r="AC400" s="122"/>
      <c r="AD400" s="122"/>
      <c r="AE400" s="122"/>
      <c r="AF400" s="122"/>
      <c r="AG400" s="122"/>
      <c r="AH400" s="122"/>
      <c r="AI400" s="122"/>
      <c r="AJ400" s="122"/>
      <c r="AK400" s="122"/>
      <c r="AL400" s="122"/>
      <c r="AM400" s="122"/>
      <c r="AN400" s="64"/>
      <c r="AO400" s="118"/>
      <c r="AP400" s="77"/>
      <c r="AQ400" s="76">
        <f t="shared" si="17"/>
        <v>0</v>
      </c>
    </row>
    <row r="401" spans="2:43" x14ac:dyDescent="0.25">
      <c r="B401" s="182"/>
      <c r="C401" s="116"/>
      <c r="D401" s="117"/>
      <c r="E401" s="118"/>
      <c r="F401" s="126"/>
      <c r="G401" s="127"/>
      <c r="H401" s="119"/>
      <c r="I401" s="119"/>
      <c r="J401" s="115"/>
      <c r="K401" s="80"/>
      <c r="L401" s="120"/>
      <c r="M401" s="8"/>
      <c r="N401" s="115"/>
      <c r="O401" s="78"/>
      <c r="P401" s="121"/>
      <c r="Q401" s="115"/>
      <c r="R401" s="122"/>
      <c r="S401" s="122"/>
      <c r="T401" s="122"/>
      <c r="U401" s="122"/>
      <c r="V401" s="122"/>
      <c r="W401" s="122"/>
      <c r="X401" s="128"/>
      <c r="Y401" s="128"/>
      <c r="Z401" s="128"/>
      <c r="AA401" s="128"/>
      <c r="AB401" s="128"/>
      <c r="AC401" s="122"/>
      <c r="AD401" s="122"/>
      <c r="AE401" s="122"/>
      <c r="AF401" s="122"/>
      <c r="AG401" s="122"/>
      <c r="AH401" s="122"/>
      <c r="AI401" s="122"/>
      <c r="AJ401" s="122"/>
      <c r="AK401" s="122"/>
      <c r="AL401" s="122"/>
      <c r="AM401" s="122"/>
      <c r="AN401" s="64"/>
      <c r="AO401" s="118"/>
      <c r="AP401" s="77"/>
      <c r="AQ401" s="76">
        <f t="shared" si="17"/>
        <v>0</v>
      </c>
    </row>
    <row r="402" spans="2:43" x14ac:dyDescent="0.25">
      <c r="B402" s="182"/>
      <c r="C402" s="116"/>
      <c r="D402" s="117"/>
      <c r="E402" s="118"/>
      <c r="F402" s="126"/>
      <c r="G402" s="127"/>
      <c r="H402" s="119"/>
      <c r="I402" s="119"/>
      <c r="J402" s="115"/>
      <c r="K402" s="80"/>
      <c r="L402" s="120"/>
      <c r="M402" s="8"/>
      <c r="N402" s="115"/>
      <c r="O402" s="78"/>
      <c r="P402" s="121"/>
      <c r="Q402" s="115"/>
      <c r="R402" s="122"/>
      <c r="S402" s="122"/>
      <c r="T402" s="122"/>
      <c r="U402" s="122"/>
      <c r="V402" s="122"/>
      <c r="W402" s="122"/>
      <c r="X402" s="128"/>
      <c r="Y402" s="128"/>
      <c r="Z402" s="128"/>
      <c r="AA402" s="128"/>
      <c r="AB402" s="128"/>
      <c r="AC402" s="122"/>
      <c r="AD402" s="122"/>
      <c r="AE402" s="122"/>
      <c r="AF402" s="122"/>
      <c r="AG402" s="122"/>
      <c r="AH402" s="122"/>
      <c r="AI402" s="122"/>
      <c r="AJ402" s="122"/>
      <c r="AK402" s="122"/>
      <c r="AL402" s="122"/>
      <c r="AM402" s="122"/>
      <c r="AN402" s="64"/>
      <c r="AO402" s="118"/>
      <c r="AP402" s="77"/>
      <c r="AQ402" s="76">
        <f t="shared" si="17"/>
        <v>0</v>
      </c>
    </row>
    <row r="403" spans="2:43" x14ac:dyDescent="0.25">
      <c r="B403" s="182"/>
      <c r="C403" s="116"/>
      <c r="D403" s="117"/>
      <c r="E403" s="118"/>
      <c r="F403" s="126"/>
      <c r="G403" s="127"/>
      <c r="H403" s="119"/>
      <c r="I403" s="119"/>
      <c r="J403" s="115"/>
      <c r="K403" s="80"/>
      <c r="L403" s="120"/>
      <c r="M403" s="8"/>
      <c r="N403" s="115"/>
      <c r="O403" s="78"/>
      <c r="P403" s="121"/>
      <c r="Q403" s="115"/>
      <c r="R403" s="122"/>
      <c r="S403" s="122"/>
      <c r="T403" s="122"/>
      <c r="U403" s="122"/>
      <c r="V403" s="122"/>
      <c r="W403" s="122"/>
      <c r="X403" s="128"/>
      <c r="Y403" s="128"/>
      <c r="Z403" s="128"/>
      <c r="AA403" s="128"/>
      <c r="AB403" s="128"/>
      <c r="AC403" s="122"/>
      <c r="AD403" s="122"/>
      <c r="AE403" s="122"/>
      <c r="AF403" s="122"/>
      <c r="AG403" s="122"/>
      <c r="AH403" s="122"/>
      <c r="AI403" s="122"/>
      <c r="AJ403" s="122"/>
      <c r="AK403" s="122"/>
      <c r="AL403" s="122"/>
      <c r="AM403" s="122"/>
      <c r="AN403" s="64"/>
      <c r="AO403" s="118"/>
      <c r="AP403" s="77"/>
      <c r="AQ403" s="76">
        <f t="shared" si="17"/>
        <v>0</v>
      </c>
    </row>
    <row r="404" spans="2:43" x14ac:dyDescent="0.25">
      <c r="B404" s="182"/>
      <c r="C404" s="116"/>
      <c r="D404" s="117"/>
      <c r="E404" s="118"/>
      <c r="F404" s="126"/>
      <c r="G404" s="127"/>
      <c r="H404" s="119"/>
      <c r="I404" s="119"/>
      <c r="J404" s="115"/>
      <c r="K404" s="80"/>
      <c r="L404" s="120"/>
      <c r="M404" s="8"/>
      <c r="N404" s="115"/>
      <c r="O404" s="78"/>
      <c r="P404" s="121"/>
      <c r="Q404" s="115"/>
      <c r="R404" s="122"/>
      <c r="S404" s="122"/>
      <c r="T404" s="122"/>
      <c r="U404" s="122"/>
      <c r="V404" s="122"/>
      <c r="W404" s="122"/>
      <c r="X404" s="128"/>
      <c r="Y404" s="128"/>
      <c r="Z404" s="128"/>
      <c r="AA404" s="128"/>
      <c r="AB404" s="128"/>
      <c r="AC404" s="122"/>
      <c r="AD404" s="122"/>
      <c r="AE404" s="122"/>
      <c r="AF404" s="122"/>
      <c r="AG404" s="122"/>
      <c r="AH404" s="122"/>
      <c r="AI404" s="122"/>
      <c r="AJ404" s="122"/>
      <c r="AK404" s="122"/>
      <c r="AL404" s="122"/>
      <c r="AM404" s="122"/>
      <c r="AN404" s="64"/>
      <c r="AO404" s="118"/>
      <c r="AP404" s="77"/>
      <c r="AQ404" s="76">
        <f t="shared" si="17"/>
        <v>0</v>
      </c>
    </row>
    <row r="405" spans="2:43" x14ac:dyDescent="0.25">
      <c r="B405" s="182"/>
      <c r="C405" s="116"/>
      <c r="D405" s="117"/>
      <c r="E405" s="118"/>
      <c r="F405" s="126"/>
      <c r="G405" s="127"/>
      <c r="H405" s="119"/>
      <c r="I405" s="119"/>
      <c r="J405" s="115"/>
      <c r="K405" s="80"/>
      <c r="L405" s="120"/>
      <c r="M405" s="8"/>
      <c r="N405" s="115"/>
      <c r="O405" s="78"/>
      <c r="P405" s="121"/>
      <c r="Q405" s="115"/>
      <c r="R405" s="122"/>
      <c r="S405" s="122"/>
      <c r="T405" s="122"/>
      <c r="U405" s="122"/>
      <c r="V405" s="122"/>
      <c r="W405" s="122"/>
      <c r="X405" s="128"/>
      <c r="Y405" s="128"/>
      <c r="Z405" s="128"/>
      <c r="AA405" s="128"/>
      <c r="AB405" s="128"/>
      <c r="AC405" s="122"/>
      <c r="AD405" s="122"/>
      <c r="AE405" s="122"/>
      <c r="AF405" s="122"/>
      <c r="AG405" s="122"/>
      <c r="AH405" s="122"/>
      <c r="AI405" s="122"/>
      <c r="AJ405" s="122"/>
      <c r="AK405" s="122"/>
      <c r="AL405" s="122"/>
      <c r="AM405" s="122"/>
      <c r="AN405" s="64"/>
      <c r="AO405" s="118"/>
      <c r="AP405" s="77"/>
      <c r="AQ405" s="76">
        <f t="shared" si="17"/>
        <v>0</v>
      </c>
    </row>
    <row r="406" spans="2:43" x14ac:dyDescent="0.25">
      <c r="B406" s="182"/>
      <c r="C406" s="116"/>
      <c r="D406" s="117"/>
      <c r="E406" s="118"/>
      <c r="F406" s="126"/>
      <c r="G406" s="127"/>
      <c r="H406" s="119"/>
      <c r="I406" s="119"/>
      <c r="J406" s="115"/>
      <c r="K406" s="80"/>
      <c r="L406" s="120"/>
      <c r="M406" s="8"/>
      <c r="N406" s="115"/>
      <c r="O406" s="78"/>
      <c r="P406" s="121"/>
      <c r="Q406" s="115"/>
      <c r="R406" s="122"/>
      <c r="S406" s="122"/>
      <c r="T406" s="122"/>
      <c r="U406" s="122"/>
      <c r="V406" s="122"/>
      <c r="W406" s="122"/>
      <c r="X406" s="128"/>
      <c r="Y406" s="128"/>
      <c r="Z406" s="128"/>
      <c r="AA406" s="128"/>
      <c r="AB406" s="128"/>
      <c r="AC406" s="122"/>
      <c r="AD406" s="122"/>
      <c r="AE406" s="122"/>
      <c r="AF406" s="122"/>
      <c r="AG406" s="122"/>
      <c r="AH406" s="122"/>
      <c r="AI406" s="122"/>
      <c r="AJ406" s="122"/>
      <c r="AK406" s="122"/>
      <c r="AL406" s="122"/>
      <c r="AM406" s="122"/>
      <c r="AN406" s="64"/>
      <c r="AO406" s="118"/>
      <c r="AP406" s="77"/>
      <c r="AQ406" s="76">
        <f t="shared" si="17"/>
        <v>0</v>
      </c>
    </row>
    <row r="407" spans="2:43" x14ac:dyDescent="0.25">
      <c r="B407" s="182"/>
      <c r="C407" s="116"/>
      <c r="D407" s="117"/>
      <c r="E407" s="118"/>
      <c r="F407" s="126"/>
      <c r="G407" s="127"/>
      <c r="H407" s="119"/>
      <c r="I407" s="119"/>
      <c r="J407" s="115"/>
      <c r="K407" s="80"/>
      <c r="L407" s="120"/>
      <c r="M407" s="8"/>
      <c r="N407" s="115"/>
      <c r="O407" s="78"/>
      <c r="P407" s="121"/>
      <c r="Q407" s="115"/>
      <c r="R407" s="122"/>
      <c r="S407" s="122"/>
      <c r="T407" s="122"/>
      <c r="U407" s="122"/>
      <c r="V407" s="122"/>
      <c r="W407" s="122"/>
      <c r="X407" s="128"/>
      <c r="Y407" s="128"/>
      <c r="Z407" s="128"/>
      <c r="AA407" s="128"/>
      <c r="AB407" s="128"/>
      <c r="AC407" s="122"/>
      <c r="AD407" s="122"/>
      <c r="AE407" s="122"/>
      <c r="AF407" s="122"/>
      <c r="AG407" s="122"/>
      <c r="AH407" s="122"/>
      <c r="AI407" s="122"/>
      <c r="AJ407" s="122"/>
      <c r="AK407" s="122"/>
      <c r="AL407" s="122"/>
      <c r="AM407" s="122"/>
      <c r="AN407" s="64"/>
      <c r="AO407" s="118"/>
      <c r="AP407" s="77"/>
      <c r="AQ407" s="76">
        <f t="shared" si="17"/>
        <v>0</v>
      </c>
    </row>
    <row r="408" spans="2:43" x14ac:dyDescent="0.25">
      <c r="B408" s="182"/>
      <c r="C408" s="116"/>
      <c r="D408" s="117"/>
      <c r="E408" s="118"/>
      <c r="F408" s="126"/>
      <c r="G408" s="127"/>
      <c r="H408" s="119"/>
      <c r="I408" s="119"/>
      <c r="J408" s="115"/>
      <c r="K408" s="80"/>
      <c r="L408" s="120"/>
      <c r="M408" s="8"/>
      <c r="N408" s="115"/>
      <c r="O408" s="78"/>
      <c r="P408" s="121"/>
      <c r="Q408" s="115"/>
      <c r="R408" s="122"/>
      <c r="S408" s="122"/>
      <c r="T408" s="122"/>
      <c r="U408" s="122"/>
      <c r="V408" s="122"/>
      <c r="W408" s="122"/>
      <c r="X408" s="128"/>
      <c r="Y408" s="128"/>
      <c r="Z408" s="128"/>
      <c r="AA408" s="128"/>
      <c r="AB408" s="128"/>
      <c r="AC408" s="122"/>
      <c r="AD408" s="122"/>
      <c r="AE408" s="122"/>
      <c r="AF408" s="122"/>
      <c r="AG408" s="122"/>
      <c r="AH408" s="122"/>
      <c r="AI408" s="122"/>
      <c r="AJ408" s="122"/>
      <c r="AK408" s="122"/>
      <c r="AL408" s="122"/>
      <c r="AM408" s="122"/>
      <c r="AN408" s="64"/>
      <c r="AO408" s="118"/>
      <c r="AP408" s="77"/>
      <c r="AQ408" s="76">
        <f t="shared" ref="AQ408:AQ471" si="18">IFERROR(K408*O408*AP408,"")</f>
        <v>0</v>
      </c>
    </row>
    <row r="409" spans="2:43" x14ac:dyDescent="0.25">
      <c r="B409" s="182"/>
      <c r="C409" s="116"/>
      <c r="D409" s="117"/>
      <c r="E409" s="118"/>
      <c r="F409" s="126"/>
      <c r="G409" s="127"/>
      <c r="H409" s="119"/>
      <c r="I409" s="119"/>
      <c r="J409" s="115"/>
      <c r="K409" s="80"/>
      <c r="L409" s="120"/>
      <c r="M409" s="8"/>
      <c r="N409" s="115"/>
      <c r="O409" s="78"/>
      <c r="P409" s="121"/>
      <c r="Q409" s="115"/>
      <c r="R409" s="122"/>
      <c r="S409" s="122"/>
      <c r="T409" s="122"/>
      <c r="U409" s="122"/>
      <c r="V409" s="122"/>
      <c r="W409" s="122"/>
      <c r="X409" s="128"/>
      <c r="Y409" s="128"/>
      <c r="Z409" s="128"/>
      <c r="AA409" s="128"/>
      <c r="AB409" s="128"/>
      <c r="AC409" s="122"/>
      <c r="AD409" s="122"/>
      <c r="AE409" s="122"/>
      <c r="AF409" s="122"/>
      <c r="AG409" s="122"/>
      <c r="AH409" s="122"/>
      <c r="AI409" s="122"/>
      <c r="AJ409" s="122"/>
      <c r="AK409" s="122"/>
      <c r="AL409" s="122"/>
      <c r="AM409" s="122"/>
      <c r="AN409" s="64"/>
      <c r="AO409" s="118"/>
      <c r="AP409" s="77"/>
      <c r="AQ409" s="76">
        <f t="shared" si="18"/>
        <v>0</v>
      </c>
    </row>
    <row r="410" spans="2:43" x14ac:dyDescent="0.25">
      <c r="B410" s="182"/>
      <c r="C410" s="116"/>
      <c r="D410" s="117"/>
      <c r="E410" s="118"/>
      <c r="F410" s="126"/>
      <c r="G410" s="127"/>
      <c r="H410" s="119"/>
      <c r="I410" s="119"/>
      <c r="J410" s="115"/>
      <c r="K410" s="80"/>
      <c r="L410" s="120"/>
      <c r="M410" s="8"/>
      <c r="N410" s="115"/>
      <c r="O410" s="78"/>
      <c r="P410" s="121"/>
      <c r="Q410" s="115"/>
      <c r="R410" s="122"/>
      <c r="S410" s="122"/>
      <c r="T410" s="122"/>
      <c r="U410" s="122"/>
      <c r="V410" s="122"/>
      <c r="W410" s="122"/>
      <c r="X410" s="128"/>
      <c r="Y410" s="128"/>
      <c r="Z410" s="128"/>
      <c r="AA410" s="128"/>
      <c r="AB410" s="128"/>
      <c r="AC410" s="122"/>
      <c r="AD410" s="122"/>
      <c r="AE410" s="122"/>
      <c r="AF410" s="122"/>
      <c r="AG410" s="122"/>
      <c r="AH410" s="122"/>
      <c r="AI410" s="122"/>
      <c r="AJ410" s="122"/>
      <c r="AK410" s="122"/>
      <c r="AL410" s="122"/>
      <c r="AM410" s="122"/>
      <c r="AN410" s="64"/>
      <c r="AO410" s="118"/>
      <c r="AP410" s="77"/>
      <c r="AQ410" s="76">
        <f t="shared" si="18"/>
        <v>0</v>
      </c>
    </row>
    <row r="411" spans="2:43" x14ac:dyDescent="0.25">
      <c r="B411" s="182"/>
      <c r="C411" s="116"/>
      <c r="D411" s="117"/>
      <c r="E411" s="118"/>
      <c r="F411" s="126"/>
      <c r="G411" s="127"/>
      <c r="H411" s="119"/>
      <c r="I411" s="119"/>
      <c r="J411" s="115"/>
      <c r="K411" s="80"/>
      <c r="L411" s="120"/>
      <c r="M411" s="8"/>
      <c r="N411" s="115"/>
      <c r="O411" s="78"/>
      <c r="P411" s="121"/>
      <c r="Q411" s="115"/>
      <c r="R411" s="122"/>
      <c r="S411" s="122"/>
      <c r="T411" s="122"/>
      <c r="U411" s="122"/>
      <c r="V411" s="122"/>
      <c r="W411" s="122"/>
      <c r="X411" s="128"/>
      <c r="Y411" s="128"/>
      <c r="Z411" s="128"/>
      <c r="AA411" s="128"/>
      <c r="AB411" s="128"/>
      <c r="AC411" s="122"/>
      <c r="AD411" s="122"/>
      <c r="AE411" s="122"/>
      <c r="AF411" s="122"/>
      <c r="AG411" s="122"/>
      <c r="AH411" s="122"/>
      <c r="AI411" s="122"/>
      <c r="AJ411" s="122"/>
      <c r="AK411" s="122"/>
      <c r="AL411" s="122"/>
      <c r="AM411" s="122"/>
      <c r="AN411" s="64"/>
      <c r="AO411" s="118"/>
      <c r="AP411" s="77"/>
      <c r="AQ411" s="76">
        <f t="shared" si="18"/>
        <v>0</v>
      </c>
    </row>
    <row r="412" spans="2:43" x14ac:dyDescent="0.25">
      <c r="B412" s="182"/>
      <c r="C412" s="116"/>
      <c r="D412" s="117"/>
      <c r="E412" s="118"/>
      <c r="F412" s="126"/>
      <c r="G412" s="127"/>
      <c r="H412" s="119"/>
      <c r="I412" s="119"/>
      <c r="J412" s="115"/>
      <c r="K412" s="80"/>
      <c r="L412" s="120"/>
      <c r="M412" s="8"/>
      <c r="N412" s="115"/>
      <c r="O412" s="78"/>
      <c r="P412" s="121"/>
      <c r="Q412" s="115"/>
      <c r="R412" s="122"/>
      <c r="S412" s="122"/>
      <c r="T412" s="122"/>
      <c r="U412" s="122"/>
      <c r="V412" s="122"/>
      <c r="W412" s="122"/>
      <c r="X412" s="128"/>
      <c r="Y412" s="128"/>
      <c r="Z412" s="128"/>
      <c r="AA412" s="128"/>
      <c r="AB412" s="128"/>
      <c r="AC412" s="122"/>
      <c r="AD412" s="122"/>
      <c r="AE412" s="122"/>
      <c r="AF412" s="122"/>
      <c r="AG412" s="122"/>
      <c r="AH412" s="122"/>
      <c r="AI412" s="122"/>
      <c r="AJ412" s="122"/>
      <c r="AK412" s="122"/>
      <c r="AL412" s="122"/>
      <c r="AM412" s="122"/>
      <c r="AN412" s="64"/>
      <c r="AO412" s="118"/>
      <c r="AP412" s="77"/>
      <c r="AQ412" s="76">
        <f t="shared" si="18"/>
        <v>0</v>
      </c>
    </row>
    <row r="413" spans="2:43" x14ac:dyDescent="0.25">
      <c r="B413" s="182"/>
      <c r="C413" s="116"/>
      <c r="D413" s="117"/>
      <c r="E413" s="118"/>
      <c r="F413" s="126"/>
      <c r="G413" s="127"/>
      <c r="H413" s="119"/>
      <c r="I413" s="119"/>
      <c r="J413" s="115"/>
      <c r="K413" s="80"/>
      <c r="L413" s="120"/>
      <c r="M413" s="8"/>
      <c r="N413" s="115"/>
      <c r="O413" s="78"/>
      <c r="P413" s="121"/>
      <c r="Q413" s="115"/>
      <c r="R413" s="122"/>
      <c r="S413" s="122"/>
      <c r="T413" s="122"/>
      <c r="U413" s="122"/>
      <c r="V413" s="122"/>
      <c r="W413" s="122"/>
      <c r="X413" s="128"/>
      <c r="Y413" s="128"/>
      <c r="Z413" s="128"/>
      <c r="AA413" s="128"/>
      <c r="AB413" s="128"/>
      <c r="AC413" s="122"/>
      <c r="AD413" s="122"/>
      <c r="AE413" s="122"/>
      <c r="AF413" s="122"/>
      <c r="AG413" s="122"/>
      <c r="AH413" s="122"/>
      <c r="AI413" s="122"/>
      <c r="AJ413" s="122"/>
      <c r="AK413" s="122"/>
      <c r="AL413" s="122"/>
      <c r="AM413" s="122"/>
      <c r="AN413" s="64"/>
      <c r="AO413" s="118"/>
      <c r="AP413" s="77"/>
      <c r="AQ413" s="76">
        <f t="shared" si="18"/>
        <v>0</v>
      </c>
    </row>
    <row r="414" spans="2:43" x14ac:dyDescent="0.25">
      <c r="B414" s="182"/>
      <c r="C414" s="116"/>
      <c r="D414" s="117"/>
      <c r="E414" s="118"/>
      <c r="F414" s="126"/>
      <c r="G414" s="127"/>
      <c r="H414" s="119"/>
      <c r="I414" s="119"/>
      <c r="J414" s="115"/>
      <c r="K414" s="80"/>
      <c r="L414" s="120"/>
      <c r="M414" s="8"/>
      <c r="N414" s="115"/>
      <c r="O414" s="78"/>
      <c r="P414" s="121"/>
      <c r="Q414" s="115"/>
      <c r="R414" s="122"/>
      <c r="S414" s="122"/>
      <c r="T414" s="122"/>
      <c r="U414" s="122"/>
      <c r="V414" s="122"/>
      <c r="W414" s="122"/>
      <c r="X414" s="128"/>
      <c r="Y414" s="128"/>
      <c r="Z414" s="128"/>
      <c r="AA414" s="128"/>
      <c r="AB414" s="128"/>
      <c r="AC414" s="122"/>
      <c r="AD414" s="122"/>
      <c r="AE414" s="122"/>
      <c r="AF414" s="122"/>
      <c r="AG414" s="122"/>
      <c r="AH414" s="122"/>
      <c r="AI414" s="122"/>
      <c r="AJ414" s="122"/>
      <c r="AK414" s="122"/>
      <c r="AL414" s="122"/>
      <c r="AM414" s="122"/>
      <c r="AN414" s="64"/>
      <c r="AO414" s="118"/>
      <c r="AP414" s="77"/>
      <c r="AQ414" s="76">
        <f t="shared" si="18"/>
        <v>0</v>
      </c>
    </row>
    <row r="415" spans="2:43" x14ac:dyDescent="0.25">
      <c r="B415" s="182"/>
      <c r="C415" s="116"/>
      <c r="D415" s="117"/>
      <c r="E415" s="118"/>
      <c r="F415" s="126"/>
      <c r="G415" s="127"/>
      <c r="H415" s="119"/>
      <c r="I415" s="119"/>
      <c r="J415" s="115"/>
      <c r="K415" s="80"/>
      <c r="L415" s="120"/>
      <c r="M415" s="8"/>
      <c r="N415" s="115"/>
      <c r="O415" s="78"/>
      <c r="P415" s="121"/>
      <c r="Q415" s="115"/>
      <c r="R415" s="122"/>
      <c r="S415" s="122"/>
      <c r="T415" s="122"/>
      <c r="U415" s="122"/>
      <c r="V415" s="122"/>
      <c r="W415" s="122"/>
      <c r="X415" s="128"/>
      <c r="Y415" s="128"/>
      <c r="Z415" s="128"/>
      <c r="AA415" s="128"/>
      <c r="AB415" s="128"/>
      <c r="AC415" s="122"/>
      <c r="AD415" s="122"/>
      <c r="AE415" s="122"/>
      <c r="AF415" s="122"/>
      <c r="AG415" s="122"/>
      <c r="AH415" s="122"/>
      <c r="AI415" s="122"/>
      <c r="AJ415" s="122"/>
      <c r="AK415" s="122"/>
      <c r="AL415" s="122"/>
      <c r="AM415" s="122"/>
      <c r="AN415" s="64"/>
      <c r="AO415" s="118"/>
      <c r="AP415" s="77"/>
      <c r="AQ415" s="76">
        <f t="shared" si="18"/>
        <v>0</v>
      </c>
    </row>
    <row r="416" spans="2:43" x14ac:dyDescent="0.25">
      <c r="B416" s="182"/>
      <c r="C416" s="116"/>
      <c r="D416" s="117"/>
      <c r="E416" s="118"/>
      <c r="F416" s="126"/>
      <c r="G416" s="127"/>
      <c r="H416" s="119"/>
      <c r="I416" s="119"/>
      <c r="J416" s="115"/>
      <c r="K416" s="80"/>
      <c r="L416" s="120"/>
      <c r="M416" s="8"/>
      <c r="N416" s="115"/>
      <c r="O416" s="78"/>
      <c r="P416" s="121"/>
      <c r="Q416" s="115"/>
      <c r="R416" s="122"/>
      <c r="S416" s="122"/>
      <c r="T416" s="122"/>
      <c r="U416" s="122"/>
      <c r="V416" s="122"/>
      <c r="W416" s="122"/>
      <c r="X416" s="128"/>
      <c r="Y416" s="128"/>
      <c r="Z416" s="128"/>
      <c r="AA416" s="128"/>
      <c r="AB416" s="128"/>
      <c r="AC416" s="122"/>
      <c r="AD416" s="122"/>
      <c r="AE416" s="122"/>
      <c r="AF416" s="122"/>
      <c r="AG416" s="122"/>
      <c r="AH416" s="122"/>
      <c r="AI416" s="122"/>
      <c r="AJ416" s="122"/>
      <c r="AK416" s="122"/>
      <c r="AL416" s="122"/>
      <c r="AM416" s="122"/>
      <c r="AN416" s="64"/>
      <c r="AO416" s="118"/>
      <c r="AP416" s="77"/>
      <c r="AQ416" s="76">
        <f t="shared" si="18"/>
        <v>0</v>
      </c>
    </row>
    <row r="417" spans="2:43" x14ac:dyDescent="0.25">
      <c r="B417" s="182"/>
      <c r="C417" s="116"/>
      <c r="D417" s="117"/>
      <c r="E417" s="118"/>
      <c r="F417" s="126"/>
      <c r="G417" s="127"/>
      <c r="H417" s="119"/>
      <c r="I417" s="119"/>
      <c r="J417" s="115"/>
      <c r="K417" s="80"/>
      <c r="L417" s="120"/>
      <c r="M417" s="8"/>
      <c r="N417" s="115"/>
      <c r="O417" s="78"/>
      <c r="P417" s="121"/>
      <c r="Q417" s="115"/>
      <c r="R417" s="122"/>
      <c r="S417" s="122"/>
      <c r="T417" s="122"/>
      <c r="U417" s="122"/>
      <c r="V417" s="122"/>
      <c r="W417" s="122"/>
      <c r="X417" s="128"/>
      <c r="Y417" s="128"/>
      <c r="Z417" s="128"/>
      <c r="AA417" s="128"/>
      <c r="AB417" s="128"/>
      <c r="AC417" s="122"/>
      <c r="AD417" s="122"/>
      <c r="AE417" s="122"/>
      <c r="AF417" s="122"/>
      <c r="AG417" s="122"/>
      <c r="AH417" s="122"/>
      <c r="AI417" s="122"/>
      <c r="AJ417" s="122"/>
      <c r="AK417" s="122"/>
      <c r="AL417" s="122"/>
      <c r="AM417" s="122"/>
      <c r="AN417" s="64"/>
      <c r="AO417" s="118"/>
      <c r="AP417" s="77"/>
      <c r="AQ417" s="76">
        <f t="shared" si="18"/>
        <v>0</v>
      </c>
    </row>
    <row r="418" spans="2:43" x14ac:dyDescent="0.25">
      <c r="B418" s="182"/>
      <c r="C418" s="116"/>
      <c r="D418" s="117"/>
      <c r="E418" s="118"/>
      <c r="F418" s="126"/>
      <c r="G418" s="127"/>
      <c r="H418" s="119"/>
      <c r="I418" s="119"/>
      <c r="J418" s="115"/>
      <c r="K418" s="80"/>
      <c r="L418" s="120"/>
      <c r="M418" s="8"/>
      <c r="N418" s="115"/>
      <c r="O418" s="78"/>
      <c r="P418" s="121"/>
      <c r="Q418" s="115"/>
      <c r="R418" s="122"/>
      <c r="S418" s="122"/>
      <c r="T418" s="122"/>
      <c r="U418" s="122"/>
      <c r="V418" s="122"/>
      <c r="W418" s="122"/>
      <c r="X418" s="128"/>
      <c r="Y418" s="128"/>
      <c r="Z418" s="128"/>
      <c r="AA418" s="128"/>
      <c r="AB418" s="128"/>
      <c r="AC418" s="122"/>
      <c r="AD418" s="122"/>
      <c r="AE418" s="122"/>
      <c r="AF418" s="122"/>
      <c r="AG418" s="122"/>
      <c r="AH418" s="122"/>
      <c r="AI418" s="122"/>
      <c r="AJ418" s="122"/>
      <c r="AK418" s="122"/>
      <c r="AL418" s="122"/>
      <c r="AM418" s="122"/>
      <c r="AN418" s="64"/>
      <c r="AO418" s="118"/>
      <c r="AP418" s="77"/>
      <c r="AQ418" s="76">
        <f t="shared" si="18"/>
        <v>0</v>
      </c>
    </row>
    <row r="419" spans="2:43" x14ac:dyDescent="0.25">
      <c r="B419" s="182"/>
      <c r="C419" s="116"/>
      <c r="D419" s="117"/>
      <c r="E419" s="118"/>
      <c r="F419" s="126"/>
      <c r="G419" s="127"/>
      <c r="H419" s="119"/>
      <c r="I419" s="119"/>
      <c r="J419" s="115"/>
      <c r="K419" s="80"/>
      <c r="L419" s="120"/>
      <c r="M419" s="8"/>
      <c r="N419" s="115"/>
      <c r="O419" s="78"/>
      <c r="P419" s="121"/>
      <c r="Q419" s="115"/>
      <c r="R419" s="122"/>
      <c r="S419" s="122"/>
      <c r="T419" s="122"/>
      <c r="U419" s="122"/>
      <c r="V419" s="122"/>
      <c r="W419" s="122"/>
      <c r="X419" s="128"/>
      <c r="Y419" s="128"/>
      <c r="Z419" s="128"/>
      <c r="AA419" s="128"/>
      <c r="AB419" s="128"/>
      <c r="AC419" s="122"/>
      <c r="AD419" s="122"/>
      <c r="AE419" s="122"/>
      <c r="AF419" s="122"/>
      <c r="AG419" s="122"/>
      <c r="AH419" s="122"/>
      <c r="AI419" s="122"/>
      <c r="AJ419" s="122"/>
      <c r="AK419" s="122"/>
      <c r="AL419" s="122"/>
      <c r="AM419" s="122"/>
      <c r="AN419" s="64"/>
      <c r="AO419" s="118"/>
      <c r="AP419" s="77"/>
      <c r="AQ419" s="76">
        <f t="shared" si="18"/>
        <v>0</v>
      </c>
    </row>
    <row r="420" spans="2:43" x14ac:dyDescent="0.25">
      <c r="B420" s="182"/>
      <c r="C420" s="116"/>
      <c r="D420" s="117"/>
      <c r="E420" s="118"/>
      <c r="F420" s="126"/>
      <c r="G420" s="127"/>
      <c r="H420" s="119"/>
      <c r="I420" s="119"/>
      <c r="J420" s="115"/>
      <c r="K420" s="80"/>
      <c r="L420" s="120"/>
      <c r="M420" s="8"/>
      <c r="N420" s="115"/>
      <c r="O420" s="78"/>
      <c r="P420" s="121"/>
      <c r="Q420" s="115"/>
      <c r="R420" s="122"/>
      <c r="S420" s="122"/>
      <c r="T420" s="122"/>
      <c r="U420" s="122"/>
      <c r="V420" s="122"/>
      <c r="W420" s="122"/>
      <c r="X420" s="128"/>
      <c r="Y420" s="128"/>
      <c r="Z420" s="128"/>
      <c r="AA420" s="128"/>
      <c r="AB420" s="128"/>
      <c r="AC420" s="122"/>
      <c r="AD420" s="122"/>
      <c r="AE420" s="122"/>
      <c r="AF420" s="122"/>
      <c r="AG420" s="122"/>
      <c r="AH420" s="122"/>
      <c r="AI420" s="122"/>
      <c r="AJ420" s="122"/>
      <c r="AK420" s="122"/>
      <c r="AL420" s="122"/>
      <c r="AM420" s="122"/>
      <c r="AN420" s="64"/>
      <c r="AO420" s="118"/>
      <c r="AP420" s="77"/>
      <c r="AQ420" s="76">
        <f t="shared" si="18"/>
        <v>0</v>
      </c>
    </row>
    <row r="421" spans="2:43" x14ac:dyDescent="0.25">
      <c r="B421" s="182"/>
      <c r="C421" s="116"/>
      <c r="D421" s="117"/>
      <c r="E421" s="118"/>
      <c r="F421" s="126"/>
      <c r="G421" s="127"/>
      <c r="H421" s="119"/>
      <c r="I421" s="119"/>
      <c r="J421" s="115"/>
      <c r="K421" s="80"/>
      <c r="L421" s="120"/>
      <c r="M421" s="8"/>
      <c r="N421" s="115"/>
      <c r="O421" s="78"/>
      <c r="P421" s="121"/>
      <c r="Q421" s="115"/>
      <c r="R421" s="122"/>
      <c r="S421" s="122"/>
      <c r="T421" s="122"/>
      <c r="U421" s="122"/>
      <c r="V421" s="122"/>
      <c r="W421" s="122"/>
      <c r="X421" s="128"/>
      <c r="Y421" s="128"/>
      <c r="Z421" s="128"/>
      <c r="AA421" s="128"/>
      <c r="AB421" s="128"/>
      <c r="AC421" s="122"/>
      <c r="AD421" s="122"/>
      <c r="AE421" s="122"/>
      <c r="AF421" s="122"/>
      <c r="AG421" s="122"/>
      <c r="AH421" s="122"/>
      <c r="AI421" s="122"/>
      <c r="AJ421" s="122"/>
      <c r="AK421" s="122"/>
      <c r="AL421" s="122"/>
      <c r="AM421" s="122"/>
      <c r="AN421" s="64"/>
      <c r="AO421" s="118"/>
      <c r="AP421" s="77"/>
      <c r="AQ421" s="76">
        <f t="shared" si="18"/>
        <v>0</v>
      </c>
    </row>
    <row r="422" spans="2:43" x14ac:dyDescent="0.25">
      <c r="B422" s="182"/>
      <c r="C422" s="116"/>
      <c r="D422" s="117"/>
      <c r="E422" s="118"/>
      <c r="F422" s="126"/>
      <c r="G422" s="127"/>
      <c r="H422" s="119"/>
      <c r="I422" s="119"/>
      <c r="J422" s="115"/>
      <c r="K422" s="80"/>
      <c r="L422" s="120"/>
      <c r="M422" s="8"/>
      <c r="N422" s="115"/>
      <c r="O422" s="78"/>
      <c r="P422" s="121"/>
      <c r="Q422" s="115"/>
      <c r="R422" s="122"/>
      <c r="S422" s="122"/>
      <c r="T422" s="122"/>
      <c r="U422" s="122"/>
      <c r="V422" s="122"/>
      <c r="W422" s="122"/>
      <c r="X422" s="128"/>
      <c r="Y422" s="128"/>
      <c r="Z422" s="128"/>
      <c r="AA422" s="128"/>
      <c r="AB422" s="128"/>
      <c r="AC422" s="122"/>
      <c r="AD422" s="122"/>
      <c r="AE422" s="122"/>
      <c r="AF422" s="122"/>
      <c r="AG422" s="122"/>
      <c r="AH422" s="122"/>
      <c r="AI422" s="122"/>
      <c r="AJ422" s="122"/>
      <c r="AK422" s="122"/>
      <c r="AL422" s="122"/>
      <c r="AM422" s="122"/>
      <c r="AN422" s="64"/>
      <c r="AO422" s="118"/>
      <c r="AP422" s="77"/>
      <c r="AQ422" s="76">
        <f t="shared" si="18"/>
        <v>0</v>
      </c>
    </row>
    <row r="423" spans="2:43" x14ac:dyDescent="0.25">
      <c r="B423" s="182"/>
      <c r="C423" s="116"/>
      <c r="D423" s="117"/>
      <c r="E423" s="118"/>
      <c r="F423" s="126"/>
      <c r="G423" s="127"/>
      <c r="H423" s="119"/>
      <c r="I423" s="119"/>
      <c r="J423" s="115"/>
      <c r="K423" s="80"/>
      <c r="L423" s="120"/>
      <c r="M423" s="8"/>
      <c r="N423" s="115"/>
      <c r="O423" s="78"/>
      <c r="P423" s="121"/>
      <c r="Q423" s="115"/>
      <c r="R423" s="122"/>
      <c r="S423" s="122"/>
      <c r="T423" s="122"/>
      <c r="U423" s="122"/>
      <c r="V423" s="122"/>
      <c r="W423" s="122"/>
      <c r="X423" s="128"/>
      <c r="Y423" s="128"/>
      <c r="Z423" s="128"/>
      <c r="AA423" s="128"/>
      <c r="AB423" s="128"/>
      <c r="AC423" s="122"/>
      <c r="AD423" s="122"/>
      <c r="AE423" s="122"/>
      <c r="AF423" s="122"/>
      <c r="AG423" s="122"/>
      <c r="AH423" s="122"/>
      <c r="AI423" s="122"/>
      <c r="AJ423" s="122"/>
      <c r="AK423" s="122"/>
      <c r="AL423" s="122"/>
      <c r="AM423" s="122"/>
      <c r="AN423" s="64"/>
      <c r="AO423" s="118"/>
      <c r="AP423" s="77"/>
      <c r="AQ423" s="76">
        <f t="shared" si="18"/>
        <v>0</v>
      </c>
    </row>
    <row r="424" spans="2:43" x14ac:dyDescent="0.25">
      <c r="B424" s="182"/>
      <c r="C424" s="116"/>
      <c r="D424" s="117"/>
      <c r="E424" s="118"/>
      <c r="F424" s="126"/>
      <c r="G424" s="127"/>
      <c r="H424" s="119"/>
      <c r="I424" s="119"/>
      <c r="J424" s="115"/>
      <c r="K424" s="80"/>
      <c r="L424" s="120"/>
      <c r="M424" s="8"/>
      <c r="N424" s="115"/>
      <c r="O424" s="78"/>
      <c r="P424" s="121"/>
      <c r="Q424" s="115"/>
      <c r="R424" s="122"/>
      <c r="S424" s="122"/>
      <c r="T424" s="122"/>
      <c r="U424" s="122"/>
      <c r="V424" s="122"/>
      <c r="W424" s="122"/>
      <c r="X424" s="128"/>
      <c r="Y424" s="128"/>
      <c r="Z424" s="128"/>
      <c r="AA424" s="128"/>
      <c r="AB424" s="128"/>
      <c r="AC424" s="122"/>
      <c r="AD424" s="122"/>
      <c r="AE424" s="122"/>
      <c r="AF424" s="122"/>
      <c r="AG424" s="122"/>
      <c r="AH424" s="122"/>
      <c r="AI424" s="122"/>
      <c r="AJ424" s="122"/>
      <c r="AK424" s="122"/>
      <c r="AL424" s="122"/>
      <c r="AM424" s="122"/>
      <c r="AN424" s="64"/>
      <c r="AO424" s="118"/>
      <c r="AP424" s="77"/>
      <c r="AQ424" s="76">
        <f t="shared" si="18"/>
        <v>0</v>
      </c>
    </row>
    <row r="425" spans="2:43" x14ac:dyDescent="0.25">
      <c r="B425" s="182"/>
      <c r="C425" s="116"/>
      <c r="D425" s="117"/>
      <c r="E425" s="118"/>
      <c r="F425" s="126"/>
      <c r="G425" s="127"/>
      <c r="H425" s="119"/>
      <c r="I425" s="119"/>
      <c r="J425" s="115"/>
      <c r="K425" s="80"/>
      <c r="L425" s="120"/>
      <c r="M425" s="8"/>
      <c r="N425" s="115"/>
      <c r="O425" s="78"/>
      <c r="P425" s="121"/>
      <c r="Q425" s="115"/>
      <c r="R425" s="122"/>
      <c r="S425" s="122"/>
      <c r="T425" s="122"/>
      <c r="U425" s="122"/>
      <c r="V425" s="122"/>
      <c r="W425" s="122"/>
      <c r="X425" s="128"/>
      <c r="Y425" s="128"/>
      <c r="Z425" s="128"/>
      <c r="AA425" s="128"/>
      <c r="AB425" s="128"/>
      <c r="AC425" s="122"/>
      <c r="AD425" s="122"/>
      <c r="AE425" s="122"/>
      <c r="AF425" s="122"/>
      <c r="AG425" s="122"/>
      <c r="AH425" s="122"/>
      <c r="AI425" s="122"/>
      <c r="AJ425" s="122"/>
      <c r="AK425" s="122"/>
      <c r="AL425" s="122"/>
      <c r="AM425" s="122"/>
      <c r="AN425" s="64"/>
      <c r="AO425" s="118"/>
      <c r="AP425" s="77"/>
      <c r="AQ425" s="76">
        <f t="shared" si="18"/>
        <v>0</v>
      </c>
    </row>
    <row r="426" spans="2:43" x14ac:dyDescent="0.25">
      <c r="B426" s="182"/>
      <c r="C426" s="116"/>
      <c r="D426" s="117"/>
      <c r="E426" s="118"/>
      <c r="F426" s="126"/>
      <c r="G426" s="127"/>
      <c r="H426" s="119"/>
      <c r="I426" s="119"/>
      <c r="J426" s="115"/>
      <c r="K426" s="80"/>
      <c r="L426" s="120"/>
      <c r="M426" s="8"/>
      <c r="N426" s="115"/>
      <c r="O426" s="78"/>
      <c r="P426" s="121"/>
      <c r="Q426" s="115"/>
      <c r="R426" s="122"/>
      <c r="S426" s="122"/>
      <c r="T426" s="122"/>
      <c r="U426" s="122"/>
      <c r="V426" s="122"/>
      <c r="W426" s="122"/>
      <c r="X426" s="128"/>
      <c r="Y426" s="128"/>
      <c r="Z426" s="128"/>
      <c r="AA426" s="128"/>
      <c r="AB426" s="128"/>
      <c r="AC426" s="122"/>
      <c r="AD426" s="122"/>
      <c r="AE426" s="122"/>
      <c r="AF426" s="122"/>
      <c r="AG426" s="122"/>
      <c r="AH426" s="122"/>
      <c r="AI426" s="122"/>
      <c r="AJ426" s="122"/>
      <c r="AK426" s="122"/>
      <c r="AL426" s="122"/>
      <c r="AM426" s="122"/>
      <c r="AN426" s="64"/>
      <c r="AO426" s="118"/>
      <c r="AP426" s="77"/>
      <c r="AQ426" s="76">
        <f t="shared" si="18"/>
        <v>0</v>
      </c>
    </row>
    <row r="427" spans="2:43" x14ac:dyDescent="0.25">
      <c r="B427" s="182"/>
      <c r="C427" s="116"/>
      <c r="D427" s="117"/>
      <c r="E427" s="118"/>
      <c r="F427" s="126"/>
      <c r="G427" s="127"/>
      <c r="H427" s="119"/>
      <c r="I427" s="119"/>
      <c r="J427" s="115"/>
      <c r="K427" s="80"/>
      <c r="L427" s="120"/>
      <c r="M427" s="8"/>
      <c r="N427" s="115"/>
      <c r="O427" s="78"/>
      <c r="P427" s="121"/>
      <c r="Q427" s="115"/>
      <c r="R427" s="122"/>
      <c r="S427" s="122"/>
      <c r="T427" s="122"/>
      <c r="U427" s="122"/>
      <c r="V427" s="122"/>
      <c r="W427" s="122"/>
      <c r="X427" s="128"/>
      <c r="Y427" s="128"/>
      <c r="Z427" s="128"/>
      <c r="AA427" s="128"/>
      <c r="AB427" s="128"/>
      <c r="AC427" s="122"/>
      <c r="AD427" s="122"/>
      <c r="AE427" s="122"/>
      <c r="AF427" s="122"/>
      <c r="AG427" s="122"/>
      <c r="AH427" s="122"/>
      <c r="AI427" s="122"/>
      <c r="AJ427" s="122"/>
      <c r="AK427" s="122"/>
      <c r="AL427" s="122"/>
      <c r="AM427" s="122"/>
      <c r="AN427" s="64"/>
      <c r="AO427" s="118"/>
      <c r="AP427" s="77"/>
      <c r="AQ427" s="76">
        <f t="shared" si="18"/>
        <v>0</v>
      </c>
    </row>
    <row r="428" spans="2:43" x14ac:dyDescent="0.25">
      <c r="B428" s="182"/>
      <c r="C428" s="116"/>
      <c r="D428" s="117"/>
      <c r="E428" s="118"/>
      <c r="F428" s="126"/>
      <c r="G428" s="127"/>
      <c r="H428" s="119"/>
      <c r="I428" s="119"/>
      <c r="J428" s="115"/>
      <c r="K428" s="80"/>
      <c r="L428" s="120"/>
      <c r="M428" s="8"/>
      <c r="N428" s="115"/>
      <c r="O428" s="78"/>
      <c r="P428" s="121"/>
      <c r="Q428" s="115"/>
      <c r="R428" s="122"/>
      <c r="S428" s="122"/>
      <c r="T428" s="122"/>
      <c r="U428" s="122"/>
      <c r="V428" s="122"/>
      <c r="W428" s="122"/>
      <c r="X428" s="128"/>
      <c r="Y428" s="128"/>
      <c r="Z428" s="128"/>
      <c r="AA428" s="128"/>
      <c r="AB428" s="128"/>
      <c r="AC428" s="122"/>
      <c r="AD428" s="122"/>
      <c r="AE428" s="122"/>
      <c r="AF428" s="122"/>
      <c r="AG428" s="122"/>
      <c r="AH428" s="122"/>
      <c r="AI428" s="122"/>
      <c r="AJ428" s="122"/>
      <c r="AK428" s="122"/>
      <c r="AL428" s="122"/>
      <c r="AM428" s="122"/>
      <c r="AN428" s="64"/>
      <c r="AO428" s="118"/>
      <c r="AP428" s="77"/>
      <c r="AQ428" s="76">
        <f t="shared" si="18"/>
        <v>0</v>
      </c>
    </row>
    <row r="429" spans="2:43" x14ac:dyDescent="0.25">
      <c r="B429" s="182"/>
      <c r="C429" s="116"/>
      <c r="D429" s="117"/>
      <c r="E429" s="118"/>
      <c r="F429" s="126"/>
      <c r="G429" s="127"/>
      <c r="H429" s="119"/>
      <c r="I429" s="119"/>
      <c r="J429" s="115"/>
      <c r="K429" s="80"/>
      <c r="L429" s="120"/>
      <c r="M429" s="8"/>
      <c r="N429" s="115"/>
      <c r="O429" s="78"/>
      <c r="P429" s="121"/>
      <c r="Q429" s="115"/>
      <c r="R429" s="122"/>
      <c r="S429" s="122"/>
      <c r="T429" s="122"/>
      <c r="U429" s="122"/>
      <c r="V429" s="122"/>
      <c r="W429" s="122"/>
      <c r="X429" s="128"/>
      <c r="Y429" s="128"/>
      <c r="Z429" s="128"/>
      <c r="AA429" s="128"/>
      <c r="AB429" s="128"/>
      <c r="AC429" s="122"/>
      <c r="AD429" s="122"/>
      <c r="AE429" s="122"/>
      <c r="AF429" s="122"/>
      <c r="AG429" s="122"/>
      <c r="AH429" s="122"/>
      <c r="AI429" s="122"/>
      <c r="AJ429" s="122"/>
      <c r="AK429" s="122"/>
      <c r="AL429" s="122"/>
      <c r="AM429" s="122"/>
      <c r="AN429" s="64"/>
      <c r="AO429" s="118"/>
      <c r="AP429" s="77"/>
      <c r="AQ429" s="76">
        <f t="shared" si="18"/>
        <v>0</v>
      </c>
    </row>
    <row r="430" spans="2:43" x14ac:dyDescent="0.25">
      <c r="B430" s="182"/>
      <c r="C430" s="116"/>
      <c r="D430" s="117"/>
      <c r="E430" s="118"/>
      <c r="F430" s="126"/>
      <c r="G430" s="127"/>
      <c r="H430" s="119"/>
      <c r="I430" s="119"/>
      <c r="J430" s="115"/>
      <c r="K430" s="80"/>
      <c r="L430" s="120"/>
      <c r="M430" s="8"/>
      <c r="N430" s="115"/>
      <c r="O430" s="78"/>
      <c r="P430" s="121"/>
      <c r="Q430" s="115"/>
      <c r="R430" s="122"/>
      <c r="S430" s="122"/>
      <c r="T430" s="122"/>
      <c r="U430" s="122"/>
      <c r="V430" s="122"/>
      <c r="W430" s="122"/>
      <c r="X430" s="128"/>
      <c r="Y430" s="128"/>
      <c r="Z430" s="128"/>
      <c r="AA430" s="128"/>
      <c r="AB430" s="128"/>
      <c r="AC430" s="122"/>
      <c r="AD430" s="122"/>
      <c r="AE430" s="122"/>
      <c r="AF430" s="122"/>
      <c r="AG430" s="122"/>
      <c r="AH430" s="122"/>
      <c r="AI430" s="122"/>
      <c r="AJ430" s="122"/>
      <c r="AK430" s="122"/>
      <c r="AL430" s="122"/>
      <c r="AM430" s="122"/>
      <c r="AN430" s="64"/>
      <c r="AO430" s="118"/>
      <c r="AP430" s="77"/>
      <c r="AQ430" s="76">
        <f t="shared" si="18"/>
        <v>0</v>
      </c>
    </row>
    <row r="431" spans="2:43" x14ac:dyDescent="0.25">
      <c r="B431" s="182"/>
      <c r="C431" s="116"/>
      <c r="D431" s="117"/>
      <c r="E431" s="118"/>
      <c r="F431" s="126"/>
      <c r="G431" s="127"/>
      <c r="H431" s="119"/>
      <c r="I431" s="119"/>
      <c r="J431" s="115"/>
      <c r="K431" s="80"/>
      <c r="L431" s="120"/>
      <c r="M431" s="8"/>
      <c r="N431" s="115"/>
      <c r="O431" s="78"/>
      <c r="P431" s="121"/>
      <c r="Q431" s="115"/>
      <c r="R431" s="122"/>
      <c r="S431" s="122"/>
      <c r="T431" s="122"/>
      <c r="U431" s="122"/>
      <c r="V431" s="122"/>
      <c r="W431" s="122"/>
      <c r="X431" s="128"/>
      <c r="Y431" s="128"/>
      <c r="Z431" s="128"/>
      <c r="AA431" s="128"/>
      <c r="AB431" s="128"/>
      <c r="AC431" s="122"/>
      <c r="AD431" s="122"/>
      <c r="AE431" s="122"/>
      <c r="AF431" s="122"/>
      <c r="AG431" s="122"/>
      <c r="AH431" s="122"/>
      <c r="AI431" s="122"/>
      <c r="AJ431" s="122"/>
      <c r="AK431" s="122"/>
      <c r="AL431" s="122"/>
      <c r="AM431" s="122"/>
      <c r="AN431" s="64"/>
      <c r="AO431" s="118"/>
      <c r="AP431" s="77"/>
      <c r="AQ431" s="76">
        <f t="shared" si="18"/>
        <v>0</v>
      </c>
    </row>
    <row r="432" spans="2:43" x14ac:dyDescent="0.25">
      <c r="B432" s="182"/>
      <c r="C432" s="116"/>
      <c r="D432" s="117"/>
      <c r="E432" s="118"/>
      <c r="F432" s="126"/>
      <c r="G432" s="127"/>
      <c r="H432" s="119"/>
      <c r="I432" s="119"/>
      <c r="J432" s="115"/>
      <c r="K432" s="80"/>
      <c r="L432" s="120"/>
      <c r="M432" s="8"/>
      <c r="N432" s="115"/>
      <c r="O432" s="78"/>
      <c r="P432" s="121"/>
      <c r="Q432" s="115"/>
      <c r="R432" s="122"/>
      <c r="S432" s="122"/>
      <c r="T432" s="122"/>
      <c r="U432" s="122"/>
      <c r="V432" s="122"/>
      <c r="W432" s="122"/>
      <c r="X432" s="128"/>
      <c r="Y432" s="128"/>
      <c r="Z432" s="128"/>
      <c r="AA432" s="128"/>
      <c r="AB432" s="128"/>
      <c r="AC432" s="122"/>
      <c r="AD432" s="122"/>
      <c r="AE432" s="122"/>
      <c r="AF432" s="122"/>
      <c r="AG432" s="122"/>
      <c r="AH432" s="122"/>
      <c r="AI432" s="122"/>
      <c r="AJ432" s="122"/>
      <c r="AK432" s="122"/>
      <c r="AL432" s="122"/>
      <c r="AM432" s="122"/>
      <c r="AN432" s="64"/>
      <c r="AO432" s="118"/>
      <c r="AP432" s="77"/>
      <c r="AQ432" s="76">
        <f t="shared" si="18"/>
        <v>0</v>
      </c>
    </row>
    <row r="433" spans="2:43" x14ac:dyDescent="0.25">
      <c r="B433" s="182"/>
      <c r="C433" s="116"/>
      <c r="D433" s="117"/>
      <c r="E433" s="118"/>
      <c r="F433" s="126"/>
      <c r="G433" s="127"/>
      <c r="H433" s="119"/>
      <c r="I433" s="119"/>
      <c r="J433" s="115"/>
      <c r="K433" s="80"/>
      <c r="L433" s="120"/>
      <c r="M433" s="8"/>
      <c r="N433" s="115"/>
      <c r="O433" s="78"/>
      <c r="P433" s="121"/>
      <c r="Q433" s="115"/>
      <c r="R433" s="122"/>
      <c r="S433" s="122"/>
      <c r="T433" s="122"/>
      <c r="U433" s="122"/>
      <c r="V433" s="122"/>
      <c r="W433" s="122"/>
      <c r="X433" s="128"/>
      <c r="Y433" s="128"/>
      <c r="Z433" s="128"/>
      <c r="AA433" s="128"/>
      <c r="AB433" s="128"/>
      <c r="AC433" s="122"/>
      <c r="AD433" s="122"/>
      <c r="AE433" s="122"/>
      <c r="AF433" s="122"/>
      <c r="AG433" s="122"/>
      <c r="AH433" s="122"/>
      <c r="AI433" s="122"/>
      <c r="AJ433" s="122"/>
      <c r="AK433" s="122"/>
      <c r="AL433" s="122"/>
      <c r="AM433" s="122"/>
      <c r="AN433" s="64"/>
      <c r="AO433" s="118"/>
      <c r="AP433" s="77"/>
      <c r="AQ433" s="76">
        <f t="shared" si="18"/>
        <v>0</v>
      </c>
    </row>
    <row r="434" spans="2:43" x14ac:dyDescent="0.25">
      <c r="B434" s="182"/>
      <c r="C434" s="116"/>
      <c r="D434" s="117"/>
      <c r="E434" s="118"/>
      <c r="F434" s="126"/>
      <c r="G434" s="127"/>
      <c r="H434" s="119"/>
      <c r="I434" s="119"/>
      <c r="J434" s="115"/>
      <c r="K434" s="80"/>
      <c r="L434" s="120"/>
      <c r="M434" s="8"/>
      <c r="N434" s="115"/>
      <c r="O434" s="78"/>
      <c r="P434" s="121"/>
      <c r="Q434" s="115"/>
      <c r="R434" s="122"/>
      <c r="S434" s="122"/>
      <c r="T434" s="122"/>
      <c r="U434" s="122"/>
      <c r="V434" s="122"/>
      <c r="W434" s="122"/>
      <c r="X434" s="128"/>
      <c r="Y434" s="128"/>
      <c r="Z434" s="128"/>
      <c r="AA434" s="128"/>
      <c r="AB434" s="128"/>
      <c r="AC434" s="122"/>
      <c r="AD434" s="122"/>
      <c r="AE434" s="122"/>
      <c r="AF434" s="122"/>
      <c r="AG434" s="122"/>
      <c r="AH434" s="122"/>
      <c r="AI434" s="122"/>
      <c r="AJ434" s="122"/>
      <c r="AK434" s="122"/>
      <c r="AL434" s="122"/>
      <c r="AM434" s="122"/>
      <c r="AN434" s="64"/>
      <c r="AO434" s="118"/>
      <c r="AP434" s="77"/>
      <c r="AQ434" s="76">
        <f t="shared" si="18"/>
        <v>0</v>
      </c>
    </row>
    <row r="435" spans="2:43" x14ac:dyDescent="0.25">
      <c r="B435" s="182"/>
      <c r="C435" s="116"/>
      <c r="D435" s="117"/>
      <c r="E435" s="118"/>
      <c r="F435" s="126"/>
      <c r="G435" s="127"/>
      <c r="H435" s="119"/>
      <c r="I435" s="119"/>
      <c r="J435" s="115"/>
      <c r="K435" s="80"/>
      <c r="L435" s="120"/>
      <c r="M435" s="8"/>
      <c r="N435" s="115"/>
      <c r="O435" s="78"/>
      <c r="P435" s="121"/>
      <c r="Q435" s="115"/>
      <c r="R435" s="122"/>
      <c r="S435" s="122"/>
      <c r="T435" s="122"/>
      <c r="U435" s="122"/>
      <c r="V435" s="122"/>
      <c r="W435" s="122"/>
      <c r="X435" s="128"/>
      <c r="Y435" s="128"/>
      <c r="Z435" s="128"/>
      <c r="AA435" s="128"/>
      <c r="AB435" s="128"/>
      <c r="AC435" s="122"/>
      <c r="AD435" s="122"/>
      <c r="AE435" s="122"/>
      <c r="AF435" s="122"/>
      <c r="AG435" s="122"/>
      <c r="AH435" s="122"/>
      <c r="AI435" s="122"/>
      <c r="AJ435" s="122"/>
      <c r="AK435" s="122"/>
      <c r="AL435" s="122"/>
      <c r="AM435" s="122"/>
      <c r="AN435" s="64"/>
      <c r="AO435" s="118"/>
      <c r="AP435" s="77"/>
      <c r="AQ435" s="76">
        <f t="shared" si="18"/>
        <v>0</v>
      </c>
    </row>
    <row r="436" spans="2:43" x14ac:dyDescent="0.25">
      <c r="B436" s="182"/>
      <c r="C436" s="116"/>
      <c r="D436" s="117"/>
      <c r="E436" s="118"/>
      <c r="F436" s="126"/>
      <c r="G436" s="127"/>
      <c r="H436" s="119"/>
      <c r="I436" s="119"/>
      <c r="J436" s="115"/>
      <c r="K436" s="80"/>
      <c r="L436" s="120"/>
      <c r="M436" s="8"/>
      <c r="N436" s="115"/>
      <c r="O436" s="78"/>
      <c r="P436" s="121"/>
      <c r="Q436" s="115"/>
      <c r="R436" s="122"/>
      <c r="S436" s="122"/>
      <c r="T436" s="122"/>
      <c r="U436" s="122"/>
      <c r="V436" s="122"/>
      <c r="W436" s="122"/>
      <c r="X436" s="128"/>
      <c r="Y436" s="128"/>
      <c r="Z436" s="128"/>
      <c r="AA436" s="128"/>
      <c r="AB436" s="128"/>
      <c r="AC436" s="122"/>
      <c r="AD436" s="122"/>
      <c r="AE436" s="122"/>
      <c r="AF436" s="122"/>
      <c r="AG436" s="122"/>
      <c r="AH436" s="122"/>
      <c r="AI436" s="122"/>
      <c r="AJ436" s="122"/>
      <c r="AK436" s="122"/>
      <c r="AL436" s="122"/>
      <c r="AM436" s="122"/>
      <c r="AN436" s="64"/>
      <c r="AO436" s="118"/>
      <c r="AP436" s="77"/>
      <c r="AQ436" s="76">
        <f t="shared" si="18"/>
        <v>0</v>
      </c>
    </row>
    <row r="437" spans="2:43" x14ac:dyDescent="0.25">
      <c r="B437" s="182"/>
      <c r="C437" s="116"/>
      <c r="D437" s="117"/>
      <c r="E437" s="118"/>
      <c r="F437" s="126"/>
      <c r="G437" s="127"/>
      <c r="H437" s="119"/>
      <c r="I437" s="119"/>
      <c r="J437" s="115"/>
      <c r="K437" s="80"/>
      <c r="L437" s="120"/>
      <c r="M437" s="8"/>
      <c r="N437" s="115"/>
      <c r="O437" s="78"/>
      <c r="P437" s="121"/>
      <c r="Q437" s="115"/>
      <c r="R437" s="122"/>
      <c r="S437" s="122"/>
      <c r="T437" s="122"/>
      <c r="U437" s="122"/>
      <c r="V437" s="122"/>
      <c r="W437" s="122"/>
      <c r="X437" s="128"/>
      <c r="Y437" s="128"/>
      <c r="Z437" s="128"/>
      <c r="AA437" s="128"/>
      <c r="AB437" s="128"/>
      <c r="AC437" s="122"/>
      <c r="AD437" s="122"/>
      <c r="AE437" s="122"/>
      <c r="AF437" s="122"/>
      <c r="AG437" s="122"/>
      <c r="AH437" s="122"/>
      <c r="AI437" s="122"/>
      <c r="AJ437" s="122"/>
      <c r="AK437" s="122"/>
      <c r="AL437" s="122"/>
      <c r="AM437" s="122"/>
      <c r="AN437" s="64"/>
      <c r="AO437" s="118"/>
      <c r="AP437" s="77"/>
      <c r="AQ437" s="76">
        <f t="shared" si="18"/>
        <v>0</v>
      </c>
    </row>
    <row r="438" spans="2:43" x14ac:dyDescent="0.25">
      <c r="B438" s="182"/>
      <c r="C438" s="116"/>
      <c r="D438" s="117"/>
      <c r="E438" s="118"/>
      <c r="F438" s="126"/>
      <c r="G438" s="127"/>
      <c r="H438" s="119"/>
      <c r="I438" s="119"/>
      <c r="J438" s="115"/>
      <c r="K438" s="80"/>
      <c r="L438" s="120"/>
      <c r="M438" s="8"/>
      <c r="N438" s="115"/>
      <c r="O438" s="78"/>
      <c r="P438" s="121"/>
      <c r="Q438" s="115"/>
      <c r="R438" s="122"/>
      <c r="S438" s="122"/>
      <c r="T438" s="122"/>
      <c r="U438" s="122"/>
      <c r="V438" s="122"/>
      <c r="W438" s="122"/>
      <c r="X438" s="128"/>
      <c r="Y438" s="128"/>
      <c r="Z438" s="128"/>
      <c r="AA438" s="128"/>
      <c r="AB438" s="128"/>
      <c r="AC438" s="122"/>
      <c r="AD438" s="122"/>
      <c r="AE438" s="122"/>
      <c r="AF438" s="122"/>
      <c r="AG438" s="122"/>
      <c r="AH438" s="122"/>
      <c r="AI438" s="122"/>
      <c r="AJ438" s="122"/>
      <c r="AK438" s="122"/>
      <c r="AL438" s="122"/>
      <c r="AM438" s="122"/>
      <c r="AN438" s="64"/>
      <c r="AO438" s="118"/>
      <c r="AP438" s="77"/>
      <c r="AQ438" s="76">
        <f t="shared" si="18"/>
        <v>0</v>
      </c>
    </row>
    <row r="439" spans="2:43" x14ac:dyDescent="0.25">
      <c r="B439" s="182"/>
      <c r="C439" s="116"/>
      <c r="D439" s="117"/>
      <c r="E439" s="118"/>
      <c r="F439" s="126"/>
      <c r="G439" s="127"/>
      <c r="H439" s="119"/>
      <c r="I439" s="119"/>
      <c r="J439" s="115"/>
      <c r="K439" s="80"/>
      <c r="L439" s="120"/>
      <c r="M439" s="8"/>
      <c r="N439" s="115"/>
      <c r="O439" s="78"/>
      <c r="P439" s="121"/>
      <c r="Q439" s="115"/>
      <c r="R439" s="122"/>
      <c r="S439" s="122"/>
      <c r="T439" s="122"/>
      <c r="U439" s="122"/>
      <c r="V439" s="122"/>
      <c r="W439" s="122"/>
      <c r="X439" s="128"/>
      <c r="Y439" s="128"/>
      <c r="Z439" s="128"/>
      <c r="AA439" s="128"/>
      <c r="AB439" s="128"/>
      <c r="AC439" s="122"/>
      <c r="AD439" s="122"/>
      <c r="AE439" s="122"/>
      <c r="AF439" s="122"/>
      <c r="AG439" s="122"/>
      <c r="AH439" s="122"/>
      <c r="AI439" s="122"/>
      <c r="AJ439" s="122"/>
      <c r="AK439" s="122"/>
      <c r="AL439" s="122"/>
      <c r="AM439" s="122"/>
      <c r="AN439" s="64"/>
      <c r="AO439" s="118"/>
      <c r="AP439" s="77"/>
      <c r="AQ439" s="76">
        <f t="shared" si="18"/>
        <v>0</v>
      </c>
    </row>
    <row r="440" spans="2:43" x14ac:dyDescent="0.25">
      <c r="B440" s="182"/>
      <c r="C440" s="116"/>
      <c r="D440" s="117"/>
      <c r="E440" s="118"/>
      <c r="F440" s="126"/>
      <c r="G440" s="127"/>
      <c r="H440" s="119"/>
      <c r="I440" s="119"/>
      <c r="J440" s="115"/>
      <c r="K440" s="80"/>
      <c r="L440" s="120"/>
      <c r="M440" s="8"/>
      <c r="N440" s="115"/>
      <c r="O440" s="78"/>
      <c r="P440" s="121"/>
      <c r="Q440" s="115"/>
      <c r="R440" s="122"/>
      <c r="S440" s="122"/>
      <c r="T440" s="122"/>
      <c r="U440" s="122"/>
      <c r="V440" s="122"/>
      <c r="W440" s="122"/>
      <c r="X440" s="128"/>
      <c r="Y440" s="128"/>
      <c r="Z440" s="128"/>
      <c r="AA440" s="128"/>
      <c r="AB440" s="128"/>
      <c r="AC440" s="122"/>
      <c r="AD440" s="122"/>
      <c r="AE440" s="122"/>
      <c r="AF440" s="122"/>
      <c r="AG440" s="122"/>
      <c r="AH440" s="122"/>
      <c r="AI440" s="122"/>
      <c r="AJ440" s="122"/>
      <c r="AK440" s="122"/>
      <c r="AL440" s="122"/>
      <c r="AM440" s="122"/>
      <c r="AN440" s="64"/>
      <c r="AO440" s="118"/>
      <c r="AP440" s="77"/>
      <c r="AQ440" s="76">
        <f t="shared" si="18"/>
        <v>0</v>
      </c>
    </row>
    <row r="441" spans="2:43" x14ac:dyDescent="0.25">
      <c r="B441" s="182"/>
      <c r="C441" s="116"/>
      <c r="D441" s="117"/>
      <c r="E441" s="118"/>
      <c r="F441" s="126"/>
      <c r="G441" s="127"/>
      <c r="H441" s="119"/>
      <c r="I441" s="119"/>
      <c r="J441" s="115"/>
      <c r="K441" s="80"/>
      <c r="L441" s="120"/>
      <c r="M441" s="8"/>
      <c r="N441" s="115"/>
      <c r="O441" s="78"/>
      <c r="P441" s="121"/>
      <c r="Q441" s="115"/>
      <c r="R441" s="122"/>
      <c r="S441" s="122"/>
      <c r="T441" s="122"/>
      <c r="U441" s="122"/>
      <c r="V441" s="122"/>
      <c r="W441" s="122"/>
      <c r="X441" s="128"/>
      <c r="Y441" s="128"/>
      <c r="Z441" s="128"/>
      <c r="AA441" s="128"/>
      <c r="AB441" s="128"/>
      <c r="AC441" s="122"/>
      <c r="AD441" s="122"/>
      <c r="AE441" s="122"/>
      <c r="AF441" s="122"/>
      <c r="AG441" s="122"/>
      <c r="AH441" s="122"/>
      <c r="AI441" s="122"/>
      <c r="AJ441" s="122"/>
      <c r="AK441" s="122"/>
      <c r="AL441" s="122"/>
      <c r="AM441" s="122"/>
      <c r="AN441" s="64"/>
      <c r="AO441" s="118"/>
      <c r="AP441" s="77"/>
      <c r="AQ441" s="76">
        <f t="shared" si="18"/>
        <v>0</v>
      </c>
    </row>
    <row r="442" spans="2:43" x14ac:dyDescent="0.25">
      <c r="B442" s="182"/>
      <c r="C442" s="116"/>
      <c r="D442" s="117"/>
      <c r="E442" s="118"/>
      <c r="F442" s="126"/>
      <c r="G442" s="127"/>
      <c r="H442" s="119"/>
      <c r="I442" s="119"/>
      <c r="J442" s="115"/>
      <c r="K442" s="80"/>
      <c r="L442" s="120"/>
      <c r="M442" s="8"/>
      <c r="N442" s="115"/>
      <c r="O442" s="78"/>
      <c r="P442" s="121"/>
      <c r="Q442" s="115"/>
      <c r="R442" s="122"/>
      <c r="S442" s="122"/>
      <c r="T442" s="122"/>
      <c r="U442" s="122"/>
      <c r="V442" s="122"/>
      <c r="W442" s="122"/>
      <c r="X442" s="128"/>
      <c r="Y442" s="128"/>
      <c r="Z442" s="128"/>
      <c r="AA442" s="128"/>
      <c r="AB442" s="128"/>
      <c r="AC442" s="122"/>
      <c r="AD442" s="122"/>
      <c r="AE442" s="122"/>
      <c r="AF442" s="122"/>
      <c r="AG442" s="122"/>
      <c r="AH442" s="122"/>
      <c r="AI442" s="122"/>
      <c r="AJ442" s="122"/>
      <c r="AK442" s="122"/>
      <c r="AL442" s="122"/>
      <c r="AM442" s="122"/>
      <c r="AN442" s="64"/>
      <c r="AO442" s="118"/>
      <c r="AP442" s="77"/>
      <c r="AQ442" s="76">
        <f t="shared" si="18"/>
        <v>0</v>
      </c>
    </row>
    <row r="443" spans="2:43" x14ac:dyDescent="0.25">
      <c r="B443" s="182"/>
      <c r="C443" s="116"/>
      <c r="D443" s="117"/>
      <c r="E443" s="118"/>
      <c r="F443" s="126"/>
      <c r="G443" s="127"/>
      <c r="H443" s="119"/>
      <c r="I443" s="119"/>
      <c r="J443" s="115"/>
      <c r="K443" s="80"/>
      <c r="L443" s="120"/>
      <c r="M443" s="8"/>
      <c r="N443" s="115"/>
      <c r="O443" s="78"/>
      <c r="P443" s="121"/>
      <c r="Q443" s="115"/>
      <c r="R443" s="122"/>
      <c r="S443" s="122"/>
      <c r="T443" s="122"/>
      <c r="U443" s="122"/>
      <c r="V443" s="122"/>
      <c r="W443" s="122"/>
      <c r="X443" s="128"/>
      <c r="Y443" s="128"/>
      <c r="Z443" s="128"/>
      <c r="AA443" s="128"/>
      <c r="AB443" s="128"/>
      <c r="AC443" s="122"/>
      <c r="AD443" s="122"/>
      <c r="AE443" s="122"/>
      <c r="AF443" s="122"/>
      <c r="AG443" s="122"/>
      <c r="AH443" s="122"/>
      <c r="AI443" s="122"/>
      <c r="AJ443" s="122"/>
      <c r="AK443" s="122"/>
      <c r="AL443" s="122"/>
      <c r="AM443" s="122"/>
      <c r="AN443" s="64"/>
      <c r="AO443" s="118"/>
      <c r="AP443" s="77"/>
      <c r="AQ443" s="76">
        <f t="shared" si="18"/>
        <v>0</v>
      </c>
    </row>
    <row r="444" spans="2:43" x14ac:dyDescent="0.25">
      <c r="B444" s="182"/>
      <c r="C444" s="116"/>
      <c r="D444" s="117"/>
      <c r="E444" s="118"/>
      <c r="F444" s="126"/>
      <c r="G444" s="127"/>
      <c r="H444" s="119"/>
      <c r="I444" s="119"/>
      <c r="J444" s="115"/>
      <c r="K444" s="80"/>
      <c r="L444" s="120"/>
      <c r="M444" s="8"/>
      <c r="N444" s="115"/>
      <c r="O444" s="78"/>
      <c r="P444" s="121"/>
      <c r="Q444" s="115"/>
      <c r="R444" s="122"/>
      <c r="S444" s="122"/>
      <c r="T444" s="122"/>
      <c r="U444" s="122"/>
      <c r="V444" s="122"/>
      <c r="W444" s="122"/>
      <c r="X444" s="128"/>
      <c r="Y444" s="128"/>
      <c r="Z444" s="128"/>
      <c r="AA444" s="128"/>
      <c r="AB444" s="128"/>
      <c r="AC444" s="122"/>
      <c r="AD444" s="122"/>
      <c r="AE444" s="122"/>
      <c r="AF444" s="122"/>
      <c r="AG444" s="122"/>
      <c r="AH444" s="122"/>
      <c r="AI444" s="122"/>
      <c r="AJ444" s="122"/>
      <c r="AK444" s="122"/>
      <c r="AL444" s="122"/>
      <c r="AM444" s="122"/>
      <c r="AN444" s="64"/>
      <c r="AO444" s="118"/>
      <c r="AP444" s="77"/>
      <c r="AQ444" s="76">
        <f t="shared" si="18"/>
        <v>0</v>
      </c>
    </row>
    <row r="445" spans="2:43" x14ac:dyDescent="0.25">
      <c r="B445" s="182"/>
      <c r="C445" s="116"/>
      <c r="D445" s="117"/>
      <c r="E445" s="118"/>
      <c r="F445" s="126"/>
      <c r="G445" s="127"/>
      <c r="H445" s="119"/>
      <c r="I445" s="119"/>
      <c r="J445" s="115"/>
      <c r="K445" s="80"/>
      <c r="L445" s="120"/>
      <c r="M445" s="8"/>
      <c r="N445" s="115"/>
      <c r="O445" s="78"/>
      <c r="P445" s="121"/>
      <c r="Q445" s="115"/>
      <c r="R445" s="122"/>
      <c r="S445" s="122"/>
      <c r="T445" s="122"/>
      <c r="U445" s="122"/>
      <c r="V445" s="122"/>
      <c r="W445" s="122"/>
      <c r="X445" s="128"/>
      <c r="Y445" s="128"/>
      <c r="Z445" s="128"/>
      <c r="AA445" s="128"/>
      <c r="AB445" s="128"/>
      <c r="AC445" s="122"/>
      <c r="AD445" s="122"/>
      <c r="AE445" s="122"/>
      <c r="AF445" s="122"/>
      <c r="AG445" s="122"/>
      <c r="AH445" s="122"/>
      <c r="AI445" s="122"/>
      <c r="AJ445" s="122"/>
      <c r="AK445" s="122"/>
      <c r="AL445" s="122"/>
      <c r="AM445" s="122"/>
      <c r="AN445" s="64"/>
      <c r="AO445" s="118"/>
      <c r="AP445" s="77"/>
      <c r="AQ445" s="76">
        <f t="shared" si="18"/>
        <v>0</v>
      </c>
    </row>
    <row r="446" spans="2:43" x14ac:dyDescent="0.25">
      <c r="B446" s="182"/>
      <c r="C446" s="116"/>
      <c r="D446" s="117"/>
      <c r="E446" s="118"/>
      <c r="F446" s="126"/>
      <c r="G446" s="127"/>
      <c r="H446" s="119"/>
      <c r="I446" s="119"/>
      <c r="J446" s="115"/>
      <c r="K446" s="80"/>
      <c r="L446" s="120"/>
      <c r="M446" s="8"/>
      <c r="N446" s="115"/>
      <c r="O446" s="78"/>
      <c r="P446" s="121"/>
      <c r="Q446" s="115"/>
      <c r="R446" s="122"/>
      <c r="S446" s="122"/>
      <c r="T446" s="122"/>
      <c r="U446" s="122"/>
      <c r="V446" s="122"/>
      <c r="W446" s="122"/>
      <c r="X446" s="128"/>
      <c r="Y446" s="128"/>
      <c r="Z446" s="128"/>
      <c r="AA446" s="128"/>
      <c r="AB446" s="128"/>
      <c r="AC446" s="122"/>
      <c r="AD446" s="122"/>
      <c r="AE446" s="122"/>
      <c r="AF446" s="122"/>
      <c r="AG446" s="122"/>
      <c r="AH446" s="122"/>
      <c r="AI446" s="122"/>
      <c r="AJ446" s="122"/>
      <c r="AK446" s="122"/>
      <c r="AL446" s="122"/>
      <c r="AM446" s="122"/>
      <c r="AN446" s="64"/>
      <c r="AO446" s="118"/>
      <c r="AP446" s="77"/>
      <c r="AQ446" s="76">
        <f t="shared" si="18"/>
        <v>0</v>
      </c>
    </row>
    <row r="447" spans="2:43" x14ac:dyDescent="0.25">
      <c r="B447" s="182"/>
      <c r="C447" s="116"/>
      <c r="D447" s="117"/>
      <c r="E447" s="118"/>
      <c r="F447" s="126"/>
      <c r="G447" s="127"/>
      <c r="H447" s="119"/>
      <c r="I447" s="119"/>
      <c r="J447" s="115"/>
      <c r="K447" s="80"/>
      <c r="L447" s="120"/>
      <c r="M447" s="8"/>
      <c r="N447" s="115"/>
      <c r="O447" s="78"/>
      <c r="P447" s="121"/>
      <c r="Q447" s="115"/>
      <c r="R447" s="122"/>
      <c r="S447" s="122"/>
      <c r="T447" s="122"/>
      <c r="U447" s="122"/>
      <c r="V447" s="122"/>
      <c r="W447" s="122"/>
      <c r="X447" s="128"/>
      <c r="Y447" s="128"/>
      <c r="Z447" s="128"/>
      <c r="AA447" s="128"/>
      <c r="AB447" s="128"/>
      <c r="AC447" s="122"/>
      <c r="AD447" s="122"/>
      <c r="AE447" s="122"/>
      <c r="AF447" s="122"/>
      <c r="AG447" s="122"/>
      <c r="AH447" s="122"/>
      <c r="AI447" s="122"/>
      <c r="AJ447" s="122"/>
      <c r="AK447" s="122"/>
      <c r="AL447" s="122"/>
      <c r="AM447" s="122"/>
      <c r="AN447" s="64"/>
      <c r="AO447" s="118"/>
      <c r="AP447" s="77"/>
      <c r="AQ447" s="76">
        <f t="shared" si="18"/>
        <v>0</v>
      </c>
    </row>
    <row r="448" spans="2:43" x14ac:dyDescent="0.25">
      <c r="B448" s="182"/>
      <c r="C448" s="116"/>
      <c r="D448" s="117"/>
      <c r="E448" s="118"/>
      <c r="F448" s="126"/>
      <c r="G448" s="127"/>
      <c r="H448" s="119"/>
      <c r="I448" s="119"/>
      <c r="J448" s="115"/>
      <c r="K448" s="80"/>
      <c r="L448" s="120"/>
      <c r="M448" s="8"/>
      <c r="N448" s="115"/>
      <c r="O448" s="78"/>
      <c r="P448" s="121"/>
      <c r="Q448" s="115"/>
      <c r="R448" s="122"/>
      <c r="S448" s="122"/>
      <c r="T448" s="122"/>
      <c r="U448" s="122"/>
      <c r="V448" s="122"/>
      <c r="W448" s="122"/>
      <c r="X448" s="128"/>
      <c r="Y448" s="128"/>
      <c r="Z448" s="128"/>
      <c r="AA448" s="128"/>
      <c r="AB448" s="128"/>
      <c r="AC448" s="122"/>
      <c r="AD448" s="122"/>
      <c r="AE448" s="122"/>
      <c r="AF448" s="122"/>
      <c r="AG448" s="122"/>
      <c r="AH448" s="122"/>
      <c r="AI448" s="122"/>
      <c r="AJ448" s="122"/>
      <c r="AK448" s="122"/>
      <c r="AL448" s="122"/>
      <c r="AM448" s="122"/>
      <c r="AN448" s="64"/>
      <c r="AO448" s="118"/>
      <c r="AP448" s="77"/>
      <c r="AQ448" s="76">
        <f t="shared" si="18"/>
        <v>0</v>
      </c>
    </row>
    <row r="449" spans="2:43" x14ac:dyDescent="0.25">
      <c r="B449" s="182"/>
      <c r="C449" s="116"/>
      <c r="D449" s="117"/>
      <c r="E449" s="118"/>
      <c r="F449" s="126"/>
      <c r="G449" s="127"/>
      <c r="H449" s="119"/>
      <c r="I449" s="119"/>
      <c r="J449" s="115"/>
      <c r="K449" s="80"/>
      <c r="L449" s="120"/>
      <c r="M449" s="8"/>
      <c r="N449" s="115"/>
      <c r="O449" s="78"/>
      <c r="P449" s="121"/>
      <c r="Q449" s="115"/>
      <c r="R449" s="122"/>
      <c r="S449" s="122"/>
      <c r="T449" s="122"/>
      <c r="U449" s="122"/>
      <c r="V449" s="122"/>
      <c r="W449" s="122"/>
      <c r="X449" s="128"/>
      <c r="Y449" s="128"/>
      <c r="Z449" s="128"/>
      <c r="AA449" s="128"/>
      <c r="AB449" s="128"/>
      <c r="AC449" s="122"/>
      <c r="AD449" s="122"/>
      <c r="AE449" s="122"/>
      <c r="AF449" s="122"/>
      <c r="AG449" s="122"/>
      <c r="AH449" s="122"/>
      <c r="AI449" s="122"/>
      <c r="AJ449" s="122"/>
      <c r="AK449" s="122"/>
      <c r="AL449" s="122"/>
      <c r="AM449" s="122"/>
      <c r="AN449" s="64"/>
      <c r="AO449" s="118"/>
      <c r="AP449" s="77"/>
      <c r="AQ449" s="76">
        <f t="shared" si="18"/>
        <v>0</v>
      </c>
    </row>
    <row r="450" spans="2:43" x14ac:dyDescent="0.25">
      <c r="B450" s="182"/>
      <c r="C450" s="116"/>
      <c r="D450" s="117"/>
      <c r="E450" s="118"/>
      <c r="F450" s="126"/>
      <c r="G450" s="127"/>
      <c r="H450" s="119"/>
      <c r="I450" s="119"/>
      <c r="J450" s="115"/>
      <c r="K450" s="80"/>
      <c r="L450" s="120"/>
      <c r="M450" s="8"/>
      <c r="N450" s="115"/>
      <c r="O450" s="78"/>
      <c r="P450" s="121"/>
      <c r="Q450" s="115"/>
      <c r="R450" s="122"/>
      <c r="S450" s="122"/>
      <c r="T450" s="122"/>
      <c r="U450" s="122"/>
      <c r="V450" s="122"/>
      <c r="W450" s="122"/>
      <c r="X450" s="128"/>
      <c r="Y450" s="128"/>
      <c r="Z450" s="128"/>
      <c r="AA450" s="128"/>
      <c r="AB450" s="128"/>
      <c r="AC450" s="122"/>
      <c r="AD450" s="122"/>
      <c r="AE450" s="122"/>
      <c r="AF450" s="122"/>
      <c r="AG450" s="122"/>
      <c r="AH450" s="122"/>
      <c r="AI450" s="122"/>
      <c r="AJ450" s="122"/>
      <c r="AK450" s="122"/>
      <c r="AL450" s="122"/>
      <c r="AM450" s="122"/>
      <c r="AN450" s="64"/>
      <c r="AO450" s="118"/>
      <c r="AP450" s="77"/>
      <c r="AQ450" s="76">
        <f t="shared" si="18"/>
        <v>0</v>
      </c>
    </row>
    <row r="451" spans="2:43" x14ac:dyDescent="0.25">
      <c r="B451" s="182"/>
      <c r="C451" s="116"/>
      <c r="D451" s="117"/>
      <c r="E451" s="118"/>
      <c r="F451" s="126"/>
      <c r="G451" s="127"/>
      <c r="H451" s="119"/>
      <c r="I451" s="119"/>
      <c r="J451" s="115"/>
      <c r="K451" s="80"/>
      <c r="L451" s="120"/>
      <c r="M451" s="8"/>
      <c r="N451" s="115"/>
      <c r="O451" s="78"/>
      <c r="P451" s="121"/>
      <c r="Q451" s="115"/>
      <c r="R451" s="122"/>
      <c r="S451" s="122"/>
      <c r="T451" s="122"/>
      <c r="U451" s="122"/>
      <c r="V451" s="122"/>
      <c r="W451" s="122"/>
      <c r="X451" s="128"/>
      <c r="Y451" s="128"/>
      <c r="Z451" s="128"/>
      <c r="AA451" s="128"/>
      <c r="AB451" s="128"/>
      <c r="AC451" s="122"/>
      <c r="AD451" s="122"/>
      <c r="AE451" s="122"/>
      <c r="AF451" s="122"/>
      <c r="AG451" s="122"/>
      <c r="AH451" s="122"/>
      <c r="AI451" s="122"/>
      <c r="AJ451" s="122"/>
      <c r="AK451" s="122"/>
      <c r="AL451" s="122"/>
      <c r="AM451" s="122"/>
      <c r="AN451" s="64"/>
      <c r="AO451" s="118"/>
      <c r="AP451" s="77"/>
      <c r="AQ451" s="76">
        <f t="shared" si="18"/>
        <v>0</v>
      </c>
    </row>
    <row r="452" spans="2:43" x14ac:dyDescent="0.25">
      <c r="B452" s="182"/>
      <c r="C452" s="116"/>
      <c r="D452" s="117"/>
      <c r="E452" s="118"/>
      <c r="F452" s="126"/>
      <c r="G452" s="127"/>
      <c r="H452" s="119"/>
      <c r="I452" s="119"/>
      <c r="J452" s="115"/>
      <c r="K452" s="80"/>
      <c r="L452" s="120"/>
      <c r="M452" s="8"/>
      <c r="N452" s="115"/>
      <c r="O452" s="78"/>
      <c r="P452" s="121"/>
      <c r="Q452" s="115"/>
      <c r="R452" s="122"/>
      <c r="S452" s="122"/>
      <c r="T452" s="122"/>
      <c r="U452" s="122"/>
      <c r="V452" s="122"/>
      <c r="W452" s="122"/>
      <c r="X452" s="128"/>
      <c r="Y452" s="128"/>
      <c r="Z452" s="128"/>
      <c r="AA452" s="128"/>
      <c r="AB452" s="128"/>
      <c r="AC452" s="122"/>
      <c r="AD452" s="122"/>
      <c r="AE452" s="122"/>
      <c r="AF452" s="122"/>
      <c r="AG452" s="122"/>
      <c r="AH452" s="122"/>
      <c r="AI452" s="122"/>
      <c r="AJ452" s="122"/>
      <c r="AK452" s="122"/>
      <c r="AL452" s="122"/>
      <c r="AM452" s="122"/>
      <c r="AN452" s="64"/>
      <c r="AO452" s="118"/>
      <c r="AP452" s="77"/>
      <c r="AQ452" s="76">
        <f t="shared" si="18"/>
        <v>0</v>
      </c>
    </row>
    <row r="453" spans="2:43" x14ac:dyDescent="0.25">
      <c r="B453" s="182"/>
      <c r="C453" s="116"/>
      <c r="D453" s="117"/>
      <c r="E453" s="118"/>
      <c r="F453" s="126"/>
      <c r="G453" s="127"/>
      <c r="H453" s="119"/>
      <c r="I453" s="119"/>
      <c r="J453" s="115"/>
      <c r="K453" s="80"/>
      <c r="L453" s="120"/>
      <c r="M453" s="8"/>
      <c r="N453" s="115"/>
      <c r="O453" s="78"/>
      <c r="P453" s="121"/>
      <c r="Q453" s="115"/>
      <c r="R453" s="122"/>
      <c r="S453" s="122"/>
      <c r="T453" s="122"/>
      <c r="U453" s="122"/>
      <c r="V453" s="122"/>
      <c r="W453" s="122"/>
      <c r="X453" s="128"/>
      <c r="Y453" s="128"/>
      <c r="Z453" s="128"/>
      <c r="AA453" s="128"/>
      <c r="AB453" s="128"/>
      <c r="AC453" s="122"/>
      <c r="AD453" s="122"/>
      <c r="AE453" s="122"/>
      <c r="AF453" s="122"/>
      <c r="AG453" s="122"/>
      <c r="AH453" s="122"/>
      <c r="AI453" s="122"/>
      <c r="AJ453" s="122"/>
      <c r="AK453" s="122"/>
      <c r="AL453" s="122"/>
      <c r="AM453" s="122"/>
      <c r="AN453" s="64"/>
      <c r="AO453" s="118"/>
      <c r="AP453" s="77"/>
      <c r="AQ453" s="76">
        <f t="shared" si="18"/>
        <v>0</v>
      </c>
    </row>
    <row r="454" spans="2:43" x14ac:dyDescent="0.25">
      <c r="B454" s="182"/>
      <c r="C454" s="116"/>
      <c r="D454" s="117"/>
      <c r="E454" s="118"/>
      <c r="F454" s="126"/>
      <c r="G454" s="127"/>
      <c r="H454" s="119"/>
      <c r="I454" s="119"/>
      <c r="J454" s="115"/>
      <c r="K454" s="80"/>
      <c r="L454" s="120"/>
      <c r="M454" s="8"/>
      <c r="N454" s="115"/>
      <c r="O454" s="78"/>
      <c r="P454" s="121"/>
      <c r="Q454" s="115"/>
      <c r="R454" s="122"/>
      <c r="S454" s="122"/>
      <c r="T454" s="122"/>
      <c r="U454" s="122"/>
      <c r="V454" s="122"/>
      <c r="W454" s="122"/>
      <c r="X454" s="128"/>
      <c r="Y454" s="128"/>
      <c r="Z454" s="128"/>
      <c r="AA454" s="128"/>
      <c r="AB454" s="128"/>
      <c r="AC454" s="122"/>
      <c r="AD454" s="122"/>
      <c r="AE454" s="122"/>
      <c r="AF454" s="122"/>
      <c r="AG454" s="122"/>
      <c r="AH454" s="122"/>
      <c r="AI454" s="122"/>
      <c r="AJ454" s="122"/>
      <c r="AK454" s="122"/>
      <c r="AL454" s="122"/>
      <c r="AM454" s="122"/>
      <c r="AN454" s="64"/>
      <c r="AO454" s="118"/>
      <c r="AP454" s="77"/>
      <c r="AQ454" s="76">
        <f t="shared" si="18"/>
        <v>0</v>
      </c>
    </row>
    <row r="455" spans="2:43" x14ac:dyDescent="0.25">
      <c r="B455" s="182"/>
      <c r="C455" s="116"/>
      <c r="D455" s="117"/>
      <c r="E455" s="118"/>
      <c r="F455" s="126"/>
      <c r="G455" s="127"/>
      <c r="H455" s="119"/>
      <c r="I455" s="119"/>
      <c r="J455" s="115"/>
      <c r="K455" s="80"/>
      <c r="L455" s="120"/>
      <c r="M455" s="8"/>
      <c r="N455" s="115"/>
      <c r="O455" s="78"/>
      <c r="P455" s="121"/>
      <c r="Q455" s="115"/>
      <c r="R455" s="122"/>
      <c r="S455" s="122"/>
      <c r="T455" s="122"/>
      <c r="U455" s="122"/>
      <c r="V455" s="122"/>
      <c r="W455" s="122"/>
      <c r="X455" s="128"/>
      <c r="Y455" s="128"/>
      <c r="Z455" s="128"/>
      <c r="AA455" s="128"/>
      <c r="AB455" s="128"/>
      <c r="AC455" s="122"/>
      <c r="AD455" s="122"/>
      <c r="AE455" s="122"/>
      <c r="AF455" s="122"/>
      <c r="AG455" s="122"/>
      <c r="AH455" s="122"/>
      <c r="AI455" s="122"/>
      <c r="AJ455" s="122"/>
      <c r="AK455" s="122"/>
      <c r="AL455" s="122"/>
      <c r="AM455" s="122"/>
      <c r="AN455" s="64"/>
      <c r="AO455" s="118"/>
      <c r="AP455" s="77"/>
      <c r="AQ455" s="76">
        <f t="shared" si="18"/>
        <v>0</v>
      </c>
    </row>
    <row r="456" spans="2:43" x14ac:dyDescent="0.25">
      <c r="B456" s="182"/>
      <c r="C456" s="116"/>
      <c r="D456" s="117"/>
      <c r="E456" s="118"/>
      <c r="F456" s="126"/>
      <c r="G456" s="127"/>
      <c r="H456" s="119"/>
      <c r="I456" s="119"/>
      <c r="J456" s="115"/>
      <c r="K456" s="80"/>
      <c r="L456" s="120"/>
      <c r="M456" s="8"/>
      <c r="N456" s="115"/>
      <c r="O456" s="78"/>
      <c r="P456" s="121"/>
      <c r="Q456" s="115"/>
      <c r="R456" s="122"/>
      <c r="S456" s="122"/>
      <c r="T456" s="122"/>
      <c r="U456" s="122"/>
      <c r="V456" s="122"/>
      <c r="W456" s="122"/>
      <c r="X456" s="128"/>
      <c r="Y456" s="128"/>
      <c r="Z456" s="128"/>
      <c r="AA456" s="128"/>
      <c r="AB456" s="128"/>
      <c r="AC456" s="122"/>
      <c r="AD456" s="122"/>
      <c r="AE456" s="122"/>
      <c r="AF456" s="122"/>
      <c r="AG456" s="122"/>
      <c r="AH456" s="122"/>
      <c r="AI456" s="122"/>
      <c r="AJ456" s="122"/>
      <c r="AK456" s="122"/>
      <c r="AL456" s="122"/>
      <c r="AM456" s="122"/>
      <c r="AN456" s="64"/>
      <c r="AO456" s="118"/>
      <c r="AP456" s="77"/>
      <c r="AQ456" s="76">
        <f t="shared" si="18"/>
        <v>0</v>
      </c>
    </row>
    <row r="457" spans="2:43" x14ac:dyDescent="0.25">
      <c r="B457" s="182"/>
      <c r="C457" s="116"/>
      <c r="D457" s="117"/>
      <c r="E457" s="118"/>
      <c r="F457" s="126"/>
      <c r="G457" s="127"/>
      <c r="H457" s="119"/>
      <c r="I457" s="119"/>
      <c r="J457" s="115"/>
      <c r="K457" s="80"/>
      <c r="L457" s="120"/>
      <c r="M457" s="8"/>
      <c r="N457" s="115"/>
      <c r="O457" s="78"/>
      <c r="P457" s="121"/>
      <c r="Q457" s="115"/>
      <c r="R457" s="122"/>
      <c r="S457" s="122"/>
      <c r="T457" s="122"/>
      <c r="U457" s="122"/>
      <c r="V457" s="122"/>
      <c r="W457" s="122"/>
      <c r="X457" s="128"/>
      <c r="Y457" s="128"/>
      <c r="Z457" s="128"/>
      <c r="AA457" s="128"/>
      <c r="AB457" s="128"/>
      <c r="AC457" s="122"/>
      <c r="AD457" s="122"/>
      <c r="AE457" s="122"/>
      <c r="AF457" s="122"/>
      <c r="AG457" s="122"/>
      <c r="AH457" s="122"/>
      <c r="AI457" s="122"/>
      <c r="AJ457" s="122"/>
      <c r="AK457" s="122"/>
      <c r="AL457" s="122"/>
      <c r="AM457" s="122"/>
      <c r="AN457" s="64"/>
      <c r="AO457" s="118"/>
      <c r="AP457" s="77"/>
      <c r="AQ457" s="76">
        <f t="shared" si="18"/>
        <v>0</v>
      </c>
    </row>
    <row r="458" spans="2:43" x14ac:dyDescent="0.25">
      <c r="B458" s="182"/>
      <c r="C458" s="116"/>
      <c r="D458" s="117"/>
      <c r="E458" s="118"/>
      <c r="F458" s="126"/>
      <c r="G458" s="127"/>
      <c r="H458" s="119"/>
      <c r="I458" s="119"/>
      <c r="J458" s="115"/>
      <c r="K458" s="80"/>
      <c r="L458" s="120"/>
      <c r="M458" s="8"/>
      <c r="N458" s="115"/>
      <c r="O458" s="78"/>
      <c r="P458" s="121"/>
      <c r="Q458" s="115"/>
      <c r="R458" s="122"/>
      <c r="S458" s="122"/>
      <c r="T458" s="122"/>
      <c r="U458" s="122"/>
      <c r="V458" s="122"/>
      <c r="W458" s="122"/>
      <c r="X458" s="128"/>
      <c r="Y458" s="128"/>
      <c r="Z458" s="128"/>
      <c r="AA458" s="128"/>
      <c r="AB458" s="128"/>
      <c r="AC458" s="122"/>
      <c r="AD458" s="122"/>
      <c r="AE458" s="122"/>
      <c r="AF458" s="122"/>
      <c r="AG458" s="122"/>
      <c r="AH458" s="122"/>
      <c r="AI458" s="122"/>
      <c r="AJ458" s="122"/>
      <c r="AK458" s="122"/>
      <c r="AL458" s="122"/>
      <c r="AM458" s="122"/>
      <c r="AN458" s="64"/>
      <c r="AO458" s="118"/>
      <c r="AP458" s="77"/>
      <c r="AQ458" s="76">
        <f t="shared" si="18"/>
        <v>0</v>
      </c>
    </row>
    <row r="459" spans="2:43" x14ac:dyDescent="0.25">
      <c r="B459" s="182"/>
      <c r="C459" s="116"/>
      <c r="D459" s="117"/>
      <c r="E459" s="118"/>
      <c r="F459" s="126"/>
      <c r="G459" s="127"/>
      <c r="H459" s="119"/>
      <c r="I459" s="119"/>
      <c r="J459" s="115"/>
      <c r="K459" s="80"/>
      <c r="L459" s="120"/>
      <c r="M459" s="8"/>
      <c r="N459" s="115"/>
      <c r="O459" s="78"/>
      <c r="P459" s="121"/>
      <c r="Q459" s="115"/>
      <c r="R459" s="122"/>
      <c r="S459" s="122"/>
      <c r="T459" s="122"/>
      <c r="U459" s="122"/>
      <c r="V459" s="122"/>
      <c r="W459" s="122"/>
      <c r="X459" s="128"/>
      <c r="Y459" s="128"/>
      <c r="Z459" s="128"/>
      <c r="AA459" s="128"/>
      <c r="AB459" s="128"/>
      <c r="AC459" s="122"/>
      <c r="AD459" s="122"/>
      <c r="AE459" s="122"/>
      <c r="AF459" s="122"/>
      <c r="AG459" s="122"/>
      <c r="AH459" s="122"/>
      <c r="AI459" s="122"/>
      <c r="AJ459" s="122"/>
      <c r="AK459" s="122"/>
      <c r="AL459" s="122"/>
      <c r="AM459" s="122"/>
      <c r="AN459" s="64"/>
      <c r="AO459" s="118"/>
      <c r="AP459" s="77"/>
      <c r="AQ459" s="76">
        <f t="shared" si="18"/>
        <v>0</v>
      </c>
    </row>
    <row r="460" spans="2:43" x14ac:dyDescent="0.25">
      <c r="B460" s="182"/>
      <c r="C460" s="116"/>
      <c r="D460" s="117"/>
      <c r="E460" s="118"/>
      <c r="F460" s="126"/>
      <c r="G460" s="127"/>
      <c r="H460" s="119"/>
      <c r="I460" s="119"/>
      <c r="J460" s="115"/>
      <c r="K460" s="80"/>
      <c r="L460" s="120"/>
      <c r="M460" s="8"/>
      <c r="N460" s="115"/>
      <c r="O460" s="78"/>
      <c r="P460" s="121"/>
      <c r="Q460" s="115"/>
      <c r="R460" s="122"/>
      <c r="S460" s="122"/>
      <c r="T460" s="122"/>
      <c r="U460" s="122"/>
      <c r="V460" s="122"/>
      <c r="W460" s="122"/>
      <c r="X460" s="128"/>
      <c r="Y460" s="128"/>
      <c r="Z460" s="128"/>
      <c r="AA460" s="128"/>
      <c r="AB460" s="128"/>
      <c r="AC460" s="122"/>
      <c r="AD460" s="122"/>
      <c r="AE460" s="122"/>
      <c r="AF460" s="122"/>
      <c r="AG460" s="122"/>
      <c r="AH460" s="122"/>
      <c r="AI460" s="122"/>
      <c r="AJ460" s="122"/>
      <c r="AK460" s="122"/>
      <c r="AL460" s="122"/>
      <c r="AM460" s="122"/>
      <c r="AN460" s="64"/>
      <c r="AO460" s="118"/>
      <c r="AP460" s="77"/>
      <c r="AQ460" s="76">
        <f t="shared" si="18"/>
        <v>0</v>
      </c>
    </row>
    <row r="461" spans="2:43" x14ac:dyDescent="0.25">
      <c r="B461" s="182"/>
      <c r="C461" s="116"/>
      <c r="D461" s="117"/>
      <c r="E461" s="118"/>
      <c r="F461" s="126"/>
      <c r="G461" s="127"/>
      <c r="H461" s="119"/>
      <c r="I461" s="119"/>
      <c r="J461" s="115"/>
      <c r="K461" s="80"/>
      <c r="L461" s="120"/>
      <c r="M461" s="8"/>
      <c r="N461" s="115"/>
      <c r="O461" s="78"/>
      <c r="P461" s="121"/>
      <c r="Q461" s="115"/>
      <c r="R461" s="122"/>
      <c r="S461" s="122"/>
      <c r="T461" s="122"/>
      <c r="U461" s="122"/>
      <c r="V461" s="122"/>
      <c r="W461" s="122"/>
      <c r="X461" s="128"/>
      <c r="Y461" s="128"/>
      <c r="Z461" s="128"/>
      <c r="AA461" s="128"/>
      <c r="AB461" s="128"/>
      <c r="AC461" s="122"/>
      <c r="AD461" s="122"/>
      <c r="AE461" s="122"/>
      <c r="AF461" s="122"/>
      <c r="AG461" s="122"/>
      <c r="AH461" s="122"/>
      <c r="AI461" s="122"/>
      <c r="AJ461" s="122"/>
      <c r="AK461" s="122"/>
      <c r="AL461" s="122"/>
      <c r="AM461" s="122"/>
      <c r="AN461" s="64"/>
      <c r="AO461" s="118"/>
      <c r="AP461" s="77"/>
      <c r="AQ461" s="76">
        <f t="shared" si="18"/>
        <v>0</v>
      </c>
    </row>
    <row r="462" spans="2:43" x14ac:dyDescent="0.25">
      <c r="B462" s="182"/>
      <c r="C462" s="116"/>
      <c r="D462" s="117"/>
      <c r="E462" s="118"/>
      <c r="F462" s="126"/>
      <c r="G462" s="127"/>
      <c r="H462" s="119"/>
      <c r="I462" s="119"/>
      <c r="J462" s="115"/>
      <c r="K462" s="80"/>
      <c r="L462" s="120"/>
      <c r="M462" s="8"/>
      <c r="N462" s="115"/>
      <c r="O462" s="78"/>
      <c r="P462" s="121"/>
      <c r="Q462" s="115"/>
      <c r="R462" s="122"/>
      <c r="S462" s="122"/>
      <c r="T462" s="122"/>
      <c r="U462" s="122"/>
      <c r="V462" s="122"/>
      <c r="W462" s="122"/>
      <c r="X462" s="128"/>
      <c r="Y462" s="128"/>
      <c r="Z462" s="128"/>
      <c r="AA462" s="128"/>
      <c r="AB462" s="128"/>
      <c r="AC462" s="122"/>
      <c r="AD462" s="122"/>
      <c r="AE462" s="122"/>
      <c r="AF462" s="122"/>
      <c r="AG462" s="122"/>
      <c r="AH462" s="122"/>
      <c r="AI462" s="122"/>
      <c r="AJ462" s="122"/>
      <c r="AK462" s="122"/>
      <c r="AL462" s="122"/>
      <c r="AM462" s="122"/>
      <c r="AN462" s="64"/>
      <c r="AO462" s="118"/>
      <c r="AP462" s="77"/>
      <c r="AQ462" s="76">
        <f t="shared" si="18"/>
        <v>0</v>
      </c>
    </row>
    <row r="463" spans="2:43" x14ac:dyDescent="0.25">
      <c r="B463" s="182"/>
      <c r="C463" s="116"/>
      <c r="D463" s="117"/>
      <c r="E463" s="118"/>
      <c r="F463" s="126"/>
      <c r="G463" s="127"/>
      <c r="H463" s="119"/>
      <c r="I463" s="119"/>
      <c r="J463" s="115"/>
      <c r="K463" s="80"/>
      <c r="L463" s="120"/>
      <c r="M463" s="8"/>
      <c r="N463" s="115"/>
      <c r="O463" s="78"/>
      <c r="P463" s="121"/>
      <c r="Q463" s="115"/>
      <c r="R463" s="122"/>
      <c r="S463" s="122"/>
      <c r="T463" s="122"/>
      <c r="U463" s="122"/>
      <c r="V463" s="122"/>
      <c r="W463" s="122"/>
      <c r="X463" s="128"/>
      <c r="Y463" s="128"/>
      <c r="Z463" s="128"/>
      <c r="AA463" s="128"/>
      <c r="AB463" s="128"/>
      <c r="AC463" s="122"/>
      <c r="AD463" s="122"/>
      <c r="AE463" s="122"/>
      <c r="AF463" s="122"/>
      <c r="AG463" s="122"/>
      <c r="AH463" s="122"/>
      <c r="AI463" s="122"/>
      <c r="AJ463" s="122"/>
      <c r="AK463" s="122"/>
      <c r="AL463" s="122"/>
      <c r="AM463" s="122"/>
      <c r="AN463" s="64"/>
      <c r="AO463" s="118"/>
      <c r="AP463" s="77"/>
      <c r="AQ463" s="76">
        <f t="shared" si="18"/>
        <v>0</v>
      </c>
    </row>
    <row r="464" spans="2:43" x14ac:dyDescent="0.25">
      <c r="B464" s="182"/>
      <c r="C464" s="116"/>
      <c r="D464" s="117"/>
      <c r="E464" s="118"/>
      <c r="F464" s="126"/>
      <c r="G464" s="127"/>
      <c r="H464" s="119"/>
      <c r="I464" s="119"/>
      <c r="J464" s="115"/>
      <c r="K464" s="80"/>
      <c r="L464" s="120"/>
      <c r="M464" s="8"/>
      <c r="N464" s="115"/>
      <c r="O464" s="78"/>
      <c r="P464" s="121"/>
      <c r="Q464" s="115"/>
      <c r="R464" s="122"/>
      <c r="S464" s="122"/>
      <c r="T464" s="122"/>
      <c r="U464" s="122"/>
      <c r="V464" s="122"/>
      <c r="W464" s="122"/>
      <c r="X464" s="128"/>
      <c r="Y464" s="128"/>
      <c r="Z464" s="128"/>
      <c r="AA464" s="128"/>
      <c r="AB464" s="128"/>
      <c r="AC464" s="122"/>
      <c r="AD464" s="122"/>
      <c r="AE464" s="122"/>
      <c r="AF464" s="122"/>
      <c r="AG464" s="122"/>
      <c r="AH464" s="122"/>
      <c r="AI464" s="122"/>
      <c r="AJ464" s="122"/>
      <c r="AK464" s="122"/>
      <c r="AL464" s="122"/>
      <c r="AM464" s="122"/>
      <c r="AN464" s="64"/>
      <c r="AO464" s="118"/>
      <c r="AP464" s="77"/>
      <c r="AQ464" s="76">
        <f t="shared" si="18"/>
        <v>0</v>
      </c>
    </row>
    <row r="465" spans="2:43" x14ac:dyDescent="0.25">
      <c r="B465" s="182"/>
      <c r="C465" s="116"/>
      <c r="D465" s="117"/>
      <c r="E465" s="118"/>
      <c r="F465" s="126"/>
      <c r="G465" s="127"/>
      <c r="H465" s="119"/>
      <c r="I465" s="119"/>
      <c r="J465" s="115"/>
      <c r="K465" s="80"/>
      <c r="L465" s="120"/>
      <c r="M465" s="8"/>
      <c r="N465" s="115"/>
      <c r="O465" s="78"/>
      <c r="P465" s="121"/>
      <c r="Q465" s="115"/>
      <c r="R465" s="122"/>
      <c r="S465" s="122"/>
      <c r="T465" s="122"/>
      <c r="U465" s="122"/>
      <c r="V465" s="122"/>
      <c r="W465" s="122"/>
      <c r="X465" s="128"/>
      <c r="Y465" s="128"/>
      <c r="Z465" s="128"/>
      <c r="AA465" s="128"/>
      <c r="AB465" s="128"/>
      <c r="AC465" s="122"/>
      <c r="AD465" s="122"/>
      <c r="AE465" s="122"/>
      <c r="AF465" s="122"/>
      <c r="AG465" s="122"/>
      <c r="AH465" s="122"/>
      <c r="AI465" s="122"/>
      <c r="AJ465" s="122"/>
      <c r="AK465" s="122"/>
      <c r="AL465" s="122"/>
      <c r="AM465" s="122"/>
      <c r="AN465" s="64"/>
      <c r="AO465" s="118"/>
      <c r="AP465" s="77"/>
      <c r="AQ465" s="76">
        <f t="shared" si="18"/>
        <v>0</v>
      </c>
    </row>
    <row r="466" spans="2:43" x14ac:dyDescent="0.25">
      <c r="B466" s="182"/>
      <c r="C466" s="116"/>
      <c r="D466" s="117"/>
      <c r="E466" s="118"/>
      <c r="F466" s="126"/>
      <c r="G466" s="127"/>
      <c r="H466" s="119"/>
      <c r="I466" s="119"/>
      <c r="J466" s="115"/>
      <c r="K466" s="80"/>
      <c r="L466" s="120"/>
      <c r="M466" s="8"/>
      <c r="N466" s="115"/>
      <c r="O466" s="78"/>
      <c r="P466" s="121"/>
      <c r="Q466" s="115"/>
      <c r="R466" s="122"/>
      <c r="S466" s="122"/>
      <c r="T466" s="122"/>
      <c r="U466" s="122"/>
      <c r="V466" s="122"/>
      <c r="W466" s="122"/>
      <c r="X466" s="128"/>
      <c r="Y466" s="128"/>
      <c r="Z466" s="128"/>
      <c r="AA466" s="128"/>
      <c r="AB466" s="128"/>
      <c r="AC466" s="122"/>
      <c r="AD466" s="122"/>
      <c r="AE466" s="122"/>
      <c r="AF466" s="122"/>
      <c r="AG466" s="122"/>
      <c r="AH466" s="122"/>
      <c r="AI466" s="122"/>
      <c r="AJ466" s="122"/>
      <c r="AK466" s="122"/>
      <c r="AL466" s="122"/>
      <c r="AM466" s="122"/>
      <c r="AN466" s="64"/>
      <c r="AO466" s="118"/>
      <c r="AP466" s="77"/>
      <c r="AQ466" s="76">
        <f t="shared" si="18"/>
        <v>0</v>
      </c>
    </row>
    <row r="467" spans="2:43" x14ac:dyDescent="0.25">
      <c r="B467" s="182"/>
      <c r="C467" s="116"/>
      <c r="D467" s="117"/>
      <c r="E467" s="118"/>
      <c r="F467" s="126"/>
      <c r="G467" s="127"/>
      <c r="H467" s="119"/>
      <c r="I467" s="119"/>
      <c r="J467" s="115"/>
      <c r="K467" s="80"/>
      <c r="L467" s="120"/>
      <c r="M467" s="8"/>
      <c r="N467" s="115"/>
      <c r="O467" s="78"/>
      <c r="P467" s="121"/>
      <c r="Q467" s="115"/>
      <c r="R467" s="122"/>
      <c r="S467" s="122"/>
      <c r="T467" s="122"/>
      <c r="U467" s="122"/>
      <c r="V467" s="122"/>
      <c r="W467" s="122"/>
      <c r="X467" s="128"/>
      <c r="Y467" s="128"/>
      <c r="Z467" s="128"/>
      <c r="AA467" s="128"/>
      <c r="AB467" s="128"/>
      <c r="AC467" s="122"/>
      <c r="AD467" s="122"/>
      <c r="AE467" s="122"/>
      <c r="AF467" s="122"/>
      <c r="AG467" s="122"/>
      <c r="AH467" s="122"/>
      <c r="AI467" s="122"/>
      <c r="AJ467" s="122"/>
      <c r="AK467" s="122"/>
      <c r="AL467" s="122"/>
      <c r="AM467" s="122"/>
      <c r="AN467" s="64"/>
      <c r="AO467" s="118"/>
      <c r="AP467" s="77"/>
      <c r="AQ467" s="76">
        <f t="shared" si="18"/>
        <v>0</v>
      </c>
    </row>
    <row r="468" spans="2:43" x14ac:dyDescent="0.25">
      <c r="B468" s="182"/>
      <c r="C468" s="116"/>
      <c r="D468" s="117"/>
      <c r="E468" s="118"/>
      <c r="F468" s="126"/>
      <c r="G468" s="127"/>
      <c r="H468" s="119"/>
      <c r="I468" s="119"/>
      <c r="J468" s="115"/>
      <c r="K468" s="80"/>
      <c r="L468" s="120"/>
      <c r="M468" s="8"/>
      <c r="N468" s="115"/>
      <c r="O468" s="78"/>
      <c r="P468" s="121"/>
      <c r="Q468" s="115"/>
      <c r="R468" s="122"/>
      <c r="S468" s="122"/>
      <c r="T468" s="122"/>
      <c r="U468" s="122"/>
      <c r="V468" s="122"/>
      <c r="W468" s="122"/>
      <c r="X468" s="128"/>
      <c r="Y468" s="128"/>
      <c r="Z468" s="128"/>
      <c r="AA468" s="128"/>
      <c r="AB468" s="128"/>
      <c r="AC468" s="122"/>
      <c r="AD468" s="122"/>
      <c r="AE468" s="122"/>
      <c r="AF468" s="122"/>
      <c r="AG468" s="122"/>
      <c r="AH468" s="122"/>
      <c r="AI468" s="122"/>
      <c r="AJ468" s="122"/>
      <c r="AK468" s="122"/>
      <c r="AL468" s="122"/>
      <c r="AM468" s="122"/>
      <c r="AN468" s="64"/>
      <c r="AO468" s="118"/>
      <c r="AP468" s="77"/>
      <c r="AQ468" s="76">
        <f t="shared" si="18"/>
        <v>0</v>
      </c>
    </row>
    <row r="469" spans="2:43" x14ac:dyDescent="0.25">
      <c r="B469" s="182"/>
      <c r="C469" s="116"/>
      <c r="D469" s="117"/>
      <c r="E469" s="118"/>
      <c r="F469" s="126"/>
      <c r="G469" s="127"/>
      <c r="H469" s="119"/>
      <c r="I469" s="119"/>
      <c r="J469" s="115"/>
      <c r="K469" s="80"/>
      <c r="L469" s="120"/>
      <c r="M469" s="8"/>
      <c r="N469" s="115"/>
      <c r="O469" s="78"/>
      <c r="P469" s="121"/>
      <c r="Q469" s="115"/>
      <c r="R469" s="122"/>
      <c r="S469" s="122"/>
      <c r="T469" s="122"/>
      <c r="U469" s="122"/>
      <c r="V469" s="122"/>
      <c r="W469" s="122"/>
      <c r="X469" s="128"/>
      <c r="Y469" s="128"/>
      <c r="Z469" s="128"/>
      <c r="AA469" s="128"/>
      <c r="AB469" s="128"/>
      <c r="AC469" s="122"/>
      <c r="AD469" s="122"/>
      <c r="AE469" s="122"/>
      <c r="AF469" s="122"/>
      <c r="AG469" s="122"/>
      <c r="AH469" s="122"/>
      <c r="AI469" s="122"/>
      <c r="AJ469" s="122"/>
      <c r="AK469" s="122"/>
      <c r="AL469" s="122"/>
      <c r="AM469" s="122"/>
      <c r="AN469" s="64"/>
      <c r="AO469" s="118"/>
      <c r="AP469" s="77"/>
      <c r="AQ469" s="76">
        <f t="shared" si="18"/>
        <v>0</v>
      </c>
    </row>
    <row r="470" spans="2:43" x14ac:dyDescent="0.25">
      <c r="B470" s="182"/>
      <c r="C470" s="116"/>
      <c r="D470" s="117"/>
      <c r="E470" s="118"/>
      <c r="F470" s="126"/>
      <c r="G470" s="127"/>
      <c r="H470" s="119"/>
      <c r="I470" s="119"/>
      <c r="J470" s="115"/>
      <c r="K470" s="80"/>
      <c r="L470" s="120"/>
      <c r="M470" s="8"/>
      <c r="N470" s="115"/>
      <c r="O470" s="78"/>
      <c r="P470" s="121"/>
      <c r="Q470" s="115"/>
      <c r="R470" s="122"/>
      <c r="S470" s="122"/>
      <c r="T470" s="122"/>
      <c r="U470" s="122"/>
      <c r="V470" s="122"/>
      <c r="W470" s="122"/>
      <c r="X470" s="128"/>
      <c r="Y470" s="128"/>
      <c r="Z470" s="128"/>
      <c r="AA470" s="128"/>
      <c r="AB470" s="128"/>
      <c r="AC470" s="122"/>
      <c r="AD470" s="122"/>
      <c r="AE470" s="122"/>
      <c r="AF470" s="122"/>
      <c r="AG470" s="122"/>
      <c r="AH470" s="122"/>
      <c r="AI470" s="122"/>
      <c r="AJ470" s="122"/>
      <c r="AK470" s="122"/>
      <c r="AL470" s="122"/>
      <c r="AM470" s="122"/>
      <c r="AN470" s="64"/>
      <c r="AO470" s="118"/>
      <c r="AP470" s="77"/>
      <c r="AQ470" s="76">
        <f t="shared" si="18"/>
        <v>0</v>
      </c>
    </row>
    <row r="471" spans="2:43" x14ac:dyDescent="0.25">
      <c r="B471" s="182"/>
      <c r="C471" s="116"/>
      <c r="D471" s="117"/>
      <c r="E471" s="118"/>
      <c r="F471" s="126"/>
      <c r="G471" s="127"/>
      <c r="H471" s="119"/>
      <c r="I471" s="119"/>
      <c r="J471" s="115"/>
      <c r="K471" s="80"/>
      <c r="L471" s="120"/>
      <c r="M471" s="8"/>
      <c r="N471" s="115"/>
      <c r="O471" s="78"/>
      <c r="P471" s="121"/>
      <c r="Q471" s="115"/>
      <c r="R471" s="122"/>
      <c r="S471" s="122"/>
      <c r="T471" s="122"/>
      <c r="U471" s="122"/>
      <c r="V471" s="122"/>
      <c r="W471" s="122"/>
      <c r="X471" s="128"/>
      <c r="Y471" s="128"/>
      <c r="Z471" s="128"/>
      <c r="AA471" s="128"/>
      <c r="AB471" s="128"/>
      <c r="AC471" s="122"/>
      <c r="AD471" s="122"/>
      <c r="AE471" s="122"/>
      <c r="AF471" s="122"/>
      <c r="AG471" s="122"/>
      <c r="AH471" s="122"/>
      <c r="AI471" s="122"/>
      <c r="AJ471" s="122"/>
      <c r="AK471" s="122"/>
      <c r="AL471" s="122"/>
      <c r="AM471" s="122"/>
      <c r="AN471" s="64"/>
      <c r="AO471" s="118"/>
      <c r="AP471" s="77"/>
      <c r="AQ471" s="76">
        <f t="shared" si="18"/>
        <v>0</v>
      </c>
    </row>
    <row r="472" spans="2:43" x14ac:dyDescent="0.25">
      <c r="B472" s="182"/>
      <c r="C472" s="116"/>
      <c r="D472" s="117"/>
      <c r="E472" s="118"/>
      <c r="F472" s="126"/>
      <c r="G472" s="127"/>
      <c r="H472" s="119"/>
      <c r="I472" s="119"/>
      <c r="J472" s="115"/>
      <c r="K472" s="80"/>
      <c r="L472" s="120"/>
      <c r="M472" s="8"/>
      <c r="N472" s="115"/>
      <c r="O472" s="78"/>
      <c r="P472" s="121"/>
      <c r="Q472" s="115"/>
      <c r="R472" s="122"/>
      <c r="S472" s="122"/>
      <c r="T472" s="122"/>
      <c r="U472" s="122"/>
      <c r="V472" s="122"/>
      <c r="W472" s="122"/>
      <c r="X472" s="128"/>
      <c r="Y472" s="128"/>
      <c r="Z472" s="128"/>
      <c r="AA472" s="128"/>
      <c r="AB472" s="128"/>
      <c r="AC472" s="122"/>
      <c r="AD472" s="122"/>
      <c r="AE472" s="122"/>
      <c r="AF472" s="122"/>
      <c r="AG472" s="122"/>
      <c r="AH472" s="122"/>
      <c r="AI472" s="122"/>
      <c r="AJ472" s="122"/>
      <c r="AK472" s="122"/>
      <c r="AL472" s="122"/>
      <c r="AM472" s="122"/>
      <c r="AN472" s="64"/>
      <c r="AO472" s="118"/>
      <c r="AP472" s="77"/>
      <c r="AQ472" s="76">
        <f t="shared" ref="AQ472:AQ478" si="19">IFERROR(K472*O472*AP472,"")</f>
        <v>0</v>
      </c>
    </row>
    <row r="473" spans="2:43" x14ac:dyDescent="0.25">
      <c r="B473" s="182"/>
      <c r="C473" s="116"/>
      <c r="D473" s="117"/>
      <c r="E473" s="118"/>
      <c r="F473" s="126"/>
      <c r="G473" s="127"/>
      <c r="H473" s="119"/>
      <c r="I473" s="119"/>
      <c r="J473" s="115"/>
      <c r="K473" s="80"/>
      <c r="L473" s="120"/>
      <c r="M473" s="8"/>
      <c r="N473" s="115"/>
      <c r="O473" s="78"/>
      <c r="P473" s="121"/>
      <c r="Q473" s="115"/>
      <c r="R473" s="122"/>
      <c r="S473" s="122"/>
      <c r="T473" s="122"/>
      <c r="U473" s="122"/>
      <c r="V473" s="122"/>
      <c r="W473" s="122"/>
      <c r="X473" s="128"/>
      <c r="Y473" s="128"/>
      <c r="Z473" s="128"/>
      <c r="AA473" s="128"/>
      <c r="AB473" s="128"/>
      <c r="AC473" s="122"/>
      <c r="AD473" s="122"/>
      <c r="AE473" s="122"/>
      <c r="AF473" s="122"/>
      <c r="AG473" s="122"/>
      <c r="AH473" s="122"/>
      <c r="AI473" s="122"/>
      <c r="AJ473" s="122"/>
      <c r="AK473" s="122"/>
      <c r="AL473" s="122"/>
      <c r="AM473" s="122"/>
      <c r="AN473" s="64"/>
      <c r="AO473" s="118"/>
      <c r="AP473" s="77"/>
      <c r="AQ473" s="76">
        <f t="shared" si="19"/>
        <v>0</v>
      </c>
    </row>
    <row r="474" spans="2:43" x14ac:dyDescent="0.25">
      <c r="B474" s="182"/>
      <c r="C474" s="116"/>
      <c r="D474" s="117"/>
      <c r="E474" s="118"/>
      <c r="F474" s="126"/>
      <c r="G474" s="127"/>
      <c r="H474" s="119"/>
      <c r="I474" s="119"/>
      <c r="J474" s="115"/>
      <c r="K474" s="80"/>
      <c r="L474" s="120"/>
      <c r="M474" s="8"/>
      <c r="N474" s="115"/>
      <c r="O474" s="78"/>
      <c r="P474" s="121"/>
      <c r="Q474" s="115"/>
      <c r="R474" s="122"/>
      <c r="S474" s="122"/>
      <c r="T474" s="122"/>
      <c r="U474" s="122"/>
      <c r="V474" s="122"/>
      <c r="W474" s="122"/>
      <c r="X474" s="128"/>
      <c r="Y474" s="128"/>
      <c r="Z474" s="128"/>
      <c r="AA474" s="128"/>
      <c r="AB474" s="128"/>
      <c r="AC474" s="122"/>
      <c r="AD474" s="122"/>
      <c r="AE474" s="122"/>
      <c r="AF474" s="122"/>
      <c r="AG474" s="122"/>
      <c r="AH474" s="122"/>
      <c r="AI474" s="122"/>
      <c r="AJ474" s="122"/>
      <c r="AK474" s="122"/>
      <c r="AL474" s="122"/>
      <c r="AM474" s="122"/>
      <c r="AN474" s="64"/>
      <c r="AO474" s="118"/>
      <c r="AP474" s="77"/>
      <c r="AQ474" s="76">
        <f t="shared" si="19"/>
        <v>0</v>
      </c>
    </row>
    <row r="475" spans="2:43" x14ac:dyDescent="0.25">
      <c r="B475" s="182"/>
      <c r="C475" s="116"/>
      <c r="D475" s="117"/>
      <c r="E475" s="118"/>
      <c r="F475" s="126"/>
      <c r="G475" s="127"/>
      <c r="H475" s="119"/>
      <c r="I475" s="119"/>
      <c r="J475" s="115"/>
      <c r="K475" s="80"/>
      <c r="L475" s="120"/>
      <c r="M475" s="8"/>
      <c r="N475" s="115"/>
      <c r="O475" s="78"/>
      <c r="P475" s="121"/>
      <c r="Q475" s="115"/>
      <c r="R475" s="122"/>
      <c r="S475" s="122"/>
      <c r="T475" s="122"/>
      <c r="U475" s="122"/>
      <c r="V475" s="122"/>
      <c r="W475" s="122"/>
      <c r="X475" s="128"/>
      <c r="Y475" s="128"/>
      <c r="Z475" s="128"/>
      <c r="AA475" s="128"/>
      <c r="AB475" s="128"/>
      <c r="AC475" s="122"/>
      <c r="AD475" s="122"/>
      <c r="AE475" s="122"/>
      <c r="AF475" s="122"/>
      <c r="AG475" s="122"/>
      <c r="AH475" s="122"/>
      <c r="AI475" s="122"/>
      <c r="AJ475" s="122"/>
      <c r="AK475" s="122"/>
      <c r="AL475" s="122"/>
      <c r="AM475" s="122"/>
      <c r="AN475" s="64"/>
      <c r="AO475" s="118"/>
      <c r="AP475" s="77"/>
      <c r="AQ475" s="76">
        <f t="shared" si="19"/>
        <v>0</v>
      </c>
    </row>
    <row r="476" spans="2:43" x14ac:dyDescent="0.25">
      <c r="B476" s="182"/>
      <c r="C476" s="116"/>
      <c r="D476" s="117"/>
      <c r="E476" s="118"/>
      <c r="F476" s="126"/>
      <c r="G476" s="127"/>
      <c r="H476" s="119"/>
      <c r="I476" s="119"/>
      <c r="J476" s="115"/>
      <c r="K476" s="80"/>
      <c r="L476" s="120"/>
      <c r="M476" s="8"/>
      <c r="N476" s="115"/>
      <c r="O476" s="78"/>
      <c r="P476" s="121"/>
      <c r="Q476" s="115"/>
      <c r="R476" s="122"/>
      <c r="S476" s="122"/>
      <c r="T476" s="122"/>
      <c r="U476" s="122"/>
      <c r="V476" s="122"/>
      <c r="W476" s="122"/>
      <c r="X476" s="128"/>
      <c r="Y476" s="128"/>
      <c r="Z476" s="128"/>
      <c r="AA476" s="128"/>
      <c r="AB476" s="128"/>
      <c r="AC476" s="122"/>
      <c r="AD476" s="122"/>
      <c r="AE476" s="122"/>
      <c r="AF476" s="122"/>
      <c r="AG476" s="122"/>
      <c r="AH476" s="122"/>
      <c r="AI476" s="122"/>
      <c r="AJ476" s="122"/>
      <c r="AK476" s="122"/>
      <c r="AL476" s="122"/>
      <c r="AM476" s="122"/>
      <c r="AN476" s="64"/>
      <c r="AO476" s="118"/>
      <c r="AP476" s="77"/>
      <c r="AQ476" s="76">
        <f t="shared" si="19"/>
        <v>0</v>
      </c>
    </row>
    <row r="477" spans="2:43" x14ac:dyDescent="0.25">
      <c r="B477" s="182"/>
      <c r="C477" s="116"/>
      <c r="D477" s="117"/>
      <c r="E477" s="118"/>
      <c r="F477" s="126"/>
      <c r="G477" s="127"/>
      <c r="H477" s="119"/>
      <c r="I477" s="119"/>
      <c r="J477" s="115"/>
      <c r="K477" s="80"/>
      <c r="L477" s="120"/>
      <c r="M477" s="8"/>
      <c r="N477" s="115"/>
      <c r="O477" s="78"/>
      <c r="P477" s="121"/>
      <c r="Q477" s="115"/>
      <c r="R477" s="122"/>
      <c r="S477" s="122"/>
      <c r="T477" s="122"/>
      <c r="U477" s="122"/>
      <c r="V477" s="122"/>
      <c r="W477" s="122"/>
      <c r="X477" s="128"/>
      <c r="Y477" s="128"/>
      <c r="Z477" s="128"/>
      <c r="AA477" s="128"/>
      <c r="AB477" s="128"/>
      <c r="AC477" s="122"/>
      <c r="AD477" s="122"/>
      <c r="AE477" s="122"/>
      <c r="AF477" s="122"/>
      <c r="AG477" s="122"/>
      <c r="AH477" s="122"/>
      <c r="AI477" s="122"/>
      <c r="AJ477" s="122"/>
      <c r="AK477" s="122"/>
      <c r="AL477" s="122"/>
      <c r="AM477" s="122"/>
      <c r="AN477" s="64"/>
      <c r="AO477" s="118"/>
      <c r="AP477" s="77"/>
      <c r="AQ477" s="76">
        <f t="shared" si="19"/>
        <v>0</v>
      </c>
    </row>
    <row r="478" spans="2:43" x14ac:dyDescent="0.25">
      <c r="B478" s="182"/>
      <c r="C478" s="116"/>
      <c r="D478" s="117"/>
      <c r="E478" s="118"/>
      <c r="F478" s="126"/>
      <c r="G478" s="127"/>
      <c r="H478" s="119"/>
      <c r="I478" s="119">
        <f t="shared" ref="I478" si="20">H478+G478</f>
        <v>0</v>
      </c>
      <c r="J478" s="115">
        <f t="shared" ref="J478" si="21">I478-D478-E478-F478</f>
        <v>0</v>
      </c>
      <c r="K478" s="80" t="str">
        <f t="shared" ref="K478" si="22">IFERROR(J478/I478,"")</f>
        <v/>
      </c>
      <c r="L478" s="120"/>
      <c r="M478" s="8">
        <v>300</v>
      </c>
      <c r="N478" s="115">
        <v>60</v>
      </c>
      <c r="O478" s="78" t="str">
        <f t="shared" ref="O478" si="23">IFERROR(((L478/M478)*N478/J478),"")</f>
        <v/>
      </c>
      <c r="P478" s="121">
        <f t="shared" ref="P478" si="24">L478-AO478</f>
        <v>0</v>
      </c>
      <c r="Q478" s="115">
        <f t="shared" ref="Q478" si="25">L478</f>
        <v>0</v>
      </c>
      <c r="R478" s="122"/>
      <c r="S478" s="122"/>
      <c r="T478" s="122"/>
      <c r="U478" s="122"/>
      <c r="V478" s="122"/>
      <c r="W478" s="122"/>
      <c r="X478" s="128"/>
      <c r="Y478" s="128"/>
      <c r="Z478" s="128"/>
      <c r="AA478" s="128"/>
      <c r="AB478" s="128"/>
      <c r="AC478" s="122"/>
      <c r="AD478" s="122"/>
      <c r="AE478" s="122"/>
      <c r="AF478" s="122"/>
      <c r="AG478" s="122"/>
      <c r="AH478" s="122"/>
      <c r="AI478" s="122"/>
      <c r="AJ478" s="122"/>
      <c r="AK478" s="122"/>
      <c r="AL478" s="122"/>
      <c r="AM478" s="122"/>
      <c r="AN478" s="64">
        <f t="shared" ref="AN478" si="26">WEEKNUM(C478)</f>
        <v>0</v>
      </c>
      <c r="AO478" s="118"/>
      <c r="AP478" s="77"/>
      <c r="AQ478" s="76" t="str">
        <f t="shared" si="19"/>
        <v/>
      </c>
    </row>
  </sheetData>
  <sheetProtection formatCells="0" formatColumns="0" formatRows="0" insertColumns="0" insertRows="0" insertHyperlinks="0" deleteColumns="0" deleteRows="0" sort="0"/>
  <mergeCells count="4">
    <mergeCell ref="D1:F1"/>
    <mergeCell ref="G1:K1"/>
    <mergeCell ref="L1:O1"/>
    <mergeCell ref="P1:AP1"/>
  </mergeCells>
  <pageMargins left="0.7" right="0.7" top="0.75" bottom="0.75" header="0.3" footer="0.3"/>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39997558519241921"/>
    <pageSetUpPr fitToPage="1"/>
  </sheetPr>
  <dimension ref="A1:AG93"/>
  <sheetViews>
    <sheetView showGridLines="0" zoomScale="145" zoomScaleNormal="145" workbookViewId="0">
      <pane xSplit="3" ySplit="2" topLeftCell="D3" activePane="bottomRight" state="frozen"/>
      <selection activeCell="M29" sqref="M29"/>
      <selection pane="topRight" activeCell="M29" sqref="M29"/>
      <selection pane="bottomLeft" activeCell="M29" sqref="M29"/>
      <selection pane="bottomRight" activeCell="U11" sqref="U11"/>
    </sheetView>
  </sheetViews>
  <sheetFormatPr baseColWidth="10" defaultColWidth="11.42578125" defaultRowHeight="15" x14ac:dyDescent="0.25"/>
  <cols>
    <col min="1" max="1" width="5.7109375" style="2" customWidth="1"/>
    <col min="2" max="2" width="3.42578125" style="2" customWidth="1"/>
    <col min="3" max="3" width="8.7109375" style="5" customWidth="1"/>
    <col min="4" max="6" width="8.7109375" style="49" customWidth="1"/>
    <col min="7" max="8" width="8.7109375" customWidth="1"/>
    <col min="9" max="9" width="8.7109375" style="9" customWidth="1"/>
    <col min="10" max="10" width="9.42578125" style="10" bestFit="1" customWidth="1"/>
    <col min="11" max="11" width="10.7109375" style="86" customWidth="1"/>
    <col min="12" max="12" width="8.7109375" style="49" customWidth="1"/>
    <col min="13" max="13" width="8.7109375" style="9" customWidth="1"/>
    <col min="14" max="14" width="5.7109375" style="9" customWidth="1"/>
    <col min="15" max="15" width="10.7109375" style="87" customWidth="1"/>
    <col min="16" max="16" width="9.85546875" style="9" customWidth="1"/>
    <col min="17" max="17" width="8.7109375" style="9" customWidth="1"/>
    <col min="18" max="20" width="2.28515625" style="88" customWidth="1"/>
    <col min="21" max="21" width="2.140625" style="88" customWidth="1"/>
    <col min="22" max="22" width="2.140625" style="88" bestFit="1" customWidth="1"/>
    <col min="23" max="23" width="2.7109375" style="88" bestFit="1" customWidth="1"/>
    <col min="24" max="24" width="2.85546875" style="88" customWidth="1"/>
    <col min="25" max="28" width="2.140625" style="88" customWidth="1"/>
    <col min="29" max="29" width="3.28515625" style="88" customWidth="1"/>
    <col min="30" max="30" width="2.140625" style="88" customWidth="1"/>
    <col min="31" max="31" width="9.42578125" style="4" bestFit="1" customWidth="1"/>
    <col min="32" max="32" width="10.7109375" style="86" customWidth="1"/>
    <col min="33" max="33" width="12.7109375" style="89" customWidth="1"/>
  </cols>
  <sheetData>
    <row r="1" spans="1:33" ht="15.75" customHeight="1" thickTop="1" x14ac:dyDescent="0.25">
      <c r="A1" s="200"/>
      <c r="B1" s="198"/>
      <c r="C1" s="90"/>
      <c r="D1" s="349" t="s">
        <v>5</v>
      </c>
      <c r="E1" s="349"/>
      <c r="F1" s="349"/>
      <c r="G1" s="350" t="s">
        <v>0</v>
      </c>
      <c r="H1" s="350"/>
      <c r="I1" s="350"/>
      <c r="J1" s="350"/>
      <c r="K1" s="351"/>
      <c r="L1" s="352" t="s">
        <v>1</v>
      </c>
      <c r="M1" s="353"/>
      <c r="N1" s="353"/>
      <c r="O1" s="353"/>
      <c r="P1" s="354" t="s">
        <v>2</v>
      </c>
      <c r="Q1" s="355"/>
      <c r="R1" s="355"/>
      <c r="S1" s="355"/>
      <c r="T1" s="355"/>
      <c r="U1" s="355"/>
      <c r="V1" s="355"/>
      <c r="W1" s="355"/>
      <c r="X1" s="355"/>
      <c r="Y1" s="355"/>
      <c r="Z1" s="355"/>
      <c r="AA1" s="355"/>
      <c r="AB1" s="355"/>
      <c r="AC1" s="355"/>
      <c r="AD1" s="355"/>
      <c r="AE1" s="355"/>
      <c r="AF1" s="355"/>
      <c r="AG1" s="85" t="s">
        <v>10</v>
      </c>
    </row>
    <row r="2" spans="1:33" s="3" customFormat="1" ht="60" x14ac:dyDescent="0.25">
      <c r="A2" s="47" t="s">
        <v>74</v>
      </c>
      <c r="B2" s="201" t="s">
        <v>15</v>
      </c>
      <c r="C2" s="15" t="s">
        <v>12</v>
      </c>
      <c r="D2" s="46" t="s">
        <v>2</v>
      </c>
      <c r="E2" s="13" t="s">
        <v>62</v>
      </c>
      <c r="F2" s="71" t="s">
        <v>1603</v>
      </c>
      <c r="G2" s="60" t="s">
        <v>64</v>
      </c>
      <c r="H2" s="46" t="s">
        <v>63</v>
      </c>
      <c r="I2" s="46" t="s">
        <v>4</v>
      </c>
      <c r="J2" s="13" t="s">
        <v>3</v>
      </c>
      <c r="K2" s="92" t="s">
        <v>11</v>
      </c>
      <c r="L2" s="60" t="s">
        <v>6</v>
      </c>
      <c r="M2" s="13" t="s">
        <v>7</v>
      </c>
      <c r="N2" s="13" t="s">
        <v>8</v>
      </c>
      <c r="O2" s="93" t="s">
        <v>11</v>
      </c>
      <c r="P2" s="60" t="s">
        <v>9</v>
      </c>
      <c r="Q2" s="13" t="s">
        <v>6</v>
      </c>
      <c r="R2" s="243" t="s">
        <v>1643</v>
      </c>
      <c r="S2" s="243" t="s">
        <v>1641</v>
      </c>
      <c r="T2" s="243" t="s">
        <v>1757</v>
      </c>
      <c r="U2" s="82" t="s">
        <v>1637</v>
      </c>
      <c r="V2" s="82" t="s">
        <v>1766</v>
      </c>
      <c r="W2" s="82" t="s">
        <v>1636</v>
      </c>
      <c r="X2" s="61" t="s">
        <v>1597</v>
      </c>
      <c r="Y2" s="61" t="s">
        <v>1602</v>
      </c>
      <c r="Z2" s="61" t="s">
        <v>1601</v>
      </c>
      <c r="AA2" s="61" t="s">
        <v>1640</v>
      </c>
      <c r="AB2" s="61" t="s">
        <v>1633</v>
      </c>
      <c r="AC2" s="61" t="s">
        <v>1604</v>
      </c>
      <c r="AD2" s="61" t="s">
        <v>1605</v>
      </c>
      <c r="AE2" s="13" t="s">
        <v>67</v>
      </c>
      <c r="AF2" s="94" t="s">
        <v>11</v>
      </c>
      <c r="AG2" s="75" t="s">
        <v>11</v>
      </c>
    </row>
    <row r="3" spans="1:33" x14ac:dyDescent="0.25">
      <c r="B3" s="199">
        <v>1</v>
      </c>
      <c r="C3" s="91">
        <v>44621</v>
      </c>
      <c r="D3" s="69"/>
      <c r="E3" s="7"/>
      <c r="F3" s="66"/>
      <c r="G3" s="83"/>
      <c r="H3" s="48">
        <v>200</v>
      </c>
      <c r="I3" s="48">
        <v>200</v>
      </c>
      <c r="J3" s="8">
        <f t="shared" ref="J3" si="0">H3-F3-E3-D3</f>
        <v>200</v>
      </c>
      <c r="K3" s="219">
        <f t="shared" ref="K3" si="1">IFERROR(J3/I3,"-")</f>
        <v>1</v>
      </c>
      <c r="L3" s="7">
        <v>915</v>
      </c>
      <c r="M3" s="47">
        <v>300</v>
      </c>
      <c r="N3" s="47">
        <v>60</v>
      </c>
      <c r="O3" s="220">
        <f t="shared" ref="O3:O11" si="2">IFERROR(((L3/M3)*N3/J3),"-")</f>
        <v>0.91500000000000004</v>
      </c>
      <c r="P3" s="48">
        <v>913</v>
      </c>
      <c r="Q3" s="47">
        <v>915</v>
      </c>
      <c r="R3" s="56"/>
      <c r="S3" s="56"/>
      <c r="T3" s="56">
        <v>3</v>
      </c>
      <c r="U3" s="56"/>
      <c r="V3" s="56"/>
      <c r="W3" s="56">
        <v>3</v>
      </c>
      <c r="X3" s="64"/>
      <c r="Y3" s="64"/>
      <c r="Z3" s="64"/>
      <c r="AA3" s="64"/>
      <c r="AB3" s="64"/>
      <c r="AC3" s="64"/>
      <c r="AD3" s="64">
        <f t="shared" ref="AD3" si="3">WEEKNUM(C3)</f>
        <v>10</v>
      </c>
      <c r="AE3" s="7">
        <f t="shared" ref="AE3:AE12" si="4">SUM(R3+S3+T3+U3+V3+W3+X3+Y3+Z3+AA3+AB3)</f>
        <v>6</v>
      </c>
      <c r="AF3" s="221">
        <f t="shared" ref="AF3" si="5">IFERROR(P3/Q3,"-")</f>
        <v>0.99781420765027318</v>
      </c>
      <c r="AG3" s="222">
        <f t="shared" ref="AG3" si="6">IFERROR(K3*O3*AF3,"-")</f>
        <v>0.91300000000000003</v>
      </c>
    </row>
    <row r="4" spans="1:33" x14ac:dyDescent="0.25">
      <c r="B4" s="199">
        <v>1</v>
      </c>
      <c r="C4" s="91">
        <v>44622</v>
      </c>
      <c r="D4" s="69">
        <v>45</v>
      </c>
      <c r="E4" s="7"/>
      <c r="F4" s="66">
        <v>10</v>
      </c>
      <c r="G4" s="83"/>
      <c r="H4" s="48">
        <v>480</v>
      </c>
      <c r="I4" s="48">
        <v>480</v>
      </c>
      <c r="J4" s="8">
        <f t="shared" ref="J4:J13" si="7">H4-F4-E4-D4</f>
        <v>425</v>
      </c>
      <c r="K4" s="219">
        <f t="shared" ref="K4:K13" si="8">IFERROR(J4/I4,"-")</f>
        <v>0.88541666666666663</v>
      </c>
      <c r="L4" s="7">
        <v>2019</v>
      </c>
      <c r="M4" s="47">
        <v>300</v>
      </c>
      <c r="N4" s="47">
        <v>60</v>
      </c>
      <c r="O4" s="220">
        <f t="shared" si="2"/>
        <v>0.95011764705882351</v>
      </c>
      <c r="P4" s="48">
        <v>2014</v>
      </c>
      <c r="Q4" s="47">
        <v>2019</v>
      </c>
      <c r="R4" s="56"/>
      <c r="S4" s="56"/>
      <c r="T4" s="56">
        <v>2</v>
      </c>
      <c r="U4" s="56"/>
      <c r="V4" s="56"/>
      <c r="W4" s="56">
        <v>3</v>
      </c>
      <c r="X4" s="64"/>
      <c r="Y4" s="64"/>
      <c r="Z4" s="64"/>
      <c r="AA4" s="64"/>
      <c r="AB4" s="64"/>
      <c r="AC4" s="64"/>
      <c r="AD4" s="64"/>
      <c r="AE4" s="7">
        <f t="shared" si="4"/>
        <v>5</v>
      </c>
      <c r="AF4" s="221">
        <f t="shared" ref="AF4:AF13" si="9">IFERROR(P4/Q4,"-")</f>
        <v>0.99752352649826648</v>
      </c>
      <c r="AG4" s="222">
        <f t="shared" ref="AG4:AG13" si="10">IFERROR(K4*O4*AF4,"-")</f>
        <v>0.83916666666666662</v>
      </c>
    </row>
    <row r="5" spans="1:33" x14ac:dyDescent="0.25">
      <c r="B5" s="199">
        <v>1</v>
      </c>
      <c r="C5" s="91">
        <v>44623</v>
      </c>
      <c r="D5" s="69">
        <v>45</v>
      </c>
      <c r="E5" s="7"/>
      <c r="F5" s="66"/>
      <c r="G5" s="83"/>
      <c r="H5" s="48">
        <v>500</v>
      </c>
      <c r="I5" s="48">
        <v>500</v>
      </c>
      <c r="J5" s="8">
        <f t="shared" si="7"/>
        <v>455</v>
      </c>
      <c r="K5" s="219">
        <f t="shared" si="8"/>
        <v>0.91</v>
      </c>
      <c r="L5" s="7">
        <v>2237</v>
      </c>
      <c r="M5" s="47">
        <v>300</v>
      </c>
      <c r="N5" s="47">
        <v>60</v>
      </c>
      <c r="O5" s="220">
        <f t="shared" si="2"/>
        <v>0.98329670329670338</v>
      </c>
      <c r="P5" s="48">
        <v>2226</v>
      </c>
      <c r="Q5" s="47">
        <v>2237</v>
      </c>
      <c r="R5" s="56"/>
      <c r="S5" s="56"/>
      <c r="T5" s="56">
        <v>6</v>
      </c>
      <c r="U5" s="56"/>
      <c r="V5" s="56"/>
      <c r="W5" s="56">
        <v>5</v>
      </c>
      <c r="X5" s="64"/>
      <c r="Y5" s="64"/>
      <c r="Z5" s="64"/>
      <c r="AA5" s="64"/>
      <c r="AB5" s="64"/>
      <c r="AC5" s="64"/>
      <c r="AD5" s="64"/>
      <c r="AE5" s="7">
        <f t="shared" si="4"/>
        <v>11</v>
      </c>
      <c r="AF5" s="221">
        <f t="shared" si="9"/>
        <v>0.99508270004470267</v>
      </c>
      <c r="AG5" s="222">
        <f t="shared" si="10"/>
        <v>0.89040000000000008</v>
      </c>
    </row>
    <row r="6" spans="1:33" x14ac:dyDescent="0.25">
      <c r="B6" s="199">
        <v>1</v>
      </c>
      <c r="C6" s="91">
        <v>44624</v>
      </c>
      <c r="D6" s="69"/>
      <c r="E6" s="7">
        <v>60</v>
      </c>
      <c r="F6" s="66"/>
      <c r="G6" s="83"/>
      <c r="H6" s="48">
        <v>340</v>
      </c>
      <c r="I6" s="48">
        <v>340</v>
      </c>
      <c r="J6" s="8">
        <f t="shared" si="7"/>
        <v>280</v>
      </c>
      <c r="K6" s="219">
        <f t="shared" si="8"/>
        <v>0.82352941176470584</v>
      </c>
      <c r="L6" s="7">
        <v>1167</v>
      </c>
      <c r="M6" s="47">
        <v>300</v>
      </c>
      <c r="N6" s="47">
        <v>60</v>
      </c>
      <c r="O6" s="220">
        <f t="shared" si="2"/>
        <v>0.83357142857142863</v>
      </c>
      <c r="P6" s="48">
        <v>1166</v>
      </c>
      <c r="Q6" s="47">
        <v>1167</v>
      </c>
      <c r="R6" s="56"/>
      <c r="S6" s="56"/>
      <c r="T6" s="56">
        <v>1</v>
      </c>
      <c r="U6" s="56"/>
      <c r="V6" s="56"/>
      <c r="W6" s="56"/>
      <c r="X6" s="64"/>
      <c r="Y6" s="64"/>
      <c r="Z6" s="64"/>
      <c r="AA6" s="64"/>
      <c r="AB6" s="64"/>
      <c r="AC6" s="64"/>
      <c r="AD6" s="64"/>
      <c r="AE6" s="7">
        <f t="shared" si="4"/>
        <v>1</v>
      </c>
      <c r="AF6" s="221">
        <f t="shared" si="9"/>
        <v>0.99914310197086542</v>
      </c>
      <c r="AG6" s="222">
        <f t="shared" si="10"/>
        <v>0.6858823529411765</v>
      </c>
    </row>
    <row r="7" spans="1:33" x14ac:dyDescent="0.25">
      <c r="B7" s="199">
        <v>1</v>
      </c>
      <c r="C7" s="91">
        <v>44627</v>
      </c>
      <c r="D7" s="69"/>
      <c r="E7" s="7">
        <v>37</v>
      </c>
      <c r="F7" s="66"/>
      <c r="G7" s="83"/>
      <c r="H7" s="48">
        <v>450</v>
      </c>
      <c r="I7" s="48">
        <v>450</v>
      </c>
      <c r="J7" s="8">
        <f t="shared" si="7"/>
        <v>413</v>
      </c>
      <c r="K7" s="219">
        <f t="shared" si="8"/>
        <v>0.9177777777777778</v>
      </c>
      <c r="L7" s="7">
        <v>2086</v>
      </c>
      <c r="M7" s="47">
        <v>300</v>
      </c>
      <c r="N7" s="47">
        <v>60</v>
      </c>
      <c r="O7" s="220">
        <f t="shared" si="2"/>
        <v>1.0101694915254238</v>
      </c>
      <c r="P7" s="48">
        <v>2082</v>
      </c>
      <c r="Q7" s="47">
        <v>2086</v>
      </c>
      <c r="R7" s="56"/>
      <c r="S7" s="56"/>
      <c r="T7" s="56"/>
      <c r="U7" s="56"/>
      <c r="V7" s="56"/>
      <c r="W7" s="56"/>
      <c r="X7" s="64"/>
      <c r="Y7" s="64"/>
      <c r="Z7" s="64"/>
      <c r="AA7" s="64"/>
      <c r="AB7" s="64"/>
      <c r="AC7" s="64"/>
      <c r="AD7" s="64"/>
      <c r="AE7" s="7">
        <f t="shared" si="4"/>
        <v>0</v>
      </c>
      <c r="AF7" s="221">
        <f t="shared" si="9"/>
        <v>0.99808245445829336</v>
      </c>
      <c r="AG7" s="222">
        <f t="shared" si="10"/>
        <v>0.92533333333333345</v>
      </c>
    </row>
    <row r="8" spans="1:33" x14ac:dyDescent="0.25">
      <c r="B8" s="199">
        <v>1</v>
      </c>
      <c r="C8" s="91">
        <v>44628</v>
      </c>
      <c r="D8" s="69">
        <v>50</v>
      </c>
      <c r="E8" s="7"/>
      <c r="F8" s="66">
        <v>30</v>
      </c>
      <c r="G8" s="83"/>
      <c r="H8" s="48">
        <v>480</v>
      </c>
      <c r="I8" s="48">
        <v>480</v>
      </c>
      <c r="J8" s="8">
        <f t="shared" si="7"/>
        <v>400</v>
      </c>
      <c r="K8" s="219">
        <f t="shared" si="8"/>
        <v>0.83333333333333337</v>
      </c>
      <c r="L8" s="7">
        <v>1908</v>
      </c>
      <c r="M8" s="47">
        <v>300</v>
      </c>
      <c r="N8" s="47">
        <v>60</v>
      </c>
      <c r="O8" s="220">
        <f t="shared" si="2"/>
        <v>0.95400000000000007</v>
      </c>
      <c r="P8" s="48">
        <v>1903</v>
      </c>
      <c r="Q8" s="47">
        <v>1908</v>
      </c>
      <c r="R8" s="56"/>
      <c r="S8" s="56"/>
      <c r="T8" s="56">
        <v>5</v>
      </c>
      <c r="U8" s="56"/>
      <c r="V8" s="56"/>
      <c r="W8" s="56"/>
      <c r="X8" s="64"/>
      <c r="Y8" s="64"/>
      <c r="Z8" s="64"/>
      <c r="AA8" s="64"/>
      <c r="AB8" s="64"/>
      <c r="AC8" s="64"/>
      <c r="AD8" s="64"/>
      <c r="AE8" s="7">
        <f t="shared" si="4"/>
        <v>5</v>
      </c>
      <c r="AF8" s="221">
        <f t="shared" si="9"/>
        <v>0.99737945492662472</v>
      </c>
      <c r="AG8" s="222">
        <f t="shared" si="10"/>
        <v>0.79291666666666671</v>
      </c>
    </row>
    <row r="9" spans="1:33" x14ac:dyDescent="0.25">
      <c r="B9" s="199">
        <v>1</v>
      </c>
      <c r="C9" s="91">
        <v>44629</v>
      </c>
      <c r="D9" s="69"/>
      <c r="E9" s="7"/>
      <c r="F9" s="66"/>
      <c r="G9" s="83"/>
      <c r="H9" s="48">
        <v>480</v>
      </c>
      <c r="I9" s="48">
        <v>480</v>
      </c>
      <c r="J9" s="8">
        <f t="shared" si="7"/>
        <v>480</v>
      </c>
      <c r="K9" s="219">
        <f t="shared" si="8"/>
        <v>1</v>
      </c>
      <c r="L9" s="7">
        <v>2047</v>
      </c>
      <c r="M9" s="47">
        <v>300</v>
      </c>
      <c r="N9" s="47">
        <v>60</v>
      </c>
      <c r="O9" s="220">
        <f t="shared" si="2"/>
        <v>0.85291666666666666</v>
      </c>
      <c r="P9" s="48">
        <v>2044</v>
      </c>
      <c r="Q9" s="47">
        <v>2047</v>
      </c>
      <c r="R9" s="56"/>
      <c r="S9" s="56"/>
      <c r="T9" s="56">
        <v>1</v>
      </c>
      <c r="U9" s="56"/>
      <c r="V9" s="56"/>
      <c r="W9" s="56">
        <v>2</v>
      </c>
      <c r="X9" s="64"/>
      <c r="Y9" s="64"/>
      <c r="Z9" s="64"/>
      <c r="AA9" s="64"/>
      <c r="AB9" s="64"/>
      <c r="AC9" s="64"/>
      <c r="AD9" s="64"/>
      <c r="AE9" s="7">
        <f t="shared" si="4"/>
        <v>3</v>
      </c>
      <c r="AF9" s="221">
        <f t="shared" si="9"/>
        <v>0.99853444064484609</v>
      </c>
      <c r="AG9" s="222">
        <f t="shared" si="10"/>
        <v>0.85166666666666668</v>
      </c>
    </row>
    <row r="10" spans="1:33" x14ac:dyDescent="0.25">
      <c r="B10" s="199">
        <v>1</v>
      </c>
      <c r="C10" s="91">
        <v>44630</v>
      </c>
      <c r="D10" s="69">
        <v>10</v>
      </c>
      <c r="E10" s="7">
        <v>40</v>
      </c>
      <c r="F10" s="66">
        <v>40</v>
      </c>
      <c r="G10" s="83"/>
      <c r="H10" s="48">
        <v>510</v>
      </c>
      <c r="I10" s="48">
        <v>480</v>
      </c>
      <c r="J10" s="8">
        <f t="shared" si="7"/>
        <v>420</v>
      </c>
      <c r="K10" s="219">
        <f t="shared" si="8"/>
        <v>0.875</v>
      </c>
      <c r="L10" s="7">
        <v>2128</v>
      </c>
      <c r="M10" s="47">
        <v>300</v>
      </c>
      <c r="N10" s="47">
        <v>60</v>
      </c>
      <c r="O10" s="220">
        <f t="shared" si="2"/>
        <v>1.0133333333333334</v>
      </c>
      <c r="P10" s="48">
        <v>2122</v>
      </c>
      <c r="Q10" s="47">
        <v>2128</v>
      </c>
      <c r="R10" s="56"/>
      <c r="S10" s="56"/>
      <c r="T10" s="56">
        <v>1</v>
      </c>
      <c r="U10" s="56"/>
      <c r="V10" s="56">
        <v>1</v>
      </c>
      <c r="W10" s="56">
        <v>4</v>
      </c>
      <c r="X10" s="64"/>
      <c r="Y10" s="64"/>
      <c r="Z10" s="64"/>
      <c r="AA10" s="64"/>
      <c r="AB10" s="64"/>
      <c r="AC10" s="64"/>
      <c r="AD10" s="64"/>
      <c r="AE10" s="7">
        <f t="shared" si="4"/>
        <v>6</v>
      </c>
      <c r="AF10" s="221">
        <f t="shared" si="9"/>
        <v>0.9971804511278195</v>
      </c>
      <c r="AG10" s="222">
        <f t="shared" si="10"/>
        <v>0.88416666666666666</v>
      </c>
    </row>
    <row r="11" spans="1:33" x14ac:dyDescent="0.25">
      <c r="B11" s="199">
        <v>1</v>
      </c>
      <c r="C11" s="91">
        <v>44631</v>
      </c>
      <c r="D11" s="69"/>
      <c r="E11" s="7">
        <v>156</v>
      </c>
      <c r="F11" s="66"/>
      <c r="G11" s="83"/>
      <c r="H11" s="48">
        <v>480</v>
      </c>
      <c r="I11" s="48">
        <v>510</v>
      </c>
      <c r="J11" s="8">
        <f t="shared" si="7"/>
        <v>324</v>
      </c>
      <c r="K11" s="219">
        <f t="shared" si="8"/>
        <v>0.63529411764705879</v>
      </c>
      <c r="L11" s="7">
        <v>1621</v>
      </c>
      <c r="M11" s="47">
        <v>300</v>
      </c>
      <c r="N11" s="47">
        <v>60</v>
      </c>
      <c r="O11" s="220">
        <f t="shared" si="2"/>
        <v>1.0006172839506173</v>
      </c>
      <c r="P11" s="48">
        <v>1603</v>
      </c>
      <c r="Q11" s="47">
        <v>1621</v>
      </c>
      <c r="R11" s="56"/>
      <c r="S11" s="56"/>
      <c r="T11" s="56">
        <v>10</v>
      </c>
      <c r="U11" s="56"/>
      <c r="V11" s="56"/>
      <c r="W11" s="56">
        <v>8</v>
      </c>
      <c r="X11" s="64"/>
      <c r="Y11" s="64"/>
      <c r="Z11" s="64"/>
      <c r="AA11" s="64"/>
      <c r="AB11" s="64"/>
      <c r="AC11" s="64"/>
      <c r="AD11" s="64"/>
      <c r="AE11" s="7">
        <f t="shared" si="4"/>
        <v>18</v>
      </c>
      <c r="AF11" s="221">
        <f t="shared" si="9"/>
        <v>0.98889574336829122</v>
      </c>
      <c r="AG11" s="222">
        <f t="shared" si="10"/>
        <v>0.62862745098039208</v>
      </c>
    </row>
    <row r="12" spans="1:33" x14ac:dyDescent="0.25">
      <c r="B12" s="199">
        <v>1</v>
      </c>
      <c r="C12" s="91"/>
      <c r="D12" s="69"/>
      <c r="E12" s="7"/>
      <c r="F12" s="66"/>
      <c r="G12" s="83"/>
      <c r="H12" s="48"/>
      <c r="I12" s="48"/>
      <c r="J12" s="8">
        <f t="shared" si="7"/>
        <v>0</v>
      </c>
      <c r="K12" s="219" t="str">
        <f t="shared" si="8"/>
        <v>-</v>
      </c>
      <c r="L12" s="7"/>
      <c r="M12" s="47"/>
      <c r="N12" s="47"/>
      <c r="O12" s="220"/>
      <c r="P12" s="48"/>
      <c r="Q12" s="47"/>
      <c r="R12" s="56"/>
      <c r="S12" s="56"/>
      <c r="T12" s="56"/>
      <c r="U12" s="56"/>
      <c r="V12" s="56"/>
      <c r="W12" s="56"/>
      <c r="X12" s="64"/>
      <c r="Y12" s="64"/>
      <c r="Z12" s="64"/>
      <c r="AA12" s="64"/>
      <c r="AB12" s="64"/>
      <c r="AC12" s="64"/>
      <c r="AD12" s="64"/>
      <c r="AE12" s="7">
        <f t="shared" si="4"/>
        <v>0</v>
      </c>
      <c r="AF12" s="221" t="str">
        <f t="shared" si="9"/>
        <v>-</v>
      </c>
      <c r="AG12" s="222" t="str">
        <f t="shared" si="10"/>
        <v>-</v>
      </c>
    </row>
    <row r="13" spans="1:33" x14ac:dyDescent="0.25">
      <c r="B13" s="199">
        <v>1</v>
      </c>
      <c r="C13" s="91"/>
      <c r="D13" s="69"/>
      <c r="E13" s="7"/>
      <c r="F13" s="66"/>
      <c r="G13" s="83"/>
      <c r="H13" s="48"/>
      <c r="I13" s="48"/>
      <c r="J13" s="8">
        <f t="shared" si="7"/>
        <v>0</v>
      </c>
      <c r="K13" s="219" t="str">
        <f t="shared" si="8"/>
        <v>-</v>
      </c>
      <c r="L13" s="7"/>
      <c r="M13" s="47"/>
      <c r="N13" s="47"/>
      <c r="O13" s="220"/>
      <c r="P13" s="48"/>
      <c r="Q13" s="47"/>
      <c r="R13" s="56"/>
      <c r="S13" s="56"/>
      <c r="T13" s="56"/>
      <c r="U13" s="56"/>
      <c r="V13" s="56"/>
      <c r="W13" s="56"/>
      <c r="X13" s="64"/>
      <c r="Y13" s="64"/>
      <c r="Z13" s="64"/>
      <c r="AA13" s="64"/>
      <c r="AB13" s="64"/>
      <c r="AC13" s="64"/>
      <c r="AD13" s="64"/>
      <c r="AE13" s="7"/>
      <c r="AF13" s="221" t="str">
        <f t="shared" si="9"/>
        <v>-</v>
      </c>
      <c r="AG13" s="222" t="str">
        <f t="shared" si="10"/>
        <v>-</v>
      </c>
    </row>
    <row r="14" spans="1:33" x14ac:dyDescent="0.25">
      <c r="B14" s="199">
        <v>1</v>
      </c>
      <c r="C14" s="91"/>
      <c r="D14" s="69"/>
      <c r="E14" s="7"/>
      <c r="F14" s="66"/>
      <c r="G14" s="83"/>
      <c r="H14" s="48"/>
      <c r="I14" s="48"/>
      <c r="J14" s="8"/>
      <c r="K14" s="219"/>
      <c r="L14" s="7"/>
      <c r="M14" s="47"/>
      <c r="N14" s="47"/>
      <c r="O14" s="220"/>
      <c r="P14" s="48"/>
      <c r="Q14" s="47"/>
      <c r="R14" s="56"/>
      <c r="S14" s="56"/>
      <c r="T14" s="56"/>
      <c r="U14" s="56"/>
      <c r="V14" s="56"/>
      <c r="W14" s="56"/>
      <c r="X14" s="64"/>
      <c r="Y14" s="64"/>
      <c r="Z14" s="64"/>
      <c r="AA14" s="64"/>
      <c r="AB14" s="64"/>
      <c r="AC14" s="64"/>
      <c r="AD14" s="64"/>
      <c r="AE14" s="7"/>
      <c r="AF14" s="221"/>
      <c r="AG14" s="222"/>
    </row>
    <row r="15" spans="1:33" x14ac:dyDescent="0.25">
      <c r="B15" s="199">
        <v>1</v>
      </c>
      <c r="C15" s="91"/>
      <c r="D15" s="69"/>
      <c r="E15" s="7"/>
      <c r="F15" s="66"/>
      <c r="G15" s="83"/>
      <c r="H15" s="48"/>
      <c r="I15" s="48"/>
      <c r="J15" s="8"/>
      <c r="K15" s="219"/>
      <c r="L15" s="7"/>
      <c r="M15" s="47"/>
      <c r="N15" s="47"/>
      <c r="O15" s="220"/>
      <c r="P15" s="48"/>
      <c r="Q15" s="47"/>
      <c r="R15" s="56"/>
      <c r="S15" s="56"/>
      <c r="T15" s="56"/>
      <c r="U15" s="56"/>
      <c r="V15" s="56"/>
      <c r="W15" s="56"/>
      <c r="X15" s="64"/>
      <c r="Y15" s="64"/>
      <c r="Z15" s="64"/>
      <c r="AA15" s="64"/>
      <c r="AB15" s="64"/>
      <c r="AC15" s="64"/>
      <c r="AD15" s="64"/>
      <c r="AE15" s="7"/>
      <c r="AF15" s="221"/>
      <c r="AG15" s="222"/>
    </row>
    <row r="16" spans="1:33" x14ac:dyDescent="0.25">
      <c r="B16" s="199">
        <v>1</v>
      </c>
      <c r="C16" s="91"/>
      <c r="D16" s="69"/>
      <c r="E16" s="7"/>
      <c r="F16" s="66"/>
      <c r="G16" s="83"/>
      <c r="H16" s="48"/>
      <c r="I16" s="48"/>
      <c r="J16" s="8"/>
      <c r="K16" s="219"/>
      <c r="L16" s="7"/>
      <c r="M16" s="47"/>
      <c r="N16" s="47"/>
      <c r="O16" s="220"/>
      <c r="P16" s="48"/>
      <c r="Q16" s="47"/>
      <c r="R16" s="56"/>
      <c r="S16" s="56"/>
      <c r="T16" s="56"/>
      <c r="U16" s="56"/>
      <c r="V16" s="56"/>
      <c r="W16" s="56"/>
      <c r="X16" s="64"/>
      <c r="Y16" s="64"/>
      <c r="Z16" s="64"/>
      <c r="AA16" s="64"/>
      <c r="AB16" s="64"/>
      <c r="AC16" s="64"/>
      <c r="AD16" s="64"/>
      <c r="AE16" s="7"/>
      <c r="AF16" s="221"/>
      <c r="AG16" s="222"/>
    </row>
    <row r="17" spans="2:33" x14ac:dyDescent="0.25">
      <c r="B17" s="199">
        <v>1</v>
      </c>
      <c r="C17" s="91"/>
      <c r="D17" s="69"/>
      <c r="E17" s="7"/>
      <c r="F17" s="66"/>
      <c r="G17" s="83"/>
      <c r="H17" s="48"/>
      <c r="I17" s="48"/>
      <c r="J17" s="8"/>
      <c r="K17" s="219"/>
      <c r="L17" s="7"/>
      <c r="M17" s="47"/>
      <c r="N17" s="47"/>
      <c r="O17" s="220"/>
      <c r="P17" s="48"/>
      <c r="Q17" s="47"/>
      <c r="R17" s="56"/>
      <c r="S17" s="56"/>
      <c r="T17" s="56"/>
      <c r="U17" s="56"/>
      <c r="V17" s="56"/>
      <c r="W17" s="56"/>
      <c r="X17" s="64"/>
      <c r="Y17" s="64"/>
      <c r="Z17" s="64"/>
      <c r="AA17" s="64"/>
      <c r="AB17" s="64"/>
      <c r="AC17" s="64"/>
      <c r="AD17" s="64"/>
      <c r="AE17" s="7"/>
      <c r="AF17" s="221"/>
      <c r="AG17" s="222"/>
    </row>
    <row r="18" spans="2:33" x14ac:dyDescent="0.25">
      <c r="B18" s="199">
        <v>1</v>
      </c>
      <c r="C18" s="91"/>
      <c r="D18" s="69"/>
      <c r="E18" s="7"/>
      <c r="F18" s="66"/>
      <c r="G18" s="83"/>
      <c r="H18" s="48"/>
      <c r="I18" s="48"/>
      <c r="J18" s="8"/>
      <c r="K18" s="219"/>
      <c r="L18" s="7"/>
      <c r="M18" s="47"/>
      <c r="N18" s="47"/>
      <c r="O18" s="220"/>
      <c r="P18" s="48"/>
      <c r="Q18" s="47"/>
      <c r="R18" s="56"/>
      <c r="S18" s="56"/>
      <c r="T18" s="56"/>
      <c r="U18" s="56"/>
      <c r="V18" s="56"/>
      <c r="W18" s="56"/>
      <c r="X18" s="64"/>
      <c r="Y18" s="64"/>
      <c r="Z18" s="64"/>
      <c r="AA18" s="64"/>
      <c r="AB18" s="64"/>
      <c r="AC18" s="64"/>
      <c r="AD18" s="64"/>
      <c r="AE18" s="7"/>
      <c r="AF18" s="221"/>
      <c r="AG18" s="222"/>
    </row>
    <row r="19" spans="2:33" x14ac:dyDescent="0.25">
      <c r="B19" s="199">
        <v>1</v>
      </c>
      <c r="C19" s="91"/>
      <c r="D19" s="69"/>
      <c r="E19" s="7"/>
      <c r="F19" s="66"/>
      <c r="G19" s="83"/>
      <c r="H19" s="48"/>
      <c r="I19" s="48"/>
      <c r="J19" s="8"/>
      <c r="K19" s="219"/>
      <c r="L19" s="7"/>
      <c r="M19" s="47"/>
      <c r="N19" s="47"/>
      <c r="O19" s="220"/>
      <c r="P19" s="48"/>
      <c r="Q19" s="47"/>
      <c r="R19" s="56"/>
      <c r="S19" s="56"/>
      <c r="T19" s="56"/>
      <c r="U19" s="56"/>
      <c r="V19" s="56"/>
      <c r="W19" s="56"/>
      <c r="X19" s="64"/>
      <c r="Y19" s="64"/>
      <c r="Z19" s="64"/>
      <c r="AA19" s="64"/>
      <c r="AB19" s="64"/>
      <c r="AC19" s="64"/>
      <c r="AD19" s="64"/>
      <c r="AE19" s="7"/>
      <c r="AF19" s="221"/>
      <c r="AG19" s="222"/>
    </row>
    <row r="20" spans="2:33" x14ac:dyDescent="0.25">
      <c r="B20" s="199">
        <v>1</v>
      </c>
      <c r="C20" s="91"/>
      <c r="D20" s="69"/>
      <c r="E20" s="7"/>
      <c r="F20" s="66"/>
      <c r="G20" s="83"/>
      <c r="H20" s="48"/>
      <c r="I20" s="48"/>
      <c r="J20" s="8"/>
      <c r="K20" s="219"/>
      <c r="L20" s="7"/>
      <c r="M20" s="47"/>
      <c r="N20" s="47"/>
      <c r="O20" s="220"/>
      <c r="P20" s="48"/>
      <c r="Q20" s="47"/>
      <c r="R20" s="56"/>
      <c r="S20" s="56"/>
      <c r="T20" s="56"/>
      <c r="U20" s="56"/>
      <c r="V20" s="56"/>
      <c r="W20" s="56"/>
      <c r="X20" s="64"/>
      <c r="Y20" s="64"/>
      <c r="Z20" s="64"/>
      <c r="AA20" s="64"/>
      <c r="AB20" s="64"/>
      <c r="AC20" s="64"/>
      <c r="AD20" s="64"/>
      <c r="AE20" s="7"/>
      <c r="AF20" s="221"/>
      <c r="AG20" s="222"/>
    </row>
    <row r="21" spans="2:33" x14ac:dyDescent="0.25">
      <c r="B21" s="199">
        <v>1</v>
      </c>
      <c r="C21" s="91"/>
      <c r="D21" s="69"/>
      <c r="E21" s="7"/>
      <c r="F21" s="66"/>
      <c r="G21" s="83"/>
      <c r="H21" s="48"/>
      <c r="I21" s="48"/>
      <c r="J21" s="8"/>
      <c r="K21" s="219"/>
      <c r="L21" s="7"/>
      <c r="M21" s="47"/>
      <c r="N21" s="47"/>
      <c r="O21" s="220"/>
      <c r="P21" s="48"/>
      <c r="Q21" s="47"/>
      <c r="R21" s="56"/>
      <c r="S21" s="56"/>
      <c r="T21" s="56"/>
      <c r="U21" s="56"/>
      <c r="V21" s="56"/>
      <c r="W21" s="56"/>
      <c r="X21" s="64"/>
      <c r="Y21" s="64"/>
      <c r="Z21" s="64"/>
      <c r="AA21" s="64"/>
      <c r="AB21" s="64"/>
      <c r="AC21" s="64"/>
      <c r="AD21" s="64"/>
      <c r="AE21" s="7"/>
      <c r="AF21" s="221"/>
      <c r="AG21" s="222"/>
    </row>
    <row r="22" spans="2:33" x14ac:dyDescent="0.25">
      <c r="B22" s="199">
        <v>1</v>
      </c>
      <c r="C22" s="91"/>
      <c r="D22" s="69"/>
      <c r="E22" s="7"/>
      <c r="F22" s="66"/>
      <c r="G22" s="83"/>
      <c r="H22" s="48"/>
      <c r="I22" s="48"/>
      <c r="J22" s="8"/>
      <c r="K22" s="219"/>
      <c r="L22" s="7"/>
      <c r="M22" s="47"/>
      <c r="N22" s="47"/>
      <c r="O22" s="220"/>
      <c r="P22" s="48"/>
      <c r="Q22" s="47"/>
      <c r="R22" s="56"/>
      <c r="S22" s="56"/>
      <c r="T22" s="56"/>
      <c r="U22" s="56"/>
      <c r="V22" s="56"/>
      <c r="W22" s="56"/>
      <c r="X22" s="64"/>
      <c r="Y22" s="64"/>
      <c r="Z22" s="64"/>
      <c r="AA22" s="64"/>
      <c r="AB22" s="64"/>
      <c r="AC22" s="64"/>
      <c r="AD22" s="64"/>
      <c r="AE22" s="7"/>
      <c r="AF22" s="221"/>
      <c r="AG22" s="222"/>
    </row>
    <row r="23" spans="2:33" x14ac:dyDescent="0.25">
      <c r="B23" s="199">
        <v>1</v>
      </c>
      <c r="C23" s="91"/>
      <c r="D23" s="69"/>
      <c r="E23" s="7"/>
      <c r="F23" s="66"/>
      <c r="G23" s="83"/>
      <c r="H23" s="48"/>
      <c r="I23" s="48"/>
      <c r="J23" s="8"/>
      <c r="K23" s="219"/>
      <c r="L23" s="7"/>
      <c r="M23" s="47"/>
      <c r="N23" s="47"/>
      <c r="O23" s="220"/>
      <c r="P23" s="48"/>
      <c r="Q23" s="47"/>
      <c r="R23" s="56"/>
      <c r="S23" s="56"/>
      <c r="T23" s="56"/>
      <c r="U23" s="56"/>
      <c r="V23" s="56"/>
      <c r="W23" s="56"/>
      <c r="X23" s="64"/>
      <c r="Y23" s="64"/>
      <c r="Z23" s="64"/>
      <c r="AA23" s="64"/>
      <c r="AB23" s="64"/>
      <c r="AC23" s="64"/>
      <c r="AD23" s="64"/>
      <c r="AE23" s="7"/>
      <c r="AF23" s="221"/>
      <c r="AG23" s="222"/>
    </row>
    <row r="24" spans="2:33" x14ac:dyDescent="0.25">
      <c r="B24" s="199">
        <v>1</v>
      </c>
      <c r="C24" s="91"/>
      <c r="D24" s="69"/>
      <c r="E24" s="7"/>
      <c r="F24" s="66"/>
      <c r="G24" s="83"/>
      <c r="H24" s="48"/>
      <c r="I24" s="48"/>
      <c r="J24" s="8"/>
      <c r="K24" s="219"/>
      <c r="L24" s="7"/>
      <c r="M24" s="47"/>
      <c r="N24" s="47"/>
      <c r="O24" s="220"/>
      <c r="P24" s="48"/>
      <c r="Q24" s="47"/>
      <c r="R24" s="56"/>
      <c r="S24" s="56"/>
      <c r="T24" s="56"/>
      <c r="U24" s="56"/>
      <c r="V24" s="56"/>
      <c r="W24" s="56"/>
      <c r="X24" s="64"/>
      <c r="Y24" s="64"/>
      <c r="Z24" s="64"/>
      <c r="AA24" s="64"/>
      <c r="AB24" s="64"/>
      <c r="AC24" s="64"/>
      <c r="AD24" s="64"/>
      <c r="AE24" s="7"/>
      <c r="AF24" s="221"/>
      <c r="AG24" s="222"/>
    </row>
    <row r="25" spans="2:33" x14ac:dyDescent="0.25">
      <c r="B25" s="199">
        <v>1</v>
      </c>
      <c r="C25" s="91"/>
      <c r="D25" s="69"/>
      <c r="E25" s="7"/>
      <c r="F25" s="66"/>
      <c r="G25" s="83"/>
      <c r="H25" s="48"/>
      <c r="I25" s="48"/>
      <c r="J25" s="8"/>
      <c r="K25" s="219"/>
      <c r="L25" s="7"/>
      <c r="M25" s="47"/>
      <c r="N25" s="47"/>
      <c r="O25" s="220"/>
      <c r="P25" s="48"/>
      <c r="Q25" s="47"/>
      <c r="R25" s="56"/>
      <c r="S25" s="56"/>
      <c r="T25" s="56"/>
      <c r="U25" s="56"/>
      <c r="V25" s="56"/>
      <c r="W25" s="56"/>
      <c r="X25" s="64"/>
      <c r="Y25" s="64"/>
      <c r="Z25" s="64"/>
      <c r="AA25" s="64"/>
      <c r="AB25" s="64"/>
      <c r="AC25" s="64"/>
      <c r="AD25" s="64"/>
      <c r="AE25" s="7"/>
      <c r="AF25" s="221"/>
      <c r="AG25" s="222"/>
    </row>
    <row r="26" spans="2:33" x14ac:dyDescent="0.25">
      <c r="B26" s="199">
        <v>1</v>
      </c>
      <c r="C26" s="91"/>
      <c r="D26" s="69"/>
      <c r="E26" s="7"/>
      <c r="F26" s="66"/>
      <c r="G26" s="83"/>
      <c r="H26" s="48"/>
      <c r="I26" s="48"/>
      <c r="J26" s="8"/>
      <c r="K26" s="219"/>
      <c r="L26" s="7"/>
      <c r="M26" s="47"/>
      <c r="N26" s="47"/>
      <c r="O26" s="220"/>
      <c r="P26" s="48"/>
      <c r="Q26" s="47"/>
      <c r="R26" s="56"/>
      <c r="S26" s="56"/>
      <c r="T26" s="56"/>
      <c r="U26" s="56"/>
      <c r="V26" s="56"/>
      <c r="W26" s="56"/>
      <c r="X26" s="64"/>
      <c r="Y26" s="64"/>
      <c r="Z26" s="64"/>
      <c r="AA26" s="64"/>
      <c r="AB26" s="64"/>
      <c r="AC26" s="64"/>
      <c r="AD26" s="64"/>
      <c r="AE26" s="7"/>
      <c r="AF26" s="221"/>
      <c r="AG26" s="222"/>
    </row>
    <row r="27" spans="2:33" x14ac:dyDescent="0.25">
      <c r="B27" s="199">
        <v>1</v>
      </c>
      <c r="C27" s="91"/>
      <c r="D27" s="69"/>
      <c r="E27" s="7"/>
      <c r="F27" s="66"/>
      <c r="G27" s="83"/>
      <c r="H27" s="48"/>
      <c r="I27" s="48"/>
      <c r="J27" s="8"/>
      <c r="K27" s="219"/>
      <c r="L27" s="7"/>
      <c r="M27" s="47"/>
      <c r="N27" s="47"/>
      <c r="O27" s="220"/>
      <c r="P27" s="48"/>
      <c r="Q27" s="47"/>
      <c r="R27" s="56"/>
      <c r="S27" s="56"/>
      <c r="T27" s="56"/>
      <c r="U27" s="56"/>
      <c r="V27" s="56"/>
      <c r="W27" s="56"/>
      <c r="X27" s="64"/>
      <c r="Y27" s="64"/>
      <c r="Z27" s="64"/>
      <c r="AA27" s="64"/>
      <c r="AB27" s="64"/>
      <c r="AC27" s="64"/>
      <c r="AD27" s="64"/>
      <c r="AE27" s="7"/>
      <c r="AF27" s="221"/>
      <c r="AG27" s="222"/>
    </row>
    <row r="28" spans="2:33" x14ac:dyDescent="0.25">
      <c r="B28" s="199">
        <v>1</v>
      </c>
      <c r="C28" s="91"/>
      <c r="D28" s="69"/>
      <c r="E28" s="7"/>
      <c r="F28" s="66"/>
      <c r="G28" s="83"/>
      <c r="H28" s="48"/>
      <c r="I28" s="48"/>
      <c r="J28" s="8"/>
      <c r="K28" s="219"/>
      <c r="L28" s="7"/>
      <c r="M28" s="47"/>
      <c r="N28" s="47"/>
      <c r="O28" s="220"/>
      <c r="P28" s="48"/>
      <c r="Q28" s="47"/>
      <c r="R28" s="56"/>
      <c r="S28" s="56"/>
      <c r="T28" s="56"/>
      <c r="U28" s="56"/>
      <c r="V28" s="56"/>
      <c r="W28" s="56"/>
      <c r="X28" s="64"/>
      <c r="Y28" s="64"/>
      <c r="Z28" s="64"/>
      <c r="AA28" s="64"/>
      <c r="AB28" s="64"/>
      <c r="AC28" s="64"/>
      <c r="AD28" s="64"/>
      <c r="AE28" s="7"/>
      <c r="AF28" s="221"/>
      <c r="AG28" s="222"/>
    </row>
    <row r="29" spans="2:33" x14ac:dyDescent="0.25">
      <c r="B29" s="199">
        <v>1</v>
      </c>
      <c r="C29" s="91"/>
      <c r="D29" s="69"/>
      <c r="E29" s="7"/>
      <c r="F29" s="66"/>
      <c r="G29" s="83"/>
      <c r="H29" s="48"/>
      <c r="I29" s="48"/>
      <c r="J29" s="8"/>
      <c r="K29" s="219"/>
      <c r="L29" s="7"/>
      <c r="M29" s="47"/>
      <c r="N29" s="47"/>
      <c r="O29" s="220"/>
      <c r="P29" s="48"/>
      <c r="Q29" s="47"/>
      <c r="R29" s="56"/>
      <c r="S29" s="56"/>
      <c r="T29" s="56"/>
      <c r="U29" s="56"/>
      <c r="V29" s="56"/>
      <c r="W29" s="56"/>
      <c r="X29" s="64"/>
      <c r="Y29" s="64"/>
      <c r="Z29" s="64"/>
      <c r="AA29" s="64"/>
      <c r="AB29" s="64"/>
      <c r="AC29" s="64"/>
      <c r="AD29" s="64"/>
      <c r="AE29" s="7"/>
      <c r="AF29" s="221"/>
      <c r="AG29" s="222"/>
    </row>
    <row r="30" spans="2:33" x14ac:dyDescent="0.25">
      <c r="B30" s="199">
        <v>1</v>
      </c>
      <c r="C30" s="91"/>
      <c r="D30" s="69"/>
      <c r="E30" s="7"/>
      <c r="F30" s="66"/>
      <c r="G30" s="83"/>
      <c r="H30" s="48"/>
      <c r="I30" s="48"/>
      <c r="J30" s="8"/>
      <c r="K30" s="219"/>
      <c r="L30" s="7"/>
      <c r="M30" s="47"/>
      <c r="N30" s="47"/>
      <c r="O30" s="220"/>
      <c r="P30" s="48"/>
      <c r="Q30" s="47"/>
      <c r="R30" s="56"/>
      <c r="S30" s="56"/>
      <c r="T30" s="56"/>
      <c r="U30" s="56"/>
      <c r="V30" s="56"/>
      <c r="W30" s="56"/>
      <c r="X30" s="64"/>
      <c r="Y30" s="64"/>
      <c r="Z30" s="64"/>
      <c r="AA30" s="64"/>
      <c r="AB30" s="64"/>
      <c r="AC30" s="64"/>
      <c r="AD30" s="64"/>
      <c r="AE30" s="7"/>
      <c r="AF30" s="221"/>
      <c r="AG30" s="222"/>
    </row>
    <row r="31" spans="2:33" x14ac:dyDescent="0.25">
      <c r="B31" s="199">
        <v>1</v>
      </c>
      <c r="C31" s="91"/>
      <c r="D31" s="69"/>
      <c r="E31" s="7"/>
      <c r="F31" s="66"/>
      <c r="G31" s="83"/>
      <c r="H31" s="48"/>
      <c r="I31" s="48"/>
      <c r="J31" s="8"/>
      <c r="K31" s="219"/>
      <c r="L31" s="7"/>
      <c r="M31" s="47"/>
      <c r="N31" s="47"/>
      <c r="O31" s="220"/>
      <c r="P31" s="48"/>
      <c r="Q31" s="47"/>
      <c r="R31" s="56"/>
      <c r="S31" s="56"/>
      <c r="T31" s="56"/>
      <c r="U31" s="56"/>
      <c r="V31" s="56"/>
      <c r="W31" s="56"/>
      <c r="X31" s="64"/>
      <c r="Y31" s="64"/>
      <c r="Z31" s="64"/>
      <c r="AA31" s="64"/>
      <c r="AB31" s="64"/>
      <c r="AC31" s="64"/>
      <c r="AD31" s="64"/>
      <c r="AE31" s="7"/>
      <c r="AF31" s="221"/>
      <c r="AG31" s="222"/>
    </row>
    <row r="32" spans="2:33" x14ac:dyDescent="0.25">
      <c r="B32" s="199">
        <v>1</v>
      </c>
      <c r="C32" s="91"/>
      <c r="D32" s="69"/>
      <c r="E32" s="7"/>
      <c r="F32" s="66"/>
      <c r="G32" s="83"/>
      <c r="H32" s="48"/>
      <c r="I32" s="48"/>
      <c r="J32" s="8"/>
      <c r="K32" s="219"/>
      <c r="L32" s="7"/>
      <c r="M32" s="47"/>
      <c r="N32" s="47"/>
      <c r="O32" s="220"/>
      <c r="P32" s="48"/>
      <c r="Q32" s="47"/>
      <c r="R32" s="56"/>
      <c r="S32" s="56"/>
      <c r="T32" s="56"/>
      <c r="U32" s="56"/>
      <c r="V32" s="56"/>
      <c r="W32" s="56"/>
      <c r="X32" s="64"/>
      <c r="Y32" s="64"/>
      <c r="Z32" s="64"/>
      <c r="AA32" s="64"/>
      <c r="AB32" s="64"/>
      <c r="AC32" s="64"/>
      <c r="AD32" s="64"/>
      <c r="AE32" s="7"/>
      <c r="AF32" s="221"/>
      <c r="AG32" s="222"/>
    </row>
    <row r="33" spans="2:33" x14ac:dyDescent="0.25">
      <c r="B33" s="199">
        <v>1</v>
      </c>
      <c r="C33" s="91"/>
      <c r="D33" s="69"/>
      <c r="E33" s="7"/>
      <c r="F33" s="66"/>
      <c r="G33" s="83"/>
      <c r="H33" s="48"/>
      <c r="I33" s="48"/>
      <c r="J33" s="8"/>
      <c r="K33" s="219"/>
      <c r="L33" s="7"/>
      <c r="M33" s="47"/>
      <c r="N33" s="47"/>
      <c r="O33" s="220"/>
      <c r="P33" s="48"/>
      <c r="Q33" s="47"/>
      <c r="R33" s="56"/>
      <c r="S33" s="56"/>
      <c r="T33" s="56"/>
      <c r="U33" s="56"/>
      <c r="V33" s="56"/>
      <c r="W33" s="56"/>
      <c r="X33" s="64"/>
      <c r="Y33" s="64"/>
      <c r="Z33" s="64"/>
      <c r="AA33" s="64"/>
      <c r="AB33" s="64"/>
      <c r="AC33" s="64"/>
      <c r="AD33" s="64"/>
      <c r="AE33" s="7"/>
      <c r="AF33" s="221"/>
      <c r="AG33" s="222"/>
    </row>
    <row r="34" spans="2:33" x14ac:dyDescent="0.25">
      <c r="B34" s="199">
        <v>1</v>
      </c>
      <c r="C34" s="91"/>
      <c r="D34" s="69"/>
      <c r="E34" s="7"/>
      <c r="F34" s="66"/>
      <c r="G34" s="83"/>
      <c r="H34" s="48"/>
      <c r="I34" s="48"/>
      <c r="J34" s="8"/>
      <c r="K34" s="219"/>
      <c r="L34" s="7"/>
      <c r="M34" s="47"/>
      <c r="N34" s="47"/>
      <c r="O34" s="220"/>
      <c r="P34" s="48"/>
      <c r="Q34" s="47"/>
      <c r="R34" s="56"/>
      <c r="S34" s="56"/>
      <c r="T34" s="56"/>
      <c r="U34" s="56"/>
      <c r="V34" s="56"/>
      <c r="W34" s="56"/>
      <c r="X34" s="64"/>
      <c r="Y34" s="64"/>
      <c r="Z34" s="64"/>
      <c r="AA34" s="64"/>
      <c r="AB34" s="64"/>
      <c r="AC34" s="64"/>
      <c r="AD34" s="64"/>
      <c r="AE34" s="7"/>
      <c r="AF34" s="221"/>
      <c r="AG34" s="222"/>
    </row>
    <row r="35" spans="2:33" x14ac:dyDescent="0.25">
      <c r="B35" s="199">
        <v>1</v>
      </c>
      <c r="C35" s="91"/>
      <c r="D35" s="69"/>
      <c r="E35" s="7"/>
      <c r="F35" s="66"/>
      <c r="G35" s="83"/>
      <c r="H35" s="48"/>
      <c r="I35" s="48"/>
      <c r="J35" s="8"/>
      <c r="K35" s="219"/>
      <c r="L35" s="7"/>
      <c r="M35" s="47"/>
      <c r="N35" s="47"/>
      <c r="O35" s="220"/>
      <c r="P35" s="48"/>
      <c r="Q35" s="47"/>
      <c r="R35" s="56"/>
      <c r="S35" s="56"/>
      <c r="T35" s="56"/>
      <c r="U35" s="56"/>
      <c r="V35" s="56"/>
      <c r="W35" s="56"/>
      <c r="X35" s="64"/>
      <c r="Y35" s="64"/>
      <c r="Z35" s="64"/>
      <c r="AA35" s="64"/>
      <c r="AB35" s="64"/>
      <c r="AC35" s="64"/>
      <c r="AD35" s="64"/>
      <c r="AE35" s="7"/>
      <c r="AF35" s="221"/>
      <c r="AG35" s="222"/>
    </row>
    <row r="36" spans="2:33" x14ac:dyDescent="0.25">
      <c r="B36" s="199">
        <v>1</v>
      </c>
      <c r="C36" s="91"/>
      <c r="D36" s="69"/>
      <c r="E36" s="7"/>
      <c r="F36" s="66"/>
      <c r="G36" s="83"/>
      <c r="H36" s="48"/>
      <c r="I36" s="48"/>
      <c r="J36" s="8"/>
      <c r="K36" s="219"/>
      <c r="L36" s="7"/>
      <c r="M36" s="47"/>
      <c r="N36" s="47"/>
      <c r="O36" s="220"/>
      <c r="P36" s="48"/>
      <c r="Q36" s="47"/>
      <c r="R36" s="56"/>
      <c r="S36" s="56"/>
      <c r="T36" s="56"/>
      <c r="U36" s="56"/>
      <c r="V36" s="56"/>
      <c r="W36" s="56"/>
      <c r="X36" s="64"/>
      <c r="Y36" s="64"/>
      <c r="Z36" s="64"/>
      <c r="AA36" s="64"/>
      <c r="AB36" s="64"/>
      <c r="AC36" s="64"/>
      <c r="AD36" s="64"/>
      <c r="AE36" s="7"/>
      <c r="AF36" s="221"/>
      <c r="AG36" s="222"/>
    </row>
    <row r="37" spans="2:33" x14ac:dyDescent="0.25">
      <c r="B37" s="199">
        <v>1</v>
      </c>
      <c r="C37" s="91"/>
      <c r="D37" s="69"/>
      <c r="E37" s="7"/>
      <c r="F37" s="66"/>
      <c r="G37" s="83"/>
      <c r="H37" s="48"/>
      <c r="I37" s="48"/>
      <c r="J37" s="8"/>
      <c r="K37" s="219"/>
      <c r="L37" s="7"/>
      <c r="M37" s="47"/>
      <c r="N37" s="47"/>
      <c r="O37" s="220"/>
      <c r="P37" s="48"/>
      <c r="Q37" s="47"/>
      <c r="R37" s="56"/>
      <c r="S37" s="56"/>
      <c r="T37" s="56"/>
      <c r="U37" s="56"/>
      <c r="V37" s="56"/>
      <c r="W37" s="56"/>
      <c r="X37" s="64"/>
      <c r="Y37" s="64"/>
      <c r="Z37" s="64"/>
      <c r="AA37" s="64"/>
      <c r="AB37" s="64"/>
      <c r="AC37" s="64"/>
      <c r="AD37" s="64"/>
      <c r="AE37" s="7"/>
      <c r="AF37" s="221"/>
      <c r="AG37" s="222"/>
    </row>
    <row r="38" spans="2:33" x14ac:dyDescent="0.25">
      <c r="B38" s="199">
        <v>1</v>
      </c>
      <c r="C38" s="91"/>
      <c r="D38" s="69"/>
      <c r="E38" s="7"/>
      <c r="F38" s="66"/>
      <c r="G38" s="83"/>
      <c r="H38" s="48"/>
      <c r="I38" s="48"/>
      <c r="J38" s="8"/>
      <c r="K38" s="219"/>
      <c r="L38" s="7"/>
      <c r="M38" s="47"/>
      <c r="N38" s="47"/>
      <c r="O38" s="220"/>
      <c r="P38" s="48"/>
      <c r="Q38" s="47"/>
      <c r="R38" s="56"/>
      <c r="S38" s="56"/>
      <c r="T38" s="56"/>
      <c r="U38" s="56"/>
      <c r="V38" s="56"/>
      <c r="W38" s="56"/>
      <c r="X38" s="64"/>
      <c r="Y38" s="64"/>
      <c r="Z38" s="64"/>
      <c r="AA38" s="64"/>
      <c r="AB38" s="64"/>
      <c r="AC38" s="64"/>
      <c r="AD38" s="64"/>
      <c r="AE38" s="7"/>
      <c r="AF38" s="221"/>
      <c r="AG38" s="222"/>
    </row>
    <row r="39" spans="2:33" x14ac:dyDescent="0.25">
      <c r="B39" s="199">
        <v>1</v>
      </c>
      <c r="C39" s="91"/>
      <c r="D39" s="69"/>
      <c r="E39" s="7"/>
      <c r="F39" s="66"/>
      <c r="G39" s="83"/>
      <c r="H39" s="48"/>
      <c r="I39" s="48"/>
      <c r="J39" s="8"/>
      <c r="K39" s="219"/>
      <c r="L39" s="7"/>
      <c r="M39" s="47"/>
      <c r="N39" s="47"/>
      <c r="O39" s="220"/>
      <c r="P39" s="48"/>
      <c r="Q39" s="47"/>
      <c r="R39" s="56"/>
      <c r="S39" s="56"/>
      <c r="T39" s="56"/>
      <c r="U39" s="56"/>
      <c r="V39" s="56"/>
      <c r="W39" s="56"/>
      <c r="X39" s="64"/>
      <c r="Y39" s="64"/>
      <c r="Z39" s="64"/>
      <c r="AA39" s="64"/>
      <c r="AB39" s="64"/>
      <c r="AC39" s="64"/>
      <c r="AD39" s="64"/>
      <c r="AE39" s="7"/>
      <c r="AF39" s="221"/>
      <c r="AG39" s="222"/>
    </row>
    <row r="40" spans="2:33" x14ac:dyDescent="0.25">
      <c r="B40" s="199">
        <v>1</v>
      </c>
      <c r="C40" s="91"/>
      <c r="D40" s="69"/>
      <c r="E40" s="7"/>
      <c r="F40" s="66"/>
      <c r="G40" s="83"/>
      <c r="H40" s="48"/>
      <c r="I40" s="48"/>
      <c r="J40" s="8"/>
      <c r="K40" s="219"/>
      <c r="L40" s="7"/>
      <c r="M40" s="47"/>
      <c r="N40" s="47"/>
      <c r="O40" s="220"/>
      <c r="P40" s="48"/>
      <c r="Q40" s="47"/>
      <c r="R40" s="56"/>
      <c r="S40" s="56"/>
      <c r="T40" s="56"/>
      <c r="U40" s="56"/>
      <c r="V40" s="56"/>
      <c r="W40" s="56"/>
      <c r="X40" s="64"/>
      <c r="Y40" s="64"/>
      <c r="Z40" s="64"/>
      <c r="AA40" s="64"/>
      <c r="AB40" s="64"/>
      <c r="AC40" s="64"/>
      <c r="AD40" s="64"/>
      <c r="AE40" s="7"/>
      <c r="AF40" s="221"/>
      <c r="AG40" s="222"/>
    </row>
    <row r="41" spans="2:33" x14ac:dyDescent="0.25">
      <c r="B41" s="199">
        <v>1</v>
      </c>
      <c r="C41" s="91"/>
      <c r="D41" s="69"/>
      <c r="E41" s="7"/>
      <c r="F41" s="66"/>
      <c r="G41" s="83"/>
      <c r="H41" s="48"/>
      <c r="I41" s="48"/>
      <c r="J41" s="8"/>
      <c r="K41" s="219"/>
      <c r="L41" s="7"/>
      <c r="M41" s="47"/>
      <c r="N41" s="47"/>
      <c r="O41" s="220"/>
      <c r="P41" s="48"/>
      <c r="Q41" s="47"/>
      <c r="R41" s="56"/>
      <c r="S41" s="56"/>
      <c r="T41" s="56"/>
      <c r="U41" s="56"/>
      <c r="V41" s="56"/>
      <c r="W41" s="56"/>
      <c r="X41" s="64"/>
      <c r="Y41" s="64"/>
      <c r="Z41" s="64"/>
      <c r="AA41" s="64"/>
      <c r="AB41" s="64"/>
      <c r="AC41" s="64"/>
      <c r="AD41" s="64"/>
      <c r="AE41" s="7"/>
      <c r="AF41" s="221"/>
      <c r="AG41" s="222"/>
    </row>
    <row r="42" spans="2:33" x14ac:dyDescent="0.25">
      <c r="B42" s="199">
        <v>1</v>
      </c>
      <c r="C42" s="91"/>
      <c r="D42" s="69"/>
      <c r="E42" s="7"/>
      <c r="F42" s="66"/>
      <c r="G42" s="83"/>
      <c r="H42" s="48"/>
      <c r="I42" s="48"/>
      <c r="J42" s="8"/>
      <c r="K42" s="219"/>
      <c r="L42" s="7"/>
      <c r="M42" s="47"/>
      <c r="N42" s="47"/>
      <c r="O42" s="220"/>
      <c r="P42" s="48"/>
      <c r="Q42" s="47"/>
      <c r="R42" s="56"/>
      <c r="S42" s="56"/>
      <c r="T42" s="56"/>
      <c r="U42" s="56"/>
      <c r="V42" s="56"/>
      <c r="W42" s="56"/>
      <c r="X42" s="64"/>
      <c r="Y42" s="64"/>
      <c r="Z42" s="64"/>
      <c r="AA42" s="64"/>
      <c r="AB42" s="64"/>
      <c r="AC42" s="64"/>
      <c r="AD42" s="64"/>
      <c r="AE42" s="7"/>
      <c r="AF42" s="221"/>
      <c r="AG42" s="222"/>
    </row>
    <row r="43" spans="2:33" x14ac:dyDescent="0.25">
      <c r="B43" s="199">
        <v>1</v>
      </c>
      <c r="C43" s="91"/>
      <c r="D43" s="69"/>
      <c r="E43" s="7"/>
      <c r="F43" s="66"/>
      <c r="G43" s="83"/>
      <c r="H43" s="48"/>
      <c r="I43" s="48"/>
      <c r="J43" s="8"/>
      <c r="K43" s="219"/>
      <c r="L43" s="7"/>
      <c r="M43" s="47"/>
      <c r="N43" s="47"/>
      <c r="O43" s="220"/>
      <c r="P43" s="48"/>
      <c r="Q43" s="47"/>
      <c r="R43" s="56"/>
      <c r="S43" s="56"/>
      <c r="T43" s="56"/>
      <c r="U43" s="56"/>
      <c r="V43" s="56"/>
      <c r="W43" s="56"/>
      <c r="X43" s="64"/>
      <c r="Y43" s="64"/>
      <c r="Z43" s="64"/>
      <c r="AA43" s="64"/>
      <c r="AB43" s="64"/>
      <c r="AC43" s="64"/>
      <c r="AD43" s="64"/>
      <c r="AE43" s="7"/>
      <c r="AF43" s="221"/>
      <c r="AG43" s="222"/>
    </row>
    <row r="44" spans="2:33" x14ac:dyDescent="0.25">
      <c r="B44" s="199">
        <v>1</v>
      </c>
      <c r="C44" s="91"/>
      <c r="D44" s="69"/>
      <c r="E44" s="7"/>
      <c r="F44" s="66"/>
      <c r="G44" s="83"/>
      <c r="H44" s="48"/>
      <c r="I44" s="48"/>
      <c r="J44" s="8"/>
      <c r="K44" s="219"/>
      <c r="L44" s="7"/>
      <c r="M44" s="47"/>
      <c r="N44" s="47"/>
      <c r="O44" s="220"/>
      <c r="P44" s="48"/>
      <c r="Q44" s="47"/>
      <c r="R44" s="56"/>
      <c r="S44" s="56"/>
      <c r="T44" s="56"/>
      <c r="U44" s="56"/>
      <c r="V44" s="56"/>
      <c r="W44" s="56"/>
      <c r="X44" s="64"/>
      <c r="Y44" s="64"/>
      <c r="Z44" s="64"/>
      <c r="AA44" s="64"/>
      <c r="AB44" s="64"/>
      <c r="AC44" s="64"/>
      <c r="AD44" s="64"/>
      <c r="AE44" s="7"/>
      <c r="AF44" s="221"/>
      <c r="AG44" s="222"/>
    </row>
    <row r="45" spans="2:33" x14ac:dyDescent="0.25">
      <c r="B45" s="199">
        <v>1</v>
      </c>
      <c r="C45" s="91"/>
      <c r="D45" s="69"/>
      <c r="E45" s="7"/>
      <c r="F45" s="66"/>
      <c r="G45" s="83"/>
      <c r="H45" s="48"/>
      <c r="I45" s="48"/>
      <c r="J45" s="8"/>
      <c r="K45" s="219"/>
      <c r="L45" s="7"/>
      <c r="M45" s="47"/>
      <c r="N45" s="47"/>
      <c r="O45" s="220"/>
      <c r="P45" s="48"/>
      <c r="Q45" s="47"/>
      <c r="R45" s="56"/>
      <c r="S45" s="56"/>
      <c r="T45" s="56"/>
      <c r="U45" s="56"/>
      <c r="V45" s="56"/>
      <c r="W45" s="56"/>
      <c r="X45" s="64"/>
      <c r="Y45" s="64"/>
      <c r="Z45" s="64"/>
      <c r="AA45" s="64"/>
      <c r="AB45" s="64"/>
      <c r="AC45" s="64"/>
      <c r="AD45" s="64"/>
      <c r="AE45" s="7"/>
      <c r="AF45" s="221"/>
      <c r="AG45" s="222"/>
    </row>
    <row r="46" spans="2:33" x14ac:dyDescent="0.25">
      <c r="B46" s="199">
        <v>1</v>
      </c>
      <c r="C46" s="91"/>
      <c r="D46" s="69"/>
      <c r="E46" s="7"/>
      <c r="F46" s="66"/>
      <c r="G46" s="83"/>
      <c r="H46" s="48"/>
      <c r="I46" s="48"/>
      <c r="J46" s="8"/>
      <c r="K46" s="219"/>
      <c r="L46" s="7"/>
      <c r="M46" s="47"/>
      <c r="N46" s="47"/>
      <c r="O46" s="220"/>
      <c r="P46" s="48"/>
      <c r="Q46" s="47"/>
      <c r="R46" s="56"/>
      <c r="S46" s="56"/>
      <c r="T46" s="56"/>
      <c r="U46" s="56"/>
      <c r="V46" s="56"/>
      <c r="W46" s="56"/>
      <c r="X46" s="64"/>
      <c r="Y46" s="64"/>
      <c r="Z46" s="64"/>
      <c r="AA46" s="64"/>
      <c r="AB46" s="64"/>
      <c r="AC46" s="64"/>
      <c r="AD46" s="64"/>
      <c r="AE46" s="7"/>
      <c r="AF46" s="221"/>
      <c r="AG46" s="222"/>
    </row>
    <row r="47" spans="2:33" x14ac:dyDescent="0.25">
      <c r="B47" s="199">
        <v>1</v>
      </c>
      <c r="C47" s="91"/>
      <c r="D47" s="69"/>
      <c r="E47" s="7"/>
      <c r="F47" s="66"/>
      <c r="G47" s="83"/>
      <c r="H47" s="48"/>
      <c r="I47" s="48"/>
      <c r="J47" s="8"/>
      <c r="K47" s="219"/>
      <c r="L47" s="7"/>
      <c r="M47" s="47"/>
      <c r="N47" s="47"/>
      <c r="O47" s="220"/>
      <c r="P47" s="48"/>
      <c r="Q47" s="47"/>
      <c r="R47" s="56"/>
      <c r="S47" s="56"/>
      <c r="T47" s="56"/>
      <c r="U47" s="56"/>
      <c r="V47" s="56"/>
      <c r="W47" s="56"/>
      <c r="X47" s="64"/>
      <c r="Y47" s="64"/>
      <c r="Z47" s="64"/>
      <c r="AA47" s="64"/>
      <c r="AB47" s="64"/>
      <c r="AC47" s="64"/>
      <c r="AD47" s="64"/>
      <c r="AE47" s="7"/>
      <c r="AF47" s="221"/>
      <c r="AG47" s="222"/>
    </row>
    <row r="48" spans="2:33" x14ac:dyDescent="0.25">
      <c r="B48" s="199">
        <v>1</v>
      </c>
      <c r="C48" s="91"/>
      <c r="D48" s="69"/>
      <c r="E48" s="7"/>
      <c r="F48" s="66"/>
      <c r="G48" s="83"/>
      <c r="H48" s="48"/>
      <c r="I48" s="48"/>
      <c r="J48" s="8"/>
      <c r="K48" s="219"/>
      <c r="L48" s="7"/>
      <c r="M48" s="47"/>
      <c r="N48" s="47"/>
      <c r="O48" s="220"/>
      <c r="P48" s="48"/>
      <c r="Q48" s="47"/>
      <c r="R48" s="56"/>
      <c r="S48" s="56"/>
      <c r="T48" s="56"/>
      <c r="U48" s="56"/>
      <c r="V48" s="56"/>
      <c r="W48" s="56"/>
      <c r="X48" s="64"/>
      <c r="Y48" s="64"/>
      <c r="Z48" s="64"/>
      <c r="AA48" s="64"/>
      <c r="AB48" s="64"/>
      <c r="AC48" s="64"/>
      <c r="AD48" s="64"/>
      <c r="AE48" s="7"/>
      <c r="AF48" s="221"/>
      <c r="AG48" s="222"/>
    </row>
    <row r="49" spans="2:33" x14ac:dyDescent="0.25">
      <c r="B49" s="199">
        <v>1</v>
      </c>
      <c r="C49" s="91"/>
      <c r="D49" s="69"/>
      <c r="E49" s="7"/>
      <c r="F49" s="66"/>
      <c r="G49" s="83"/>
      <c r="H49" s="48"/>
      <c r="I49" s="48"/>
      <c r="J49" s="8"/>
      <c r="K49" s="219"/>
      <c r="L49" s="7"/>
      <c r="M49" s="47"/>
      <c r="N49" s="47"/>
      <c r="O49" s="220"/>
      <c r="P49" s="48"/>
      <c r="Q49" s="47"/>
      <c r="R49" s="56"/>
      <c r="S49" s="56"/>
      <c r="T49" s="56"/>
      <c r="U49" s="56"/>
      <c r="V49" s="56"/>
      <c r="W49" s="56"/>
      <c r="X49" s="64"/>
      <c r="Y49" s="64"/>
      <c r="Z49" s="64"/>
      <c r="AA49" s="64"/>
      <c r="AB49" s="64"/>
      <c r="AC49" s="64"/>
      <c r="AD49" s="64"/>
      <c r="AE49" s="7"/>
      <c r="AF49" s="221"/>
      <c r="AG49" s="222"/>
    </row>
    <row r="50" spans="2:33" x14ac:dyDescent="0.25">
      <c r="B50" s="199">
        <v>1</v>
      </c>
      <c r="C50" s="91"/>
      <c r="D50" s="69"/>
      <c r="E50" s="7"/>
      <c r="F50" s="66"/>
      <c r="G50" s="83"/>
      <c r="H50" s="48"/>
      <c r="I50" s="48"/>
      <c r="J50" s="8"/>
      <c r="K50" s="219"/>
      <c r="L50" s="7"/>
      <c r="M50" s="47"/>
      <c r="N50" s="47"/>
      <c r="O50" s="220"/>
      <c r="P50" s="48"/>
      <c r="Q50" s="47"/>
      <c r="R50" s="56"/>
      <c r="S50" s="56"/>
      <c r="T50" s="56"/>
      <c r="U50" s="56"/>
      <c r="V50" s="56"/>
      <c r="W50" s="56"/>
      <c r="X50" s="64"/>
      <c r="Y50" s="64"/>
      <c r="Z50" s="64"/>
      <c r="AA50" s="64"/>
      <c r="AB50" s="64"/>
      <c r="AC50" s="64"/>
      <c r="AD50" s="64"/>
      <c r="AE50" s="7"/>
      <c r="AF50" s="221"/>
      <c r="AG50" s="222"/>
    </row>
    <row r="51" spans="2:33" x14ac:dyDescent="0.25">
      <c r="B51" s="199">
        <v>1</v>
      </c>
      <c r="C51" s="91"/>
      <c r="D51" s="69"/>
      <c r="E51" s="7"/>
      <c r="F51" s="66"/>
      <c r="G51" s="83"/>
      <c r="H51" s="48"/>
      <c r="I51" s="48"/>
      <c r="J51" s="8"/>
      <c r="K51" s="219"/>
      <c r="L51" s="7"/>
      <c r="M51" s="47"/>
      <c r="N51" s="47"/>
      <c r="O51" s="220"/>
      <c r="P51" s="48"/>
      <c r="Q51" s="47"/>
      <c r="R51" s="56"/>
      <c r="S51" s="56"/>
      <c r="T51" s="56"/>
      <c r="U51" s="56"/>
      <c r="V51" s="56"/>
      <c r="W51" s="56"/>
      <c r="X51" s="64"/>
      <c r="Y51" s="64"/>
      <c r="Z51" s="64"/>
      <c r="AA51" s="64"/>
      <c r="AB51" s="64"/>
      <c r="AC51" s="64"/>
      <c r="AD51" s="64"/>
      <c r="AE51" s="7"/>
      <c r="AF51" s="221"/>
      <c r="AG51" s="222"/>
    </row>
    <row r="52" spans="2:33" x14ac:dyDescent="0.25">
      <c r="B52" s="199">
        <v>1</v>
      </c>
      <c r="C52" s="91"/>
      <c r="D52" s="69"/>
      <c r="E52" s="7"/>
      <c r="F52" s="66"/>
      <c r="G52" s="83"/>
      <c r="H52" s="48"/>
      <c r="I52" s="48"/>
      <c r="J52" s="8"/>
      <c r="K52" s="219"/>
      <c r="L52" s="7"/>
      <c r="M52" s="47"/>
      <c r="N52" s="47"/>
      <c r="O52" s="220"/>
      <c r="P52" s="48"/>
      <c r="Q52" s="47"/>
      <c r="R52" s="56"/>
      <c r="S52" s="56"/>
      <c r="T52" s="56"/>
      <c r="U52" s="56"/>
      <c r="V52" s="56"/>
      <c r="W52" s="56"/>
      <c r="X52" s="64"/>
      <c r="Y52" s="64"/>
      <c r="Z52" s="64"/>
      <c r="AA52" s="64"/>
      <c r="AB52" s="64"/>
      <c r="AC52" s="64"/>
      <c r="AD52" s="64"/>
      <c r="AE52" s="7"/>
      <c r="AF52" s="221"/>
      <c r="AG52" s="222"/>
    </row>
    <row r="53" spans="2:33" x14ac:dyDescent="0.25">
      <c r="B53" s="199">
        <v>1</v>
      </c>
      <c r="C53" s="91"/>
      <c r="D53" s="69"/>
      <c r="E53" s="7"/>
      <c r="F53" s="66"/>
      <c r="G53" s="83"/>
      <c r="H53" s="48"/>
      <c r="I53" s="48"/>
      <c r="J53" s="8"/>
      <c r="K53" s="219"/>
      <c r="L53" s="7"/>
      <c r="M53" s="47"/>
      <c r="N53" s="47"/>
      <c r="O53" s="220"/>
      <c r="P53" s="48"/>
      <c r="Q53" s="47"/>
      <c r="R53" s="56"/>
      <c r="S53" s="56"/>
      <c r="T53" s="56"/>
      <c r="U53" s="56"/>
      <c r="V53" s="56"/>
      <c r="W53" s="56"/>
      <c r="X53" s="64"/>
      <c r="Y53" s="64"/>
      <c r="Z53" s="64"/>
      <c r="AA53" s="64"/>
      <c r="AB53" s="64"/>
      <c r="AC53" s="64"/>
      <c r="AD53" s="64"/>
      <c r="AE53" s="7"/>
      <c r="AF53" s="221"/>
      <c r="AG53" s="222"/>
    </row>
    <row r="54" spans="2:33" x14ac:dyDescent="0.25">
      <c r="B54" s="199">
        <v>1</v>
      </c>
      <c r="C54" s="91"/>
      <c r="D54" s="69"/>
      <c r="E54" s="7"/>
      <c r="F54" s="66"/>
      <c r="G54" s="83"/>
      <c r="H54" s="48"/>
      <c r="I54" s="48"/>
      <c r="J54" s="8"/>
      <c r="K54" s="219"/>
      <c r="L54" s="7"/>
      <c r="M54" s="47"/>
      <c r="N54" s="47"/>
      <c r="O54" s="220"/>
      <c r="P54" s="48"/>
      <c r="Q54" s="47"/>
      <c r="R54" s="56"/>
      <c r="S54" s="56"/>
      <c r="T54" s="56"/>
      <c r="U54" s="56"/>
      <c r="V54" s="56"/>
      <c r="W54" s="56"/>
      <c r="X54" s="64"/>
      <c r="Y54" s="64"/>
      <c r="Z54" s="64"/>
      <c r="AA54" s="64"/>
      <c r="AB54" s="64"/>
      <c r="AC54" s="64"/>
      <c r="AD54" s="64"/>
      <c r="AE54" s="7"/>
      <c r="AF54" s="221"/>
      <c r="AG54" s="222"/>
    </row>
    <row r="55" spans="2:33" x14ac:dyDescent="0.25">
      <c r="B55" s="199">
        <v>1</v>
      </c>
      <c r="C55" s="91"/>
      <c r="D55" s="69"/>
      <c r="E55" s="7"/>
      <c r="F55" s="66"/>
      <c r="G55" s="83"/>
      <c r="H55" s="48"/>
      <c r="I55" s="48"/>
      <c r="J55" s="8"/>
      <c r="K55" s="219"/>
      <c r="L55" s="7"/>
      <c r="M55" s="47"/>
      <c r="N55" s="47"/>
      <c r="O55" s="220"/>
      <c r="P55" s="48"/>
      <c r="Q55" s="47"/>
      <c r="R55" s="56"/>
      <c r="S55" s="56"/>
      <c r="T55" s="56"/>
      <c r="U55" s="56"/>
      <c r="V55" s="56"/>
      <c r="W55" s="56"/>
      <c r="X55" s="64"/>
      <c r="Y55" s="64"/>
      <c r="Z55" s="64"/>
      <c r="AA55" s="64"/>
      <c r="AB55" s="64"/>
      <c r="AC55" s="64"/>
      <c r="AD55" s="64"/>
      <c r="AE55" s="7"/>
      <c r="AF55" s="221"/>
      <c r="AG55" s="222"/>
    </row>
    <row r="56" spans="2:33" x14ac:dyDescent="0.25">
      <c r="B56" s="199">
        <v>1</v>
      </c>
      <c r="C56" s="91"/>
      <c r="D56" s="69"/>
      <c r="E56" s="7"/>
      <c r="F56" s="66"/>
      <c r="G56" s="83"/>
      <c r="H56" s="48"/>
      <c r="I56" s="48"/>
      <c r="J56" s="8"/>
      <c r="K56" s="219"/>
      <c r="L56" s="7"/>
      <c r="M56" s="47"/>
      <c r="N56" s="47"/>
      <c r="O56" s="220"/>
      <c r="P56" s="48"/>
      <c r="Q56" s="47"/>
      <c r="R56" s="56"/>
      <c r="S56" s="56"/>
      <c r="T56" s="56"/>
      <c r="U56" s="56"/>
      <c r="V56" s="56"/>
      <c r="W56" s="56"/>
      <c r="X56" s="64"/>
      <c r="Y56" s="64"/>
      <c r="Z56" s="64"/>
      <c r="AA56" s="64"/>
      <c r="AB56" s="64"/>
      <c r="AC56" s="64"/>
      <c r="AD56" s="64"/>
      <c r="AE56" s="7"/>
      <c r="AF56" s="221"/>
      <c r="AG56" s="222"/>
    </row>
    <row r="57" spans="2:33" x14ac:dyDescent="0.25">
      <c r="B57" s="199">
        <v>1</v>
      </c>
      <c r="C57" s="91"/>
      <c r="D57" s="69"/>
      <c r="E57" s="7"/>
      <c r="F57" s="66"/>
      <c r="G57" s="83"/>
      <c r="H57" s="48"/>
      <c r="I57" s="48"/>
      <c r="J57" s="8"/>
      <c r="K57" s="219"/>
      <c r="L57" s="7"/>
      <c r="M57" s="47"/>
      <c r="N57" s="47"/>
      <c r="O57" s="220"/>
      <c r="P57" s="48"/>
      <c r="Q57" s="47"/>
      <c r="R57" s="56"/>
      <c r="S57" s="56"/>
      <c r="T57" s="56"/>
      <c r="U57" s="56"/>
      <c r="V57" s="56"/>
      <c r="W57" s="56"/>
      <c r="X57" s="64"/>
      <c r="Y57" s="64"/>
      <c r="Z57" s="64"/>
      <c r="AA57" s="64"/>
      <c r="AB57" s="64"/>
      <c r="AC57" s="64"/>
      <c r="AD57" s="64"/>
      <c r="AE57" s="7"/>
      <c r="AF57" s="221"/>
      <c r="AG57" s="222"/>
    </row>
    <row r="58" spans="2:33" x14ac:dyDescent="0.25">
      <c r="B58" s="199">
        <v>1</v>
      </c>
      <c r="C58" s="91"/>
      <c r="D58" s="69"/>
      <c r="E58" s="7"/>
      <c r="F58" s="66"/>
      <c r="G58" s="83"/>
      <c r="H58" s="48"/>
      <c r="I58" s="48"/>
      <c r="J58" s="8"/>
      <c r="K58" s="219"/>
      <c r="L58" s="7"/>
      <c r="M58" s="47"/>
      <c r="N58" s="47"/>
      <c r="O58" s="220"/>
      <c r="P58" s="48"/>
      <c r="Q58" s="47"/>
      <c r="R58" s="56"/>
      <c r="S58" s="56"/>
      <c r="T58" s="56"/>
      <c r="U58" s="56"/>
      <c r="V58" s="56"/>
      <c r="W58" s="56"/>
      <c r="X58" s="64"/>
      <c r="Y58" s="64"/>
      <c r="Z58" s="64"/>
      <c r="AA58" s="64"/>
      <c r="AB58" s="64"/>
      <c r="AC58" s="64"/>
      <c r="AD58" s="64"/>
      <c r="AE58" s="7"/>
      <c r="AF58" s="221"/>
      <c r="AG58" s="222"/>
    </row>
    <row r="59" spans="2:33" x14ac:dyDescent="0.25">
      <c r="B59" s="199">
        <v>1</v>
      </c>
      <c r="C59" s="91"/>
      <c r="D59" s="69"/>
      <c r="E59" s="7"/>
      <c r="F59" s="66"/>
      <c r="G59" s="83"/>
      <c r="H59" s="48"/>
      <c r="I59" s="48"/>
      <c r="J59" s="8"/>
      <c r="K59" s="219"/>
      <c r="L59" s="7"/>
      <c r="M59" s="47"/>
      <c r="N59" s="47"/>
      <c r="O59" s="220"/>
      <c r="P59" s="48"/>
      <c r="Q59" s="47"/>
      <c r="R59" s="56"/>
      <c r="S59" s="56"/>
      <c r="T59" s="56"/>
      <c r="U59" s="56"/>
      <c r="V59" s="56"/>
      <c r="W59" s="56"/>
      <c r="X59" s="64"/>
      <c r="Y59" s="64"/>
      <c r="Z59" s="64"/>
      <c r="AA59" s="64"/>
      <c r="AB59" s="64"/>
      <c r="AC59" s="64"/>
      <c r="AD59" s="64"/>
      <c r="AE59" s="7"/>
      <c r="AF59" s="221"/>
      <c r="AG59" s="222"/>
    </row>
    <row r="60" spans="2:33" x14ac:dyDescent="0.25">
      <c r="B60" s="199">
        <v>1</v>
      </c>
      <c r="C60" s="91"/>
      <c r="D60" s="69"/>
      <c r="E60" s="7"/>
      <c r="F60" s="66"/>
      <c r="G60" s="83"/>
      <c r="H60" s="48"/>
      <c r="I60" s="48"/>
      <c r="J60" s="8"/>
      <c r="K60" s="219"/>
      <c r="L60" s="7"/>
      <c r="M60" s="47"/>
      <c r="N60" s="47"/>
      <c r="O60" s="220"/>
      <c r="P60" s="48"/>
      <c r="Q60" s="47"/>
      <c r="R60" s="56"/>
      <c r="S60" s="56"/>
      <c r="T60" s="56"/>
      <c r="U60" s="56"/>
      <c r="V60" s="56"/>
      <c r="W60" s="56"/>
      <c r="X60" s="64"/>
      <c r="Y60" s="64"/>
      <c r="Z60" s="64"/>
      <c r="AA60" s="64"/>
      <c r="AB60" s="64"/>
      <c r="AC60" s="64"/>
      <c r="AD60" s="64"/>
      <c r="AE60" s="7"/>
      <c r="AF60" s="221"/>
      <c r="AG60" s="222"/>
    </row>
    <row r="61" spans="2:33" x14ac:dyDescent="0.25">
      <c r="B61" s="199">
        <v>1</v>
      </c>
      <c r="C61" s="91"/>
      <c r="D61" s="69"/>
      <c r="E61" s="7"/>
      <c r="F61" s="66"/>
      <c r="G61" s="83"/>
      <c r="H61" s="48"/>
      <c r="I61" s="48"/>
      <c r="J61" s="8"/>
      <c r="K61" s="219"/>
      <c r="L61" s="7"/>
      <c r="M61" s="47"/>
      <c r="N61" s="47"/>
      <c r="O61" s="220"/>
      <c r="P61" s="48"/>
      <c r="Q61" s="47"/>
      <c r="R61" s="56"/>
      <c r="S61" s="56"/>
      <c r="T61" s="56"/>
      <c r="U61" s="56"/>
      <c r="V61" s="56"/>
      <c r="W61" s="56"/>
      <c r="X61" s="64"/>
      <c r="Y61" s="64"/>
      <c r="Z61" s="64"/>
      <c r="AA61" s="64"/>
      <c r="AB61" s="64"/>
      <c r="AC61" s="64"/>
      <c r="AD61" s="64"/>
      <c r="AE61" s="7"/>
      <c r="AF61" s="221"/>
      <c r="AG61" s="222"/>
    </row>
    <row r="62" spans="2:33" x14ac:dyDescent="0.25">
      <c r="B62" s="199">
        <v>1</v>
      </c>
      <c r="C62" s="91"/>
      <c r="D62" s="69"/>
      <c r="E62" s="7"/>
      <c r="F62" s="66"/>
      <c r="G62" s="83"/>
      <c r="H62" s="48"/>
      <c r="I62" s="48"/>
      <c r="J62" s="8"/>
      <c r="K62" s="219"/>
      <c r="L62" s="7"/>
      <c r="M62" s="47"/>
      <c r="N62" s="47"/>
      <c r="O62" s="220"/>
      <c r="P62" s="48"/>
      <c r="Q62" s="47"/>
      <c r="R62" s="56"/>
      <c r="S62" s="56"/>
      <c r="T62" s="56"/>
      <c r="U62" s="56"/>
      <c r="V62" s="56"/>
      <c r="W62" s="56"/>
      <c r="X62" s="64"/>
      <c r="Y62" s="64"/>
      <c r="Z62" s="64"/>
      <c r="AA62" s="64"/>
      <c r="AB62" s="64"/>
      <c r="AC62" s="64"/>
      <c r="AD62" s="64"/>
      <c r="AE62" s="7"/>
      <c r="AF62" s="221"/>
      <c r="AG62" s="222"/>
    </row>
    <row r="63" spans="2:33" x14ac:dyDescent="0.25">
      <c r="B63" s="199">
        <v>1</v>
      </c>
      <c r="C63" s="91"/>
      <c r="D63" s="69"/>
      <c r="E63" s="7"/>
      <c r="F63" s="66"/>
      <c r="G63" s="83"/>
      <c r="H63" s="48"/>
      <c r="I63" s="48"/>
      <c r="J63" s="8"/>
      <c r="K63" s="219"/>
      <c r="L63" s="7"/>
      <c r="M63" s="47"/>
      <c r="N63" s="47"/>
      <c r="O63" s="220"/>
      <c r="P63" s="48"/>
      <c r="Q63" s="47"/>
      <c r="R63" s="56"/>
      <c r="S63" s="56"/>
      <c r="T63" s="56"/>
      <c r="U63" s="56"/>
      <c r="V63" s="56"/>
      <c r="W63" s="56"/>
      <c r="X63" s="64"/>
      <c r="Y63" s="64"/>
      <c r="Z63" s="64"/>
      <c r="AA63" s="64"/>
      <c r="AB63" s="64"/>
      <c r="AC63" s="64"/>
      <c r="AD63" s="64"/>
      <c r="AE63" s="7"/>
      <c r="AF63" s="221"/>
      <c r="AG63" s="222"/>
    </row>
    <row r="64" spans="2:33" x14ac:dyDescent="0.25">
      <c r="B64" s="199">
        <v>1</v>
      </c>
      <c r="C64" s="91"/>
      <c r="D64" s="69"/>
      <c r="E64" s="7"/>
      <c r="F64" s="66"/>
      <c r="G64" s="83"/>
      <c r="H64" s="48"/>
      <c r="I64" s="48"/>
      <c r="J64" s="8"/>
      <c r="K64" s="219"/>
      <c r="L64" s="7"/>
      <c r="M64" s="47"/>
      <c r="N64" s="47"/>
      <c r="O64" s="220"/>
      <c r="P64" s="48"/>
      <c r="Q64" s="47"/>
      <c r="R64" s="56"/>
      <c r="S64" s="56"/>
      <c r="T64" s="56"/>
      <c r="U64" s="56"/>
      <c r="V64" s="56"/>
      <c r="W64" s="56"/>
      <c r="X64" s="64"/>
      <c r="Y64" s="64"/>
      <c r="Z64" s="64"/>
      <c r="AA64" s="64"/>
      <c r="AB64" s="64"/>
      <c r="AC64" s="64"/>
      <c r="AD64" s="64"/>
      <c r="AE64" s="7"/>
      <c r="AF64" s="221"/>
      <c r="AG64" s="222"/>
    </row>
    <row r="65" spans="2:33" x14ac:dyDescent="0.25">
      <c r="B65" s="199">
        <v>1</v>
      </c>
      <c r="C65" s="91"/>
      <c r="D65" s="69"/>
      <c r="E65" s="7"/>
      <c r="F65" s="66"/>
      <c r="G65" s="83"/>
      <c r="H65" s="48"/>
      <c r="I65" s="48"/>
      <c r="J65" s="8"/>
      <c r="K65" s="219"/>
      <c r="L65" s="7"/>
      <c r="M65" s="47"/>
      <c r="N65" s="47"/>
      <c r="O65" s="220"/>
      <c r="P65" s="48"/>
      <c r="Q65" s="47"/>
      <c r="R65" s="56"/>
      <c r="S65" s="56"/>
      <c r="T65" s="56"/>
      <c r="U65" s="56"/>
      <c r="V65" s="56"/>
      <c r="W65" s="56"/>
      <c r="X65" s="64"/>
      <c r="Y65" s="64"/>
      <c r="Z65" s="64"/>
      <c r="AA65" s="64"/>
      <c r="AB65" s="64"/>
      <c r="AC65" s="64"/>
      <c r="AD65" s="64"/>
      <c r="AE65" s="7"/>
      <c r="AF65" s="221"/>
      <c r="AG65" s="222"/>
    </row>
    <row r="66" spans="2:33" x14ac:dyDescent="0.25">
      <c r="B66" s="199">
        <v>1</v>
      </c>
      <c r="C66" s="91"/>
      <c r="D66" s="69"/>
      <c r="E66" s="7"/>
      <c r="F66" s="66"/>
      <c r="G66" s="83"/>
      <c r="H66" s="48"/>
      <c r="I66" s="48"/>
      <c r="J66" s="8"/>
      <c r="K66" s="219"/>
      <c r="L66" s="7"/>
      <c r="M66" s="47"/>
      <c r="N66" s="47"/>
      <c r="O66" s="220"/>
      <c r="P66" s="48"/>
      <c r="Q66" s="47"/>
      <c r="R66" s="56"/>
      <c r="S66" s="56"/>
      <c r="T66" s="56"/>
      <c r="U66" s="56"/>
      <c r="V66" s="56"/>
      <c r="W66" s="56"/>
      <c r="X66" s="64"/>
      <c r="Y66" s="64"/>
      <c r="Z66" s="64"/>
      <c r="AA66" s="64"/>
      <c r="AB66" s="64"/>
      <c r="AC66" s="64"/>
      <c r="AD66" s="64"/>
      <c r="AE66" s="7"/>
      <c r="AF66" s="221"/>
      <c r="AG66" s="222"/>
    </row>
    <row r="67" spans="2:33" x14ac:dyDescent="0.25">
      <c r="B67" s="199">
        <v>1</v>
      </c>
      <c r="C67" s="91"/>
      <c r="D67" s="69"/>
      <c r="E67" s="7"/>
      <c r="F67" s="66"/>
      <c r="G67" s="83"/>
      <c r="H67" s="48"/>
      <c r="I67" s="48"/>
      <c r="J67" s="8"/>
      <c r="K67" s="219"/>
      <c r="L67" s="7"/>
      <c r="M67" s="47"/>
      <c r="N67" s="47"/>
      <c r="O67" s="220"/>
      <c r="P67" s="48"/>
      <c r="Q67" s="47"/>
      <c r="R67" s="56"/>
      <c r="S67" s="56"/>
      <c r="T67" s="56"/>
      <c r="U67" s="56"/>
      <c r="V67" s="56"/>
      <c r="W67" s="56"/>
      <c r="X67" s="64"/>
      <c r="Y67" s="64"/>
      <c r="Z67" s="64"/>
      <c r="AA67" s="64"/>
      <c r="AB67" s="64"/>
      <c r="AC67" s="64"/>
      <c r="AD67" s="64"/>
      <c r="AE67" s="7"/>
      <c r="AF67" s="221"/>
      <c r="AG67" s="222"/>
    </row>
    <row r="68" spans="2:33" x14ac:dyDescent="0.25">
      <c r="B68" s="199">
        <v>1</v>
      </c>
      <c r="C68" s="91"/>
      <c r="D68" s="69"/>
      <c r="E68" s="7"/>
      <c r="F68" s="66"/>
      <c r="G68" s="83"/>
      <c r="H68" s="48"/>
      <c r="I68" s="48"/>
      <c r="J68" s="8"/>
      <c r="K68" s="219"/>
      <c r="L68" s="7"/>
      <c r="M68" s="47"/>
      <c r="N68" s="47"/>
      <c r="O68" s="220"/>
      <c r="P68" s="48"/>
      <c r="Q68" s="47"/>
      <c r="R68" s="56"/>
      <c r="S68" s="56"/>
      <c r="T68" s="56"/>
      <c r="U68" s="56"/>
      <c r="V68" s="56"/>
      <c r="W68" s="56"/>
      <c r="X68" s="64"/>
      <c r="Y68" s="64"/>
      <c r="Z68" s="64"/>
      <c r="AA68" s="64"/>
      <c r="AB68" s="64"/>
      <c r="AC68" s="64"/>
      <c r="AD68" s="64"/>
      <c r="AE68" s="7"/>
      <c r="AF68" s="221"/>
      <c r="AG68" s="222"/>
    </row>
    <row r="69" spans="2:33" x14ac:dyDescent="0.25">
      <c r="B69" s="199">
        <v>1</v>
      </c>
      <c r="C69" s="91"/>
      <c r="D69" s="69"/>
      <c r="E69" s="7"/>
      <c r="F69" s="66"/>
      <c r="G69" s="83"/>
      <c r="H69" s="48"/>
      <c r="I69" s="48"/>
      <c r="J69" s="8"/>
      <c r="K69" s="219"/>
      <c r="L69" s="7"/>
      <c r="M69" s="47"/>
      <c r="N69" s="47"/>
      <c r="O69" s="220"/>
      <c r="P69" s="48"/>
      <c r="Q69" s="47"/>
      <c r="R69" s="56"/>
      <c r="S69" s="56"/>
      <c r="T69" s="56"/>
      <c r="U69" s="56"/>
      <c r="V69" s="56"/>
      <c r="W69" s="56"/>
      <c r="X69" s="64"/>
      <c r="Y69" s="64"/>
      <c r="Z69" s="64"/>
      <c r="AA69" s="64"/>
      <c r="AB69" s="64"/>
      <c r="AC69" s="64"/>
      <c r="AD69" s="64"/>
      <c r="AE69" s="7"/>
      <c r="AF69" s="221"/>
      <c r="AG69" s="222"/>
    </row>
    <row r="70" spans="2:33" x14ac:dyDescent="0.25">
      <c r="B70" s="199">
        <v>1</v>
      </c>
      <c r="C70" s="91"/>
      <c r="D70" s="69"/>
      <c r="E70" s="7"/>
      <c r="F70" s="66"/>
      <c r="G70" s="83"/>
      <c r="H70" s="48"/>
      <c r="I70" s="48"/>
      <c r="J70" s="8"/>
      <c r="K70" s="219"/>
      <c r="L70" s="7"/>
      <c r="M70" s="47"/>
      <c r="N70" s="47"/>
      <c r="O70" s="220"/>
      <c r="P70" s="48"/>
      <c r="Q70" s="47"/>
      <c r="R70" s="56"/>
      <c r="S70" s="56"/>
      <c r="T70" s="56"/>
      <c r="U70" s="56"/>
      <c r="V70" s="56"/>
      <c r="W70" s="56"/>
      <c r="X70" s="64"/>
      <c r="Y70" s="64"/>
      <c r="Z70" s="64"/>
      <c r="AA70" s="64"/>
      <c r="AB70" s="64"/>
      <c r="AC70" s="64"/>
      <c r="AD70" s="64"/>
      <c r="AE70" s="7"/>
      <c r="AF70" s="221"/>
      <c r="AG70" s="222"/>
    </row>
    <row r="71" spans="2:33" x14ac:dyDescent="0.25">
      <c r="B71" s="199">
        <v>1</v>
      </c>
      <c r="C71" s="91"/>
      <c r="D71" s="69"/>
      <c r="E71" s="7"/>
      <c r="F71" s="66"/>
      <c r="G71" s="83"/>
      <c r="H71" s="48"/>
      <c r="I71" s="48"/>
      <c r="J71" s="8"/>
      <c r="K71" s="219"/>
      <c r="L71" s="7"/>
      <c r="M71" s="47"/>
      <c r="N71" s="47"/>
      <c r="O71" s="220"/>
      <c r="P71" s="48"/>
      <c r="Q71" s="47"/>
      <c r="R71" s="56"/>
      <c r="S71" s="56"/>
      <c r="T71" s="56"/>
      <c r="U71" s="56"/>
      <c r="V71" s="56"/>
      <c r="W71" s="56"/>
      <c r="X71" s="64"/>
      <c r="Y71" s="64"/>
      <c r="Z71" s="64"/>
      <c r="AA71" s="64"/>
      <c r="AB71" s="64"/>
      <c r="AC71" s="64"/>
      <c r="AD71" s="64"/>
      <c r="AE71" s="7"/>
      <c r="AF71" s="221"/>
      <c r="AG71" s="222"/>
    </row>
    <row r="72" spans="2:33" x14ac:dyDescent="0.25">
      <c r="B72" s="199">
        <v>1</v>
      </c>
      <c r="C72" s="91"/>
      <c r="D72" s="69"/>
      <c r="E72" s="7"/>
      <c r="F72" s="66"/>
      <c r="G72" s="83"/>
      <c r="H72" s="48"/>
      <c r="I72" s="48"/>
      <c r="J72" s="8"/>
      <c r="K72" s="219"/>
      <c r="L72" s="7"/>
      <c r="M72" s="47"/>
      <c r="N72" s="47"/>
      <c r="O72" s="220"/>
      <c r="P72" s="48"/>
      <c r="Q72" s="47"/>
      <c r="R72" s="56"/>
      <c r="S72" s="56"/>
      <c r="T72" s="56"/>
      <c r="U72" s="56"/>
      <c r="V72" s="56"/>
      <c r="W72" s="56"/>
      <c r="X72" s="64"/>
      <c r="Y72" s="64"/>
      <c r="Z72" s="64"/>
      <c r="AA72" s="64"/>
      <c r="AB72" s="64"/>
      <c r="AC72" s="64"/>
      <c r="AD72" s="64"/>
      <c r="AE72" s="7"/>
      <c r="AF72" s="221"/>
      <c r="AG72" s="222"/>
    </row>
    <row r="73" spans="2:33" x14ac:dyDescent="0.25">
      <c r="B73" s="199">
        <v>1</v>
      </c>
      <c r="C73" s="91"/>
      <c r="D73" s="69"/>
      <c r="E73" s="7"/>
      <c r="F73" s="66"/>
      <c r="G73" s="83"/>
      <c r="H73" s="48"/>
      <c r="I73" s="48"/>
      <c r="J73" s="8"/>
      <c r="K73" s="219"/>
      <c r="L73" s="7"/>
      <c r="M73" s="47"/>
      <c r="N73" s="47"/>
      <c r="O73" s="220"/>
      <c r="P73" s="48"/>
      <c r="Q73" s="47"/>
      <c r="R73" s="56"/>
      <c r="S73" s="56"/>
      <c r="T73" s="56"/>
      <c r="U73" s="56"/>
      <c r="V73" s="56"/>
      <c r="W73" s="56"/>
      <c r="X73" s="64"/>
      <c r="Y73" s="64"/>
      <c r="Z73" s="64"/>
      <c r="AA73" s="64"/>
      <c r="AB73" s="64"/>
      <c r="AC73" s="64"/>
      <c r="AD73" s="64"/>
      <c r="AE73" s="7"/>
      <c r="AF73" s="221"/>
      <c r="AG73" s="222"/>
    </row>
    <row r="74" spans="2:33" x14ac:dyDescent="0.25">
      <c r="B74" s="199">
        <v>1</v>
      </c>
      <c r="C74" s="91"/>
      <c r="D74" s="69"/>
      <c r="E74" s="7"/>
      <c r="F74" s="66"/>
      <c r="G74" s="83"/>
      <c r="H74" s="48"/>
      <c r="I74" s="48"/>
      <c r="J74" s="8"/>
      <c r="K74" s="219"/>
      <c r="L74" s="7"/>
      <c r="M74" s="47"/>
      <c r="N74" s="47"/>
      <c r="O74" s="220"/>
      <c r="P74" s="48"/>
      <c r="Q74" s="47"/>
      <c r="R74" s="56"/>
      <c r="S74" s="56"/>
      <c r="T74" s="56"/>
      <c r="U74" s="56"/>
      <c r="V74" s="56"/>
      <c r="W74" s="56"/>
      <c r="X74" s="64"/>
      <c r="Y74" s="64"/>
      <c r="Z74" s="64"/>
      <c r="AA74" s="64"/>
      <c r="AB74" s="64"/>
      <c r="AC74" s="64"/>
      <c r="AD74" s="64"/>
      <c r="AE74" s="7"/>
      <c r="AF74" s="221"/>
      <c r="AG74" s="222"/>
    </row>
    <row r="75" spans="2:33" x14ac:dyDescent="0.25">
      <c r="B75" s="199">
        <v>1</v>
      </c>
      <c r="C75" s="91"/>
      <c r="D75" s="69"/>
      <c r="E75" s="7"/>
      <c r="F75" s="66"/>
      <c r="G75" s="83"/>
      <c r="H75" s="48"/>
      <c r="I75" s="48"/>
      <c r="J75" s="8"/>
      <c r="K75" s="219"/>
      <c r="L75" s="7"/>
      <c r="M75" s="47"/>
      <c r="N75" s="47"/>
      <c r="O75" s="220"/>
      <c r="P75" s="48"/>
      <c r="Q75" s="47"/>
      <c r="R75" s="56"/>
      <c r="S75" s="56"/>
      <c r="T75" s="56"/>
      <c r="U75" s="56"/>
      <c r="V75" s="56"/>
      <c r="W75" s="56"/>
      <c r="X75" s="64"/>
      <c r="Y75" s="64"/>
      <c r="Z75" s="64"/>
      <c r="AA75" s="64"/>
      <c r="AB75" s="64"/>
      <c r="AC75" s="64"/>
      <c r="AD75" s="64"/>
      <c r="AE75" s="7"/>
      <c r="AF75" s="221"/>
      <c r="AG75" s="222"/>
    </row>
    <row r="76" spans="2:33" x14ac:dyDescent="0.25">
      <c r="B76" s="199">
        <v>1</v>
      </c>
      <c r="C76" s="91"/>
      <c r="D76" s="69"/>
      <c r="E76" s="7"/>
      <c r="F76" s="66"/>
      <c r="G76" s="83"/>
      <c r="H76" s="48"/>
      <c r="I76" s="48"/>
      <c r="J76" s="8"/>
      <c r="K76" s="219"/>
      <c r="L76" s="7"/>
      <c r="M76" s="47"/>
      <c r="N76" s="47"/>
      <c r="O76" s="220"/>
      <c r="P76" s="48"/>
      <c r="Q76" s="47"/>
      <c r="R76" s="56"/>
      <c r="S76" s="56"/>
      <c r="T76" s="56"/>
      <c r="U76" s="56"/>
      <c r="V76" s="56"/>
      <c r="W76" s="56"/>
      <c r="X76" s="64"/>
      <c r="Y76" s="64"/>
      <c r="Z76" s="64"/>
      <c r="AA76" s="64"/>
      <c r="AB76" s="64"/>
      <c r="AC76" s="64"/>
      <c r="AD76" s="64"/>
      <c r="AE76" s="7"/>
      <c r="AF76" s="221"/>
      <c r="AG76" s="222"/>
    </row>
    <row r="77" spans="2:33" x14ac:dyDescent="0.25">
      <c r="B77" s="199">
        <v>1</v>
      </c>
      <c r="C77" s="91"/>
      <c r="D77" s="69"/>
      <c r="E77" s="7"/>
      <c r="F77" s="66"/>
      <c r="G77" s="83"/>
      <c r="H77" s="48"/>
      <c r="I77" s="48"/>
      <c r="J77" s="8"/>
      <c r="K77" s="219"/>
      <c r="L77" s="7"/>
      <c r="M77" s="47"/>
      <c r="N77" s="47"/>
      <c r="O77" s="220"/>
      <c r="P77" s="48"/>
      <c r="Q77" s="47"/>
      <c r="R77" s="56"/>
      <c r="S77" s="56"/>
      <c r="T77" s="56"/>
      <c r="U77" s="56"/>
      <c r="V77" s="56"/>
      <c r="W77" s="56"/>
      <c r="X77" s="64"/>
      <c r="Y77" s="64"/>
      <c r="Z77" s="64"/>
      <c r="AA77" s="64"/>
      <c r="AB77" s="64"/>
      <c r="AC77" s="64"/>
      <c r="AD77" s="64"/>
      <c r="AE77" s="7"/>
      <c r="AF77" s="221"/>
      <c r="AG77" s="222"/>
    </row>
    <row r="78" spans="2:33" x14ac:dyDescent="0.25">
      <c r="B78" s="199">
        <v>1</v>
      </c>
      <c r="C78" s="91"/>
      <c r="D78" s="69"/>
      <c r="E78" s="7"/>
      <c r="F78" s="66"/>
      <c r="G78" s="83"/>
      <c r="H78" s="48"/>
      <c r="I78" s="48"/>
      <c r="J78" s="8"/>
      <c r="K78" s="219"/>
      <c r="L78" s="7"/>
      <c r="M78" s="47"/>
      <c r="N78" s="47"/>
      <c r="O78" s="220"/>
      <c r="P78" s="48"/>
      <c r="Q78" s="47"/>
      <c r="R78" s="56"/>
      <c r="S78" s="56"/>
      <c r="T78" s="56"/>
      <c r="U78" s="56"/>
      <c r="V78" s="56"/>
      <c r="W78" s="56"/>
      <c r="X78" s="64"/>
      <c r="Y78" s="64"/>
      <c r="Z78" s="64"/>
      <c r="AA78" s="64"/>
      <c r="AB78" s="64"/>
      <c r="AC78" s="64"/>
      <c r="AD78" s="64"/>
      <c r="AE78" s="7"/>
      <c r="AF78" s="221"/>
      <c r="AG78" s="222"/>
    </row>
    <row r="79" spans="2:33" x14ac:dyDescent="0.25">
      <c r="B79" s="199">
        <v>1</v>
      </c>
      <c r="C79" s="91"/>
      <c r="D79" s="69"/>
      <c r="E79" s="7"/>
      <c r="F79" s="66"/>
      <c r="G79" s="83"/>
      <c r="H79" s="48"/>
      <c r="I79" s="48"/>
      <c r="J79" s="8"/>
      <c r="K79" s="219"/>
      <c r="L79" s="7"/>
      <c r="M79" s="47"/>
      <c r="N79" s="47"/>
      <c r="O79" s="220"/>
      <c r="P79" s="48"/>
      <c r="Q79" s="47"/>
      <c r="R79" s="56"/>
      <c r="S79" s="56"/>
      <c r="T79" s="56"/>
      <c r="U79" s="56"/>
      <c r="V79" s="56"/>
      <c r="W79" s="56"/>
      <c r="X79" s="64"/>
      <c r="Y79" s="64"/>
      <c r="Z79" s="64"/>
      <c r="AA79" s="64"/>
      <c r="AB79" s="64"/>
      <c r="AC79" s="64"/>
      <c r="AD79" s="64"/>
      <c r="AE79" s="7"/>
      <c r="AF79" s="221"/>
      <c r="AG79" s="222"/>
    </row>
    <row r="80" spans="2:33" x14ac:dyDescent="0.25">
      <c r="B80" s="199">
        <v>1</v>
      </c>
      <c r="C80" s="91"/>
      <c r="D80" s="69"/>
      <c r="E80" s="7"/>
      <c r="F80" s="66"/>
      <c r="G80" s="83"/>
      <c r="H80" s="48"/>
      <c r="I80" s="48"/>
      <c r="J80" s="8"/>
      <c r="K80" s="219"/>
      <c r="L80" s="7"/>
      <c r="M80" s="47"/>
      <c r="N80" s="47"/>
      <c r="O80" s="220"/>
      <c r="P80" s="48"/>
      <c r="Q80" s="47"/>
      <c r="R80" s="56"/>
      <c r="S80" s="56"/>
      <c r="T80" s="56"/>
      <c r="U80" s="56"/>
      <c r="V80" s="56"/>
      <c r="W80" s="56"/>
      <c r="X80" s="64"/>
      <c r="Y80" s="64"/>
      <c r="Z80" s="64"/>
      <c r="AA80" s="64"/>
      <c r="AB80" s="64"/>
      <c r="AC80" s="64"/>
      <c r="AD80" s="64"/>
      <c r="AE80" s="7"/>
      <c r="AF80" s="221"/>
      <c r="AG80" s="222"/>
    </row>
    <row r="81" spans="2:33" x14ac:dyDescent="0.25">
      <c r="B81" s="199">
        <v>1</v>
      </c>
      <c r="C81" s="91"/>
      <c r="D81" s="69"/>
      <c r="E81" s="7"/>
      <c r="F81" s="66"/>
      <c r="G81" s="83"/>
      <c r="H81" s="48"/>
      <c r="I81" s="48"/>
      <c r="J81" s="8"/>
      <c r="K81" s="219"/>
      <c r="L81" s="7"/>
      <c r="M81" s="47"/>
      <c r="N81" s="47"/>
      <c r="O81" s="220"/>
      <c r="P81" s="48"/>
      <c r="Q81" s="47"/>
      <c r="R81" s="56"/>
      <c r="S81" s="56"/>
      <c r="T81" s="56"/>
      <c r="U81" s="56"/>
      <c r="V81" s="56"/>
      <c r="W81" s="56"/>
      <c r="X81" s="64"/>
      <c r="Y81" s="64"/>
      <c r="Z81" s="64"/>
      <c r="AA81" s="64"/>
      <c r="AB81" s="64"/>
      <c r="AC81" s="64"/>
      <c r="AD81" s="64"/>
      <c r="AE81" s="7"/>
      <c r="AF81" s="221"/>
      <c r="AG81" s="222"/>
    </row>
    <row r="82" spans="2:33" x14ac:dyDescent="0.25">
      <c r="B82" s="199">
        <v>1</v>
      </c>
      <c r="C82" s="91"/>
      <c r="D82" s="69"/>
      <c r="E82" s="7"/>
      <c r="F82" s="66"/>
      <c r="G82" s="83"/>
      <c r="H82" s="48"/>
      <c r="I82" s="48"/>
      <c r="J82" s="8"/>
      <c r="K82" s="219"/>
      <c r="L82" s="7"/>
      <c r="M82" s="47"/>
      <c r="N82" s="47"/>
      <c r="O82" s="220"/>
      <c r="P82" s="48"/>
      <c r="Q82" s="47"/>
      <c r="R82" s="56"/>
      <c r="S82" s="56"/>
      <c r="T82" s="56"/>
      <c r="U82" s="56"/>
      <c r="V82" s="56"/>
      <c r="W82" s="56"/>
      <c r="X82" s="64"/>
      <c r="Y82" s="64"/>
      <c r="Z82" s="64"/>
      <c r="AA82" s="64"/>
      <c r="AB82" s="64"/>
      <c r="AC82" s="64"/>
      <c r="AD82" s="64"/>
      <c r="AE82" s="7"/>
      <c r="AF82" s="221"/>
      <c r="AG82" s="222"/>
    </row>
    <row r="83" spans="2:33" x14ac:dyDescent="0.25">
      <c r="B83" s="199">
        <v>1</v>
      </c>
      <c r="C83" s="91"/>
      <c r="D83" s="69"/>
      <c r="E83" s="7"/>
      <c r="F83" s="66"/>
      <c r="G83" s="83"/>
      <c r="H83" s="48"/>
      <c r="I83" s="48"/>
      <c r="J83" s="8"/>
      <c r="K83" s="219"/>
      <c r="L83" s="7"/>
      <c r="M83" s="47"/>
      <c r="N83" s="47"/>
      <c r="O83" s="220"/>
      <c r="P83" s="48"/>
      <c r="Q83" s="47"/>
      <c r="R83" s="56"/>
      <c r="S83" s="56"/>
      <c r="T83" s="56"/>
      <c r="U83" s="56"/>
      <c r="V83" s="56"/>
      <c r="W83" s="56"/>
      <c r="X83" s="64"/>
      <c r="Y83" s="64"/>
      <c r="Z83" s="64"/>
      <c r="AA83" s="64"/>
      <c r="AB83" s="64"/>
      <c r="AC83" s="64"/>
      <c r="AD83" s="64"/>
      <c r="AE83" s="7"/>
      <c r="AF83" s="221"/>
      <c r="AG83" s="222"/>
    </row>
    <row r="84" spans="2:33" x14ac:dyDescent="0.25">
      <c r="B84" s="199">
        <v>1</v>
      </c>
      <c r="C84" s="91"/>
      <c r="D84" s="69"/>
      <c r="E84" s="7"/>
      <c r="F84" s="66"/>
      <c r="G84" s="83"/>
      <c r="H84" s="48"/>
      <c r="I84" s="48"/>
      <c r="J84" s="8"/>
      <c r="K84" s="219"/>
      <c r="L84" s="7"/>
      <c r="M84" s="47"/>
      <c r="N84" s="47"/>
      <c r="O84" s="220"/>
      <c r="P84" s="48"/>
      <c r="Q84" s="47"/>
      <c r="R84" s="56"/>
      <c r="S84" s="56"/>
      <c r="T84" s="56"/>
      <c r="U84" s="56"/>
      <c r="V84" s="56"/>
      <c r="W84" s="56"/>
      <c r="X84" s="64"/>
      <c r="Y84" s="64"/>
      <c r="Z84" s="64"/>
      <c r="AA84" s="64"/>
      <c r="AB84" s="64"/>
      <c r="AC84" s="64"/>
      <c r="AD84" s="64"/>
      <c r="AE84" s="7"/>
      <c r="AF84" s="221"/>
      <c r="AG84" s="222"/>
    </row>
    <row r="85" spans="2:33" x14ac:dyDescent="0.25">
      <c r="B85" s="199">
        <v>1</v>
      </c>
      <c r="C85" s="91"/>
      <c r="D85" s="69"/>
      <c r="E85" s="7"/>
      <c r="F85" s="66"/>
      <c r="G85" s="83"/>
      <c r="H85" s="48"/>
      <c r="I85" s="48"/>
      <c r="J85" s="8"/>
      <c r="K85" s="219"/>
      <c r="L85" s="7"/>
      <c r="M85" s="47"/>
      <c r="N85" s="47"/>
      <c r="O85" s="220"/>
      <c r="P85" s="48"/>
      <c r="Q85" s="47"/>
      <c r="R85" s="56"/>
      <c r="S85" s="56"/>
      <c r="T85" s="56"/>
      <c r="U85" s="56"/>
      <c r="V85" s="56"/>
      <c r="W85" s="56"/>
      <c r="X85" s="64"/>
      <c r="Y85" s="64"/>
      <c r="Z85" s="64"/>
      <c r="AA85" s="64"/>
      <c r="AB85" s="64"/>
      <c r="AC85" s="64"/>
      <c r="AD85" s="64"/>
      <c r="AE85" s="7"/>
      <c r="AF85" s="221"/>
      <c r="AG85" s="222"/>
    </row>
    <row r="86" spans="2:33" x14ac:dyDescent="0.25">
      <c r="B86" s="199">
        <v>1</v>
      </c>
      <c r="C86" s="91"/>
      <c r="D86" s="69"/>
      <c r="E86" s="7"/>
      <c r="F86" s="66"/>
      <c r="G86" s="83"/>
      <c r="H86" s="48"/>
      <c r="I86" s="48"/>
      <c r="J86" s="8"/>
      <c r="K86" s="219"/>
      <c r="L86" s="7"/>
      <c r="M86" s="47"/>
      <c r="N86" s="47"/>
      <c r="O86" s="220"/>
      <c r="P86" s="48"/>
      <c r="Q86" s="47"/>
      <c r="R86" s="56"/>
      <c r="S86" s="56"/>
      <c r="T86" s="56"/>
      <c r="U86" s="56"/>
      <c r="V86" s="56"/>
      <c r="W86" s="56"/>
      <c r="X86" s="64"/>
      <c r="Y86" s="64"/>
      <c r="Z86" s="64"/>
      <c r="AA86" s="64"/>
      <c r="AB86" s="64"/>
      <c r="AC86" s="64"/>
      <c r="AD86" s="64"/>
      <c r="AE86" s="7"/>
      <c r="AF86" s="221"/>
      <c r="AG86" s="222"/>
    </row>
    <row r="87" spans="2:33" x14ac:dyDescent="0.25">
      <c r="B87" s="199">
        <v>1</v>
      </c>
      <c r="C87" s="91"/>
      <c r="D87" s="69"/>
      <c r="E87" s="7"/>
      <c r="F87" s="66"/>
      <c r="G87" s="83"/>
      <c r="H87" s="48"/>
      <c r="I87" s="48"/>
      <c r="J87" s="8"/>
      <c r="K87" s="219"/>
      <c r="L87" s="7"/>
      <c r="M87" s="47"/>
      <c r="N87" s="47"/>
      <c r="O87" s="220"/>
      <c r="P87" s="48"/>
      <c r="Q87" s="47"/>
      <c r="R87" s="56"/>
      <c r="S87" s="56"/>
      <c r="T87" s="56"/>
      <c r="U87" s="56"/>
      <c r="V87" s="56"/>
      <c r="W87" s="56"/>
      <c r="X87" s="64"/>
      <c r="Y87" s="64"/>
      <c r="Z87" s="64"/>
      <c r="AA87" s="64"/>
      <c r="AB87" s="64"/>
      <c r="AC87" s="64"/>
      <c r="AD87" s="64"/>
      <c r="AE87" s="7"/>
      <c r="AF87" s="221"/>
      <c r="AG87" s="222"/>
    </row>
    <row r="88" spans="2:33" x14ac:dyDescent="0.25">
      <c r="B88" s="199">
        <v>1</v>
      </c>
      <c r="C88" s="91"/>
      <c r="D88" s="69"/>
      <c r="E88" s="7"/>
      <c r="F88" s="66"/>
      <c r="G88" s="83"/>
      <c r="H88" s="48"/>
      <c r="I88" s="48"/>
      <c r="J88" s="8"/>
      <c r="K88" s="219"/>
      <c r="L88" s="7"/>
      <c r="M88" s="47"/>
      <c r="N88" s="47"/>
      <c r="O88" s="220"/>
      <c r="P88" s="48"/>
      <c r="Q88" s="47"/>
      <c r="R88" s="56"/>
      <c r="S88" s="56"/>
      <c r="T88" s="56"/>
      <c r="U88" s="56"/>
      <c r="V88" s="56"/>
      <c r="W88" s="56"/>
      <c r="X88" s="64"/>
      <c r="Y88" s="64"/>
      <c r="Z88" s="64"/>
      <c r="AA88" s="64"/>
      <c r="AB88" s="64"/>
      <c r="AC88" s="64"/>
      <c r="AD88" s="64"/>
      <c r="AE88" s="7"/>
      <c r="AF88" s="221"/>
      <c r="AG88" s="222"/>
    </row>
    <row r="89" spans="2:33" x14ac:dyDescent="0.25">
      <c r="B89" s="199">
        <v>1</v>
      </c>
      <c r="C89" s="91"/>
      <c r="D89" s="69"/>
      <c r="E89" s="7"/>
      <c r="F89" s="66"/>
      <c r="G89" s="83"/>
      <c r="H89" s="48"/>
      <c r="I89" s="48"/>
      <c r="J89" s="8"/>
      <c r="K89" s="219"/>
      <c r="L89" s="7"/>
      <c r="M89" s="47"/>
      <c r="N89" s="47"/>
      <c r="O89" s="220"/>
      <c r="P89" s="48"/>
      <c r="Q89" s="47"/>
      <c r="R89" s="56"/>
      <c r="S89" s="56"/>
      <c r="T89" s="56"/>
      <c r="U89" s="56"/>
      <c r="V89" s="56"/>
      <c r="W89" s="56"/>
      <c r="X89" s="64"/>
      <c r="Y89" s="64"/>
      <c r="Z89" s="64"/>
      <c r="AA89" s="64"/>
      <c r="AB89" s="64"/>
      <c r="AC89" s="64"/>
      <c r="AD89" s="64"/>
      <c r="AE89" s="7"/>
      <c r="AF89" s="221"/>
      <c r="AG89" s="222"/>
    </row>
    <row r="90" spans="2:33" x14ac:dyDescent="0.25">
      <c r="B90" s="199">
        <v>1</v>
      </c>
      <c r="C90" s="91"/>
      <c r="D90" s="69"/>
      <c r="E90" s="7"/>
      <c r="F90" s="66"/>
      <c r="G90" s="83"/>
      <c r="H90" s="48"/>
      <c r="I90" s="48"/>
      <c r="J90" s="8"/>
      <c r="K90" s="219"/>
      <c r="L90" s="7"/>
      <c r="M90" s="47"/>
      <c r="N90" s="47"/>
      <c r="O90" s="220"/>
      <c r="P90" s="48"/>
      <c r="Q90" s="47"/>
      <c r="R90" s="56"/>
      <c r="S90" s="56"/>
      <c r="T90" s="56"/>
      <c r="U90" s="56"/>
      <c r="V90" s="56"/>
      <c r="W90" s="56"/>
      <c r="X90" s="64"/>
      <c r="Y90" s="64"/>
      <c r="Z90" s="64"/>
      <c r="AA90" s="64"/>
      <c r="AB90" s="64"/>
      <c r="AC90" s="64"/>
      <c r="AD90" s="64"/>
      <c r="AE90" s="7"/>
      <c r="AF90" s="221"/>
      <c r="AG90" s="222"/>
    </row>
    <row r="91" spans="2:33" x14ac:dyDescent="0.25">
      <c r="B91" s="199">
        <v>1</v>
      </c>
      <c r="C91" s="91"/>
      <c r="D91" s="69"/>
      <c r="E91" s="7"/>
      <c r="F91" s="66"/>
      <c r="G91" s="83"/>
      <c r="H91" s="48"/>
      <c r="I91" s="48"/>
      <c r="J91" s="8"/>
      <c r="K91" s="219"/>
      <c r="L91" s="7"/>
      <c r="M91" s="47"/>
      <c r="N91" s="47"/>
      <c r="O91" s="220"/>
      <c r="P91" s="48"/>
      <c r="Q91" s="47"/>
      <c r="R91" s="56"/>
      <c r="S91" s="56"/>
      <c r="T91" s="56"/>
      <c r="U91" s="56"/>
      <c r="V91" s="56"/>
      <c r="W91" s="56"/>
      <c r="X91" s="64"/>
      <c r="Y91" s="64"/>
      <c r="Z91" s="64"/>
      <c r="AA91" s="64"/>
      <c r="AB91" s="64"/>
      <c r="AC91" s="64"/>
      <c r="AD91" s="64"/>
      <c r="AE91" s="7"/>
      <c r="AF91" s="221"/>
      <c r="AG91" s="222"/>
    </row>
    <row r="92" spans="2:33" x14ac:dyDescent="0.25">
      <c r="B92" s="199">
        <v>1</v>
      </c>
      <c r="C92" s="91"/>
      <c r="D92" s="69"/>
      <c r="E92" s="7"/>
      <c r="F92" s="66"/>
      <c r="G92" s="83"/>
      <c r="H92" s="48"/>
      <c r="I92" s="48"/>
      <c r="J92" s="8"/>
      <c r="K92" s="219"/>
      <c r="L92" s="7"/>
      <c r="M92" s="47"/>
      <c r="N92" s="47"/>
      <c r="O92" s="220"/>
      <c r="P92" s="48"/>
      <c r="Q92" s="47"/>
      <c r="R92" s="56"/>
      <c r="S92" s="56"/>
      <c r="T92" s="56"/>
      <c r="U92" s="56"/>
      <c r="V92" s="56"/>
      <c r="W92" s="56"/>
      <c r="X92" s="64"/>
      <c r="Y92" s="64"/>
      <c r="Z92" s="64"/>
      <c r="AA92" s="64"/>
      <c r="AB92" s="64"/>
      <c r="AC92" s="64"/>
      <c r="AD92" s="64"/>
      <c r="AE92" s="7"/>
      <c r="AF92" s="221"/>
      <c r="AG92" s="222"/>
    </row>
    <row r="93" spans="2:33" x14ac:dyDescent="0.25">
      <c r="B93" s="199">
        <v>1</v>
      </c>
      <c r="C93" s="91"/>
      <c r="D93" s="69"/>
      <c r="E93" s="7"/>
      <c r="F93" s="66"/>
      <c r="G93" s="83"/>
      <c r="H93" s="48"/>
      <c r="I93" s="48"/>
      <c r="J93" s="8"/>
      <c r="K93" s="219"/>
      <c r="L93" s="7"/>
      <c r="M93" s="47"/>
      <c r="N93" s="47"/>
      <c r="O93" s="220"/>
      <c r="P93" s="48"/>
      <c r="Q93" s="47"/>
      <c r="R93" s="56"/>
      <c r="S93" s="56"/>
      <c r="T93" s="56"/>
      <c r="U93" s="56"/>
      <c r="V93" s="56"/>
      <c r="W93" s="56"/>
      <c r="X93" s="64"/>
      <c r="Y93" s="64"/>
      <c r="Z93" s="64"/>
      <c r="AA93" s="64"/>
      <c r="AB93" s="64"/>
      <c r="AC93" s="64"/>
      <c r="AD93" s="64"/>
      <c r="AE93" s="7"/>
      <c r="AF93" s="221"/>
      <c r="AG93" s="222"/>
    </row>
  </sheetData>
  <sheetProtection formatCells="0" formatColumns="0" formatRows="0" insertColumns="0" insertRows="0" insertHyperlinks="0" deleteColumns="0" deleteRows="0" sort="0"/>
  <mergeCells count="4">
    <mergeCell ref="D1:F1"/>
    <mergeCell ref="G1:K1"/>
    <mergeCell ref="L1:O1"/>
    <mergeCell ref="P1:AF1"/>
  </mergeCells>
  <pageMargins left="0.7" right="0.7" top="0.75" bottom="0.75" header="0.3" footer="0.3"/>
  <pageSetup paperSize="9" scale="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pageSetUpPr fitToPage="1"/>
  </sheetPr>
  <dimension ref="A1:AI48"/>
  <sheetViews>
    <sheetView showGridLines="0" zoomScale="145" zoomScaleNormal="145" workbookViewId="0">
      <pane xSplit="3" ySplit="2" topLeftCell="D3" activePane="bottomRight" state="frozen"/>
      <selection activeCell="M29" sqref="M29"/>
      <selection pane="topRight" activeCell="M29" sqref="M29"/>
      <selection pane="bottomLeft" activeCell="M29" sqref="M29"/>
      <selection pane="bottomRight" activeCell="R11" sqref="R11"/>
    </sheetView>
  </sheetViews>
  <sheetFormatPr baseColWidth="10" defaultColWidth="11.42578125" defaultRowHeight="15" x14ac:dyDescent="0.25"/>
  <cols>
    <col min="1" max="1" width="5.7109375" style="2" customWidth="1"/>
    <col min="2" max="2" width="3.42578125" style="2" customWidth="1"/>
    <col min="3" max="3" width="8.7109375" style="5" customWidth="1"/>
    <col min="4" max="6" width="8.7109375" style="49" customWidth="1"/>
    <col min="7" max="8" width="8.7109375" customWidth="1"/>
    <col min="9" max="9" width="8.7109375" style="9" customWidth="1"/>
    <col min="10" max="10" width="8.7109375" style="10" customWidth="1"/>
    <col min="11" max="11" width="10.7109375" style="86" customWidth="1"/>
    <col min="12" max="12" width="8.7109375" style="49" customWidth="1"/>
    <col min="13" max="13" width="8.7109375" style="9" customWidth="1"/>
    <col min="14" max="14" width="5.7109375" style="9" customWidth="1"/>
    <col min="15" max="15" width="10.7109375" style="87" customWidth="1"/>
    <col min="16" max="17" width="8.7109375" style="9" customWidth="1"/>
    <col min="18" max="20" width="2.28515625" style="88" customWidth="1"/>
    <col min="21" max="21" width="2.140625" style="88" customWidth="1"/>
    <col min="22" max="22" width="2.140625" style="88" bestFit="1" customWidth="1"/>
    <col min="23" max="23" width="2.7109375" style="88" bestFit="1" customWidth="1"/>
    <col min="24" max="24" width="2.140625" style="88" customWidth="1"/>
    <col min="25" max="25" width="2.7109375" style="88" customWidth="1"/>
    <col min="26" max="27" width="3" style="88" customWidth="1"/>
    <col min="28" max="32" width="3.28515625" style="88" customWidth="1"/>
    <col min="33" max="33" width="5.85546875" style="4" bestFit="1" customWidth="1"/>
    <col min="34" max="34" width="10.7109375" style="86" customWidth="1"/>
    <col min="35" max="35" width="12.7109375" style="89" customWidth="1"/>
  </cols>
  <sheetData>
    <row r="1" spans="1:35" ht="15.75" customHeight="1" thickTop="1" x14ac:dyDescent="0.25">
      <c r="A1" s="200"/>
      <c r="B1" s="198"/>
      <c r="C1" s="90"/>
      <c r="D1" s="349" t="s">
        <v>5</v>
      </c>
      <c r="E1" s="349"/>
      <c r="F1" s="349"/>
      <c r="G1" s="350" t="s">
        <v>0</v>
      </c>
      <c r="H1" s="350"/>
      <c r="I1" s="350"/>
      <c r="J1" s="350"/>
      <c r="K1" s="351"/>
      <c r="L1" s="352" t="s">
        <v>1</v>
      </c>
      <c r="M1" s="353"/>
      <c r="N1" s="353"/>
      <c r="O1" s="353"/>
      <c r="P1" s="354" t="s">
        <v>2</v>
      </c>
      <c r="Q1" s="355"/>
      <c r="R1" s="355"/>
      <c r="S1" s="355"/>
      <c r="T1" s="355"/>
      <c r="U1" s="355"/>
      <c r="V1" s="355"/>
      <c r="W1" s="355"/>
      <c r="X1" s="355"/>
      <c r="Y1" s="355"/>
      <c r="Z1" s="355"/>
      <c r="AA1" s="355"/>
      <c r="AB1" s="355"/>
      <c r="AC1" s="355"/>
      <c r="AD1" s="355"/>
      <c r="AE1" s="355"/>
      <c r="AF1" s="355"/>
      <c r="AG1" s="355"/>
      <c r="AH1" s="355"/>
      <c r="AI1" s="85" t="s">
        <v>10</v>
      </c>
    </row>
    <row r="2" spans="1:35" s="3" customFormat="1" ht="50.1" customHeight="1" x14ac:dyDescent="0.25">
      <c r="A2" s="47" t="s">
        <v>74</v>
      </c>
      <c r="B2" s="201" t="s">
        <v>15</v>
      </c>
      <c r="C2" s="15" t="s">
        <v>12</v>
      </c>
      <c r="D2" s="46" t="s">
        <v>2</v>
      </c>
      <c r="E2" s="13" t="s">
        <v>62</v>
      </c>
      <c r="F2" s="71" t="s">
        <v>1603</v>
      </c>
      <c r="G2" s="60" t="s">
        <v>64</v>
      </c>
      <c r="H2" s="46" t="s">
        <v>63</v>
      </c>
      <c r="I2" s="46" t="s">
        <v>4</v>
      </c>
      <c r="J2" s="13" t="s">
        <v>3</v>
      </c>
      <c r="K2" s="92" t="s">
        <v>11</v>
      </c>
      <c r="L2" s="60" t="s">
        <v>6</v>
      </c>
      <c r="M2" s="13" t="s">
        <v>7</v>
      </c>
      <c r="N2" s="13" t="s">
        <v>8</v>
      </c>
      <c r="O2" s="93" t="s">
        <v>11</v>
      </c>
      <c r="P2" s="60" t="s">
        <v>9</v>
      </c>
      <c r="Q2" s="13" t="s">
        <v>6</v>
      </c>
      <c r="R2" s="243" t="s">
        <v>1646</v>
      </c>
      <c r="S2" s="243" t="s">
        <v>1759</v>
      </c>
      <c r="T2" s="82" t="s">
        <v>1755</v>
      </c>
      <c r="U2" s="243" t="s">
        <v>1758</v>
      </c>
      <c r="V2" s="243" t="s">
        <v>1757</v>
      </c>
      <c r="W2" s="82" t="s">
        <v>1638</v>
      </c>
      <c r="X2" s="82" t="s">
        <v>1643</v>
      </c>
      <c r="Y2" s="82" t="s">
        <v>1636</v>
      </c>
      <c r="Z2" s="61" t="s">
        <v>1597</v>
      </c>
      <c r="AA2" s="61" t="s">
        <v>1756</v>
      </c>
      <c r="AB2" s="61" t="s">
        <v>1767</v>
      </c>
      <c r="AC2" s="61" t="s">
        <v>1754</v>
      </c>
      <c r="AD2" s="61" t="s">
        <v>1766</v>
      </c>
      <c r="AE2" s="61" t="s">
        <v>1604</v>
      </c>
      <c r="AF2" s="61" t="s">
        <v>1605</v>
      </c>
      <c r="AG2" s="13" t="s">
        <v>67</v>
      </c>
      <c r="AH2" s="94" t="s">
        <v>11</v>
      </c>
      <c r="AI2" s="75" t="s">
        <v>11</v>
      </c>
    </row>
    <row r="3" spans="1:35" x14ac:dyDescent="0.25">
      <c r="B3" s="199">
        <v>1</v>
      </c>
      <c r="C3" s="91">
        <v>44621</v>
      </c>
      <c r="D3" s="69"/>
      <c r="E3" s="7">
        <v>20</v>
      </c>
      <c r="F3" s="66"/>
      <c r="G3" s="83"/>
      <c r="H3" s="48">
        <v>360</v>
      </c>
      <c r="I3" s="48">
        <f>H3+G3</f>
        <v>360</v>
      </c>
      <c r="J3" s="8">
        <f>I3-F3-E3-D3</f>
        <v>340</v>
      </c>
      <c r="K3" s="219">
        <f t="shared" ref="K3" si="0">IFERROR(J3/I3,"-")</f>
        <v>0.94444444444444442</v>
      </c>
      <c r="L3" s="7">
        <v>1700</v>
      </c>
      <c r="M3" s="47">
        <v>300</v>
      </c>
      <c r="N3" s="47">
        <v>60</v>
      </c>
      <c r="O3" s="220">
        <f t="shared" ref="O3:O11" si="1">IFERROR(((L3/M3)*N3/J3),"-")</f>
        <v>1</v>
      </c>
      <c r="P3" s="48">
        <v>1700</v>
      </c>
      <c r="Q3" s="47">
        <v>1700</v>
      </c>
      <c r="R3" s="56">
        <v>2</v>
      </c>
      <c r="S3" s="56"/>
      <c r="T3" s="56"/>
      <c r="U3" s="56"/>
      <c r="V3" s="56">
        <v>5</v>
      </c>
      <c r="W3" s="56"/>
      <c r="X3" s="64"/>
      <c r="Y3" s="64">
        <v>4</v>
      </c>
      <c r="Z3" s="64">
        <v>2</v>
      </c>
      <c r="AA3" s="64"/>
      <c r="AB3" s="64">
        <v>30</v>
      </c>
      <c r="AC3" s="64"/>
      <c r="AD3" s="64"/>
      <c r="AE3" s="64"/>
      <c r="AF3" s="64">
        <f t="shared" ref="AF3" si="2">WEEKNUM(C3)</f>
        <v>10</v>
      </c>
      <c r="AG3" s="7">
        <f t="shared" ref="AG3:AG6" si="3">(R3+S3+T3+U3+V3+W3+X3+Y3+Z3+AA3+AB3+AC3+AD3)</f>
        <v>43</v>
      </c>
      <c r="AH3" s="221">
        <f t="shared" ref="AH3:AH11" si="4">IFERROR(P3/Q3,"-")</f>
        <v>1</v>
      </c>
      <c r="AI3" s="222">
        <f t="shared" ref="AI3:AI11" si="5">IFERROR(K3*O3*AH3,"-")</f>
        <v>0.94444444444444442</v>
      </c>
    </row>
    <row r="4" spans="1:35" x14ac:dyDescent="0.25">
      <c r="B4" s="199">
        <v>1</v>
      </c>
      <c r="C4" s="91">
        <v>44622</v>
      </c>
      <c r="D4" s="69"/>
      <c r="E4" s="7">
        <v>20</v>
      </c>
      <c r="F4" s="66"/>
      <c r="G4" s="83"/>
      <c r="H4" s="48">
        <v>500</v>
      </c>
      <c r="I4" s="48">
        <v>500</v>
      </c>
      <c r="J4" s="8">
        <f t="shared" ref="J4:J11" si="6">I4-F4-E4-D4</f>
        <v>480</v>
      </c>
      <c r="K4" s="219">
        <f t="shared" ref="K4:K11" si="7">IFERROR(J4/I4,"-")</f>
        <v>0.96</v>
      </c>
      <c r="L4" s="7">
        <v>2400</v>
      </c>
      <c r="M4" s="47">
        <v>300</v>
      </c>
      <c r="N4" s="47">
        <v>60</v>
      </c>
      <c r="O4" s="220">
        <f t="shared" si="1"/>
        <v>1</v>
      </c>
      <c r="P4" s="48">
        <v>2400</v>
      </c>
      <c r="Q4" s="47">
        <v>2400</v>
      </c>
      <c r="R4" s="56"/>
      <c r="S4" s="56"/>
      <c r="T4" s="56"/>
      <c r="U4" s="56"/>
      <c r="V4" s="56"/>
      <c r="W4" s="56">
        <v>51</v>
      </c>
      <c r="X4" s="64"/>
      <c r="Y4" s="64">
        <v>3</v>
      </c>
      <c r="Z4" s="64"/>
      <c r="AA4" s="64"/>
      <c r="AB4" s="64">
        <v>16</v>
      </c>
      <c r="AC4" s="64"/>
      <c r="AD4" s="64"/>
      <c r="AE4" s="64"/>
      <c r="AF4" s="64"/>
      <c r="AG4" s="7">
        <f t="shared" si="3"/>
        <v>70</v>
      </c>
      <c r="AH4" s="221">
        <f t="shared" si="4"/>
        <v>1</v>
      </c>
      <c r="AI4" s="222">
        <f t="shared" si="5"/>
        <v>0.96</v>
      </c>
    </row>
    <row r="5" spans="1:35" x14ac:dyDescent="0.25">
      <c r="B5" s="199">
        <v>1</v>
      </c>
      <c r="C5" s="91">
        <v>44623</v>
      </c>
      <c r="D5" s="69"/>
      <c r="E5" s="7"/>
      <c r="F5" s="66"/>
      <c r="G5" s="83"/>
      <c r="H5" s="48">
        <v>420</v>
      </c>
      <c r="I5" s="48">
        <v>420</v>
      </c>
      <c r="J5" s="8">
        <f t="shared" si="6"/>
        <v>420</v>
      </c>
      <c r="K5" s="219">
        <f t="shared" si="7"/>
        <v>1</v>
      </c>
      <c r="L5" s="7">
        <v>2100</v>
      </c>
      <c r="M5" s="47">
        <v>300</v>
      </c>
      <c r="N5" s="47">
        <v>60</v>
      </c>
      <c r="O5" s="220">
        <f t="shared" si="1"/>
        <v>1</v>
      </c>
      <c r="P5" s="48">
        <v>2100</v>
      </c>
      <c r="Q5" s="47">
        <v>2100</v>
      </c>
      <c r="R5" s="56">
        <v>1</v>
      </c>
      <c r="S5" s="56"/>
      <c r="T5" s="56"/>
      <c r="U5" s="56"/>
      <c r="V5" s="56"/>
      <c r="W5" s="56">
        <v>31</v>
      </c>
      <c r="X5" s="64"/>
      <c r="Y5" s="64">
        <v>8</v>
      </c>
      <c r="Z5" s="64"/>
      <c r="AA5" s="64"/>
      <c r="AB5" s="64">
        <v>2</v>
      </c>
      <c r="AC5" s="64"/>
      <c r="AD5" s="64"/>
      <c r="AE5" s="64"/>
      <c r="AF5" s="64"/>
      <c r="AG5" s="7">
        <f t="shared" si="3"/>
        <v>42</v>
      </c>
      <c r="AH5" s="221">
        <f t="shared" si="4"/>
        <v>1</v>
      </c>
      <c r="AI5" s="222">
        <f t="shared" si="5"/>
        <v>1</v>
      </c>
    </row>
    <row r="6" spans="1:35" x14ac:dyDescent="0.25">
      <c r="B6" s="199">
        <v>1</v>
      </c>
      <c r="C6" s="91">
        <v>44624</v>
      </c>
      <c r="D6" s="69"/>
      <c r="E6" s="7"/>
      <c r="F6" s="66"/>
      <c r="G6" s="83"/>
      <c r="H6" s="48">
        <v>480</v>
      </c>
      <c r="I6" s="48">
        <v>480</v>
      </c>
      <c r="J6" s="8">
        <f t="shared" si="6"/>
        <v>480</v>
      </c>
      <c r="K6" s="219">
        <f t="shared" si="7"/>
        <v>1</v>
      </c>
      <c r="L6" s="7">
        <v>2400</v>
      </c>
      <c r="M6" s="47">
        <v>300</v>
      </c>
      <c r="N6" s="47">
        <v>60</v>
      </c>
      <c r="O6" s="220">
        <f t="shared" si="1"/>
        <v>1</v>
      </c>
      <c r="P6" s="48">
        <v>2400</v>
      </c>
      <c r="Q6" s="47">
        <v>2400</v>
      </c>
      <c r="R6" s="56"/>
      <c r="S6" s="56"/>
      <c r="T6" s="56"/>
      <c r="U6" s="56"/>
      <c r="V6" s="56"/>
      <c r="W6" s="56">
        <v>9</v>
      </c>
      <c r="X6" s="64"/>
      <c r="Y6" s="64"/>
      <c r="Z6" s="64">
        <v>1</v>
      </c>
      <c r="AA6" s="64"/>
      <c r="AB6" s="64">
        <v>2</v>
      </c>
      <c r="AC6" s="64"/>
      <c r="AD6" s="64"/>
      <c r="AE6" s="64"/>
      <c r="AF6" s="64"/>
      <c r="AG6" s="7">
        <f t="shared" si="3"/>
        <v>12</v>
      </c>
      <c r="AH6" s="221">
        <f t="shared" si="4"/>
        <v>1</v>
      </c>
      <c r="AI6" s="222">
        <f t="shared" si="5"/>
        <v>1</v>
      </c>
    </row>
    <row r="7" spans="1:35" x14ac:dyDescent="0.25">
      <c r="B7" s="199">
        <v>1</v>
      </c>
      <c r="C7" s="91">
        <v>44627</v>
      </c>
      <c r="D7" s="69"/>
      <c r="E7" s="7"/>
      <c r="F7" s="66"/>
      <c r="G7" s="83"/>
      <c r="H7" s="48">
        <v>360</v>
      </c>
      <c r="I7" s="48">
        <v>360</v>
      </c>
      <c r="J7" s="8">
        <f t="shared" si="6"/>
        <v>360</v>
      </c>
      <c r="K7" s="219">
        <f t="shared" si="7"/>
        <v>1</v>
      </c>
      <c r="L7" s="7">
        <v>1700</v>
      </c>
      <c r="M7" s="47">
        <v>300</v>
      </c>
      <c r="N7" s="47">
        <v>60</v>
      </c>
      <c r="O7" s="220">
        <f t="shared" si="1"/>
        <v>0.94444444444444442</v>
      </c>
      <c r="P7" s="48">
        <v>1700</v>
      </c>
      <c r="Q7" s="47">
        <v>1700</v>
      </c>
      <c r="R7" s="56"/>
      <c r="S7" s="56"/>
      <c r="T7" s="56"/>
      <c r="U7" s="56"/>
      <c r="V7" s="56"/>
      <c r="W7" s="56"/>
      <c r="X7" s="64"/>
      <c r="Y7" s="64"/>
      <c r="Z7" s="64">
        <v>2</v>
      </c>
      <c r="AA7" s="64"/>
      <c r="AB7" s="64"/>
      <c r="AC7" s="64"/>
      <c r="AD7" s="64"/>
      <c r="AE7" s="64"/>
      <c r="AF7" s="64"/>
      <c r="AG7" s="7"/>
      <c r="AH7" s="221">
        <f t="shared" si="4"/>
        <v>1</v>
      </c>
      <c r="AI7" s="222">
        <f t="shared" si="5"/>
        <v>0.94444444444444442</v>
      </c>
    </row>
    <row r="8" spans="1:35" x14ac:dyDescent="0.25">
      <c r="B8" s="199">
        <v>1</v>
      </c>
      <c r="C8" s="91">
        <v>44628</v>
      </c>
      <c r="D8" s="69"/>
      <c r="E8" s="7"/>
      <c r="F8" s="66"/>
      <c r="G8" s="83"/>
      <c r="H8" s="48">
        <v>420</v>
      </c>
      <c r="I8" s="48">
        <v>420</v>
      </c>
      <c r="J8" s="8">
        <f t="shared" si="6"/>
        <v>420</v>
      </c>
      <c r="K8" s="219">
        <f t="shared" si="7"/>
        <v>1</v>
      </c>
      <c r="L8" s="7">
        <v>2100</v>
      </c>
      <c r="M8" s="47">
        <v>300</v>
      </c>
      <c r="N8" s="47">
        <v>60</v>
      </c>
      <c r="O8" s="220">
        <f t="shared" si="1"/>
        <v>1</v>
      </c>
      <c r="P8" s="48">
        <v>2100</v>
      </c>
      <c r="Q8" s="47">
        <v>2100</v>
      </c>
      <c r="R8" s="56"/>
      <c r="S8" s="56"/>
      <c r="T8" s="56"/>
      <c r="U8" s="56"/>
      <c r="V8" s="56"/>
      <c r="W8" s="56"/>
      <c r="X8" s="64"/>
      <c r="Y8" s="64"/>
      <c r="Z8" s="64"/>
      <c r="AA8" s="64"/>
      <c r="AB8" s="64"/>
      <c r="AC8" s="64"/>
      <c r="AD8" s="64"/>
      <c r="AE8" s="64"/>
      <c r="AF8" s="64"/>
      <c r="AG8" s="7"/>
      <c r="AH8" s="221">
        <f t="shared" si="4"/>
        <v>1</v>
      </c>
      <c r="AI8" s="222">
        <f t="shared" si="5"/>
        <v>1</v>
      </c>
    </row>
    <row r="9" spans="1:35" x14ac:dyDescent="0.25">
      <c r="B9" s="199">
        <v>1</v>
      </c>
      <c r="C9" s="91">
        <v>44629</v>
      </c>
      <c r="D9" s="69"/>
      <c r="E9" s="7"/>
      <c r="F9" s="66"/>
      <c r="G9" s="83"/>
      <c r="H9" s="48">
        <v>150</v>
      </c>
      <c r="I9" s="48">
        <v>150</v>
      </c>
      <c r="J9" s="8">
        <f t="shared" si="6"/>
        <v>150</v>
      </c>
      <c r="K9" s="219">
        <f t="shared" si="7"/>
        <v>1</v>
      </c>
      <c r="L9" s="7">
        <v>700</v>
      </c>
      <c r="M9" s="47">
        <v>300</v>
      </c>
      <c r="N9" s="47">
        <v>60</v>
      </c>
      <c r="O9" s="220">
        <f t="shared" si="1"/>
        <v>0.93333333333333335</v>
      </c>
      <c r="P9" s="48">
        <v>700</v>
      </c>
      <c r="Q9" s="47">
        <v>700</v>
      </c>
      <c r="R9" s="56"/>
      <c r="S9" s="56"/>
      <c r="T9" s="56"/>
      <c r="U9" s="56"/>
      <c r="V9" s="56"/>
      <c r="W9" s="56"/>
      <c r="X9" s="64"/>
      <c r="Y9" s="64"/>
      <c r="Z9" s="64"/>
      <c r="AA9" s="64"/>
      <c r="AB9" s="64"/>
      <c r="AC9" s="64"/>
      <c r="AD9" s="64"/>
      <c r="AE9" s="64"/>
      <c r="AF9" s="64"/>
      <c r="AG9" s="7"/>
      <c r="AH9" s="221">
        <f t="shared" si="4"/>
        <v>1</v>
      </c>
      <c r="AI9" s="222">
        <f t="shared" si="5"/>
        <v>0.93333333333333335</v>
      </c>
    </row>
    <row r="10" spans="1:35" x14ac:dyDescent="0.25">
      <c r="B10" s="199">
        <v>1</v>
      </c>
      <c r="C10" s="91">
        <v>44630</v>
      </c>
      <c r="D10" s="69"/>
      <c r="E10" s="7"/>
      <c r="F10" s="66"/>
      <c r="G10" s="83"/>
      <c r="H10" s="48">
        <v>480</v>
      </c>
      <c r="I10" s="48">
        <v>480</v>
      </c>
      <c r="J10" s="8">
        <f t="shared" si="6"/>
        <v>480</v>
      </c>
      <c r="K10" s="219">
        <f t="shared" si="7"/>
        <v>1</v>
      </c>
      <c r="L10" s="7">
        <v>2400</v>
      </c>
      <c r="M10" s="47">
        <v>300</v>
      </c>
      <c r="N10" s="47">
        <v>60</v>
      </c>
      <c r="O10" s="220">
        <f t="shared" si="1"/>
        <v>1</v>
      </c>
      <c r="P10" s="48">
        <v>2400</v>
      </c>
      <c r="Q10" s="47">
        <v>2400</v>
      </c>
      <c r="R10" s="56"/>
      <c r="S10" s="56"/>
      <c r="T10" s="56"/>
      <c r="U10" s="56"/>
      <c r="V10" s="56"/>
      <c r="W10" s="56"/>
      <c r="X10" s="64"/>
      <c r="Y10" s="64"/>
      <c r="Z10" s="64"/>
      <c r="AA10" s="64"/>
      <c r="AB10" s="64"/>
      <c r="AC10" s="64"/>
      <c r="AD10" s="64"/>
      <c r="AE10" s="64"/>
      <c r="AF10" s="64"/>
      <c r="AG10" s="7"/>
      <c r="AH10" s="221">
        <f t="shared" si="4"/>
        <v>1</v>
      </c>
      <c r="AI10" s="222">
        <f t="shared" si="5"/>
        <v>1</v>
      </c>
    </row>
    <row r="11" spans="1:35" x14ac:dyDescent="0.25">
      <c r="B11" s="199">
        <v>1</v>
      </c>
      <c r="C11" s="91">
        <v>44631</v>
      </c>
      <c r="D11" s="69"/>
      <c r="E11" s="7"/>
      <c r="F11" s="66"/>
      <c r="G11" s="83"/>
      <c r="H11" s="48">
        <v>240</v>
      </c>
      <c r="I11" s="48">
        <v>240</v>
      </c>
      <c r="J11" s="8">
        <f t="shared" si="6"/>
        <v>240</v>
      </c>
      <c r="K11" s="219">
        <f t="shared" si="7"/>
        <v>1</v>
      </c>
      <c r="L11" s="7">
        <v>1200</v>
      </c>
      <c r="M11" s="47">
        <v>300</v>
      </c>
      <c r="N11" s="47">
        <v>60</v>
      </c>
      <c r="O11" s="220">
        <f t="shared" si="1"/>
        <v>1</v>
      </c>
      <c r="P11" s="48">
        <v>1200</v>
      </c>
      <c r="Q11" s="47">
        <v>1200</v>
      </c>
      <c r="R11" s="56"/>
      <c r="S11" s="56"/>
      <c r="T11" s="56"/>
      <c r="U11" s="56"/>
      <c r="V11" s="56"/>
      <c r="W11" s="56"/>
      <c r="X11" s="64"/>
      <c r="Y11" s="64"/>
      <c r="Z11" s="64"/>
      <c r="AA11" s="64"/>
      <c r="AB11" s="64"/>
      <c r="AC11" s="64"/>
      <c r="AD11" s="64"/>
      <c r="AE11" s="64"/>
      <c r="AF11" s="64"/>
      <c r="AG11" s="7"/>
      <c r="AH11" s="221">
        <f t="shared" si="4"/>
        <v>1</v>
      </c>
      <c r="AI11" s="222">
        <f t="shared" si="5"/>
        <v>1</v>
      </c>
    </row>
    <row r="12" spans="1:35" x14ac:dyDescent="0.25">
      <c r="B12" s="199">
        <v>1</v>
      </c>
      <c r="C12" s="91"/>
      <c r="D12" s="69"/>
      <c r="E12" s="7"/>
      <c r="F12" s="66"/>
      <c r="G12" s="83"/>
      <c r="H12" s="48"/>
      <c r="I12" s="48"/>
      <c r="J12" s="8"/>
      <c r="K12" s="219"/>
      <c r="L12" s="7"/>
      <c r="M12" s="47"/>
      <c r="N12" s="47"/>
      <c r="O12" s="220"/>
      <c r="P12" s="48"/>
      <c r="Q12" s="47"/>
      <c r="R12" s="56"/>
      <c r="S12" s="56"/>
      <c r="T12" s="56"/>
      <c r="U12" s="56"/>
      <c r="V12" s="56"/>
      <c r="W12" s="56"/>
      <c r="X12" s="64"/>
      <c r="Y12" s="64"/>
      <c r="Z12" s="64"/>
      <c r="AA12" s="64"/>
      <c r="AB12" s="64"/>
      <c r="AC12" s="64"/>
      <c r="AD12" s="64"/>
      <c r="AE12" s="64"/>
      <c r="AF12" s="64"/>
      <c r="AG12" s="7"/>
      <c r="AH12" s="221"/>
      <c r="AI12" s="222"/>
    </row>
    <row r="13" spans="1:35" x14ac:dyDescent="0.25">
      <c r="B13" s="199">
        <v>1</v>
      </c>
      <c r="C13" s="91"/>
      <c r="D13" s="69"/>
      <c r="E13" s="7"/>
      <c r="F13" s="66"/>
      <c r="G13" s="83"/>
      <c r="H13" s="48"/>
      <c r="I13" s="48"/>
      <c r="J13" s="8"/>
      <c r="K13" s="219"/>
      <c r="L13" s="7"/>
      <c r="M13" s="47"/>
      <c r="N13" s="47"/>
      <c r="O13" s="220"/>
      <c r="P13" s="48"/>
      <c r="Q13" s="47"/>
      <c r="R13" s="56"/>
      <c r="S13" s="56"/>
      <c r="T13" s="56"/>
      <c r="U13" s="56"/>
      <c r="V13" s="56"/>
      <c r="W13" s="56"/>
      <c r="X13" s="64"/>
      <c r="Y13" s="64"/>
      <c r="Z13" s="64"/>
      <c r="AA13" s="64"/>
      <c r="AB13" s="64"/>
      <c r="AC13" s="64"/>
      <c r="AD13" s="64"/>
      <c r="AE13" s="64"/>
      <c r="AF13" s="64"/>
      <c r="AG13" s="7"/>
      <c r="AH13" s="221"/>
      <c r="AI13" s="222"/>
    </row>
    <row r="14" spans="1:35" x14ac:dyDescent="0.25">
      <c r="B14" s="199">
        <v>1</v>
      </c>
      <c r="C14" s="91"/>
      <c r="D14" s="69"/>
      <c r="E14" s="7"/>
      <c r="F14" s="66"/>
      <c r="G14" s="83"/>
      <c r="H14" s="48"/>
      <c r="I14" s="48"/>
      <c r="J14" s="8"/>
      <c r="K14" s="219"/>
      <c r="L14" s="7"/>
      <c r="M14" s="47"/>
      <c r="N14" s="47"/>
      <c r="O14" s="220"/>
      <c r="P14" s="48"/>
      <c r="Q14" s="47"/>
      <c r="R14" s="56"/>
      <c r="S14" s="56"/>
      <c r="T14" s="56"/>
      <c r="U14" s="56"/>
      <c r="V14" s="56"/>
      <c r="W14" s="56"/>
      <c r="X14" s="64"/>
      <c r="Y14" s="64"/>
      <c r="Z14" s="64"/>
      <c r="AA14" s="64"/>
      <c r="AB14" s="64"/>
      <c r="AC14" s="64"/>
      <c r="AD14" s="64"/>
      <c r="AE14" s="64"/>
      <c r="AF14" s="64"/>
      <c r="AG14" s="7"/>
      <c r="AH14" s="221"/>
      <c r="AI14" s="222"/>
    </row>
    <row r="15" spans="1:35" x14ac:dyDescent="0.25">
      <c r="B15" s="199">
        <v>1</v>
      </c>
      <c r="C15" s="91"/>
      <c r="D15" s="69"/>
      <c r="E15" s="7"/>
      <c r="F15" s="66"/>
      <c r="G15" s="83"/>
      <c r="H15" s="48"/>
      <c r="I15" s="48"/>
      <c r="J15" s="8"/>
      <c r="K15" s="219"/>
      <c r="L15" s="7"/>
      <c r="M15" s="47"/>
      <c r="N15" s="47"/>
      <c r="O15" s="220"/>
      <c r="P15" s="48"/>
      <c r="Q15" s="47"/>
      <c r="R15" s="56"/>
      <c r="S15" s="56"/>
      <c r="T15" s="56"/>
      <c r="U15" s="56"/>
      <c r="V15" s="56"/>
      <c r="W15" s="56"/>
      <c r="X15" s="64"/>
      <c r="Y15" s="64"/>
      <c r="Z15" s="64"/>
      <c r="AA15" s="64"/>
      <c r="AB15" s="64"/>
      <c r="AC15" s="64"/>
      <c r="AD15" s="64"/>
      <c r="AE15" s="64"/>
      <c r="AF15" s="64"/>
      <c r="AG15" s="7"/>
      <c r="AH15" s="221"/>
      <c r="AI15" s="222"/>
    </row>
    <row r="16" spans="1:35" x14ac:dyDescent="0.25">
      <c r="B16" s="199">
        <v>1</v>
      </c>
      <c r="C16" s="91"/>
      <c r="D16" s="69"/>
      <c r="E16" s="7"/>
      <c r="F16" s="66"/>
      <c r="G16" s="83"/>
      <c r="H16" s="48"/>
      <c r="I16" s="48"/>
      <c r="J16" s="8"/>
      <c r="K16" s="219"/>
      <c r="L16" s="7"/>
      <c r="M16" s="47"/>
      <c r="N16" s="47"/>
      <c r="O16" s="220"/>
      <c r="P16" s="48"/>
      <c r="Q16" s="47"/>
      <c r="R16" s="56"/>
      <c r="S16" s="56"/>
      <c r="T16" s="56"/>
      <c r="U16" s="56"/>
      <c r="V16" s="56"/>
      <c r="W16" s="56"/>
      <c r="X16" s="64"/>
      <c r="Y16" s="64"/>
      <c r="Z16" s="64"/>
      <c r="AA16" s="64"/>
      <c r="AB16" s="64"/>
      <c r="AC16" s="64"/>
      <c r="AD16" s="64"/>
      <c r="AE16" s="64"/>
      <c r="AF16" s="64"/>
      <c r="AG16" s="7"/>
      <c r="AH16" s="221"/>
      <c r="AI16" s="222"/>
    </row>
    <row r="17" spans="2:35" x14ac:dyDescent="0.25">
      <c r="B17" s="199">
        <v>1</v>
      </c>
      <c r="C17" s="91"/>
      <c r="D17" s="69"/>
      <c r="E17" s="7"/>
      <c r="F17" s="66"/>
      <c r="G17" s="83"/>
      <c r="H17" s="48"/>
      <c r="I17" s="48"/>
      <c r="J17" s="8"/>
      <c r="K17" s="219"/>
      <c r="L17" s="7"/>
      <c r="M17" s="47"/>
      <c r="N17" s="47"/>
      <c r="O17" s="220"/>
      <c r="P17" s="48"/>
      <c r="Q17" s="47"/>
      <c r="R17" s="56"/>
      <c r="S17" s="56"/>
      <c r="T17" s="56"/>
      <c r="U17" s="56"/>
      <c r="V17" s="56"/>
      <c r="W17" s="56"/>
      <c r="X17" s="64"/>
      <c r="Y17" s="64"/>
      <c r="Z17" s="64"/>
      <c r="AA17" s="64"/>
      <c r="AB17" s="64"/>
      <c r="AC17" s="64"/>
      <c r="AD17" s="64"/>
      <c r="AE17" s="64"/>
      <c r="AF17" s="64"/>
      <c r="AG17" s="7"/>
      <c r="AH17" s="221"/>
      <c r="AI17" s="222"/>
    </row>
    <row r="18" spans="2:35" x14ac:dyDescent="0.25">
      <c r="B18" s="199">
        <v>1</v>
      </c>
      <c r="C18" s="91"/>
      <c r="D18" s="69"/>
      <c r="E18" s="7"/>
      <c r="F18" s="66"/>
      <c r="G18" s="83"/>
      <c r="H18" s="48"/>
      <c r="I18" s="48"/>
      <c r="J18" s="8"/>
      <c r="K18" s="219"/>
      <c r="L18" s="7"/>
      <c r="M18" s="47"/>
      <c r="N18" s="47"/>
      <c r="O18" s="220"/>
      <c r="P18" s="48"/>
      <c r="Q18" s="47"/>
      <c r="R18" s="56"/>
      <c r="S18" s="56"/>
      <c r="T18" s="56"/>
      <c r="U18" s="56"/>
      <c r="V18" s="56"/>
      <c r="W18" s="56"/>
      <c r="X18" s="64"/>
      <c r="Y18" s="64"/>
      <c r="Z18" s="64"/>
      <c r="AA18" s="64"/>
      <c r="AB18" s="64"/>
      <c r="AC18" s="64"/>
      <c r="AD18" s="64"/>
      <c r="AE18" s="64"/>
      <c r="AF18" s="64"/>
      <c r="AG18" s="7"/>
      <c r="AH18" s="221"/>
      <c r="AI18" s="222"/>
    </row>
    <row r="19" spans="2:35" x14ac:dyDescent="0.25">
      <c r="B19" s="199">
        <v>1</v>
      </c>
      <c r="C19" s="91"/>
      <c r="D19" s="69"/>
      <c r="E19" s="7"/>
      <c r="F19" s="66"/>
      <c r="G19" s="83"/>
      <c r="H19" s="48"/>
      <c r="I19" s="48"/>
      <c r="J19" s="8"/>
      <c r="K19" s="219"/>
      <c r="L19" s="7"/>
      <c r="M19" s="47"/>
      <c r="N19" s="47"/>
      <c r="O19" s="220"/>
      <c r="P19" s="48"/>
      <c r="Q19" s="47"/>
      <c r="R19" s="56"/>
      <c r="S19" s="56"/>
      <c r="T19" s="56"/>
      <c r="U19" s="56"/>
      <c r="V19" s="56"/>
      <c r="W19" s="56"/>
      <c r="X19" s="64"/>
      <c r="Y19" s="64"/>
      <c r="Z19" s="64"/>
      <c r="AA19" s="64"/>
      <c r="AB19" s="64"/>
      <c r="AC19" s="64"/>
      <c r="AD19" s="64"/>
      <c r="AE19" s="64"/>
      <c r="AF19" s="64"/>
      <c r="AG19" s="7"/>
      <c r="AH19" s="221"/>
      <c r="AI19" s="222"/>
    </row>
    <row r="20" spans="2:35" x14ac:dyDescent="0.25">
      <c r="B20" s="199">
        <v>1</v>
      </c>
      <c r="C20" s="91"/>
      <c r="D20" s="69"/>
      <c r="E20" s="7"/>
      <c r="F20" s="66"/>
      <c r="G20" s="83"/>
      <c r="H20" s="48"/>
      <c r="I20" s="48"/>
      <c r="J20" s="8"/>
      <c r="K20" s="219"/>
      <c r="L20" s="7"/>
      <c r="M20" s="47"/>
      <c r="N20" s="47"/>
      <c r="O20" s="220"/>
      <c r="P20" s="48"/>
      <c r="Q20" s="47"/>
      <c r="R20" s="56"/>
      <c r="S20" s="56"/>
      <c r="T20" s="56"/>
      <c r="U20" s="56"/>
      <c r="V20" s="56"/>
      <c r="W20" s="56"/>
      <c r="X20" s="64"/>
      <c r="Y20" s="64"/>
      <c r="Z20" s="64"/>
      <c r="AA20" s="64"/>
      <c r="AB20" s="64"/>
      <c r="AC20" s="64"/>
      <c r="AD20" s="64"/>
      <c r="AE20" s="64"/>
      <c r="AF20" s="64"/>
      <c r="AG20" s="7"/>
      <c r="AH20" s="221"/>
      <c r="AI20" s="222"/>
    </row>
    <row r="21" spans="2:35" x14ac:dyDescent="0.25">
      <c r="B21" s="199">
        <v>1</v>
      </c>
      <c r="C21" s="91"/>
      <c r="D21" s="69"/>
      <c r="E21" s="7"/>
      <c r="F21" s="66"/>
      <c r="G21" s="83"/>
      <c r="H21" s="48"/>
      <c r="I21" s="48"/>
      <c r="J21" s="8"/>
      <c r="K21" s="219"/>
      <c r="L21" s="7"/>
      <c r="M21" s="47"/>
      <c r="N21" s="47"/>
      <c r="O21" s="220"/>
      <c r="P21" s="48"/>
      <c r="Q21" s="47"/>
      <c r="R21" s="56"/>
      <c r="S21" s="56"/>
      <c r="T21" s="56"/>
      <c r="U21" s="56"/>
      <c r="V21" s="56"/>
      <c r="W21" s="56"/>
      <c r="X21" s="64"/>
      <c r="Y21" s="64"/>
      <c r="Z21" s="64"/>
      <c r="AA21" s="64"/>
      <c r="AB21" s="64"/>
      <c r="AC21" s="64"/>
      <c r="AD21" s="64"/>
      <c r="AE21" s="64"/>
      <c r="AF21" s="64"/>
      <c r="AG21" s="7"/>
      <c r="AH21" s="221"/>
      <c r="AI21" s="222"/>
    </row>
    <row r="22" spans="2:35" x14ac:dyDescent="0.25">
      <c r="B22" s="199">
        <v>1</v>
      </c>
      <c r="C22" s="91"/>
      <c r="D22" s="69"/>
      <c r="E22" s="7"/>
      <c r="F22" s="66"/>
      <c r="G22" s="83"/>
      <c r="H22" s="48"/>
      <c r="I22" s="48"/>
      <c r="J22" s="8"/>
      <c r="K22" s="219"/>
      <c r="L22" s="7"/>
      <c r="M22" s="47"/>
      <c r="N22" s="47"/>
      <c r="O22" s="220"/>
      <c r="P22" s="48"/>
      <c r="Q22" s="47"/>
      <c r="R22" s="56"/>
      <c r="S22" s="56"/>
      <c r="T22" s="56"/>
      <c r="U22" s="56"/>
      <c r="V22" s="56"/>
      <c r="W22" s="56"/>
      <c r="X22" s="64"/>
      <c r="Y22" s="64"/>
      <c r="Z22" s="64"/>
      <c r="AA22" s="64"/>
      <c r="AB22" s="64"/>
      <c r="AC22" s="64"/>
      <c r="AD22" s="64"/>
      <c r="AE22" s="64"/>
      <c r="AF22" s="64"/>
      <c r="AG22" s="7"/>
      <c r="AH22" s="221"/>
      <c r="AI22" s="222"/>
    </row>
    <row r="23" spans="2:35" x14ac:dyDescent="0.25">
      <c r="B23" s="199">
        <v>1</v>
      </c>
      <c r="C23" s="91"/>
      <c r="D23" s="69"/>
      <c r="E23" s="7"/>
      <c r="F23" s="66"/>
      <c r="G23" s="83"/>
      <c r="H23" s="48"/>
      <c r="I23" s="48"/>
      <c r="J23" s="8"/>
      <c r="K23" s="219"/>
      <c r="L23" s="7"/>
      <c r="M23" s="47"/>
      <c r="N23" s="47"/>
      <c r="O23" s="220"/>
      <c r="P23" s="48"/>
      <c r="Q23" s="47"/>
      <c r="R23" s="56"/>
      <c r="S23" s="56"/>
      <c r="T23" s="56"/>
      <c r="U23" s="56"/>
      <c r="V23" s="56"/>
      <c r="W23" s="56"/>
      <c r="X23" s="64"/>
      <c r="Y23" s="64"/>
      <c r="Z23" s="64"/>
      <c r="AA23" s="64"/>
      <c r="AB23" s="64"/>
      <c r="AC23" s="64"/>
      <c r="AD23" s="64"/>
      <c r="AE23" s="64"/>
      <c r="AF23" s="64"/>
      <c r="AG23" s="7"/>
      <c r="AH23" s="221"/>
      <c r="AI23" s="222"/>
    </row>
    <row r="24" spans="2:35" x14ac:dyDescent="0.25">
      <c r="B24" s="199">
        <v>1</v>
      </c>
      <c r="C24" s="91"/>
      <c r="D24" s="69"/>
      <c r="E24" s="7"/>
      <c r="F24" s="66"/>
      <c r="G24" s="83"/>
      <c r="H24" s="48"/>
      <c r="I24" s="48"/>
      <c r="J24" s="8"/>
      <c r="K24" s="219"/>
      <c r="L24" s="7"/>
      <c r="M24" s="47"/>
      <c r="N24" s="47"/>
      <c r="O24" s="220"/>
      <c r="P24" s="48"/>
      <c r="Q24" s="47"/>
      <c r="R24" s="56"/>
      <c r="S24" s="56"/>
      <c r="T24" s="56"/>
      <c r="U24" s="56"/>
      <c r="V24" s="56"/>
      <c r="W24" s="56"/>
      <c r="X24" s="64"/>
      <c r="Y24" s="64"/>
      <c r="Z24" s="64"/>
      <c r="AA24" s="64"/>
      <c r="AB24" s="64"/>
      <c r="AC24" s="64"/>
      <c r="AD24" s="64"/>
      <c r="AE24" s="64"/>
      <c r="AF24" s="64"/>
      <c r="AG24" s="7"/>
      <c r="AH24" s="221"/>
      <c r="AI24" s="222"/>
    </row>
    <row r="25" spans="2:35" x14ac:dyDescent="0.25">
      <c r="B25" s="199">
        <v>1</v>
      </c>
      <c r="C25" s="91"/>
      <c r="D25" s="69"/>
      <c r="E25" s="7"/>
      <c r="F25" s="66"/>
      <c r="G25" s="83"/>
      <c r="H25" s="48"/>
      <c r="I25" s="48"/>
      <c r="J25" s="8"/>
      <c r="K25" s="219"/>
      <c r="L25" s="7"/>
      <c r="M25" s="47"/>
      <c r="N25" s="47"/>
      <c r="O25" s="220"/>
      <c r="P25" s="48"/>
      <c r="Q25" s="47"/>
      <c r="R25" s="56"/>
      <c r="S25" s="56"/>
      <c r="T25" s="56"/>
      <c r="U25" s="56"/>
      <c r="V25" s="56"/>
      <c r="W25" s="56"/>
      <c r="X25" s="64"/>
      <c r="Y25" s="64"/>
      <c r="Z25" s="64"/>
      <c r="AA25" s="64"/>
      <c r="AB25" s="64"/>
      <c r="AC25" s="64"/>
      <c r="AD25" s="64"/>
      <c r="AE25" s="64"/>
      <c r="AF25" s="64"/>
      <c r="AG25" s="7"/>
      <c r="AH25" s="221"/>
      <c r="AI25" s="222"/>
    </row>
    <row r="26" spans="2:35" x14ac:dyDescent="0.25">
      <c r="B26" s="199">
        <v>1</v>
      </c>
      <c r="C26" s="91"/>
      <c r="D26" s="69"/>
      <c r="E26" s="7"/>
      <c r="F26" s="66"/>
      <c r="G26" s="83"/>
      <c r="H26" s="48"/>
      <c r="I26" s="48"/>
      <c r="J26" s="8"/>
      <c r="K26" s="219"/>
      <c r="L26" s="7"/>
      <c r="M26" s="47"/>
      <c r="N26" s="47"/>
      <c r="O26" s="220"/>
      <c r="P26" s="48"/>
      <c r="Q26" s="47"/>
      <c r="R26" s="56"/>
      <c r="S26" s="56"/>
      <c r="T26" s="56"/>
      <c r="U26" s="56"/>
      <c r="V26" s="56"/>
      <c r="W26" s="56"/>
      <c r="X26" s="64"/>
      <c r="Y26" s="64"/>
      <c r="Z26" s="64"/>
      <c r="AA26" s="64"/>
      <c r="AB26" s="64"/>
      <c r="AC26" s="64"/>
      <c r="AD26" s="64"/>
      <c r="AE26" s="64"/>
      <c r="AF26" s="64"/>
      <c r="AG26" s="7"/>
      <c r="AH26" s="221"/>
      <c r="AI26" s="222"/>
    </row>
    <row r="27" spans="2:35" x14ac:dyDescent="0.25">
      <c r="B27" s="199">
        <v>1</v>
      </c>
      <c r="C27" s="91"/>
      <c r="D27" s="69"/>
      <c r="E27" s="7"/>
      <c r="F27" s="66"/>
      <c r="G27" s="83"/>
      <c r="H27" s="48"/>
      <c r="I27" s="48"/>
      <c r="J27" s="8"/>
      <c r="K27" s="219"/>
      <c r="L27" s="7"/>
      <c r="M27" s="47"/>
      <c r="N27" s="47"/>
      <c r="O27" s="220"/>
      <c r="P27" s="48"/>
      <c r="Q27" s="47"/>
      <c r="R27" s="56"/>
      <c r="S27" s="56"/>
      <c r="T27" s="56"/>
      <c r="U27" s="56"/>
      <c r="V27" s="56"/>
      <c r="W27" s="56"/>
      <c r="X27" s="64"/>
      <c r="Y27" s="64"/>
      <c r="Z27" s="64"/>
      <c r="AA27" s="64"/>
      <c r="AB27" s="64"/>
      <c r="AC27" s="64"/>
      <c r="AD27" s="64"/>
      <c r="AE27" s="64"/>
      <c r="AF27" s="64"/>
      <c r="AG27" s="7"/>
      <c r="AH27" s="221"/>
      <c r="AI27" s="222"/>
    </row>
    <row r="28" spans="2:35" x14ac:dyDescent="0.25">
      <c r="B28" s="199">
        <v>1</v>
      </c>
      <c r="C28" s="91"/>
      <c r="D28" s="69"/>
      <c r="E28" s="7"/>
      <c r="F28" s="66"/>
      <c r="G28" s="83"/>
      <c r="H28" s="48"/>
      <c r="I28" s="48"/>
      <c r="J28" s="8"/>
      <c r="K28" s="219"/>
      <c r="L28" s="7"/>
      <c r="M28" s="47"/>
      <c r="N28" s="47"/>
      <c r="O28" s="220"/>
      <c r="P28" s="48"/>
      <c r="Q28" s="47"/>
      <c r="R28" s="56"/>
      <c r="S28" s="56"/>
      <c r="T28" s="56"/>
      <c r="U28" s="56"/>
      <c r="V28" s="56"/>
      <c r="W28" s="56"/>
      <c r="X28" s="64"/>
      <c r="Y28" s="64"/>
      <c r="Z28" s="64"/>
      <c r="AA28" s="64"/>
      <c r="AB28" s="64"/>
      <c r="AC28" s="64"/>
      <c r="AD28" s="64"/>
      <c r="AE28" s="64"/>
      <c r="AF28" s="64"/>
      <c r="AG28" s="7"/>
      <c r="AH28" s="221"/>
      <c r="AI28" s="222"/>
    </row>
    <row r="29" spans="2:35" x14ac:dyDescent="0.25">
      <c r="B29" s="199">
        <v>1</v>
      </c>
      <c r="C29" s="91"/>
      <c r="D29" s="69"/>
      <c r="E29" s="7"/>
      <c r="F29" s="66"/>
      <c r="G29" s="83"/>
      <c r="H29" s="48"/>
      <c r="I29" s="48"/>
      <c r="J29" s="8"/>
      <c r="K29" s="219"/>
      <c r="L29" s="7"/>
      <c r="M29" s="47"/>
      <c r="N29" s="47"/>
      <c r="O29" s="220"/>
      <c r="P29" s="48"/>
      <c r="Q29" s="47"/>
      <c r="R29" s="56"/>
      <c r="S29" s="56"/>
      <c r="T29" s="56"/>
      <c r="U29" s="56"/>
      <c r="V29" s="56"/>
      <c r="W29" s="56"/>
      <c r="X29" s="64"/>
      <c r="Y29" s="64"/>
      <c r="Z29" s="64"/>
      <c r="AA29" s="64"/>
      <c r="AB29" s="64"/>
      <c r="AC29" s="64"/>
      <c r="AD29" s="64"/>
      <c r="AE29" s="64"/>
      <c r="AF29" s="64"/>
      <c r="AG29" s="7"/>
      <c r="AH29" s="221"/>
      <c r="AI29" s="222"/>
    </row>
    <row r="30" spans="2:35" x14ac:dyDescent="0.25">
      <c r="B30" s="199">
        <v>1</v>
      </c>
      <c r="C30" s="91"/>
      <c r="D30" s="69"/>
      <c r="E30" s="7"/>
      <c r="F30" s="66"/>
      <c r="G30" s="83"/>
      <c r="H30" s="48"/>
      <c r="I30" s="48"/>
      <c r="J30" s="8"/>
      <c r="K30" s="219"/>
      <c r="L30" s="7"/>
      <c r="M30" s="47"/>
      <c r="N30" s="47"/>
      <c r="O30" s="220"/>
      <c r="P30" s="48"/>
      <c r="Q30" s="47"/>
      <c r="R30" s="56"/>
      <c r="S30" s="56"/>
      <c r="T30" s="56"/>
      <c r="U30" s="56"/>
      <c r="V30" s="56"/>
      <c r="W30" s="56"/>
      <c r="X30" s="64"/>
      <c r="Y30" s="64"/>
      <c r="Z30" s="64"/>
      <c r="AA30" s="64"/>
      <c r="AB30" s="64"/>
      <c r="AC30" s="64"/>
      <c r="AD30" s="64"/>
      <c r="AE30" s="64"/>
      <c r="AF30" s="64"/>
      <c r="AG30" s="7"/>
      <c r="AH30" s="221"/>
      <c r="AI30" s="222"/>
    </row>
    <row r="31" spans="2:35" x14ac:dyDescent="0.25">
      <c r="B31" s="199"/>
      <c r="C31" s="91"/>
      <c r="D31" s="69"/>
      <c r="E31" s="7"/>
      <c r="F31" s="66"/>
      <c r="G31" s="83"/>
      <c r="H31" s="48"/>
      <c r="I31" s="48"/>
      <c r="J31" s="8"/>
      <c r="K31" s="219"/>
      <c r="L31" s="7"/>
      <c r="M31" s="47"/>
      <c r="N31" s="47"/>
      <c r="O31" s="220"/>
      <c r="P31" s="48"/>
      <c r="Q31" s="47"/>
      <c r="R31" s="56"/>
      <c r="S31" s="56"/>
      <c r="T31" s="56"/>
      <c r="U31" s="56"/>
      <c r="V31" s="56"/>
      <c r="W31" s="56"/>
      <c r="X31" s="64"/>
      <c r="Y31" s="64"/>
      <c r="Z31" s="64"/>
      <c r="AA31" s="64"/>
      <c r="AB31" s="64"/>
      <c r="AC31" s="64"/>
      <c r="AD31" s="64"/>
      <c r="AE31" s="64"/>
      <c r="AF31" s="64"/>
      <c r="AG31" s="7"/>
      <c r="AH31" s="221"/>
      <c r="AI31" s="222"/>
    </row>
    <row r="32" spans="2:35" x14ac:dyDescent="0.25">
      <c r="B32" s="199"/>
      <c r="C32" s="91"/>
      <c r="D32" s="69"/>
      <c r="E32" s="7"/>
      <c r="F32" s="66"/>
      <c r="G32" s="83"/>
      <c r="H32" s="48"/>
      <c r="I32" s="48"/>
      <c r="J32" s="8"/>
      <c r="K32" s="219"/>
      <c r="L32" s="7"/>
      <c r="M32" s="47"/>
      <c r="N32" s="47"/>
      <c r="O32" s="220"/>
      <c r="P32" s="48"/>
      <c r="Q32" s="47"/>
      <c r="R32" s="56"/>
      <c r="S32" s="56"/>
      <c r="T32" s="56"/>
      <c r="U32" s="56"/>
      <c r="V32" s="56"/>
      <c r="W32" s="56"/>
      <c r="X32" s="64"/>
      <c r="Y32" s="64"/>
      <c r="Z32" s="64"/>
      <c r="AA32" s="64"/>
      <c r="AB32" s="64"/>
      <c r="AC32" s="64"/>
      <c r="AD32" s="64"/>
      <c r="AE32" s="64"/>
      <c r="AF32" s="64"/>
      <c r="AG32" s="7"/>
      <c r="AH32" s="221"/>
      <c r="AI32" s="222"/>
    </row>
    <row r="33" spans="2:35" x14ac:dyDescent="0.25">
      <c r="B33" s="199"/>
      <c r="C33" s="91"/>
      <c r="D33" s="69"/>
      <c r="E33" s="7"/>
      <c r="F33" s="66"/>
      <c r="G33" s="83"/>
      <c r="H33" s="48"/>
      <c r="I33" s="48"/>
      <c r="J33" s="8"/>
      <c r="K33" s="219"/>
      <c r="L33" s="7"/>
      <c r="M33" s="47"/>
      <c r="N33" s="47"/>
      <c r="O33" s="220"/>
      <c r="P33" s="48"/>
      <c r="Q33" s="47"/>
      <c r="R33" s="56"/>
      <c r="S33" s="56"/>
      <c r="T33" s="56"/>
      <c r="U33" s="56"/>
      <c r="V33" s="56"/>
      <c r="W33" s="56"/>
      <c r="X33" s="64"/>
      <c r="Y33" s="64"/>
      <c r="Z33" s="64"/>
      <c r="AA33" s="64"/>
      <c r="AB33" s="64"/>
      <c r="AC33" s="64"/>
      <c r="AD33" s="64"/>
      <c r="AE33" s="64"/>
      <c r="AF33" s="64"/>
      <c r="AG33" s="7"/>
      <c r="AH33" s="221"/>
      <c r="AI33" s="222"/>
    </row>
    <row r="34" spans="2:35" x14ac:dyDescent="0.25">
      <c r="B34" s="199"/>
      <c r="C34" s="91"/>
      <c r="D34" s="69"/>
      <c r="E34" s="7"/>
      <c r="F34" s="66"/>
      <c r="G34" s="83"/>
      <c r="H34" s="48"/>
      <c r="I34" s="48"/>
      <c r="J34" s="8"/>
      <c r="K34" s="219"/>
      <c r="L34" s="7"/>
      <c r="M34" s="47"/>
      <c r="N34" s="47"/>
      <c r="O34" s="220"/>
      <c r="P34" s="48"/>
      <c r="Q34" s="47"/>
      <c r="R34" s="56"/>
      <c r="S34" s="56"/>
      <c r="T34" s="56"/>
      <c r="U34" s="56"/>
      <c r="V34" s="56"/>
      <c r="W34" s="56"/>
      <c r="X34" s="64"/>
      <c r="Y34" s="64"/>
      <c r="Z34" s="64"/>
      <c r="AA34" s="64"/>
      <c r="AB34" s="64"/>
      <c r="AC34" s="64"/>
      <c r="AD34" s="64"/>
      <c r="AE34" s="64"/>
      <c r="AF34" s="64"/>
      <c r="AG34" s="7"/>
      <c r="AH34" s="221"/>
      <c r="AI34" s="222"/>
    </row>
    <row r="35" spans="2:35" x14ac:dyDescent="0.25">
      <c r="B35" s="199"/>
      <c r="C35" s="91"/>
      <c r="D35" s="69"/>
      <c r="E35" s="7"/>
      <c r="F35" s="66"/>
      <c r="G35" s="83"/>
      <c r="H35" s="48"/>
      <c r="I35" s="48"/>
      <c r="J35" s="8"/>
      <c r="K35" s="219"/>
      <c r="L35" s="7"/>
      <c r="M35" s="47"/>
      <c r="N35" s="47"/>
      <c r="O35" s="220"/>
      <c r="P35" s="48"/>
      <c r="Q35" s="47"/>
      <c r="R35" s="56"/>
      <c r="S35" s="56"/>
      <c r="T35" s="56"/>
      <c r="U35" s="56"/>
      <c r="V35" s="56"/>
      <c r="W35" s="56"/>
      <c r="X35" s="64"/>
      <c r="Y35" s="64"/>
      <c r="Z35" s="64"/>
      <c r="AA35" s="64"/>
      <c r="AB35" s="64"/>
      <c r="AC35" s="64"/>
      <c r="AD35" s="64"/>
      <c r="AE35" s="64"/>
      <c r="AF35" s="64"/>
      <c r="AG35" s="7"/>
      <c r="AH35" s="221"/>
      <c r="AI35" s="222"/>
    </row>
    <row r="36" spans="2:35" x14ac:dyDescent="0.25">
      <c r="B36" s="199"/>
      <c r="C36" s="91"/>
      <c r="D36" s="69"/>
      <c r="E36" s="7"/>
      <c r="F36" s="66"/>
      <c r="G36" s="83"/>
      <c r="H36" s="48"/>
      <c r="I36" s="48"/>
      <c r="J36" s="8"/>
      <c r="K36" s="219"/>
      <c r="L36" s="7"/>
      <c r="M36" s="47"/>
      <c r="N36" s="47"/>
      <c r="O36" s="220"/>
      <c r="P36" s="48"/>
      <c r="Q36" s="47"/>
      <c r="R36" s="56"/>
      <c r="S36" s="56"/>
      <c r="T36" s="56"/>
      <c r="U36" s="56"/>
      <c r="V36" s="56"/>
      <c r="W36" s="56"/>
      <c r="X36" s="64"/>
      <c r="Y36" s="64"/>
      <c r="Z36" s="64"/>
      <c r="AA36" s="64"/>
      <c r="AB36" s="64"/>
      <c r="AC36" s="64"/>
      <c r="AD36" s="64"/>
      <c r="AE36" s="64"/>
      <c r="AF36" s="64"/>
      <c r="AG36" s="7"/>
      <c r="AH36" s="221"/>
      <c r="AI36" s="222"/>
    </row>
    <row r="37" spans="2:35" x14ac:dyDescent="0.25">
      <c r="B37" s="199"/>
      <c r="C37" s="91"/>
      <c r="D37" s="69"/>
      <c r="E37" s="7"/>
      <c r="F37" s="66"/>
      <c r="G37" s="83"/>
      <c r="H37" s="48"/>
      <c r="I37" s="48"/>
      <c r="J37" s="8"/>
      <c r="K37" s="219"/>
      <c r="L37" s="7"/>
      <c r="M37" s="47"/>
      <c r="N37" s="47"/>
      <c r="O37" s="220"/>
      <c r="P37" s="48"/>
      <c r="Q37" s="47"/>
      <c r="R37" s="56"/>
      <c r="S37" s="56"/>
      <c r="T37" s="56"/>
      <c r="U37" s="56"/>
      <c r="V37" s="56"/>
      <c r="W37" s="56"/>
      <c r="X37" s="64"/>
      <c r="Y37" s="64"/>
      <c r="Z37" s="64"/>
      <c r="AA37" s="64"/>
      <c r="AB37" s="64"/>
      <c r="AC37" s="64"/>
      <c r="AD37" s="64"/>
      <c r="AE37" s="64"/>
      <c r="AF37" s="64"/>
      <c r="AG37" s="7"/>
      <c r="AH37" s="221"/>
      <c r="AI37" s="222"/>
    </row>
    <row r="38" spans="2:35" x14ac:dyDescent="0.25">
      <c r="B38" s="199"/>
      <c r="C38" s="91"/>
      <c r="D38" s="69"/>
      <c r="E38" s="7"/>
      <c r="F38" s="66"/>
      <c r="G38" s="83"/>
      <c r="H38" s="48"/>
      <c r="I38" s="48"/>
      <c r="J38" s="8"/>
      <c r="K38" s="219"/>
      <c r="L38" s="7"/>
      <c r="M38" s="47"/>
      <c r="N38" s="47"/>
      <c r="O38" s="220"/>
      <c r="P38" s="48"/>
      <c r="Q38" s="47"/>
      <c r="R38" s="56"/>
      <c r="S38" s="56"/>
      <c r="T38" s="56"/>
      <c r="U38" s="56"/>
      <c r="V38" s="56"/>
      <c r="W38" s="56"/>
      <c r="X38" s="64"/>
      <c r="Y38" s="64"/>
      <c r="Z38" s="64"/>
      <c r="AA38" s="64"/>
      <c r="AB38" s="64"/>
      <c r="AC38" s="64"/>
      <c r="AD38" s="64"/>
      <c r="AE38" s="64"/>
      <c r="AF38" s="64"/>
      <c r="AG38" s="7"/>
      <c r="AH38" s="221"/>
      <c r="AI38" s="222"/>
    </row>
    <row r="39" spans="2:35" x14ac:dyDescent="0.25">
      <c r="B39" s="199"/>
      <c r="C39" s="91"/>
      <c r="D39" s="69"/>
      <c r="E39" s="7"/>
      <c r="F39" s="66"/>
      <c r="G39" s="83"/>
      <c r="H39" s="48"/>
      <c r="I39" s="48"/>
      <c r="J39" s="8"/>
      <c r="K39" s="219"/>
      <c r="L39" s="7"/>
      <c r="M39" s="47"/>
      <c r="N39" s="47"/>
      <c r="O39" s="220"/>
      <c r="P39" s="48"/>
      <c r="Q39" s="47"/>
      <c r="R39" s="56"/>
      <c r="S39" s="56"/>
      <c r="T39" s="56"/>
      <c r="U39" s="56"/>
      <c r="V39" s="56"/>
      <c r="W39" s="56"/>
      <c r="X39" s="64"/>
      <c r="Y39" s="64"/>
      <c r="Z39" s="64"/>
      <c r="AA39" s="64"/>
      <c r="AB39" s="64"/>
      <c r="AC39" s="64"/>
      <c r="AD39" s="64"/>
      <c r="AE39" s="64"/>
      <c r="AF39" s="64"/>
      <c r="AG39" s="7"/>
      <c r="AH39" s="221"/>
      <c r="AI39" s="222"/>
    </row>
    <row r="40" spans="2:35" x14ac:dyDescent="0.25">
      <c r="B40" s="199"/>
      <c r="C40" s="91"/>
      <c r="D40" s="69"/>
      <c r="E40" s="7"/>
      <c r="F40" s="66"/>
      <c r="G40" s="83"/>
      <c r="H40" s="48"/>
      <c r="I40" s="48"/>
      <c r="J40" s="8"/>
      <c r="K40" s="219"/>
      <c r="L40" s="7"/>
      <c r="M40" s="47"/>
      <c r="N40" s="47"/>
      <c r="O40" s="220"/>
      <c r="P40" s="48"/>
      <c r="Q40" s="47"/>
      <c r="R40" s="56"/>
      <c r="S40" s="56"/>
      <c r="T40" s="56"/>
      <c r="U40" s="56"/>
      <c r="V40" s="56"/>
      <c r="W40" s="56"/>
      <c r="X40" s="64"/>
      <c r="Y40" s="64"/>
      <c r="Z40" s="64"/>
      <c r="AA40" s="64"/>
      <c r="AB40" s="64"/>
      <c r="AC40" s="64"/>
      <c r="AD40" s="64"/>
      <c r="AE40" s="64"/>
      <c r="AF40" s="64"/>
      <c r="AG40" s="7"/>
      <c r="AH40" s="221"/>
      <c r="AI40" s="222"/>
    </row>
    <row r="41" spans="2:35" x14ac:dyDescent="0.25">
      <c r="B41" s="199"/>
      <c r="C41" s="91"/>
      <c r="D41" s="69"/>
      <c r="E41" s="7"/>
      <c r="F41" s="66"/>
      <c r="G41" s="83"/>
      <c r="H41" s="48"/>
      <c r="I41" s="48"/>
      <c r="J41" s="8"/>
      <c r="K41" s="219"/>
      <c r="L41" s="7"/>
      <c r="M41" s="47"/>
      <c r="N41" s="47"/>
      <c r="O41" s="220"/>
      <c r="P41" s="48"/>
      <c r="Q41" s="47"/>
      <c r="R41" s="56"/>
      <c r="S41" s="56"/>
      <c r="T41" s="56"/>
      <c r="U41" s="56"/>
      <c r="V41" s="56"/>
      <c r="W41" s="56"/>
      <c r="X41" s="64"/>
      <c r="Y41" s="64"/>
      <c r="Z41" s="64"/>
      <c r="AA41" s="64"/>
      <c r="AB41" s="64"/>
      <c r="AC41" s="64"/>
      <c r="AD41" s="64"/>
      <c r="AE41" s="64"/>
      <c r="AF41" s="64"/>
      <c r="AG41" s="7"/>
      <c r="AH41" s="221"/>
      <c r="AI41" s="222"/>
    </row>
    <row r="42" spans="2:35" x14ac:dyDescent="0.25">
      <c r="B42" s="199"/>
      <c r="C42" s="91"/>
      <c r="D42" s="69"/>
      <c r="E42" s="7"/>
      <c r="F42" s="66"/>
      <c r="G42" s="83"/>
      <c r="H42" s="48"/>
      <c r="I42" s="48"/>
      <c r="J42" s="8"/>
      <c r="K42" s="219"/>
      <c r="L42" s="7"/>
      <c r="M42" s="47"/>
      <c r="N42" s="47"/>
      <c r="O42" s="220"/>
      <c r="P42" s="48"/>
      <c r="Q42" s="47"/>
      <c r="R42" s="56"/>
      <c r="S42" s="56"/>
      <c r="T42" s="56"/>
      <c r="U42" s="56"/>
      <c r="V42" s="56"/>
      <c r="W42" s="56"/>
      <c r="X42" s="64"/>
      <c r="Y42" s="64"/>
      <c r="Z42" s="64"/>
      <c r="AA42" s="64"/>
      <c r="AB42" s="64"/>
      <c r="AC42" s="64"/>
      <c r="AD42" s="64"/>
      <c r="AE42" s="64"/>
      <c r="AF42" s="64"/>
      <c r="AG42" s="7"/>
      <c r="AH42" s="221"/>
      <c r="AI42" s="222"/>
    </row>
    <row r="43" spans="2:35" x14ac:dyDescent="0.25">
      <c r="B43" s="199"/>
      <c r="C43" s="91"/>
      <c r="D43" s="69"/>
      <c r="E43" s="7"/>
      <c r="F43" s="66"/>
      <c r="G43" s="83"/>
      <c r="H43" s="48"/>
      <c r="I43" s="48"/>
      <c r="J43" s="8"/>
      <c r="K43" s="219"/>
      <c r="L43" s="7"/>
      <c r="M43" s="47"/>
      <c r="N43" s="47"/>
      <c r="O43" s="220"/>
      <c r="P43" s="48"/>
      <c r="Q43" s="47"/>
      <c r="R43" s="56"/>
      <c r="S43" s="56"/>
      <c r="T43" s="56"/>
      <c r="U43" s="56"/>
      <c r="V43" s="56"/>
      <c r="W43" s="56"/>
      <c r="X43" s="64"/>
      <c r="Y43" s="64"/>
      <c r="Z43" s="64"/>
      <c r="AA43" s="64"/>
      <c r="AB43" s="64"/>
      <c r="AC43" s="64"/>
      <c r="AD43" s="64"/>
      <c r="AE43" s="64"/>
      <c r="AF43" s="64"/>
      <c r="AG43" s="7"/>
      <c r="AH43" s="221"/>
      <c r="AI43" s="222"/>
    </row>
    <row r="44" spans="2:35" x14ac:dyDescent="0.25">
      <c r="B44" s="199"/>
      <c r="C44" s="91"/>
      <c r="D44" s="69"/>
      <c r="E44" s="7"/>
      <c r="F44" s="66"/>
      <c r="G44" s="83"/>
      <c r="H44" s="48"/>
      <c r="I44" s="48"/>
      <c r="J44" s="8"/>
      <c r="K44" s="219"/>
      <c r="L44" s="7"/>
      <c r="M44" s="47"/>
      <c r="N44" s="47"/>
      <c r="O44" s="220"/>
      <c r="P44" s="48"/>
      <c r="Q44" s="47"/>
      <c r="R44" s="56"/>
      <c r="S44" s="56"/>
      <c r="T44" s="56"/>
      <c r="U44" s="56"/>
      <c r="V44" s="56"/>
      <c r="W44" s="56"/>
      <c r="X44" s="64"/>
      <c r="Y44" s="64"/>
      <c r="Z44" s="64"/>
      <c r="AA44" s="64"/>
      <c r="AB44" s="64"/>
      <c r="AC44" s="64"/>
      <c r="AD44" s="64"/>
      <c r="AE44" s="64"/>
      <c r="AF44" s="64"/>
      <c r="AG44" s="7"/>
      <c r="AH44" s="221"/>
      <c r="AI44" s="222"/>
    </row>
    <row r="45" spans="2:35" x14ac:dyDescent="0.25">
      <c r="B45" s="199"/>
      <c r="C45" s="91"/>
      <c r="D45" s="69"/>
      <c r="E45" s="7"/>
      <c r="F45" s="66"/>
      <c r="G45" s="83"/>
      <c r="H45" s="48"/>
      <c r="I45" s="48"/>
      <c r="J45" s="8"/>
      <c r="K45" s="219"/>
      <c r="L45" s="7"/>
      <c r="M45" s="47"/>
      <c r="N45" s="47"/>
      <c r="O45" s="220"/>
      <c r="P45" s="48"/>
      <c r="Q45" s="47"/>
      <c r="R45" s="56"/>
      <c r="S45" s="56"/>
      <c r="T45" s="56"/>
      <c r="U45" s="56"/>
      <c r="V45" s="56"/>
      <c r="W45" s="56"/>
      <c r="X45" s="64"/>
      <c r="Y45" s="64"/>
      <c r="Z45" s="64"/>
      <c r="AA45" s="64"/>
      <c r="AB45" s="64"/>
      <c r="AC45" s="64"/>
      <c r="AD45" s="64"/>
      <c r="AE45" s="64"/>
      <c r="AF45" s="64"/>
      <c r="AG45" s="7"/>
      <c r="AH45" s="221"/>
      <c r="AI45" s="222"/>
    </row>
    <row r="46" spans="2:35" x14ac:dyDescent="0.25">
      <c r="B46" s="199"/>
      <c r="C46" s="91"/>
      <c r="D46" s="69"/>
      <c r="E46" s="7"/>
      <c r="F46" s="66"/>
      <c r="G46" s="83"/>
      <c r="H46" s="48"/>
      <c r="I46" s="48"/>
      <c r="J46" s="8"/>
      <c r="K46" s="219"/>
      <c r="L46" s="7"/>
      <c r="M46" s="47"/>
      <c r="N46" s="47"/>
      <c r="O46" s="220"/>
      <c r="P46" s="48"/>
      <c r="Q46" s="47"/>
      <c r="R46" s="56"/>
      <c r="S46" s="56"/>
      <c r="T46" s="56"/>
      <c r="U46" s="56"/>
      <c r="V46" s="56"/>
      <c r="W46" s="56"/>
      <c r="X46" s="64"/>
      <c r="Y46" s="64"/>
      <c r="Z46" s="64"/>
      <c r="AA46" s="64"/>
      <c r="AB46" s="64"/>
      <c r="AC46" s="64"/>
      <c r="AD46" s="64"/>
      <c r="AE46" s="64"/>
      <c r="AF46" s="64"/>
      <c r="AG46" s="7"/>
      <c r="AH46" s="221"/>
      <c r="AI46" s="222"/>
    </row>
    <row r="47" spans="2:35" x14ac:dyDescent="0.25">
      <c r="B47" s="199"/>
      <c r="C47" s="91"/>
      <c r="D47" s="69"/>
      <c r="E47" s="7"/>
      <c r="F47" s="66"/>
      <c r="G47" s="83"/>
      <c r="H47" s="48"/>
      <c r="I47" s="48"/>
      <c r="J47" s="8"/>
      <c r="K47" s="219"/>
      <c r="L47" s="7"/>
      <c r="M47" s="47"/>
      <c r="N47" s="47"/>
      <c r="O47" s="220"/>
      <c r="P47" s="48"/>
      <c r="Q47" s="47"/>
      <c r="R47" s="56"/>
      <c r="S47" s="56"/>
      <c r="T47" s="56"/>
      <c r="U47" s="56"/>
      <c r="V47" s="56"/>
      <c r="W47" s="56"/>
      <c r="X47" s="64"/>
      <c r="Y47" s="64"/>
      <c r="Z47" s="64"/>
      <c r="AA47" s="64"/>
      <c r="AB47" s="64"/>
      <c r="AC47" s="64"/>
      <c r="AD47" s="64"/>
      <c r="AE47" s="64"/>
      <c r="AF47" s="64"/>
      <c r="AG47" s="7"/>
      <c r="AH47" s="221"/>
      <c r="AI47" s="222"/>
    </row>
    <row r="48" spans="2:35" x14ac:dyDescent="0.25">
      <c r="B48" s="199"/>
      <c r="C48" s="91"/>
      <c r="D48" s="69"/>
      <c r="E48" s="7"/>
      <c r="F48" s="66"/>
      <c r="G48" s="83"/>
      <c r="H48" s="48"/>
      <c r="I48" s="48"/>
      <c r="J48" s="8"/>
      <c r="K48" s="219"/>
      <c r="L48" s="7"/>
      <c r="M48" s="47"/>
      <c r="N48" s="47"/>
      <c r="O48" s="220"/>
      <c r="P48" s="48"/>
      <c r="Q48" s="47"/>
      <c r="R48" s="56"/>
      <c r="S48" s="56"/>
      <c r="T48" s="56"/>
      <c r="U48" s="56"/>
      <c r="V48" s="56"/>
      <c r="W48" s="56"/>
      <c r="X48" s="64"/>
      <c r="Y48" s="64"/>
      <c r="Z48" s="64"/>
      <c r="AA48" s="64"/>
      <c r="AB48" s="64"/>
      <c r="AC48" s="64"/>
      <c r="AD48" s="64"/>
      <c r="AE48" s="64"/>
      <c r="AF48" s="64"/>
      <c r="AG48" s="7"/>
      <c r="AH48" s="221"/>
      <c r="AI48" s="222"/>
    </row>
  </sheetData>
  <sheetProtection formatCells="0" formatColumns="0" formatRows="0" insertColumns="0" insertRows="0" insertHyperlinks="0" deleteColumns="0" deleteRows="0" sort="0"/>
  <autoFilter ref="A2:AJ2" xr:uid="{00000000-0009-0000-0000-000003000000}"/>
  <mergeCells count="4">
    <mergeCell ref="D1:F1"/>
    <mergeCell ref="G1:K1"/>
    <mergeCell ref="L1:O1"/>
    <mergeCell ref="P1:AH1"/>
  </mergeCells>
  <pageMargins left="0.7" right="0.7" top="0.75" bottom="0.75" header="0.3" footer="0.3"/>
  <pageSetup paperSize="9" scale="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tint="0.249977111117893"/>
  </sheetPr>
  <dimension ref="A1:B34"/>
  <sheetViews>
    <sheetView zoomScaleNormal="100" workbookViewId="0">
      <selection activeCell="B4" sqref="B4"/>
    </sheetView>
  </sheetViews>
  <sheetFormatPr baseColWidth="10" defaultColWidth="11.42578125" defaultRowHeight="15" x14ac:dyDescent="0.25"/>
  <sheetData>
    <row r="1" spans="1:2" ht="18.75" x14ac:dyDescent="0.25">
      <c r="A1" s="205" t="s">
        <v>1706</v>
      </c>
      <c r="B1" s="205" t="s">
        <v>10</v>
      </c>
    </row>
    <row r="2" spans="1:2" x14ac:dyDescent="0.25">
      <c r="A2" s="209">
        <v>1</v>
      </c>
      <c r="B2" s="206">
        <v>0.8265240641711229</v>
      </c>
    </row>
    <row r="3" spans="1:2" x14ac:dyDescent="0.25">
      <c r="A3" s="209">
        <v>4</v>
      </c>
      <c r="B3" s="206">
        <v>0.9</v>
      </c>
    </row>
    <row r="4" spans="1:2" x14ac:dyDescent="0.25">
      <c r="A4" s="209">
        <v>5</v>
      </c>
      <c r="B4" s="206">
        <v>8.855614973262034E-2</v>
      </c>
    </row>
    <row r="5" spans="1:2" x14ac:dyDescent="0.25">
      <c r="A5" s="209">
        <v>7</v>
      </c>
      <c r="B5" s="206">
        <v>0.46545454545454545</v>
      </c>
    </row>
    <row r="6" spans="1:2" x14ac:dyDescent="0.25">
      <c r="A6" s="209">
        <v>7</v>
      </c>
      <c r="B6" s="206">
        <v>0.16941176470588235</v>
      </c>
    </row>
    <row r="7" spans="1:2" x14ac:dyDescent="0.25">
      <c r="A7" s="209">
        <v>9</v>
      </c>
      <c r="B7" s="206">
        <v>0.6676258772860072</v>
      </c>
    </row>
    <row r="8" spans="1:2" x14ac:dyDescent="0.25">
      <c r="A8" s="209">
        <v>10</v>
      </c>
      <c r="B8" s="206">
        <v>0.31871657754010696</v>
      </c>
    </row>
    <row r="9" spans="1:2" x14ac:dyDescent="0.25">
      <c r="A9" s="209">
        <v>10</v>
      </c>
      <c r="B9" s="206">
        <v>0.37775401069518716</v>
      </c>
    </row>
    <row r="10" spans="1:2" x14ac:dyDescent="0.25">
      <c r="A10" s="209">
        <v>11</v>
      </c>
      <c r="B10" s="206">
        <v>0.45048128342245991</v>
      </c>
    </row>
    <row r="11" spans="1:2" x14ac:dyDescent="0.25">
      <c r="A11" s="209">
        <v>11</v>
      </c>
      <c r="B11" s="206">
        <v>0.77901159243441132</v>
      </c>
    </row>
    <row r="12" spans="1:2" x14ac:dyDescent="0.25">
      <c r="A12" s="209">
        <v>12</v>
      </c>
      <c r="B12" s="206">
        <v>0.38588235294117645</v>
      </c>
    </row>
    <row r="13" spans="1:2" x14ac:dyDescent="0.25">
      <c r="A13" s="209">
        <v>14</v>
      </c>
      <c r="B13" s="206">
        <v>0.11324675324675325</v>
      </c>
    </row>
    <row r="14" spans="1:2" x14ac:dyDescent="0.25">
      <c r="A14" s="209">
        <v>15</v>
      </c>
      <c r="B14" s="206">
        <v>0.44278074866310163</v>
      </c>
    </row>
    <row r="15" spans="1:2" x14ac:dyDescent="0.25">
      <c r="A15" s="209">
        <v>16</v>
      </c>
      <c r="B15" s="206">
        <v>0.74909090909090903</v>
      </c>
    </row>
    <row r="16" spans="1:2" x14ac:dyDescent="0.25">
      <c r="A16" s="209">
        <v>16</v>
      </c>
      <c r="B16" s="206">
        <v>0.7135828877005348</v>
      </c>
    </row>
    <row r="17" spans="1:2" x14ac:dyDescent="0.25">
      <c r="A17" s="209">
        <v>17</v>
      </c>
      <c r="B17" s="206">
        <v>0.18310160427807487</v>
      </c>
    </row>
    <row r="18" spans="1:2" x14ac:dyDescent="0.25">
      <c r="A18" s="209">
        <v>17</v>
      </c>
      <c r="B18" s="206">
        <v>0.73112299465240638</v>
      </c>
    </row>
    <row r="19" spans="1:2" x14ac:dyDescent="0.25">
      <c r="A19" s="209">
        <v>18</v>
      </c>
      <c r="B19" s="206">
        <v>0.74267379679144385</v>
      </c>
    </row>
    <row r="20" spans="1:2" x14ac:dyDescent="0.25">
      <c r="A20" s="209">
        <v>18</v>
      </c>
      <c r="B20" s="206">
        <v>0.19550802139037429</v>
      </c>
    </row>
    <row r="21" spans="1:2" x14ac:dyDescent="0.25">
      <c r="A21" s="209">
        <v>19</v>
      </c>
      <c r="B21" s="206">
        <v>0.48171584242616428</v>
      </c>
    </row>
    <row r="22" spans="1:2" x14ac:dyDescent="0.25">
      <c r="A22" s="209">
        <v>21</v>
      </c>
      <c r="B22" s="206">
        <v>0.94369999999999998</v>
      </c>
    </row>
    <row r="23" spans="1:2" x14ac:dyDescent="0.25">
      <c r="A23" s="209">
        <v>22</v>
      </c>
      <c r="B23" s="206">
        <v>0.49969999999999998</v>
      </c>
    </row>
    <row r="24" spans="1:2" x14ac:dyDescent="0.25">
      <c r="A24" s="209">
        <v>23</v>
      </c>
      <c r="B24" s="206">
        <v>0.56579999999999997</v>
      </c>
    </row>
    <row r="25" spans="1:2" x14ac:dyDescent="0.25">
      <c r="A25" s="209">
        <v>24</v>
      </c>
      <c r="B25" s="206">
        <v>0.54549999999999998</v>
      </c>
    </row>
    <row r="26" spans="1:2" x14ac:dyDescent="0.25">
      <c r="A26" s="209">
        <v>25</v>
      </c>
      <c r="B26" s="206">
        <v>0.9294</v>
      </c>
    </row>
    <row r="27" spans="1:2" x14ac:dyDescent="0.25">
      <c r="A27" s="209">
        <v>28</v>
      </c>
      <c r="B27" s="206">
        <v>0.94</v>
      </c>
    </row>
    <row r="28" spans="1:2" x14ac:dyDescent="0.25">
      <c r="A28" s="209">
        <v>29</v>
      </c>
      <c r="B28" s="206">
        <v>0.94199999999999995</v>
      </c>
    </row>
    <row r="29" spans="1:2" x14ac:dyDescent="0.25">
      <c r="A29" s="209">
        <v>30</v>
      </c>
      <c r="B29" s="206">
        <v>0.29670000000000002</v>
      </c>
    </row>
    <row r="30" spans="1:2" x14ac:dyDescent="0.25">
      <c r="A30" s="209">
        <v>31</v>
      </c>
      <c r="B30" s="206">
        <v>0.34620000000000001</v>
      </c>
    </row>
    <row r="31" spans="1:2" x14ac:dyDescent="0.25">
      <c r="A31" s="225">
        <v>43497</v>
      </c>
      <c r="B31" s="206">
        <v>0.34449999999999997</v>
      </c>
    </row>
    <row r="32" spans="1:2" x14ac:dyDescent="0.25">
      <c r="A32" s="225">
        <v>43497</v>
      </c>
      <c r="B32" s="206">
        <v>0.97250000000000003</v>
      </c>
    </row>
    <row r="33" spans="1:2" x14ac:dyDescent="0.25">
      <c r="A33" s="209"/>
      <c r="B33" s="206"/>
    </row>
    <row r="34" spans="1:2" ht="21" x14ac:dyDescent="0.25">
      <c r="A34" s="207" t="s">
        <v>1707</v>
      </c>
      <c r="B34" s="208">
        <f>IFERROR(AVERAGE(B2:B23),"")</f>
        <v>0.51025644439196727</v>
      </c>
    </row>
  </sheetData>
  <conditionalFormatting sqref="B2:B33">
    <cfRule type="cellIs" dxfId="32" priority="1" operator="greaterThan">
      <formula>0.9</formula>
    </cfRule>
    <cfRule type="cellIs" dxfId="31" priority="2" operator="greaterThan">
      <formula>0.8</formula>
    </cfRule>
    <cfRule type="cellIs" dxfId="30" priority="3" operator="lessThan">
      <formula>80</formula>
    </cfRule>
    <cfRule type="cellIs" dxfId="29" priority="4" operator="greaterThan">
      <formula>80</formula>
    </cfRule>
  </conditionalFormatting>
  <conditionalFormatting sqref="B34">
    <cfRule type="cellIs" dxfId="28" priority="9" operator="lessThan">
      <formula>0.75</formula>
    </cfRule>
    <cfRule type="cellIs" dxfId="27" priority="10" operator="lessThan">
      <formula>0.8</formula>
    </cfRule>
    <cfRule type="cellIs" dxfId="26" priority="11" operator="lessThan">
      <formula>0.9</formula>
    </cfRule>
    <cfRule type="cellIs" dxfId="25" priority="12" operator="lessThan">
      <formula>0.95</formula>
    </cfRule>
    <cfRule type="cellIs" dxfId="24" priority="13" operator="greaterThan">
      <formula>0.95</formula>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tint="0.249977111117893"/>
  </sheetPr>
  <dimension ref="A1:D18"/>
  <sheetViews>
    <sheetView zoomScaleNormal="100" workbookViewId="0">
      <selection activeCell="I24" sqref="I24"/>
    </sheetView>
  </sheetViews>
  <sheetFormatPr baseColWidth="10" defaultColWidth="11.42578125" defaultRowHeight="15" x14ac:dyDescent="0.25"/>
  <cols>
    <col min="1" max="1" width="17.5703125" bestFit="1" customWidth="1"/>
    <col min="2" max="2" width="34.85546875" bestFit="1" customWidth="1"/>
    <col min="3" max="3" width="33.140625" bestFit="1" customWidth="1"/>
    <col min="4" max="4" width="28" bestFit="1" customWidth="1"/>
    <col min="5" max="5" width="24.42578125" bestFit="1" customWidth="1"/>
    <col min="6" max="17" width="22.42578125" bestFit="1" customWidth="1"/>
    <col min="18" max="18" width="12.5703125" bestFit="1" customWidth="1"/>
  </cols>
  <sheetData>
    <row r="1" spans="1:4" x14ac:dyDescent="0.25">
      <c r="A1" s="63" t="s">
        <v>1657</v>
      </c>
      <c r="B1" t="s">
        <v>1703</v>
      </c>
      <c r="C1" t="s">
        <v>1704</v>
      </c>
      <c r="D1" t="s">
        <v>1705</v>
      </c>
    </row>
    <row r="2" spans="1:4" x14ac:dyDescent="0.25">
      <c r="A2" s="202">
        <v>43467</v>
      </c>
      <c r="B2">
        <v>0.85882352941176465</v>
      </c>
      <c r="C2">
        <v>0.96239103362391032</v>
      </c>
      <c r="D2">
        <v>1</v>
      </c>
    </row>
    <row r="3" spans="1:4" x14ac:dyDescent="0.25">
      <c r="A3" s="202">
        <v>43468</v>
      </c>
    </row>
    <row r="4" spans="1:4" x14ac:dyDescent="0.25">
      <c r="A4" s="202">
        <v>43469</v>
      </c>
      <c r="B4">
        <v>0.4553191489361702</v>
      </c>
      <c r="C4">
        <v>1.0110450297366185</v>
      </c>
      <c r="D4">
        <v>0.89915966386554624</v>
      </c>
    </row>
    <row r="5" spans="1:4" x14ac:dyDescent="0.25">
      <c r="A5" s="202">
        <v>43470</v>
      </c>
      <c r="B5">
        <v>0.11058823529411765</v>
      </c>
      <c r="C5">
        <v>0.80077369439071577</v>
      </c>
      <c r="D5">
        <v>1</v>
      </c>
    </row>
    <row r="6" spans="1:4" x14ac:dyDescent="0.25">
      <c r="A6" s="202">
        <v>43472</v>
      </c>
      <c r="B6">
        <v>0.6240941176470588</v>
      </c>
      <c r="C6">
        <v>2.1779613946841243</v>
      </c>
      <c r="D6">
        <v>1.7870573870573869</v>
      </c>
    </row>
    <row r="7" spans="1:4" x14ac:dyDescent="0.25">
      <c r="A7" s="202">
        <v>43474</v>
      </c>
      <c r="B7">
        <v>0.66160119385417326</v>
      </c>
      <c r="C7">
        <v>1.0091062160827386</v>
      </c>
      <c r="D7">
        <v>1</v>
      </c>
    </row>
    <row r="8" spans="1:4" x14ac:dyDescent="0.25">
      <c r="A8" s="202">
        <v>43475</v>
      </c>
      <c r="B8">
        <v>0.9105882352941177</v>
      </c>
      <c r="C8">
        <v>1.8035331671695307</v>
      </c>
      <c r="D8">
        <v>1.7034199068811584</v>
      </c>
    </row>
    <row r="9" spans="1:4" x14ac:dyDescent="0.25">
      <c r="A9" s="202">
        <v>43476</v>
      </c>
      <c r="B9">
        <v>1.230288195815239</v>
      </c>
      <c r="C9">
        <v>2.0065634796238245</v>
      </c>
      <c r="D9">
        <v>1.991304347826087</v>
      </c>
    </row>
    <row r="10" spans="1:4" x14ac:dyDescent="0.25">
      <c r="A10" s="202">
        <v>43477</v>
      </c>
      <c r="B10">
        <v>0.45882352941176469</v>
      </c>
      <c r="C10">
        <v>0.9883449883449883</v>
      </c>
      <c r="D10">
        <v>0.85094339622641513</v>
      </c>
    </row>
    <row r="11" spans="1:4" x14ac:dyDescent="0.25">
      <c r="A11" s="202">
        <v>43479</v>
      </c>
      <c r="B11">
        <v>0.13523809523809524</v>
      </c>
      <c r="C11">
        <v>0.83738796414852756</v>
      </c>
      <c r="D11">
        <v>1</v>
      </c>
    </row>
    <row r="12" spans="1:4" x14ac:dyDescent="0.25">
      <c r="A12" s="202">
        <v>43480</v>
      </c>
      <c r="B12">
        <v>0.47529411764705881</v>
      </c>
      <c r="C12">
        <v>1.0126012601260126</v>
      </c>
      <c r="D12">
        <v>0.92</v>
      </c>
    </row>
    <row r="13" spans="1:4" x14ac:dyDescent="0.25">
      <c r="A13" s="202">
        <v>43481</v>
      </c>
      <c r="B13">
        <v>1.4423529411764706</v>
      </c>
      <c r="C13">
        <v>2.2001981351981352</v>
      </c>
      <c r="D13">
        <v>1.8472149014896937</v>
      </c>
    </row>
    <row r="14" spans="1:4" x14ac:dyDescent="0.25">
      <c r="A14" s="202">
        <v>43482</v>
      </c>
      <c r="B14">
        <v>1.5152941176470587</v>
      </c>
      <c r="C14">
        <v>1.3479496298670481</v>
      </c>
      <c r="D14">
        <v>1.6754802545042979</v>
      </c>
    </row>
    <row r="15" spans="1:4" x14ac:dyDescent="0.25">
      <c r="A15" s="202">
        <v>43483</v>
      </c>
      <c r="B15">
        <v>0.90731764705882356</v>
      </c>
      <c r="C15">
        <v>2.2345555459843709</v>
      </c>
      <c r="D15">
        <v>1.6746782608695652</v>
      </c>
    </row>
    <row r="16" spans="1:4" x14ac:dyDescent="0.25">
      <c r="A16" s="202">
        <v>43484</v>
      </c>
      <c r="B16">
        <v>0.54653559537022356</v>
      </c>
      <c r="C16">
        <v>0.90935464303610514</v>
      </c>
      <c r="D16">
        <v>0.96925754060324831</v>
      </c>
    </row>
    <row r="17" spans="1:4" x14ac:dyDescent="0.25">
      <c r="A17" s="202">
        <v>43486</v>
      </c>
      <c r="B17">
        <v>0.95294117647058818</v>
      </c>
      <c r="C17">
        <v>1.0114478114478114</v>
      </c>
      <c r="D17">
        <v>0.98180204172214824</v>
      </c>
    </row>
    <row r="18" spans="1:4" x14ac:dyDescent="0.25">
      <c r="A18" s="52" t="s">
        <v>1658</v>
      </c>
      <c r="B18">
        <v>11.285099876272724</v>
      </c>
      <c r="C18">
        <v>20.313213993464466</v>
      </c>
      <c r="D18">
        <v>19.300317701045547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0000"/>
    <pageSetUpPr fitToPage="1"/>
  </sheetPr>
  <dimension ref="A1:F85"/>
  <sheetViews>
    <sheetView showGridLines="0" zoomScaleNormal="100" workbookViewId="0">
      <selection activeCell="D17" sqref="D17"/>
    </sheetView>
  </sheetViews>
  <sheetFormatPr baseColWidth="10" defaultColWidth="11.42578125" defaultRowHeight="15" x14ac:dyDescent="0.25"/>
  <cols>
    <col min="1" max="1" width="12.85546875" bestFit="1" customWidth="1"/>
    <col min="2" max="2" width="13.42578125" style="2" customWidth="1"/>
    <col min="3" max="3" width="13.7109375" style="2" customWidth="1"/>
    <col min="4" max="4" width="15.7109375" style="3" customWidth="1"/>
    <col min="5" max="5" width="12.28515625" style="3" customWidth="1"/>
  </cols>
  <sheetData>
    <row r="1" spans="1:6" s="183" customFormat="1" ht="93.75" x14ac:dyDescent="0.3">
      <c r="A1" s="184" t="s">
        <v>1692</v>
      </c>
      <c r="B1" s="275" t="s">
        <v>1693</v>
      </c>
      <c r="C1" s="276" t="s">
        <v>1792</v>
      </c>
      <c r="D1" s="194" t="s">
        <v>1694</v>
      </c>
      <c r="E1" s="194" t="s">
        <v>1695</v>
      </c>
      <c r="F1" s="273" t="s">
        <v>1791</v>
      </c>
    </row>
    <row r="2" spans="1:6" s="98" customFormat="1" ht="15.95" customHeight="1" x14ac:dyDescent="0.25">
      <c r="A2" s="185">
        <v>45474</v>
      </c>
      <c r="B2" s="186"/>
      <c r="C2" s="186">
        <v>23.5</v>
      </c>
      <c r="D2" s="187"/>
      <c r="E2" s="187"/>
      <c r="F2" s="215" t="s">
        <v>1708</v>
      </c>
    </row>
    <row r="3" spans="1:6" s="98" customFormat="1" ht="15.95" customHeight="1" x14ac:dyDescent="0.25">
      <c r="A3" s="185">
        <v>45475</v>
      </c>
      <c r="B3" s="186"/>
      <c r="C3" s="186"/>
      <c r="D3" s="187"/>
      <c r="E3" s="187"/>
    </row>
    <row r="4" spans="1:6" s="98" customFormat="1" ht="15.95" customHeight="1" x14ac:dyDescent="0.25">
      <c r="A4" s="185">
        <v>45476</v>
      </c>
      <c r="B4" s="186"/>
      <c r="C4" s="186">
        <v>22</v>
      </c>
      <c r="D4" s="187"/>
      <c r="E4" s="187"/>
    </row>
    <row r="5" spans="1:6" s="98" customFormat="1" ht="15.95" customHeight="1" x14ac:dyDescent="0.25">
      <c r="A5" s="185">
        <v>45477</v>
      </c>
      <c r="B5" s="186"/>
      <c r="C5" s="186"/>
      <c r="D5" s="187"/>
      <c r="E5" s="187"/>
    </row>
    <row r="6" spans="1:6" s="98" customFormat="1" ht="15.95" customHeight="1" x14ac:dyDescent="0.25">
      <c r="A6" s="185">
        <v>45478</v>
      </c>
      <c r="B6" s="186"/>
      <c r="C6" s="186"/>
      <c r="D6" s="187">
        <v>11</v>
      </c>
      <c r="E6" s="187"/>
    </row>
    <row r="7" spans="1:6" s="98" customFormat="1" ht="15.95" customHeight="1" x14ac:dyDescent="0.25">
      <c r="A7" s="185">
        <v>45479</v>
      </c>
      <c r="B7" s="186"/>
      <c r="C7" s="186"/>
      <c r="D7" s="187"/>
      <c r="E7" s="187"/>
    </row>
    <row r="8" spans="1:6" s="98" customFormat="1" ht="15.95" customHeight="1" x14ac:dyDescent="0.25">
      <c r="A8" s="185">
        <v>45480</v>
      </c>
      <c r="B8" s="186"/>
      <c r="C8" s="186">
        <v>7</v>
      </c>
      <c r="D8" s="187"/>
      <c r="E8" s="187"/>
    </row>
    <row r="9" spans="1:6" s="98" customFormat="1" ht="15.95" customHeight="1" x14ac:dyDescent="0.25">
      <c r="A9" s="185">
        <v>45481</v>
      </c>
      <c r="B9" s="186"/>
      <c r="C9" s="186"/>
      <c r="D9" s="187"/>
      <c r="E9" s="187"/>
    </row>
    <row r="10" spans="1:6" s="98" customFormat="1" ht="15.95" customHeight="1" x14ac:dyDescent="0.25">
      <c r="A10" s="185">
        <v>45482</v>
      </c>
      <c r="B10" s="186"/>
      <c r="C10" s="186">
        <v>13.5</v>
      </c>
      <c r="D10" s="187"/>
      <c r="E10" s="187"/>
    </row>
    <row r="11" spans="1:6" s="98" customFormat="1" ht="15.95" customHeight="1" x14ac:dyDescent="0.25">
      <c r="A11" s="185">
        <v>45483</v>
      </c>
      <c r="B11" s="186"/>
      <c r="C11" s="186"/>
      <c r="D11" s="187"/>
      <c r="E11" s="187"/>
    </row>
    <row r="12" spans="1:6" s="98" customFormat="1" ht="15.95" customHeight="1" x14ac:dyDescent="0.25">
      <c r="A12" s="185">
        <v>45484</v>
      </c>
      <c r="B12" s="186"/>
      <c r="C12" s="186"/>
      <c r="D12" s="187"/>
      <c r="E12" s="187"/>
    </row>
    <row r="13" spans="1:6" s="98" customFormat="1" ht="15.95" customHeight="1" x14ac:dyDescent="0.25">
      <c r="A13" s="185">
        <v>45485</v>
      </c>
      <c r="B13" s="186"/>
      <c r="C13" s="186"/>
      <c r="D13" s="187"/>
      <c r="E13" s="187"/>
    </row>
    <row r="14" spans="1:6" s="98" customFormat="1" ht="15.95" customHeight="1" x14ac:dyDescent="0.25">
      <c r="A14" s="185">
        <v>45486</v>
      </c>
      <c r="B14" s="186"/>
      <c r="C14" s="186"/>
      <c r="D14" s="187"/>
      <c r="E14" s="187"/>
    </row>
    <row r="15" spans="1:6" s="98" customFormat="1" ht="15.95" customHeight="1" x14ac:dyDescent="0.25">
      <c r="A15" s="185">
        <v>45487</v>
      </c>
      <c r="B15" s="186"/>
      <c r="C15" s="186"/>
      <c r="D15" s="187"/>
      <c r="E15" s="187"/>
    </row>
    <row r="16" spans="1:6" s="98" customFormat="1" ht="15.95" customHeight="1" x14ac:dyDescent="0.25">
      <c r="A16" s="185">
        <v>45488</v>
      </c>
      <c r="B16" s="186"/>
      <c r="C16" s="186"/>
      <c r="D16" s="187"/>
      <c r="E16" s="187"/>
    </row>
    <row r="17" spans="1:5" s="98" customFormat="1" ht="15.95" customHeight="1" x14ac:dyDescent="0.25">
      <c r="A17" s="185">
        <v>45489</v>
      </c>
      <c r="B17" s="186">
        <v>26</v>
      </c>
      <c r="C17" s="186"/>
      <c r="D17" s="187"/>
      <c r="E17" s="187"/>
    </row>
    <row r="18" spans="1:5" s="98" customFormat="1" ht="15.95" customHeight="1" x14ac:dyDescent="0.25">
      <c r="A18" s="185">
        <v>45490</v>
      </c>
      <c r="B18" s="186"/>
      <c r="C18" s="186">
        <v>25.5</v>
      </c>
      <c r="D18" s="187"/>
      <c r="E18" s="187"/>
    </row>
    <row r="19" spans="1:5" s="98" customFormat="1" ht="15.95" customHeight="1" x14ac:dyDescent="0.25">
      <c r="A19" s="185">
        <v>45491</v>
      </c>
      <c r="B19" s="186"/>
      <c r="C19" s="186"/>
      <c r="D19" s="187"/>
      <c r="E19" s="187"/>
    </row>
    <row r="20" spans="1:5" s="98" customFormat="1" ht="15.95" customHeight="1" x14ac:dyDescent="0.25">
      <c r="A20" s="185">
        <v>45492</v>
      </c>
      <c r="B20" s="186"/>
      <c r="C20" s="186"/>
      <c r="D20" s="187"/>
      <c r="E20" s="187"/>
    </row>
    <row r="21" spans="1:5" s="98" customFormat="1" ht="15.95" customHeight="1" x14ac:dyDescent="0.25">
      <c r="A21" s="185">
        <v>45493</v>
      </c>
      <c r="B21" s="186"/>
      <c r="C21" s="186"/>
      <c r="D21" s="187"/>
      <c r="E21" s="187"/>
    </row>
    <row r="22" spans="1:5" s="98" customFormat="1" ht="15.95" customHeight="1" x14ac:dyDescent="0.25">
      <c r="A22" s="185">
        <v>45494</v>
      </c>
      <c r="B22" s="186"/>
      <c r="C22" s="186"/>
      <c r="D22" s="187"/>
      <c r="E22" s="187"/>
    </row>
    <row r="23" spans="1:5" s="98" customFormat="1" ht="15.95" customHeight="1" x14ac:dyDescent="0.25">
      <c r="A23" s="185">
        <v>45495</v>
      </c>
      <c r="B23" s="186"/>
      <c r="C23" s="186"/>
      <c r="D23" s="187"/>
      <c r="E23" s="187"/>
    </row>
    <row r="24" spans="1:5" s="98" customFormat="1" ht="15.95" customHeight="1" x14ac:dyDescent="0.25">
      <c r="A24" s="185">
        <v>45496</v>
      </c>
      <c r="B24" s="188"/>
      <c r="C24" s="188">
        <v>29</v>
      </c>
      <c r="D24" s="187"/>
      <c r="E24" s="187"/>
    </row>
    <row r="25" spans="1:5" s="98" customFormat="1" ht="15.95" customHeight="1" x14ac:dyDescent="0.25">
      <c r="A25" s="185">
        <v>45497</v>
      </c>
      <c r="B25" s="188"/>
      <c r="C25" s="188"/>
      <c r="D25" s="187"/>
      <c r="E25" s="187"/>
    </row>
    <row r="26" spans="1:5" s="98" customFormat="1" ht="15.95" customHeight="1" x14ac:dyDescent="0.25">
      <c r="A26" s="185">
        <v>45498</v>
      </c>
      <c r="B26" s="188"/>
      <c r="C26" s="188"/>
      <c r="D26" s="187"/>
      <c r="E26" s="187"/>
    </row>
    <row r="27" spans="1:5" s="98" customFormat="1" ht="15.95" customHeight="1" x14ac:dyDescent="0.25">
      <c r="A27" s="185">
        <v>45499</v>
      </c>
      <c r="B27" s="188"/>
      <c r="C27" s="188"/>
      <c r="D27" s="187"/>
      <c r="E27" s="187"/>
    </row>
    <row r="28" spans="1:5" s="98" customFormat="1" ht="15.95" customHeight="1" x14ac:dyDescent="0.25">
      <c r="A28" s="185">
        <v>45500</v>
      </c>
      <c r="B28" s="186"/>
      <c r="C28" s="186"/>
      <c r="D28" s="187"/>
      <c r="E28" s="187"/>
    </row>
    <row r="29" spans="1:5" s="98" customFormat="1" ht="15.95" customHeight="1" x14ac:dyDescent="0.25">
      <c r="A29" s="185">
        <v>45501</v>
      </c>
      <c r="B29" s="188"/>
      <c r="C29" s="188"/>
      <c r="D29" s="187"/>
      <c r="E29" s="187"/>
    </row>
    <row r="30" spans="1:5" s="98" customFormat="1" ht="15.95" customHeight="1" x14ac:dyDescent="0.25">
      <c r="A30" s="185">
        <v>45502</v>
      </c>
      <c r="B30" s="188"/>
      <c r="C30" s="188"/>
      <c r="D30" s="187"/>
      <c r="E30" s="187"/>
    </row>
    <row r="31" spans="1:5" s="98" customFormat="1" ht="15.95" customHeight="1" x14ac:dyDescent="0.25">
      <c r="A31" s="185">
        <v>45503</v>
      </c>
      <c r="B31" s="188"/>
      <c r="C31" s="188"/>
      <c r="D31" s="187"/>
      <c r="E31" s="187"/>
    </row>
    <row r="32" spans="1:5" s="98" customFormat="1" ht="15.95" customHeight="1" x14ac:dyDescent="0.25">
      <c r="A32" s="185">
        <v>45504</v>
      </c>
      <c r="B32" s="186"/>
      <c r="C32" s="186"/>
      <c r="D32" s="187"/>
      <c r="E32" s="187"/>
    </row>
    <row r="33" spans="1:5" s="98" customFormat="1" ht="15.95" customHeight="1" x14ac:dyDescent="0.25">
      <c r="A33" s="185">
        <v>45505</v>
      </c>
      <c r="B33" s="186"/>
      <c r="C33" s="186"/>
      <c r="D33" s="187"/>
      <c r="E33" s="187"/>
    </row>
    <row r="34" spans="1:5" s="98" customFormat="1" ht="15.95" customHeight="1" x14ac:dyDescent="0.25">
      <c r="A34" s="185">
        <v>45506</v>
      </c>
      <c r="B34" s="186"/>
      <c r="C34" s="186"/>
      <c r="D34" s="187"/>
      <c r="E34" s="187"/>
    </row>
    <row r="35" spans="1:5" s="98" customFormat="1" ht="15.95" customHeight="1" x14ac:dyDescent="0.25">
      <c r="A35" s="185">
        <v>45507</v>
      </c>
      <c r="B35" s="186"/>
      <c r="C35" s="186"/>
      <c r="D35" s="187"/>
      <c r="E35" s="187"/>
    </row>
    <row r="36" spans="1:5" s="98" customFormat="1" ht="15.95" customHeight="1" x14ac:dyDescent="0.25">
      <c r="A36" s="185">
        <v>45508</v>
      </c>
      <c r="B36" s="186"/>
      <c r="C36" s="186"/>
      <c r="D36" s="187"/>
      <c r="E36" s="187"/>
    </row>
    <row r="37" spans="1:5" s="98" customFormat="1" ht="15.95" customHeight="1" x14ac:dyDescent="0.25">
      <c r="A37" s="185">
        <v>45509</v>
      </c>
      <c r="B37" s="188"/>
      <c r="C37" s="188"/>
      <c r="D37" s="187"/>
      <c r="E37" s="187"/>
    </row>
    <row r="38" spans="1:5" s="98" customFormat="1" ht="15.95" customHeight="1" x14ac:dyDescent="0.25">
      <c r="A38" s="185">
        <v>45510</v>
      </c>
      <c r="B38" s="188"/>
      <c r="C38" s="188"/>
      <c r="D38" s="187"/>
      <c r="E38" s="187"/>
    </row>
    <row r="39" spans="1:5" s="98" customFormat="1" ht="15.95" customHeight="1" x14ac:dyDescent="0.25">
      <c r="A39" s="185">
        <v>45511</v>
      </c>
      <c r="B39" s="188"/>
      <c r="C39" s="188"/>
      <c r="D39" s="187"/>
      <c r="E39" s="187"/>
    </row>
    <row r="40" spans="1:5" s="98" customFormat="1" ht="15.95" customHeight="1" x14ac:dyDescent="0.25">
      <c r="A40" s="185">
        <v>45512</v>
      </c>
      <c r="B40" s="188"/>
      <c r="C40" s="188"/>
      <c r="D40" s="187"/>
      <c r="E40" s="187"/>
    </row>
    <row r="41" spans="1:5" s="98" customFormat="1" ht="15.95" customHeight="1" x14ac:dyDescent="0.25">
      <c r="A41" s="185">
        <v>45513</v>
      </c>
      <c r="B41" s="188"/>
      <c r="C41" s="188"/>
      <c r="D41" s="187"/>
      <c r="E41" s="187"/>
    </row>
    <row r="42" spans="1:5" s="98" customFormat="1" ht="15.95" customHeight="1" x14ac:dyDescent="0.25">
      <c r="A42" s="185">
        <v>45514</v>
      </c>
      <c r="B42" s="188"/>
      <c r="C42" s="188"/>
      <c r="D42" s="187"/>
      <c r="E42" s="187"/>
    </row>
    <row r="43" spans="1:5" s="98" customFormat="1" ht="15.95" customHeight="1" x14ac:dyDescent="0.25">
      <c r="A43" s="185">
        <v>45515</v>
      </c>
      <c r="B43" s="186"/>
      <c r="C43" s="186"/>
      <c r="D43" s="187"/>
      <c r="E43" s="187"/>
    </row>
    <row r="44" spans="1:5" s="98" customFormat="1" ht="15.95" customHeight="1" x14ac:dyDescent="0.25">
      <c r="A44" s="185">
        <v>45516</v>
      </c>
      <c r="B44" s="188">
        <v>7</v>
      </c>
      <c r="C44" s="188"/>
      <c r="D44" s="187"/>
      <c r="E44" s="187"/>
    </row>
    <row r="45" spans="1:5" s="98" customFormat="1" ht="15.95" customHeight="1" x14ac:dyDescent="0.25">
      <c r="A45" s="185">
        <v>45517</v>
      </c>
      <c r="B45" s="188"/>
      <c r="C45" s="188"/>
      <c r="D45" s="187"/>
      <c r="E45" s="187"/>
    </row>
    <row r="46" spans="1:5" s="98" customFormat="1" ht="15.95" customHeight="1" x14ac:dyDescent="0.25">
      <c r="A46" s="185">
        <v>45518</v>
      </c>
      <c r="B46" s="188"/>
      <c r="C46" s="188"/>
      <c r="D46" s="187"/>
      <c r="E46" s="187"/>
    </row>
    <row r="47" spans="1:5" s="98" customFormat="1" ht="15.95" customHeight="1" x14ac:dyDescent="0.25">
      <c r="A47" s="185">
        <v>45519</v>
      </c>
      <c r="B47" s="186"/>
      <c r="C47" s="186"/>
      <c r="D47" s="187"/>
      <c r="E47" s="187"/>
    </row>
    <row r="48" spans="1:5" s="98" customFormat="1" ht="15.95" customHeight="1" x14ac:dyDescent="0.25">
      <c r="A48" s="185">
        <v>45520</v>
      </c>
      <c r="B48" s="188"/>
      <c r="C48" s="188"/>
      <c r="D48" s="187"/>
      <c r="E48" s="187"/>
    </row>
    <row r="49" spans="1:5" s="98" customFormat="1" ht="15.95" customHeight="1" x14ac:dyDescent="0.25">
      <c r="A49" s="185">
        <v>45521</v>
      </c>
      <c r="B49" s="188"/>
      <c r="C49" s="188"/>
      <c r="D49" s="187"/>
      <c r="E49" s="187"/>
    </row>
    <row r="50" spans="1:5" s="98" customFormat="1" ht="15.95" customHeight="1" x14ac:dyDescent="0.25">
      <c r="A50" s="185">
        <v>45522</v>
      </c>
      <c r="B50" s="188"/>
      <c r="C50" s="188"/>
      <c r="D50" s="187"/>
      <c r="E50" s="187"/>
    </row>
    <row r="51" spans="1:5" s="98" customFormat="1" ht="15.95" customHeight="1" x14ac:dyDescent="0.25">
      <c r="A51" s="185">
        <v>45523</v>
      </c>
      <c r="B51" s="188">
        <v>12.5</v>
      </c>
      <c r="C51" s="188">
        <v>34</v>
      </c>
      <c r="D51" s="187"/>
      <c r="E51" s="187"/>
    </row>
    <row r="52" spans="1:5" s="98" customFormat="1" ht="15.95" customHeight="1" x14ac:dyDescent="0.25">
      <c r="A52" s="185">
        <v>45524</v>
      </c>
      <c r="B52" s="188">
        <v>7</v>
      </c>
      <c r="C52" s="188">
        <v>23.5</v>
      </c>
      <c r="D52" s="187"/>
      <c r="E52" s="187"/>
    </row>
    <row r="53" spans="1:5" s="98" customFormat="1" ht="15.95" customHeight="1" x14ac:dyDescent="0.25">
      <c r="A53" s="185">
        <v>45525</v>
      </c>
      <c r="B53" s="188"/>
      <c r="C53" s="188"/>
      <c r="D53" s="187"/>
      <c r="E53" s="187"/>
    </row>
    <row r="54" spans="1:5" s="98" customFormat="1" ht="15.95" customHeight="1" x14ac:dyDescent="0.25">
      <c r="A54" s="185">
        <v>45526</v>
      </c>
      <c r="B54" s="186"/>
      <c r="C54" s="186"/>
      <c r="D54" s="187">
        <v>15</v>
      </c>
      <c r="E54" s="187"/>
    </row>
    <row r="55" spans="1:5" s="98" customFormat="1" ht="15.95" customHeight="1" x14ac:dyDescent="0.25">
      <c r="A55" s="185">
        <v>45527</v>
      </c>
      <c r="B55" s="186"/>
      <c r="C55" s="186">
        <f>9.5+14</f>
        <v>23.5</v>
      </c>
      <c r="D55" s="187"/>
      <c r="E55" s="187"/>
    </row>
    <row r="56" spans="1:5" s="98" customFormat="1" ht="15.95" customHeight="1" x14ac:dyDescent="0.25">
      <c r="A56" s="185">
        <v>45528</v>
      </c>
      <c r="B56" s="188"/>
      <c r="C56" s="188"/>
      <c r="D56" s="187"/>
      <c r="E56" s="187"/>
    </row>
    <row r="57" spans="1:5" s="98" customFormat="1" ht="15.95" customHeight="1" x14ac:dyDescent="0.25">
      <c r="A57" s="185">
        <v>45529</v>
      </c>
      <c r="B57" s="188"/>
      <c r="C57" s="188"/>
      <c r="D57" s="187"/>
      <c r="E57" s="187"/>
    </row>
    <row r="58" spans="1:5" s="98" customFormat="1" ht="15.95" customHeight="1" x14ac:dyDescent="0.25">
      <c r="A58" s="185">
        <v>45530</v>
      </c>
      <c r="B58" s="188"/>
      <c r="C58" s="188">
        <v>26</v>
      </c>
      <c r="D58" s="187"/>
      <c r="E58" s="187"/>
    </row>
    <row r="59" spans="1:5" s="98" customFormat="1" ht="15.95" customHeight="1" x14ac:dyDescent="0.25">
      <c r="A59" s="185">
        <v>45531</v>
      </c>
      <c r="B59" s="188"/>
      <c r="C59" s="188">
        <v>20</v>
      </c>
      <c r="D59" s="187">
        <v>13</v>
      </c>
      <c r="E59" s="187"/>
    </row>
    <row r="60" spans="1:5" s="98" customFormat="1" ht="15.95" customHeight="1" x14ac:dyDescent="0.25">
      <c r="A60" s="185">
        <v>45532</v>
      </c>
      <c r="B60" s="193"/>
      <c r="C60" s="193"/>
      <c r="D60" s="189"/>
      <c r="E60" s="189"/>
    </row>
    <row r="61" spans="1:5" s="98" customFormat="1" ht="15.95" customHeight="1" x14ac:dyDescent="0.25">
      <c r="A61" s="185">
        <v>45533</v>
      </c>
      <c r="B61" s="188"/>
      <c r="C61" s="188"/>
      <c r="D61" s="187"/>
      <c r="E61" s="187"/>
    </row>
    <row r="62" spans="1:5" s="98" customFormat="1" ht="15.95" customHeight="1" x14ac:dyDescent="0.25">
      <c r="A62" s="185">
        <v>45534</v>
      </c>
      <c r="B62" s="188"/>
      <c r="C62" s="188"/>
      <c r="D62" s="187"/>
      <c r="E62" s="187"/>
    </row>
    <row r="63" spans="1:5" s="98" customFormat="1" ht="15.95" customHeight="1" x14ac:dyDescent="0.25">
      <c r="A63" s="185">
        <v>45535</v>
      </c>
      <c r="B63" s="188"/>
      <c r="C63" s="188"/>
      <c r="D63" s="187"/>
      <c r="E63" s="187"/>
    </row>
    <row r="64" spans="1:5" s="98" customFormat="1" ht="15.95" customHeight="1" x14ac:dyDescent="0.25">
      <c r="A64" s="185">
        <v>45536</v>
      </c>
      <c r="B64" s="186"/>
      <c r="C64" s="186"/>
      <c r="D64" s="187"/>
      <c r="E64" s="187"/>
    </row>
    <row r="65" spans="1:6" s="98" customFormat="1" ht="15.95" customHeight="1" x14ac:dyDescent="0.25">
      <c r="A65" s="185">
        <v>45537</v>
      </c>
      <c r="B65" s="188"/>
      <c r="C65" s="188"/>
      <c r="D65" s="187"/>
      <c r="E65" s="187"/>
    </row>
    <row r="66" spans="1:6" s="98" customFormat="1" ht="15.95" customHeight="1" x14ac:dyDescent="0.25">
      <c r="A66" s="185">
        <v>45538</v>
      </c>
      <c r="B66" s="186"/>
      <c r="C66" s="186"/>
      <c r="D66" s="187"/>
      <c r="E66" s="187"/>
    </row>
    <row r="67" spans="1:6" s="98" customFormat="1" ht="15.95" customHeight="1" x14ac:dyDescent="0.25">
      <c r="A67" s="185">
        <v>45539</v>
      </c>
      <c r="B67" s="188"/>
      <c r="C67" s="188"/>
      <c r="D67" s="187"/>
      <c r="E67" s="187"/>
    </row>
    <row r="68" spans="1:6" s="98" customFormat="1" ht="15.95" customHeight="1" x14ac:dyDescent="0.25">
      <c r="A68" s="185">
        <v>45540</v>
      </c>
      <c r="B68" s="188"/>
      <c r="C68" s="188"/>
      <c r="D68" s="187"/>
      <c r="E68" s="187"/>
    </row>
    <row r="69" spans="1:6" s="98" customFormat="1" ht="15.95" customHeight="1" x14ac:dyDescent="0.25">
      <c r="A69" s="185">
        <v>45541</v>
      </c>
      <c r="B69" s="196"/>
      <c r="C69" s="196"/>
      <c r="D69" s="197"/>
      <c r="E69" s="197"/>
    </row>
    <row r="70" spans="1:6" s="98" customFormat="1" ht="15.95" customHeight="1" x14ac:dyDescent="0.25">
      <c r="A70" s="185">
        <v>45542</v>
      </c>
      <c r="B70" s="196"/>
      <c r="C70" s="196"/>
      <c r="D70" s="197"/>
      <c r="E70" s="197"/>
    </row>
    <row r="71" spans="1:6" s="98" customFormat="1" ht="15.95" customHeight="1" x14ac:dyDescent="0.25">
      <c r="A71" s="185">
        <v>45543</v>
      </c>
      <c r="B71" s="196"/>
      <c r="C71" s="196"/>
      <c r="D71" s="197"/>
      <c r="E71" s="197"/>
    </row>
    <row r="72" spans="1:6" s="98" customFormat="1" ht="15.95" customHeight="1" x14ac:dyDescent="0.25">
      <c r="A72" s="185">
        <v>45544</v>
      </c>
      <c r="B72" s="196"/>
      <c r="C72" s="196"/>
      <c r="D72" s="197"/>
      <c r="E72" s="197"/>
    </row>
    <row r="73" spans="1:6" s="98" customFormat="1" ht="15.95" customHeight="1" x14ac:dyDescent="0.25">
      <c r="A73" s="185">
        <v>45545</v>
      </c>
      <c r="B73" s="196"/>
      <c r="C73" s="196"/>
      <c r="D73" s="197"/>
      <c r="E73" s="197"/>
    </row>
    <row r="74" spans="1:6" s="98" customFormat="1" ht="15.95" customHeight="1" x14ac:dyDescent="0.25">
      <c r="A74" s="185">
        <v>45546</v>
      </c>
      <c r="B74" s="203"/>
      <c r="C74" s="203"/>
      <c r="D74" s="204"/>
      <c r="E74" s="204"/>
    </row>
    <row r="75" spans="1:6" s="98" customFormat="1" ht="15.95" customHeight="1" x14ac:dyDescent="0.25">
      <c r="A75" s="185">
        <v>45547</v>
      </c>
      <c r="B75" s="214"/>
      <c r="C75" s="214"/>
      <c r="D75" s="213"/>
      <c r="E75" s="212"/>
    </row>
    <row r="76" spans="1:6" s="98" customFormat="1" ht="15.95" customHeight="1" x14ac:dyDescent="0.25">
      <c r="A76" s="185">
        <v>45548</v>
      </c>
      <c r="B76" s="211"/>
      <c r="C76" s="211"/>
      <c r="D76" s="212"/>
      <c r="E76" s="212"/>
      <c r="F76" s="215"/>
    </row>
    <row r="77" spans="1:6" s="98" customFormat="1" ht="15.95" customHeight="1" x14ac:dyDescent="0.25">
      <c r="A77" s="185">
        <v>45549</v>
      </c>
      <c r="B77" s="217"/>
      <c r="C77" s="217"/>
      <c r="D77" s="218"/>
      <c r="E77" s="224"/>
      <c r="F77" s="215"/>
    </row>
    <row r="78" spans="1:6" s="98" customFormat="1" ht="15.95" customHeight="1" x14ac:dyDescent="0.25">
      <c r="A78" s="185">
        <v>45550</v>
      </c>
      <c r="B78" s="223"/>
      <c r="C78" s="223"/>
      <c r="D78" s="224"/>
      <c r="E78" s="224"/>
      <c r="F78" s="215"/>
    </row>
    <row r="79" spans="1:6" s="98" customFormat="1" ht="15.95" customHeight="1" x14ac:dyDescent="0.25">
      <c r="A79" s="185">
        <v>45551</v>
      </c>
      <c r="B79" s="223"/>
      <c r="C79" s="223"/>
      <c r="D79" s="224"/>
      <c r="E79" s="224"/>
      <c r="F79" s="215"/>
    </row>
    <row r="80" spans="1:6" s="98" customFormat="1" ht="15.95" customHeight="1" x14ac:dyDescent="0.25">
      <c r="A80" s="185">
        <v>45552</v>
      </c>
      <c r="B80" s="223"/>
      <c r="C80" s="223"/>
      <c r="D80" s="224"/>
      <c r="E80" s="224"/>
      <c r="F80" s="215"/>
    </row>
    <row r="81" spans="1:6" s="98" customFormat="1" ht="15.95" customHeight="1" x14ac:dyDescent="0.25">
      <c r="A81" s="185">
        <v>45553</v>
      </c>
      <c r="B81" s="223"/>
      <c r="C81" s="223"/>
      <c r="D81" s="224"/>
      <c r="E81" s="224"/>
      <c r="F81" s="215"/>
    </row>
    <row r="82" spans="1:6" s="98" customFormat="1" ht="15.95" customHeight="1" x14ac:dyDescent="0.25">
      <c r="A82" s="216"/>
      <c r="B82" s="217"/>
      <c r="C82" s="217"/>
      <c r="D82" s="218"/>
      <c r="E82" s="218"/>
    </row>
    <row r="83" spans="1:6" ht="16.5" thickBot="1" x14ac:dyDescent="0.3">
      <c r="A83" s="190" t="s">
        <v>1696</v>
      </c>
      <c r="B83" s="191">
        <f>SUBTOTAL(109,Tabla15[KG SCRAP ROLL COIL])</f>
        <v>52.5</v>
      </c>
      <c r="C83" s="191"/>
      <c r="D83" s="192">
        <f>SUBTOTAL(109,Tabla15[[KG COIL DAMAGES AND PROCESS ADJUST ]])</f>
        <v>39</v>
      </c>
      <c r="E83" s="192">
        <f>SUBTOTAL(109,Tabla15[[QUARENTINE PIECES ]])*0.2</f>
        <v>0</v>
      </c>
      <c r="F83" s="274"/>
    </row>
    <row r="84" spans="1:6" ht="16.5" thickTop="1" thickBot="1" x14ac:dyDescent="0.3">
      <c r="A84" s="195" t="s">
        <v>1697</v>
      </c>
      <c r="B84" s="356">
        <f>Tabla15[[#Totals],[KG SCRAP ROLL COIL]]+Tabla15[[#Totals],[KG COIL DAMAGES AND PROCESS ADJUST ]]+Tabla15[[#Totals],[QUARENTINE PIECES ]]</f>
        <v>91.5</v>
      </c>
      <c r="C84" s="356"/>
      <c r="D84" s="357"/>
      <c r="E84" s="357"/>
    </row>
    <row r="85" spans="1:6" ht="15.75" thickTop="1" x14ac:dyDescent="0.25"/>
  </sheetData>
  <mergeCells count="1">
    <mergeCell ref="B84:E84"/>
  </mergeCells>
  <phoneticPr fontId="68" type="noConversion"/>
  <pageMargins left="0.7" right="0.7" top="0.75" bottom="0.75" header="0.3" footer="0.3"/>
  <pageSetup scale="68" orientation="portrait" r:id="rId1"/>
  <legacy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D32"/>
  <sheetViews>
    <sheetView zoomScale="85" zoomScaleNormal="85" workbookViewId="0">
      <selection activeCell="H41" sqref="H41"/>
    </sheetView>
  </sheetViews>
  <sheetFormatPr baseColWidth="10" defaultColWidth="11.42578125" defaultRowHeight="15" x14ac:dyDescent="0.25"/>
  <cols>
    <col min="1" max="1" width="15.85546875" customWidth="1"/>
    <col min="4" max="4" width="13.7109375" customWidth="1"/>
    <col min="6" max="6" width="15.28515625" customWidth="1"/>
    <col min="7" max="7" width="16.5703125" customWidth="1"/>
    <col min="8" max="8" width="21.28515625" customWidth="1"/>
    <col min="9" max="9" width="22.5703125" customWidth="1"/>
    <col min="10" max="10" width="20.85546875" customWidth="1"/>
    <col min="11" max="11" width="28.42578125" customWidth="1"/>
    <col min="12" max="12" width="21.28515625" customWidth="1"/>
    <col min="13" max="13" width="12.5703125" customWidth="1"/>
    <col min="14" max="14" width="15.140625" customWidth="1"/>
    <col min="15" max="15" width="26.7109375" customWidth="1"/>
    <col min="16" max="16" width="17.28515625" customWidth="1"/>
    <col min="17" max="17" width="22.28515625" customWidth="1"/>
    <col min="18" max="18" width="19" customWidth="1"/>
    <col min="19" max="19" width="26.7109375" customWidth="1"/>
    <col min="20" max="20" width="12.85546875" customWidth="1"/>
    <col min="22" max="22" width="25" customWidth="1"/>
    <col min="23" max="23" width="15.5703125" customWidth="1"/>
    <col min="24" max="24" width="19.140625" customWidth="1"/>
    <col min="25" max="25" width="18.7109375" customWidth="1"/>
    <col min="29" max="29" width="21.28515625" customWidth="1"/>
    <col min="30" max="30" width="31.85546875" customWidth="1"/>
    <col min="31" max="31" width="19.42578125" customWidth="1"/>
    <col min="32" max="32" width="16.5703125" customWidth="1"/>
    <col min="34" max="34" width="17.140625" customWidth="1"/>
    <col min="35" max="35" width="20" customWidth="1"/>
    <col min="38" max="38" width="19.85546875" customWidth="1"/>
    <col min="40" max="40" width="16" customWidth="1"/>
    <col min="41" max="41" width="12.5703125" customWidth="1"/>
    <col min="42" max="42" width="12.7109375" customWidth="1"/>
    <col min="43" max="43" width="18.85546875" customWidth="1"/>
    <col min="44" max="44" width="13" customWidth="1"/>
    <col min="45" max="45" width="17.7109375" customWidth="1"/>
    <col min="46" max="46" width="15" customWidth="1"/>
    <col min="47" max="47" width="22.5703125" customWidth="1"/>
    <col min="49" max="49" width="19.7109375" customWidth="1"/>
    <col min="50" max="50" width="21.85546875" customWidth="1"/>
    <col min="51" max="51" width="18.140625" customWidth="1"/>
    <col min="52" max="52" width="11.85546875" customWidth="1"/>
    <col min="53" max="53" width="16.140625" customWidth="1"/>
    <col min="55" max="55" width="21.7109375" customWidth="1"/>
    <col min="56" max="56" width="17.42578125" customWidth="1"/>
  </cols>
  <sheetData>
    <row r="1" spans="1:56" x14ac:dyDescent="0.25">
      <c r="A1" t="s">
        <v>74</v>
      </c>
      <c r="B1" t="s">
        <v>15</v>
      </c>
      <c r="C1" t="s">
        <v>12</v>
      </c>
      <c r="D1" t="s">
        <v>1044</v>
      </c>
      <c r="E1" t="s">
        <v>62</v>
      </c>
      <c r="F1" t="s">
        <v>1603</v>
      </c>
      <c r="G1" t="s">
        <v>64</v>
      </c>
      <c r="H1" t="s">
        <v>63</v>
      </c>
      <c r="I1" t="s">
        <v>4</v>
      </c>
      <c r="J1" t="s">
        <v>3</v>
      </c>
      <c r="K1" t="s">
        <v>1702</v>
      </c>
      <c r="L1" t="s">
        <v>6</v>
      </c>
      <c r="M1" t="s">
        <v>7</v>
      </c>
      <c r="N1" t="s">
        <v>8</v>
      </c>
      <c r="O1" t="s">
        <v>1701</v>
      </c>
      <c r="P1" t="s">
        <v>9</v>
      </c>
      <c r="Q1" t="s">
        <v>1721</v>
      </c>
      <c r="R1" t="s">
        <v>1585</v>
      </c>
      <c r="S1" t="s">
        <v>1586</v>
      </c>
      <c r="T1" t="s">
        <v>1587</v>
      </c>
      <c r="U1" t="s">
        <v>1588</v>
      </c>
      <c r="V1" t="s">
        <v>1589</v>
      </c>
      <c r="W1" t="s">
        <v>1590</v>
      </c>
      <c r="X1" t="s">
        <v>1591</v>
      </c>
      <c r="Y1" t="s">
        <v>1592</v>
      </c>
      <c r="Z1" t="s">
        <v>1593</v>
      </c>
      <c r="AA1" t="s">
        <v>1594</v>
      </c>
      <c r="AB1" t="s">
        <v>1595</v>
      </c>
      <c r="AC1" t="s">
        <v>1596</v>
      </c>
      <c r="AD1" t="s">
        <v>1583</v>
      </c>
      <c r="AE1" t="s">
        <v>1584</v>
      </c>
      <c r="AF1" t="s">
        <v>1638</v>
      </c>
      <c r="AG1" t="s">
        <v>1639</v>
      </c>
      <c r="AH1" t="s">
        <v>1640</v>
      </c>
      <c r="AI1" t="s">
        <v>1641</v>
      </c>
      <c r="AJ1" t="s">
        <v>1642</v>
      </c>
      <c r="AK1" t="s">
        <v>1643</v>
      </c>
      <c r="AL1" t="s">
        <v>1644</v>
      </c>
      <c r="AM1" t="s">
        <v>1645</v>
      </c>
      <c r="AN1" t="s">
        <v>1646</v>
      </c>
      <c r="AO1" t="s">
        <v>1699</v>
      </c>
      <c r="AP1" t="s">
        <v>1679</v>
      </c>
      <c r="AQ1" t="s">
        <v>1680</v>
      </c>
      <c r="AR1" t="s">
        <v>1681</v>
      </c>
      <c r="AS1" t="s">
        <v>1682</v>
      </c>
      <c r="AT1" t="s">
        <v>1633</v>
      </c>
      <c r="AU1" t="s">
        <v>1684</v>
      </c>
      <c r="AV1" t="s">
        <v>1597</v>
      </c>
      <c r="AW1" t="s">
        <v>66</v>
      </c>
      <c r="AX1" t="s">
        <v>1602</v>
      </c>
      <c r="AY1" t="s">
        <v>1601</v>
      </c>
      <c r="AZ1" t="s">
        <v>1604</v>
      </c>
      <c r="BA1" t="s">
        <v>1605</v>
      </c>
      <c r="BB1" t="s">
        <v>67</v>
      </c>
      <c r="BC1" t="s">
        <v>1700</v>
      </c>
      <c r="BD1" t="s">
        <v>1709</v>
      </c>
    </row>
    <row r="2" spans="1:56" x14ac:dyDescent="0.25">
      <c r="A2">
        <v>1</v>
      </c>
      <c r="B2">
        <v>1</v>
      </c>
      <c r="C2" s="227">
        <v>43467</v>
      </c>
      <c r="D2">
        <v>51</v>
      </c>
      <c r="E2">
        <v>9</v>
      </c>
      <c r="G2">
        <v>0</v>
      </c>
      <c r="H2">
        <v>425</v>
      </c>
      <c r="I2">
        <v>425</v>
      </c>
      <c r="J2">
        <v>365</v>
      </c>
      <c r="K2">
        <v>0.85882352941176465</v>
      </c>
      <c r="L2">
        <v>1932</v>
      </c>
      <c r="M2">
        <v>330</v>
      </c>
      <c r="N2">
        <v>60</v>
      </c>
      <c r="O2">
        <v>0.96239103362391032</v>
      </c>
      <c r="P2">
        <v>1932</v>
      </c>
      <c r="Q2">
        <v>1932</v>
      </c>
      <c r="AD2">
        <v>22</v>
      </c>
      <c r="AZ2">
        <v>0</v>
      </c>
      <c r="BA2">
        <v>1</v>
      </c>
      <c r="BB2">
        <v>0</v>
      </c>
      <c r="BC2">
        <v>1</v>
      </c>
      <c r="BD2">
        <v>0.8265240641711229</v>
      </c>
    </row>
    <row r="3" spans="1:56" x14ac:dyDescent="0.25">
      <c r="A3">
        <v>2</v>
      </c>
      <c r="B3">
        <v>1</v>
      </c>
      <c r="C3" s="227">
        <v>43468</v>
      </c>
      <c r="F3">
        <v>525</v>
      </c>
      <c r="AZ3">
        <v>0</v>
      </c>
    </row>
    <row r="4" spans="1:56" x14ac:dyDescent="0.25">
      <c r="A4">
        <v>3</v>
      </c>
      <c r="B4">
        <v>1</v>
      </c>
      <c r="C4" s="227">
        <v>43469</v>
      </c>
      <c r="D4">
        <v>81</v>
      </c>
      <c r="E4">
        <v>175</v>
      </c>
      <c r="G4">
        <v>45</v>
      </c>
      <c r="H4">
        <v>425</v>
      </c>
      <c r="I4">
        <v>470</v>
      </c>
      <c r="J4">
        <v>214</v>
      </c>
      <c r="K4">
        <v>0.4553191489361702</v>
      </c>
      <c r="L4">
        <v>1190</v>
      </c>
      <c r="M4">
        <v>330</v>
      </c>
      <c r="N4">
        <v>60</v>
      </c>
      <c r="O4">
        <v>1.0110450297366185</v>
      </c>
      <c r="P4">
        <v>1070</v>
      </c>
      <c r="Q4">
        <v>1190</v>
      </c>
      <c r="R4">
        <v>100</v>
      </c>
      <c r="X4">
        <v>120</v>
      </c>
      <c r="AD4">
        <v>54</v>
      </c>
      <c r="AZ4">
        <v>120</v>
      </c>
      <c r="BA4">
        <v>1</v>
      </c>
      <c r="BB4">
        <v>120</v>
      </c>
      <c r="BC4">
        <v>0.89915966386554624</v>
      </c>
      <c r="BD4">
        <v>0.41392649903288198</v>
      </c>
    </row>
    <row r="5" spans="1:56" x14ac:dyDescent="0.25">
      <c r="A5">
        <v>4</v>
      </c>
      <c r="B5">
        <v>1</v>
      </c>
      <c r="C5" s="227">
        <v>43470</v>
      </c>
      <c r="D5">
        <v>140</v>
      </c>
      <c r="E5">
        <v>18</v>
      </c>
      <c r="F5">
        <v>220</v>
      </c>
      <c r="G5">
        <v>0</v>
      </c>
      <c r="H5">
        <v>425</v>
      </c>
      <c r="I5">
        <v>425</v>
      </c>
      <c r="J5">
        <v>47</v>
      </c>
      <c r="K5">
        <v>0.11058823529411765</v>
      </c>
      <c r="L5">
        <v>207</v>
      </c>
      <c r="M5">
        <v>330</v>
      </c>
      <c r="N5">
        <v>60</v>
      </c>
      <c r="O5">
        <v>0.80077369439071577</v>
      </c>
      <c r="P5">
        <v>207</v>
      </c>
      <c r="Q5">
        <v>207</v>
      </c>
      <c r="R5">
        <v>100</v>
      </c>
      <c r="S5">
        <v>107</v>
      </c>
      <c r="AD5">
        <v>71</v>
      </c>
      <c r="AZ5">
        <v>0</v>
      </c>
      <c r="BA5">
        <v>1</v>
      </c>
      <c r="BB5">
        <v>0</v>
      </c>
      <c r="BC5">
        <v>1</v>
      </c>
      <c r="BD5">
        <v>8.855614973262034E-2</v>
      </c>
    </row>
    <row r="6" spans="1:56" x14ac:dyDescent="0.25">
      <c r="A6">
        <v>5</v>
      </c>
      <c r="B6">
        <v>1</v>
      </c>
      <c r="C6" s="227">
        <v>43472</v>
      </c>
      <c r="D6">
        <v>47</v>
      </c>
      <c r="E6">
        <v>41</v>
      </c>
      <c r="F6">
        <v>155</v>
      </c>
      <c r="H6">
        <v>425</v>
      </c>
      <c r="I6">
        <v>425</v>
      </c>
      <c r="J6">
        <v>182</v>
      </c>
      <c r="K6">
        <v>0.42823529411764705</v>
      </c>
      <c r="L6">
        <v>1170</v>
      </c>
      <c r="M6">
        <v>330</v>
      </c>
      <c r="N6">
        <v>60</v>
      </c>
      <c r="O6">
        <v>1.1688311688311688</v>
      </c>
      <c r="P6">
        <v>1088</v>
      </c>
      <c r="Q6">
        <v>1170</v>
      </c>
      <c r="R6">
        <v>100</v>
      </c>
      <c r="U6">
        <v>15</v>
      </c>
      <c r="X6">
        <v>33</v>
      </c>
      <c r="Y6">
        <v>12</v>
      </c>
      <c r="AD6">
        <v>15</v>
      </c>
      <c r="AS6">
        <v>37</v>
      </c>
      <c r="AZ6">
        <v>82</v>
      </c>
      <c r="BA6">
        <v>2</v>
      </c>
      <c r="BB6">
        <v>82</v>
      </c>
      <c r="BC6">
        <v>0.92991452991452994</v>
      </c>
      <c r="BD6">
        <v>0.46545454545454545</v>
      </c>
    </row>
    <row r="7" spans="1:56" x14ac:dyDescent="0.25">
      <c r="A7">
        <v>6</v>
      </c>
      <c r="B7">
        <v>2</v>
      </c>
      <c r="C7" s="227">
        <v>43472</v>
      </c>
      <c r="D7">
        <v>90</v>
      </c>
      <c r="E7">
        <v>10</v>
      </c>
      <c r="F7">
        <v>241.76</v>
      </c>
      <c r="H7">
        <v>425</v>
      </c>
      <c r="I7">
        <v>425</v>
      </c>
      <c r="J7">
        <v>83.240000000000009</v>
      </c>
      <c r="K7">
        <v>0.19585882352941178</v>
      </c>
      <c r="L7">
        <v>462</v>
      </c>
      <c r="M7">
        <v>330</v>
      </c>
      <c r="N7">
        <v>60</v>
      </c>
      <c r="O7">
        <v>1.0091302258529553</v>
      </c>
      <c r="P7">
        <v>396</v>
      </c>
      <c r="Q7">
        <v>462</v>
      </c>
      <c r="T7">
        <v>66</v>
      </c>
      <c r="AD7">
        <v>38</v>
      </c>
      <c r="AZ7">
        <v>66</v>
      </c>
      <c r="BA7">
        <v>2</v>
      </c>
      <c r="BB7">
        <v>66</v>
      </c>
      <c r="BC7">
        <v>0.8571428571428571</v>
      </c>
      <c r="BD7">
        <v>0.16941176470588235</v>
      </c>
    </row>
    <row r="8" spans="1:56" x14ac:dyDescent="0.25">
      <c r="A8">
        <v>7</v>
      </c>
      <c r="B8">
        <v>1</v>
      </c>
      <c r="C8" s="227">
        <v>43474</v>
      </c>
      <c r="F8">
        <v>525</v>
      </c>
      <c r="AZ8">
        <v>0</v>
      </c>
      <c r="BA8">
        <v>2</v>
      </c>
    </row>
    <row r="9" spans="1:56" x14ac:dyDescent="0.25">
      <c r="A9">
        <v>8</v>
      </c>
      <c r="B9">
        <v>2</v>
      </c>
      <c r="C9" s="227">
        <v>43474</v>
      </c>
      <c r="D9">
        <v>161</v>
      </c>
      <c r="G9">
        <v>50.769999999999982</v>
      </c>
      <c r="H9">
        <v>425</v>
      </c>
      <c r="I9">
        <v>475.77</v>
      </c>
      <c r="J9">
        <v>314.77</v>
      </c>
      <c r="K9">
        <v>0.66160119385417326</v>
      </c>
      <c r="L9">
        <v>1747</v>
      </c>
      <c r="M9">
        <v>330</v>
      </c>
      <c r="N9">
        <v>60</v>
      </c>
      <c r="O9">
        <v>1.0091062160827386</v>
      </c>
      <c r="P9">
        <v>1747</v>
      </c>
      <c r="Q9">
        <v>1747</v>
      </c>
      <c r="R9">
        <v>89</v>
      </c>
      <c r="AD9">
        <v>15.7</v>
      </c>
      <c r="AX9">
        <v>256</v>
      </c>
      <c r="AZ9">
        <v>256</v>
      </c>
      <c r="BA9">
        <v>2</v>
      </c>
      <c r="BB9">
        <v>0</v>
      </c>
      <c r="BC9">
        <v>1</v>
      </c>
      <c r="BD9">
        <v>0.6676258772860072</v>
      </c>
    </row>
    <row r="10" spans="1:56" x14ac:dyDescent="0.25">
      <c r="A10">
        <v>9</v>
      </c>
      <c r="B10">
        <v>1</v>
      </c>
      <c r="C10" s="227">
        <v>43475</v>
      </c>
      <c r="D10">
        <v>145</v>
      </c>
      <c r="E10">
        <v>82</v>
      </c>
      <c r="H10">
        <v>425</v>
      </c>
      <c r="I10">
        <v>425</v>
      </c>
      <c r="J10">
        <v>198</v>
      </c>
      <c r="K10">
        <v>0.46588235294117647</v>
      </c>
      <c r="L10">
        <v>863</v>
      </c>
      <c r="M10">
        <v>330</v>
      </c>
      <c r="N10">
        <v>60</v>
      </c>
      <c r="O10">
        <v>0.79247015610651972</v>
      </c>
      <c r="P10">
        <v>745</v>
      </c>
      <c r="Q10">
        <v>863</v>
      </c>
      <c r="R10">
        <v>100</v>
      </c>
      <c r="AD10">
        <v>9.4499999999999993</v>
      </c>
      <c r="AP10">
        <v>12</v>
      </c>
      <c r="AQ10">
        <v>23</v>
      </c>
      <c r="AR10">
        <v>4</v>
      </c>
      <c r="AS10">
        <v>69</v>
      </c>
      <c r="AT10">
        <v>10</v>
      </c>
      <c r="AZ10">
        <v>118</v>
      </c>
      <c r="BA10">
        <v>2</v>
      </c>
      <c r="BB10">
        <v>118</v>
      </c>
      <c r="BC10">
        <v>0.86326767091541134</v>
      </c>
      <c r="BD10">
        <v>0.31871657754010696</v>
      </c>
    </row>
    <row r="11" spans="1:56" x14ac:dyDescent="0.25">
      <c r="A11">
        <v>10</v>
      </c>
      <c r="B11">
        <v>2</v>
      </c>
      <c r="C11" s="227">
        <v>43475</v>
      </c>
      <c r="D11">
        <v>225</v>
      </c>
      <c r="E11">
        <v>11</v>
      </c>
      <c r="H11">
        <v>425</v>
      </c>
      <c r="I11">
        <v>425</v>
      </c>
      <c r="J11">
        <v>189</v>
      </c>
      <c r="K11">
        <v>0.44470588235294117</v>
      </c>
      <c r="L11">
        <v>1051</v>
      </c>
      <c r="M11">
        <v>330</v>
      </c>
      <c r="N11">
        <v>60</v>
      </c>
      <c r="O11">
        <v>1.011063011063011</v>
      </c>
      <c r="P11">
        <v>883</v>
      </c>
      <c r="Q11">
        <v>1051</v>
      </c>
      <c r="S11">
        <v>160</v>
      </c>
      <c r="U11">
        <v>138</v>
      </c>
      <c r="Y11">
        <v>7</v>
      </c>
      <c r="AD11">
        <v>69</v>
      </c>
      <c r="AE11">
        <v>17</v>
      </c>
      <c r="AF11">
        <v>6</v>
      </c>
      <c r="AZ11">
        <v>30</v>
      </c>
      <c r="BA11">
        <v>2</v>
      </c>
      <c r="BB11">
        <v>168</v>
      </c>
      <c r="BC11">
        <v>0.84015223596574695</v>
      </c>
      <c r="BD11">
        <v>0.37775401069518716</v>
      </c>
    </row>
    <row r="12" spans="1:56" x14ac:dyDescent="0.25">
      <c r="A12">
        <v>11</v>
      </c>
      <c r="B12">
        <v>1</v>
      </c>
      <c r="C12" s="227">
        <v>43476</v>
      </c>
      <c r="D12">
        <v>220</v>
      </c>
      <c r="E12">
        <v>13</v>
      </c>
      <c r="H12">
        <v>425</v>
      </c>
      <c r="I12">
        <v>425</v>
      </c>
      <c r="J12">
        <v>192</v>
      </c>
      <c r="K12">
        <v>0.45176470588235296</v>
      </c>
      <c r="L12">
        <v>1053</v>
      </c>
      <c r="M12">
        <v>330</v>
      </c>
      <c r="N12">
        <v>60</v>
      </c>
      <c r="O12">
        <v>0.99715909090909094</v>
      </c>
      <c r="P12">
        <v>1053</v>
      </c>
      <c r="Q12">
        <v>1053</v>
      </c>
      <c r="R12">
        <v>1</v>
      </c>
      <c r="AD12">
        <v>37</v>
      </c>
      <c r="AZ12">
        <v>0</v>
      </c>
      <c r="BA12">
        <v>2</v>
      </c>
      <c r="BB12">
        <v>0</v>
      </c>
      <c r="BC12">
        <v>1</v>
      </c>
      <c r="BD12">
        <v>0.45048128342245991</v>
      </c>
    </row>
    <row r="13" spans="1:56" x14ac:dyDescent="0.25">
      <c r="A13">
        <v>12</v>
      </c>
      <c r="B13">
        <v>2</v>
      </c>
      <c r="C13" s="227">
        <v>43476</v>
      </c>
      <c r="D13">
        <v>162</v>
      </c>
      <c r="E13">
        <v>3</v>
      </c>
      <c r="G13">
        <v>320</v>
      </c>
      <c r="H13">
        <v>425</v>
      </c>
      <c r="I13">
        <v>745</v>
      </c>
      <c r="J13">
        <v>580</v>
      </c>
      <c r="K13">
        <v>0.77852348993288589</v>
      </c>
      <c r="L13">
        <v>3220</v>
      </c>
      <c r="M13">
        <v>330</v>
      </c>
      <c r="N13">
        <v>60</v>
      </c>
      <c r="O13">
        <v>1.0094043887147337</v>
      </c>
      <c r="P13">
        <v>3192</v>
      </c>
      <c r="Q13">
        <v>3220</v>
      </c>
      <c r="R13">
        <v>18</v>
      </c>
      <c r="S13">
        <v>50</v>
      </c>
      <c r="AD13">
        <v>29</v>
      </c>
      <c r="AQ13">
        <v>30</v>
      </c>
      <c r="AU13">
        <v>30</v>
      </c>
      <c r="AZ13">
        <v>30</v>
      </c>
      <c r="BA13">
        <v>2</v>
      </c>
      <c r="BB13">
        <v>28</v>
      </c>
      <c r="BC13">
        <v>0.99130434782608701</v>
      </c>
      <c r="BD13">
        <v>0.77901159243441132</v>
      </c>
    </row>
    <row r="14" spans="1:56" x14ac:dyDescent="0.25">
      <c r="A14">
        <v>13</v>
      </c>
      <c r="B14">
        <v>1</v>
      </c>
      <c r="C14" s="227">
        <v>43477</v>
      </c>
      <c r="D14">
        <v>150</v>
      </c>
      <c r="E14">
        <v>80</v>
      </c>
      <c r="H14">
        <v>425</v>
      </c>
      <c r="I14">
        <v>425</v>
      </c>
      <c r="J14">
        <v>195</v>
      </c>
      <c r="K14">
        <v>0.45882352941176469</v>
      </c>
      <c r="L14">
        <v>1060</v>
      </c>
      <c r="M14">
        <v>330</v>
      </c>
      <c r="N14">
        <v>60</v>
      </c>
      <c r="O14">
        <v>0.9883449883449883</v>
      </c>
      <c r="P14">
        <v>902</v>
      </c>
      <c r="Q14">
        <v>1060</v>
      </c>
      <c r="R14">
        <v>100</v>
      </c>
      <c r="S14">
        <v>20</v>
      </c>
      <c r="W14">
        <v>32</v>
      </c>
      <c r="AD14">
        <v>9.75</v>
      </c>
      <c r="AP14">
        <v>1</v>
      </c>
      <c r="AQ14">
        <v>94</v>
      </c>
      <c r="AS14">
        <v>11</v>
      </c>
      <c r="AZ14">
        <v>138</v>
      </c>
      <c r="BA14">
        <v>2</v>
      </c>
      <c r="BB14">
        <v>158</v>
      </c>
      <c r="BC14">
        <v>0.85094339622641513</v>
      </c>
      <c r="BD14">
        <v>0.38588235294117645</v>
      </c>
    </row>
    <row r="15" spans="1:56" x14ac:dyDescent="0.25">
      <c r="A15">
        <v>14</v>
      </c>
      <c r="B15">
        <v>1</v>
      </c>
      <c r="C15" s="227">
        <v>43479</v>
      </c>
      <c r="D15">
        <v>396</v>
      </c>
      <c r="E15">
        <v>58</v>
      </c>
      <c r="H15">
        <v>525</v>
      </c>
      <c r="I15">
        <v>525</v>
      </c>
      <c r="J15">
        <v>71</v>
      </c>
      <c r="K15">
        <v>0.13523809523809524</v>
      </c>
      <c r="L15">
        <v>327</v>
      </c>
      <c r="M15">
        <v>330</v>
      </c>
      <c r="N15">
        <v>60</v>
      </c>
      <c r="O15">
        <v>0.83738796414852756</v>
      </c>
      <c r="P15">
        <v>327</v>
      </c>
      <c r="Q15">
        <v>327</v>
      </c>
      <c r="AD15">
        <v>3.55</v>
      </c>
      <c r="AX15">
        <v>322</v>
      </c>
      <c r="AZ15">
        <v>322</v>
      </c>
      <c r="BA15">
        <v>3</v>
      </c>
      <c r="BB15">
        <v>0</v>
      </c>
      <c r="BC15">
        <v>1</v>
      </c>
      <c r="BD15">
        <v>0.11324675324675325</v>
      </c>
    </row>
    <row r="16" spans="1:56" x14ac:dyDescent="0.25">
      <c r="A16">
        <v>15</v>
      </c>
      <c r="B16">
        <v>2</v>
      </c>
      <c r="C16" s="227">
        <v>43480</v>
      </c>
      <c r="D16">
        <v>39</v>
      </c>
      <c r="E16">
        <v>30</v>
      </c>
      <c r="F16">
        <v>180</v>
      </c>
      <c r="H16">
        <v>425</v>
      </c>
      <c r="I16">
        <v>425</v>
      </c>
      <c r="J16">
        <v>202</v>
      </c>
      <c r="K16">
        <v>0.47529411764705881</v>
      </c>
      <c r="L16">
        <v>1125</v>
      </c>
      <c r="M16">
        <v>330</v>
      </c>
      <c r="N16">
        <v>60</v>
      </c>
      <c r="O16">
        <v>1.0126012601260126</v>
      </c>
      <c r="P16">
        <v>1035</v>
      </c>
      <c r="Q16">
        <v>1125</v>
      </c>
      <c r="R16">
        <v>100</v>
      </c>
      <c r="U16">
        <v>1</v>
      </c>
      <c r="V16">
        <v>75</v>
      </c>
      <c r="X16">
        <v>9</v>
      </c>
      <c r="AD16">
        <v>22</v>
      </c>
      <c r="AT16">
        <v>6</v>
      </c>
      <c r="AZ16">
        <v>90</v>
      </c>
      <c r="BA16">
        <v>3</v>
      </c>
      <c r="BB16">
        <v>90</v>
      </c>
      <c r="BC16">
        <v>0.92</v>
      </c>
      <c r="BD16">
        <v>0.44278074866310163</v>
      </c>
    </row>
    <row r="17" spans="1:56" x14ac:dyDescent="0.25">
      <c r="A17">
        <v>16</v>
      </c>
      <c r="B17">
        <v>1</v>
      </c>
      <c r="C17" s="227">
        <v>43481</v>
      </c>
      <c r="D17">
        <v>46</v>
      </c>
      <c r="E17">
        <v>54</v>
      </c>
      <c r="H17">
        <v>425</v>
      </c>
      <c r="I17">
        <v>425</v>
      </c>
      <c r="J17">
        <v>325</v>
      </c>
      <c r="K17">
        <v>0.76470588235294112</v>
      </c>
      <c r="L17">
        <v>1949</v>
      </c>
      <c r="M17">
        <v>330</v>
      </c>
      <c r="N17">
        <v>60</v>
      </c>
      <c r="O17">
        <v>1.0903496503496504</v>
      </c>
      <c r="P17">
        <v>1751</v>
      </c>
      <c r="Q17">
        <v>1949</v>
      </c>
      <c r="R17">
        <v>100</v>
      </c>
      <c r="V17">
        <v>82</v>
      </c>
      <c r="W17">
        <v>7</v>
      </c>
      <c r="AH17">
        <v>16</v>
      </c>
      <c r="AP17">
        <v>59</v>
      </c>
      <c r="AS17">
        <v>33</v>
      </c>
      <c r="AT17">
        <v>1</v>
      </c>
      <c r="AZ17">
        <v>198</v>
      </c>
      <c r="BA17">
        <v>3</v>
      </c>
      <c r="BB17">
        <v>198</v>
      </c>
      <c r="BC17">
        <v>0.89840944073884044</v>
      </c>
      <c r="BD17">
        <v>0.74909090909090903</v>
      </c>
    </row>
    <row r="18" spans="1:56" x14ac:dyDescent="0.25">
      <c r="A18">
        <v>17</v>
      </c>
      <c r="B18">
        <v>2</v>
      </c>
      <c r="C18" s="227">
        <v>43481</v>
      </c>
      <c r="D18">
        <v>53</v>
      </c>
      <c r="E18">
        <v>84</v>
      </c>
      <c r="H18">
        <v>425</v>
      </c>
      <c r="I18">
        <v>425</v>
      </c>
      <c r="J18">
        <v>288</v>
      </c>
      <c r="K18">
        <v>0.67764705882352938</v>
      </c>
      <c r="L18">
        <v>1758</v>
      </c>
      <c r="M18">
        <v>330</v>
      </c>
      <c r="N18">
        <v>60</v>
      </c>
      <c r="O18">
        <v>1.1098484848484849</v>
      </c>
      <c r="P18">
        <v>1668</v>
      </c>
      <c r="Q18">
        <v>1758</v>
      </c>
      <c r="V18">
        <v>19</v>
      </c>
      <c r="AK18">
        <v>4</v>
      </c>
      <c r="AL18">
        <v>20</v>
      </c>
      <c r="AP18">
        <v>5</v>
      </c>
      <c r="AQ18">
        <v>8</v>
      </c>
      <c r="AR18">
        <v>24</v>
      </c>
      <c r="AS18">
        <v>10</v>
      </c>
      <c r="AZ18">
        <v>90</v>
      </c>
      <c r="BA18">
        <v>3</v>
      </c>
      <c r="BB18">
        <v>90</v>
      </c>
      <c r="BC18">
        <v>0.94880546075085326</v>
      </c>
      <c r="BD18">
        <v>0.7135828877005348</v>
      </c>
    </row>
    <row r="19" spans="1:56" x14ac:dyDescent="0.25">
      <c r="A19">
        <v>18</v>
      </c>
      <c r="B19">
        <v>1</v>
      </c>
      <c r="C19" s="227">
        <v>43482</v>
      </c>
      <c r="F19">
        <v>124</v>
      </c>
      <c r="H19">
        <v>425</v>
      </c>
      <c r="I19">
        <v>425</v>
      </c>
      <c r="J19">
        <v>301</v>
      </c>
      <c r="K19">
        <v>0.70823529411764707</v>
      </c>
      <c r="L19">
        <v>544</v>
      </c>
      <c r="M19">
        <v>330</v>
      </c>
      <c r="N19">
        <v>60</v>
      </c>
      <c r="O19">
        <v>0.32860163092721234</v>
      </c>
      <c r="P19">
        <v>428</v>
      </c>
      <c r="Q19">
        <v>544</v>
      </c>
      <c r="R19">
        <v>100</v>
      </c>
      <c r="W19">
        <v>3</v>
      </c>
      <c r="Y19">
        <v>22</v>
      </c>
      <c r="AE19">
        <v>79</v>
      </c>
      <c r="AL19">
        <v>12</v>
      </c>
      <c r="AZ19">
        <v>116</v>
      </c>
      <c r="BA19">
        <v>3</v>
      </c>
      <c r="BB19">
        <v>116</v>
      </c>
      <c r="BC19">
        <v>0.78676470588235292</v>
      </c>
      <c r="BD19">
        <v>0.18310160427807487</v>
      </c>
    </row>
    <row r="20" spans="1:56" x14ac:dyDescent="0.25">
      <c r="A20">
        <v>19</v>
      </c>
      <c r="B20">
        <v>2</v>
      </c>
      <c r="C20" s="227">
        <v>43482</v>
      </c>
      <c r="D20">
        <v>2</v>
      </c>
      <c r="E20">
        <v>80</v>
      </c>
      <c r="H20">
        <v>425</v>
      </c>
      <c r="I20">
        <v>425</v>
      </c>
      <c r="J20">
        <v>343</v>
      </c>
      <c r="K20">
        <v>0.80705882352941172</v>
      </c>
      <c r="L20">
        <v>1923</v>
      </c>
      <c r="M20">
        <v>330</v>
      </c>
      <c r="N20">
        <v>60</v>
      </c>
      <c r="O20">
        <v>1.0193479989398357</v>
      </c>
      <c r="P20">
        <v>1709</v>
      </c>
      <c r="Q20">
        <v>1923</v>
      </c>
      <c r="S20">
        <v>38</v>
      </c>
      <c r="V20">
        <v>13</v>
      </c>
      <c r="W20">
        <v>62</v>
      </c>
      <c r="AH20">
        <v>7</v>
      </c>
      <c r="AO20">
        <v>7</v>
      </c>
      <c r="AQ20">
        <v>29</v>
      </c>
      <c r="AR20">
        <v>6</v>
      </c>
      <c r="AS20">
        <v>1</v>
      </c>
      <c r="AT20">
        <v>10</v>
      </c>
      <c r="AX20">
        <v>86</v>
      </c>
      <c r="AZ20">
        <v>214</v>
      </c>
      <c r="BA20">
        <v>3</v>
      </c>
      <c r="BB20">
        <v>214</v>
      </c>
      <c r="BC20">
        <v>0.88871554862194491</v>
      </c>
      <c r="BD20">
        <v>0.73112299465240638</v>
      </c>
    </row>
    <row r="21" spans="1:56" x14ac:dyDescent="0.25">
      <c r="A21">
        <v>20</v>
      </c>
      <c r="B21">
        <v>1</v>
      </c>
      <c r="C21" s="227">
        <v>43483</v>
      </c>
      <c r="E21">
        <v>152</v>
      </c>
      <c r="H21">
        <v>425</v>
      </c>
      <c r="I21">
        <v>425</v>
      </c>
      <c r="J21">
        <v>273</v>
      </c>
      <c r="K21">
        <v>0.64235294117647057</v>
      </c>
      <c r="L21">
        <v>1840</v>
      </c>
      <c r="M21">
        <v>330</v>
      </c>
      <c r="N21">
        <v>60</v>
      </c>
      <c r="O21">
        <v>1.2254412254412255</v>
      </c>
      <c r="P21">
        <v>1736</v>
      </c>
      <c r="Q21">
        <v>1840</v>
      </c>
      <c r="R21">
        <v>100</v>
      </c>
      <c r="AH21">
        <v>1</v>
      </c>
      <c r="AI21">
        <v>2</v>
      </c>
      <c r="AP21">
        <v>29</v>
      </c>
      <c r="AR21">
        <v>2</v>
      </c>
      <c r="AS21">
        <v>58</v>
      </c>
      <c r="AT21">
        <v>12</v>
      </c>
      <c r="AU21">
        <v>4</v>
      </c>
      <c r="AZ21">
        <v>104</v>
      </c>
      <c r="BA21">
        <v>3</v>
      </c>
      <c r="BB21">
        <v>104</v>
      </c>
      <c r="BC21">
        <v>0.94347826086956521</v>
      </c>
      <c r="BD21">
        <v>0.74267379679144385</v>
      </c>
    </row>
    <row r="22" spans="1:56" x14ac:dyDescent="0.25">
      <c r="A22">
        <v>21</v>
      </c>
      <c r="B22">
        <v>2</v>
      </c>
      <c r="C22" s="227">
        <v>43483</v>
      </c>
      <c r="D22">
        <v>259</v>
      </c>
      <c r="F22">
        <v>138</v>
      </c>
      <c r="H22">
        <v>425</v>
      </c>
      <c r="I22">
        <v>425</v>
      </c>
      <c r="J22">
        <v>112.61</v>
      </c>
      <c r="K22">
        <v>0.26496470588235294</v>
      </c>
      <c r="L22">
        <v>625</v>
      </c>
      <c r="M22">
        <v>330</v>
      </c>
      <c r="N22">
        <v>60</v>
      </c>
      <c r="O22">
        <v>1.0091143205431456</v>
      </c>
      <c r="P22">
        <v>457</v>
      </c>
      <c r="Q22">
        <v>625</v>
      </c>
      <c r="V22">
        <v>10</v>
      </c>
      <c r="W22">
        <v>23</v>
      </c>
      <c r="AP22">
        <v>4</v>
      </c>
      <c r="AR22">
        <v>6</v>
      </c>
      <c r="AS22">
        <v>69</v>
      </c>
      <c r="AT22">
        <v>2</v>
      </c>
      <c r="AU22">
        <v>7</v>
      </c>
      <c r="AX22">
        <v>54</v>
      </c>
      <c r="AZ22">
        <v>168</v>
      </c>
      <c r="BA22">
        <v>3</v>
      </c>
      <c r="BB22">
        <v>168</v>
      </c>
      <c r="BC22">
        <v>0.73119999999999996</v>
      </c>
      <c r="BD22">
        <v>0.19550802139037429</v>
      </c>
    </row>
    <row r="23" spans="1:56" x14ac:dyDescent="0.25">
      <c r="A23">
        <v>22</v>
      </c>
      <c r="B23">
        <v>2</v>
      </c>
      <c r="C23" s="227">
        <v>43484</v>
      </c>
      <c r="D23">
        <v>163</v>
      </c>
      <c r="E23">
        <v>123</v>
      </c>
      <c r="G23">
        <v>105.69999999999999</v>
      </c>
      <c r="H23">
        <v>525</v>
      </c>
      <c r="I23">
        <v>630.70000000000005</v>
      </c>
      <c r="J23">
        <v>344.70000000000005</v>
      </c>
      <c r="K23">
        <v>0.54653559537022356</v>
      </c>
      <c r="L23">
        <v>1724</v>
      </c>
      <c r="M23">
        <v>330</v>
      </c>
      <c r="N23">
        <v>60</v>
      </c>
      <c r="O23">
        <v>0.90935464303610514</v>
      </c>
      <c r="P23">
        <v>1671</v>
      </c>
      <c r="Q23">
        <v>1724</v>
      </c>
      <c r="R23">
        <v>100</v>
      </c>
      <c r="V23">
        <v>3</v>
      </c>
      <c r="W23">
        <v>30</v>
      </c>
      <c r="X23">
        <v>20</v>
      </c>
      <c r="AZ23">
        <v>53</v>
      </c>
      <c r="BA23">
        <v>3</v>
      </c>
      <c r="BB23">
        <v>53</v>
      </c>
      <c r="BC23">
        <v>0.96925754060324831</v>
      </c>
      <c r="BD23">
        <v>0.48171584242616428</v>
      </c>
    </row>
    <row r="24" spans="1:56" x14ac:dyDescent="0.25">
      <c r="A24">
        <v>23</v>
      </c>
      <c r="B24">
        <v>2</v>
      </c>
      <c r="C24" s="227">
        <v>43486</v>
      </c>
      <c r="D24">
        <v>20</v>
      </c>
      <c r="H24">
        <v>425</v>
      </c>
      <c r="I24">
        <v>425</v>
      </c>
      <c r="J24">
        <v>405</v>
      </c>
      <c r="K24">
        <v>0.95294117647058818</v>
      </c>
      <c r="L24">
        <v>2253</v>
      </c>
      <c r="M24">
        <v>330</v>
      </c>
      <c r="N24">
        <v>60</v>
      </c>
      <c r="O24">
        <v>1.0114478114478114</v>
      </c>
      <c r="P24">
        <v>2212</v>
      </c>
      <c r="Q24">
        <v>2253</v>
      </c>
      <c r="R24">
        <v>100</v>
      </c>
      <c r="AH24">
        <v>11</v>
      </c>
      <c r="AO24">
        <v>5</v>
      </c>
      <c r="AP24">
        <v>3</v>
      </c>
      <c r="AQ24">
        <v>1</v>
      </c>
      <c r="AR24">
        <v>13</v>
      </c>
      <c r="AS24">
        <v>9</v>
      </c>
      <c r="AT24">
        <v>4</v>
      </c>
      <c r="AV24">
        <v>6</v>
      </c>
      <c r="AZ24">
        <v>41</v>
      </c>
      <c r="BA24">
        <v>4</v>
      </c>
      <c r="BB24">
        <v>41</v>
      </c>
      <c r="BC24">
        <v>0.98180204172214824</v>
      </c>
      <c r="BD24">
        <v>0.94631016042780736</v>
      </c>
    </row>
    <row r="25" spans="1:56" x14ac:dyDescent="0.25">
      <c r="A25">
        <v>24</v>
      </c>
      <c r="B25">
        <v>2</v>
      </c>
      <c r="C25" s="227">
        <v>43487</v>
      </c>
      <c r="D25">
        <v>166</v>
      </c>
      <c r="E25">
        <v>98</v>
      </c>
      <c r="F25">
        <v>80</v>
      </c>
      <c r="G25">
        <v>270</v>
      </c>
      <c r="H25">
        <v>425</v>
      </c>
      <c r="I25">
        <v>695</v>
      </c>
      <c r="J25">
        <v>351</v>
      </c>
      <c r="K25">
        <v>0.50503597122302157</v>
      </c>
      <c r="L25">
        <v>1910</v>
      </c>
      <c r="M25">
        <v>330</v>
      </c>
      <c r="N25">
        <v>60</v>
      </c>
      <c r="O25">
        <v>0.98938098938098951</v>
      </c>
      <c r="P25">
        <v>1910</v>
      </c>
      <c r="Q25">
        <v>1910</v>
      </c>
      <c r="S25">
        <v>104</v>
      </c>
      <c r="AQ25">
        <v>3</v>
      </c>
      <c r="AR25">
        <v>10</v>
      </c>
      <c r="AS25">
        <v>47</v>
      </c>
      <c r="AT25">
        <v>1</v>
      </c>
      <c r="AV25">
        <v>14</v>
      </c>
      <c r="AZ25">
        <v>61</v>
      </c>
      <c r="BA25">
        <v>4</v>
      </c>
      <c r="BB25">
        <v>61</v>
      </c>
      <c r="BC25">
        <v>1</v>
      </c>
      <c r="BD25">
        <v>0.49967298888162204</v>
      </c>
    </row>
    <row r="26" spans="1:56" x14ac:dyDescent="0.25">
      <c r="A26">
        <v>25</v>
      </c>
      <c r="B26">
        <v>2</v>
      </c>
      <c r="C26" s="227">
        <v>43488</v>
      </c>
      <c r="D26">
        <v>116</v>
      </c>
      <c r="E26">
        <v>12</v>
      </c>
      <c r="F26">
        <v>23</v>
      </c>
      <c r="H26">
        <v>375</v>
      </c>
      <c r="I26">
        <v>375</v>
      </c>
      <c r="J26">
        <v>224</v>
      </c>
      <c r="K26">
        <v>0.59733333333333338</v>
      </c>
      <c r="L26">
        <v>1243</v>
      </c>
      <c r="M26">
        <v>330</v>
      </c>
      <c r="N26">
        <v>60</v>
      </c>
      <c r="O26">
        <v>1.0089285714285714</v>
      </c>
      <c r="P26">
        <v>1170</v>
      </c>
      <c r="Q26">
        <v>1243</v>
      </c>
      <c r="R26">
        <v>72</v>
      </c>
      <c r="AP26">
        <v>2</v>
      </c>
      <c r="AS26">
        <v>66</v>
      </c>
      <c r="AT26">
        <v>5</v>
      </c>
      <c r="AV26">
        <v>3</v>
      </c>
      <c r="AZ26">
        <v>73</v>
      </c>
      <c r="BA26">
        <v>4</v>
      </c>
      <c r="BB26">
        <v>73</v>
      </c>
      <c r="BC26">
        <v>0.94127111826226872</v>
      </c>
      <c r="BD26">
        <v>0.56727272727272726</v>
      </c>
    </row>
    <row r="27" spans="1:56" x14ac:dyDescent="0.25">
      <c r="A27">
        <v>26</v>
      </c>
      <c r="B27">
        <v>2</v>
      </c>
      <c r="C27" s="227">
        <v>43489</v>
      </c>
      <c r="D27">
        <v>104</v>
      </c>
      <c r="E27">
        <v>25</v>
      </c>
      <c r="F27">
        <v>26</v>
      </c>
      <c r="H27">
        <v>375</v>
      </c>
      <c r="I27">
        <v>375</v>
      </c>
      <c r="J27">
        <v>220</v>
      </c>
      <c r="K27">
        <v>0.58666666666666667</v>
      </c>
      <c r="L27">
        <v>1222</v>
      </c>
      <c r="M27">
        <v>330</v>
      </c>
      <c r="N27">
        <v>60</v>
      </c>
      <c r="O27">
        <v>1.0099173553719007</v>
      </c>
      <c r="P27">
        <v>1144</v>
      </c>
      <c r="Q27">
        <v>1222</v>
      </c>
      <c r="R27">
        <v>100</v>
      </c>
      <c r="S27">
        <v>57</v>
      </c>
      <c r="AH27">
        <v>1</v>
      </c>
      <c r="AO27">
        <v>8</v>
      </c>
      <c r="AP27">
        <v>7</v>
      </c>
      <c r="AR27">
        <v>33</v>
      </c>
      <c r="AS27">
        <v>36</v>
      </c>
      <c r="AT27">
        <v>1</v>
      </c>
      <c r="AV27">
        <v>11</v>
      </c>
      <c r="AZ27">
        <v>78</v>
      </c>
      <c r="BA27">
        <v>4</v>
      </c>
      <c r="BB27">
        <v>78</v>
      </c>
      <c r="BC27">
        <v>0.93617021276595747</v>
      </c>
      <c r="BD27">
        <v>0.55466666666666664</v>
      </c>
    </row>
    <row r="28" spans="1:56" x14ac:dyDescent="0.25">
      <c r="A28">
        <v>27</v>
      </c>
      <c r="B28">
        <v>2</v>
      </c>
      <c r="C28" s="227">
        <v>43490</v>
      </c>
      <c r="G28">
        <v>185</v>
      </c>
      <c r="H28">
        <v>425</v>
      </c>
      <c r="I28">
        <v>610</v>
      </c>
      <c r="J28">
        <v>610</v>
      </c>
      <c r="K28">
        <v>1</v>
      </c>
      <c r="L28">
        <v>3368</v>
      </c>
      <c r="M28">
        <v>330</v>
      </c>
      <c r="N28">
        <v>60</v>
      </c>
      <c r="O28">
        <v>1.0038748137108793</v>
      </c>
      <c r="P28">
        <v>3121</v>
      </c>
      <c r="Q28">
        <v>3368</v>
      </c>
      <c r="R28">
        <v>100</v>
      </c>
      <c r="S28">
        <v>165</v>
      </c>
      <c r="U28">
        <v>4</v>
      </c>
      <c r="W28">
        <v>1</v>
      </c>
      <c r="X28">
        <v>1</v>
      </c>
      <c r="AF28">
        <v>5</v>
      </c>
      <c r="AG28">
        <v>11</v>
      </c>
      <c r="AH28">
        <v>39</v>
      </c>
      <c r="AI28">
        <v>1</v>
      </c>
      <c r="AK28">
        <v>36</v>
      </c>
      <c r="AO28">
        <v>12</v>
      </c>
      <c r="AP28">
        <v>29</v>
      </c>
      <c r="AR28">
        <v>17</v>
      </c>
      <c r="AS28">
        <v>100</v>
      </c>
      <c r="AT28">
        <v>7</v>
      </c>
      <c r="AV28">
        <v>3</v>
      </c>
      <c r="AZ28">
        <v>247</v>
      </c>
      <c r="BA28">
        <v>4</v>
      </c>
      <c r="BB28">
        <v>247</v>
      </c>
      <c r="BC28">
        <v>0.92666270783847982</v>
      </c>
      <c r="BD28">
        <v>0.93025335320417291</v>
      </c>
    </row>
    <row r="29" spans="1:56" x14ac:dyDescent="0.25">
      <c r="A29">
        <v>28</v>
      </c>
      <c r="B29">
        <v>2</v>
      </c>
      <c r="C29" s="227">
        <v>43493</v>
      </c>
      <c r="D29">
        <v>25</v>
      </c>
      <c r="H29">
        <v>375</v>
      </c>
      <c r="I29">
        <v>375</v>
      </c>
      <c r="J29">
        <v>350</v>
      </c>
      <c r="K29">
        <v>0.93333333333333335</v>
      </c>
      <c r="L29">
        <v>1945</v>
      </c>
      <c r="M29">
        <v>330</v>
      </c>
      <c r="N29">
        <v>60</v>
      </c>
      <c r="O29">
        <v>1.0103896103896104</v>
      </c>
      <c r="P29">
        <v>1935</v>
      </c>
      <c r="Q29">
        <v>1945</v>
      </c>
      <c r="R29">
        <v>100</v>
      </c>
      <c r="S29">
        <v>75</v>
      </c>
      <c r="AR29">
        <v>2</v>
      </c>
      <c r="AS29">
        <v>8</v>
      </c>
      <c r="AV29">
        <v>4</v>
      </c>
      <c r="AZ29">
        <v>10</v>
      </c>
      <c r="BA29">
        <v>5</v>
      </c>
      <c r="BB29">
        <v>10</v>
      </c>
      <c r="BC29">
        <v>0.99485861182519275</v>
      </c>
      <c r="BD29">
        <v>0.93818181818181812</v>
      </c>
    </row>
    <row r="30" spans="1:56" x14ac:dyDescent="0.25">
      <c r="A30">
        <v>29</v>
      </c>
      <c r="B30">
        <v>2</v>
      </c>
      <c r="C30" s="227">
        <v>43494</v>
      </c>
      <c r="G30">
        <v>122</v>
      </c>
      <c r="H30">
        <v>375</v>
      </c>
      <c r="I30">
        <v>497</v>
      </c>
      <c r="J30">
        <v>497</v>
      </c>
      <c r="K30">
        <v>1</v>
      </c>
      <c r="L30">
        <v>2759</v>
      </c>
      <c r="M30">
        <v>330</v>
      </c>
      <c r="N30">
        <v>60</v>
      </c>
      <c r="O30">
        <v>1.0093286994695447</v>
      </c>
      <c r="P30">
        <v>2575</v>
      </c>
      <c r="Q30">
        <v>2759</v>
      </c>
      <c r="R30">
        <v>100</v>
      </c>
      <c r="S30">
        <v>84</v>
      </c>
      <c r="AH30">
        <v>2</v>
      </c>
      <c r="AO30">
        <v>13</v>
      </c>
      <c r="AR30">
        <v>11</v>
      </c>
      <c r="AS30">
        <v>38</v>
      </c>
      <c r="AT30">
        <v>1</v>
      </c>
      <c r="AV30">
        <v>34</v>
      </c>
      <c r="AZ30">
        <v>52</v>
      </c>
      <c r="BA30">
        <v>5</v>
      </c>
      <c r="BB30">
        <v>52</v>
      </c>
      <c r="BC30">
        <v>0.9333091699891265</v>
      </c>
      <c r="BD30">
        <v>0.94201573074812528</v>
      </c>
    </row>
    <row r="31" spans="1:56" x14ac:dyDescent="0.25">
      <c r="A31">
        <v>30</v>
      </c>
      <c r="B31">
        <v>2</v>
      </c>
      <c r="C31" s="227">
        <v>43495</v>
      </c>
      <c r="D31">
        <v>230</v>
      </c>
      <c r="E31">
        <v>24</v>
      </c>
      <c r="H31">
        <v>375</v>
      </c>
      <c r="I31">
        <v>375</v>
      </c>
      <c r="J31">
        <v>121</v>
      </c>
      <c r="K31">
        <v>0.32266666666666666</v>
      </c>
      <c r="L31">
        <v>674</v>
      </c>
      <c r="M31">
        <v>330</v>
      </c>
      <c r="N31">
        <v>60</v>
      </c>
      <c r="O31">
        <v>1.0127723516153269</v>
      </c>
      <c r="P31">
        <v>626</v>
      </c>
      <c r="Q31">
        <v>674</v>
      </c>
      <c r="R31" t="s">
        <v>1683</v>
      </c>
      <c r="AK31">
        <v>12</v>
      </c>
      <c r="AO31">
        <v>10</v>
      </c>
      <c r="AP31">
        <v>2</v>
      </c>
      <c r="AR31">
        <v>11</v>
      </c>
      <c r="AS31">
        <v>23</v>
      </c>
      <c r="AU31">
        <v>2</v>
      </c>
      <c r="AV31">
        <v>2</v>
      </c>
      <c r="AZ31">
        <v>48</v>
      </c>
      <c r="BA31">
        <v>5</v>
      </c>
      <c r="BB31">
        <v>48</v>
      </c>
      <c r="BC31">
        <v>0.92878338278931749</v>
      </c>
      <c r="BD31">
        <v>0.30351515151515152</v>
      </c>
    </row>
    <row r="32" spans="1:56" x14ac:dyDescent="0.25">
      <c r="A32">
        <v>31</v>
      </c>
      <c r="B32">
        <v>2</v>
      </c>
      <c r="C32" s="227">
        <v>43496</v>
      </c>
      <c r="G32">
        <v>154</v>
      </c>
      <c r="H32">
        <v>375</v>
      </c>
      <c r="I32">
        <v>529</v>
      </c>
      <c r="J32">
        <v>529</v>
      </c>
      <c r="K32">
        <v>1</v>
      </c>
      <c r="L32">
        <v>2936</v>
      </c>
      <c r="M32">
        <v>330</v>
      </c>
      <c r="N32">
        <v>60</v>
      </c>
      <c r="O32">
        <v>1.0091080941742567</v>
      </c>
      <c r="P32">
        <v>2936</v>
      </c>
      <c r="Q32">
        <v>2936</v>
      </c>
      <c r="R32">
        <v>100</v>
      </c>
      <c r="S32">
        <v>98</v>
      </c>
      <c r="AP32">
        <v>59</v>
      </c>
      <c r="AR32">
        <v>38</v>
      </c>
      <c r="AS32">
        <v>14</v>
      </c>
      <c r="AV32">
        <v>11</v>
      </c>
      <c r="AZ32">
        <v>111</v>
      </c>
      <c r="BA32">
        <v>5</v>
      </c>
      <c r="BB32">
        <v>111</v>
      </c>
      <c r="BC32">
        <v>1</v>
      </c>
      <c r="BD32">
        <v>1.0091080941742567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4">
    <tabColor theme="1"/>
  </sheetPr>
  <dimension ref="A17:BP88"/>
  <sheetViews>
    <sheetView zoomScale="55" zoomScaleNormal="55" workbookViewId="0">
      <selection activeCell="K35" sqref="K35"/>
    </sheetView>
  </sheetViews>
  <sheetFormatPr baseColWidth="10" defaultColWidth="11.42578125" defaultRowHeight="15" x14ac:dyDescent="0.25"/>
  <cols>
    <col min="1" max="1" width="26.140625" bestFit="1" customWidth="1"/>
    <col min="2" max="2" width="22.28515625" style="67" bestFit="1" customWidth="1"/>
    <col min="3" max="3" width="23.28515625" customWidth="1"/>
    <col min="4" max="4" width="32.85546875" customWidth="1"/>
    <col min="5" max="5" width="26.85546875" customWidth="1"/>
    <col min="6" max="6" width="26.42578125" customWidth="1"/>
    <col min="7" max="7" width="33.7109375" bestFit="1" customWidth="1"/>
    <col min="8" max="8" width="23.5703125" bestFit="1" customWidth="1"/>
    <col min="9" max="9" width="15.28515625" customWidth="1"/>
    <col min="10" max="10" width="24.140625" customWidth="1"/>
    <col min="11" max="11" width="16.85546875" customWidth="1"/>
    <col min="12" max="12" width="24.7109375" customWidth="1"/>
    <col min="13" max="13" width="27.7109375" customWidth="1"/>
    <col min="14" max="14" width="17.42578125" customWidth="1"/>
    <col min="15" max="15" width="16.5703125" customWidth="1"/>
    <col min="16" max="16" width="26.140625" bestFit="1" customWidth="1"/>
    <col min="17" max="17" width="39.5703125" style="67" bestFit="1" customWidth="1"/>
    <col min="18" max="18" width="19.5703125" bestFit="1" customWidth="1"/>
    <col min="19" max="19" width="19.85546875" bestFit="1" customWidth="1"/>
    <col min="20" max="20" width="30.28515625" customWidth="1"/>
    <col min="21" max="21" width="22.5703125" customWidth="1"/>
    <col min="22" max="22" width="25.28515625" customWidth="1"/>
    <col min="23" max="23" width="20.42578125" customWidth="1"/>
    <col min="24" max="24" width="26.5703125" bestFit="1" customWidth="1"/>
    <col min="25" max="25" width="20.28515625" bestFit="1" customWidth="1"/>
    <col min="27" max="27" width="26.140625" bestFit="1" customWidth="1"/>
    <col min="28" max="28" width="39.5703125" bestFit="1" customWidth="1"/>
    <col min="29" max="29" width="14.42578125" bestFit="1" customWidth="1"/>
    <col min="30" max="38" width="10.85546875" bestFit="1" customWidth="1"/>
    <col min="39" max="39" width="26.140625" bestFit="1" customWidth="1"/>
    <col min="40" max="40" width="38" bestFit="1" customWidth="1"/>
    <col min="41" max="41" width="19.5703125" bestFit="1" customWidth="1"/>
    <col min="42" max="42" width="39.5703125" bestFit="1" customWidth="1"/>
    <col min="43" max="50" width="10.85546875" bestFit="1" customWidth="1"/>
    <col min="51" max="51" width="10.85546875" customWidth="1"/>
    <col min="52" max="52" width="10.85546875" bestFit="1" customWidth="1"/>
    <col min="53" max="59" width="3.7109375" bestFit="1" customWidth="1"/>
    <col min="60" max="66" width="5.28515625" bestFit="1" customWidth="1"/>
    <col min="67" max="67" width="44.5703125" bestFit="1" customWidth="1"/>
    <col min="68" max="68" width="23.5703125" bestFit="1" customWidth="1"/>
    <col min="69" max="69" width="29.42578125" bestFit="1" customWidth="1"/>
    <col min="70" max="70" width="26.5703125" bestFit="1" customWidth="1"/>
    <col min="71" max="71" width="28" bestFit="1" customWidth="1"/>
    <col min="72" max="72" width="40.85546875" bestFit="1" customWidth="1"/>
    <col min="73" max="73" width="35.42578125" bestFit="1" customWidth="1"/>
    <col min="74" max="74" width="31.5703125" bestFit="1" customWidth="1"/>
    <col min="75" max="75" width="31.85546875" bestFit="1" customWidth="1"/>
    <col min="76" max="76" width="31.140625" bestFit="1" customWidth="1"/>
    <col min="77" max="77" width="32.85546875" bestFit="1" customWidth="1"/>
    <col min="78" max="78" width="42.7109375" bestFit="1" customWidth="1"/>
    <col min="79" max="79" width="40" bestFit="1" customWidth="1"/>
    <col min="80" max="80" width="33.7109375" bestFit="1" customWidth="1"/>
    <col min="81" max="81" width="47.140625" bestFit="1" customWidth="1"/>
    <col min="82" max="82" width="51.42578125" bestFit="1" customWidth="1"/>
    <col min="83" max="83" width="42.42578125" bestFit="1" customWidth="1"/>
    <col min="84" max="85" width="47.28515625" bestFit="1" customWidth="1"/>
    <col min="86" max="96" width="5.28515625" bestFit="1" customWidth="1"/>
    <col min="97" max="97" width="17.85546875" bestFit="1" customWidth="1"/>
    <col min="98" max="249" width="10.85546875" bestFit="1" customWidth="1"/>
    <col min="250" max="250" width="11" bestFit="1" customWidth="1"/>
    <col min="251" max="251" width="12.5703125" bestFit="1" customWidth="1"/>
  </cols>
  <sheetData>
    <row r="17" spans="1:68" x14ac:dyDescent="0.25">
      <c r="BO17" s="63" t="s">
        <v>1611</v>
      </c>
      <c r="BP17" t="s">
        <v>1735</v>
      </c>
    </row>
    <row r="18" spans="1:68" x14ac:dyDescent="0.25">
      <c r="BO18" s="63" t="s">
        <v>12</v>
      </c>
      <c r="BP18" t="s">
        <v>1737</v>
      </c>
    </row>
    <row r="20" spans="1:68" x14ac:dyDescent="0.25">
      <c r="A20" s="63" t="s">
        <v>1657</v>
      </c>
      <c r="B20" s="68" t="s">
        <v>1606</v>
      </c>
      <c r="G20" s="63" t="s">
        <v>12</v>
      </c>
      <c r="H20" t="s">
        <v>1735</v>
      </c>
      <c r="P20" s="63" t="s">
        <v>1657</v>
      </c>
      <c r="Q20" t="s">
        <v>1722</v>
      </c>
      <c r="R20" t="s">
        <v>1724</v>
      </c>
      <c r="S20" t="s">
        <v>1606</v>
      </c>
      <c r="AA20" s="63" t="s">
        <v>1657</v>
      </c>
      <c r="AB20" t="s">
        <v>1609</v>
      </c>
      <c r="AM20" s="63" t="s">
        <v>1657</v>
      </c>
      <c r="AN20" t="s">
        <v>1723</v>
      </c>
      <c r="AO20" t="s">
        <v>1724</v>
      </c>
      <c r="AP20" t="s">
        <v>1609</v>
      </c>
      <c r="BO20" s="63" t="s">
        <v>1607</v>
      </c>
    </row>
    <row r="21" spans="1:68" x14ac:dyDescent="0.25">
      <c r="A21" s="52" t="s">
        <v>1610</v>
      </c>
      <c r="B21" s="68">
        <v>56578.947368421053</v>
      </c>
      <c r="P21" s="52">
        <v>1</v>
      </c>
      <c r="Q21" s="68">
        <v>3329</v>
      </c>
      <c r="R21" s="68">
        <v>120</v>
      </c>
      <c r="S21" s="68">
        <v>36046.860919194958</v>
      </c>
      <c r="AA21" s="52" t="s">
        <v>1610</v>
      </c>
      <c r="AB21" s="68">
        <v>254.06504065040653</v>
      </c>
      <c r="AM21" s="52">
        <v>1</v>
      </c>
      <c r="AN21" s="179">
        <v>1644</v>
      </c>
      <c r="AO21" s="179">
        <v>0</v>
      </c>
      <c r="AP21" s="179">
        <v>0</v>
      </c>
      <c r="BO21" s="52" t="s">
        <v>1612</v>
      </c>
      <c r="BP21">
        <v>9</v>
      </c>
    </row>
    <row r="22" spans="1:68" x14ac:dyDescent="0.25">
      <c r="A22" s="52" t="s">
        <v>1712</v>
      </c>
      <c r="B22" s="68">
        <v>40790.374645407413</v>
      </c>
      <c r="G22" s="63" t="s">
        <v>1607</v>
      </c>
      <c r="P22" s="52">
        <v>2</v>
      </c>
      <c r="Q22" s="68">
        <v>10626</v>
      </c>
      <c r="R22" s="68">
        <v>620</v>
      </c>
      <c r="S22" s="68">
        <v>58347.449651797477</v>
      </c>
      <c r="AA22" s="52" t="s">
        <v>1712</v>
      </c>
      <c r="AB22" s="68">
        <v>1295.6964368347985</v>
      </c>
      <c r="AM22" s="52">
        <v>2</v>
      </c>
      <c r="AN22" s="179">
        <v>4236</v>
      </c>
      <c r="AO22" s="179">
        <v>1</v>
      </c>
      <c r="AP22" s="179">
        <v>236.07176581680832</v>
      </c>
      <c r="BO22" s="52" t="s">
        <v>1725</v>
      </c>
      <c r="BP22">
        <v>3</v>
      </c>
    </row>
    <row r="23" spans="1:68" x14ac:dyDescent="0.25">
      <c r="A23" s="52" t="s">
        <v>1736</v>
      </c>
      <c r="B23" s="68">
        <v>28430.461524846232</v>
      </c>
      <c r="G23" s="52" t="s">
        <v>1711</v>
      </c>
      <c r="H23">
        <v>886</v>
      </c>
      <c r="K23" s="70"/>
      <c r="P23" s="52">
        <v>3</v>
      </c>
      <c r="Q23" s="68">
        <v>11815</v>
      </c>
      <c r="R23" s="68">
        <v>1033</v>
      </c>
      <c r="S23" s="68">
        <v>87431.231485399912</v>
      </c>
      <c r="AA23" s="52" t="s">
        <v>1736</v>
      </c>
      <c r="AB23" s="68">
        <v>1042.9447852760736</v>
      </c>
      <c r="AM23" s="52">
        <v>3</v>
      </c>
      <c r="AN23" s="179">
        <v>3894</v>
      </c>
      <c r="AO23" s="179">
        <v>1</v>
      </c>
      <c r="AP23" s="179">
        <v>256.80534155110428</v>
      </c>
      <c r="BO23" s="52" t="s">
        <v>1616</v>
      </c>
      <c r="BP23">
        <v>22</v>
      </c>
    </row>
    <row r="24" spans="1:68" x14ac:dyDescent="0.25">
      <c r="A24" s="52" t="s">
        <v>1741</v>
      </c>
      <c r="B24" s="68">
        <v>97069.019855026796</v>
      </c>
      <c r="G24" s="52" t="s">
        <v>1689</v>
      </c>
      <c r="H24">
        <v>279</v>
      </c>
      <c r="K24" s="70"/>
      <c r="P24" s="52">
        <v>4</v>
      </c>
      <c r="Q24" s="68">
        <v>9996</v>
      </c>
      <c r="R24" s="68">
        <v>500</v>
      </c>
      <c r="S24" s="68">
        <v>50020.008003201277</v>
      </c>
      <c r="AA24" s="52" t="s">
        <v>1741</v>
      </c>
      <c r="AB24" s="68">
        <v>778.90285968621345</v>
      </c>
      <c r="AM24" s="52">
        <v>4</v>
      </c>
      <c r="AN24" s="179">
        <v>2034</v>
      </c>
      <c r="AO24" s="179">
        <v>1</v>
      </c>
      <c r="AP24" s="179">
        <v>491.64208456243858</v>
      </c>
      <c r="BO24" s="52" t="s">
        <v>1627</v>
      </c>
    </row>
    <row r="25" spans="1:68" x14ac:dyDescent="0.25">
      <c r="A25" s="52" t="s">
        <v>1658</v>
      </c>
      <c r="B25" s="68">
        <v>54362.286083306426</v>
      </c>
      <c r="G25" s="52" t="s">
        <v>1720</v>
      </c>
      <c r="H25">
        <v>219</v>
      </c>
      <c r="K25" s="70"/>
      <c r="P25" s="52">
        <v>5</v>
      </c>
      <c r="Q25" s="68">
        <v>11049</v>
      </c>
      <c r="R25" s="68">
        <v>295</v>
      </c>
      <c r="S25" s="68">
        <v>26699.248800796453</v>
      </c>
      <c r="AA25" s="52" t="s">
        <v>1658</v>
      </c>
      <c r="AB25" s="68">
        <v>855.94989561586635</v>
      </c>
      <c r="AM25" s="52">
        <v>7</v>
      </c>
      <c r="AN25" s="179">
        <v>4437</v>
      </c>
      <c r="AO25" s="179">
        <v>4</v>
      </c>
      <c r="AP25" s="179">
        <v>901.510029299076</v>
      </c>
      <c r="BO25" s="52" t="s">
        <v>1617</v>
      </c>
      <c r="BP25">
        <v>3</v>
      </c>
    </row>
    <row r="26" spans="1:68" x14ac:dyDescent="0.25">
      <c r="B26"/>
      <c r="G26" s="52" t="s">
        <v>1710</v>
      </c>
      <c r="H26">
        <v>185</v>
      </c>
      <c r="K26" s="70"/>
      <c r="P26" s="52">
        <v>6</v>
      </c>
      <c r="Q26" s="68"/>
      <c r="R26" s="68">
        <v>67</v>
      </c>
      <c r="S26" s="68"/>
      <c r="AM26" s="52">
        <v>8</v>
      </c>
      <c r="AN26" s="179">
        <v>5835</v>
      </c>
      <c r="AO26" s="179">
        <v>8</v>
      </c>
      <c r="AP26" s="179">
        <v>1371.0368466152527</v>
      </c>
      <c r="BO26" s="52" t="s">
        <v>1628</v>
      </c>
    </row>
    <row r="27" spans="1:68" x14ac:dyDescent="0.25">
      <c r="B27"/>
      <c r="G27" s="52" t="s">
        <v>1687</v>
      </c>
      <c r="H27">
        <v>257</v>
      </c>
      <c r="K27" s="70"/>
      <c r="P27" s="52">
        <v>7</v>
      </c>
      <c r="Q27" s="68">
        <v>10493</v>
      </c>
      <c r="R27" s="68">
        <v>550</v>
      </c>
      <c r="S27" s="68">
        <v>52415.896311826931</v>
      </c>
      <c r="AM27" s="52">
        <v>9</v>
      </c>
      <c r="AN27" s="179">
        <v>1766</v>
      </c>
      <c r="AO27" s="179">
        <v>11</v>
      </c>
      <c r="AP27" s="179">
        <v>6228.7655719139302</v>
      </c>
      <c r="BO27" s="52" t="s">
        <v>1629</v>
      </c>
    </row>
    <row r="28" spans="1:68" x14ac:dyDescent="0.25">
      <c r="B28"/>
      <c r="G28" s="52" t="s">
        <v>1688</v>
      </c>
      <c r="H28">
        <v>333</v>
      </c>
      <c r="K28" s="70"/>
      <c r="P28" s="52">
        <v>8</v>
      </c>
      <c r="Q28" s="68">
        <v>13326</v>
      </c>
      <c r="R28" s="68">
        <v>457</v>
      </c>
      <c r="S28" s="68">
        <v>34293.861623893143</v>
      </c>
      <c r="AM28" s="52">
        <v>10</v>
      </c>
      <c r="AN28" s="179">
        <v>6520</v>
      </c>
      <c r="AO28" s="179">
        <v>3</v>
      </c>
      <c r="AP28" s="179">
        <v>460.12269938650309</v>
      </c>
      <c r="BO28" s="52" t="s">
        <v>1631</v>
      </c>
    </row>
    <row r="29" spans="1:68" x14ac:dyDescent="0.25">
      <c r="B29"/>
      <c r="G29" s="52" t="s">
        <v>1732</v>
      </c>
      <c r="H29">
        <v>160</v>
      </c>
      <c r="K29" s="70"/>
      <c r="P29" s="52">
        <v>9</v>
      </c>
      <c r="Q29" s="68">
        <v>4115</v>
      </c>
      <c r="R29" s="68">
        <v>103</v>
      </c>
      <c r="S29" s="68">
        <v>25030.376670716887</v>
      </c>
      <c r="AM29" s="52">
        <v>11</v>
      </c>
      <c r="AN29" s="179">
        <v>959</v>
      </c>
      <c r="AO29" s="179">
        <v>0</v>
      </c>
      <c r="AP29" s="179">
        <v>0</v>
      </c>
      <c r="BO29" s="52" t="s">
        <v>1624</v>
      </c>
    </row>
    <row r="30" spans="1:68" x14ac:dyDescent="0.25">
      <c r="B30"/>
      <c r="G30" s="52" t="s">
        <v>1615</v>
      </c>
      <c r="H30">
        <v>159</v>
      </c>
      <c r="K30" s="70"/>
      <c r="P30" s="52">
        <v>10</v>
      </c>
      <c r="Q30" s="68">
        <v>11585</v>
      </c>
      <c r="R30" s="68">
        <v>352</v>
      </c>
      <c r="S30" s="68">
        <v>30384.117393180837</v>
      </c>
      <c r="AM30" s="52">
        <v>12</v>
      </c>
      <c r="AN30" s="179">
        <v>4008</v>
      </c>
      <c r="AO30" s="179">
        <v>3</v>
      </c>
      <c r="AP30" s="179">
        <v>748.50299401197606</v>
      </c>
      <c r="BO30" s="52" t="s">
        <v>1625</v>
      </c>
      <c r="BP30">
        <v>1</v>
      </c>
    </row>
    <row r="31" spans="1:68" x14ac:dyDescent="0.25">
      <c r="B31"/>
      <c r="G31" s="52" t="s">
        <v>1730</v>
      </c>
      <c r="H31">
        <v>257</v>
      </c>
      <c r="K31" s="70"/>
      <c r="P31" s="52">
        <v>11</v>
      </c>
      <c r="Q31" s="68">
        <v>11970</v>
      </c>
      <c r="R31" s="68">
        <v>220</v>
      </c>
      <c r="S31" s="68">
        <v>18379.281537176274</v>
      </c>
      <c r="AM31" s="52">
        <v>13</v>
      </c>
      <c r="AN31" s="179">
        <v>3580</v>
      </c>
      <c r="AO31" s="179">
        <v>2</v>
      </c>
      <c r="AP31" s="179">
        <v>558.65921787709487</v>
      </c>
      <c r="BO31" s="52" t="s">
        <v>1626</v>
      </c>
    </row>
    <row r="32" spans="1:68" x14ac:dyDescent="0.25">
      <c r="B32"/>
      <c r="G32" s="52" t="s">
        <v>1718</v>
      </c>
      <c r="H32">
        <v>165</v>
      </c>
      <c r="K32" s="70"/>
      <c r="P32" s="52">
        <v>12</v>
      </c>
      <c r="Q32" s="68">
        <v>9657</v>
      </c>
      <c r="R32" s="68">
        <v>192</v>
      </c>
      <c r="S32" s="68">
        <v>19881.950916433674</v>
      </c>
      <c r="AM32" s="52">
        <v>14</v>
      </c>
      <c r="AN32" s="179">
        <v>2244</v>
      </c>
      <c r="AO32" s="179">
        <v>0</v>
      </c>
      <c r="AP32" s="179">
        <v>0</v>
      </c>
      <c r="BO32" s="52" t="s">
        <v>1630</v>
      </c>
    </row>
    <row r="33" spans="2:67" x14ac:dyDescent="0.25">
      <c r="B33"/>
      <c r="G33" s="52" t="s">
        <v>1613</v>
      </c>
      <c r="H33">
        <v>41</v>
      </c>
      <c r="P33" s="52">
        <v>13</v>
      </c>
      <c r="Q33" s="68">
        <v>11986</v>
      </c>
      <c r="R33" s="68">
        <v>521</v>
      </c>
      <c r="S33" s="68">
        <v>43467.378608376443</v>
      </c>
      <c r="AM33" s="52">
        <v>15</v>
      </c>
      <c r="AN33" s="179">
        <v>5110</v>
      </c>
      <c r="AO33" s="179">
        <v>6</v>
      </c>
      <c r="AP33" s="179">
        <v>1174.1682974559687</v>
      </c>
      <c r="BO33" s="52" t="s">
        <v>1620</v>
      </c>
    </row>
    <row r="34" spans="2:67" x14ac:dyDescent="0.25">
      <c r="G34" s="52" t="s">
        <v>1614</v>
      </c>
      <c r="H34">
        <v>66</v>
      </c>
      <c r="P34" s="52">
        <v>14</v>
      </c>
      <c r="Q34" s="68">
        <v>6409</v>
      </c>
      <c r="R34" s="68">
        <v>625</v>
      </c>
      <c r="S34" s="68">
        <v>97519.113746294272</v>
      </c>
      <c r="AM34" s="52">
        <v>16</v>
      </c>
      <c r="AN34" s="179">
        <v>923</v>
      </c>
      <c r="AO34" s="179">
        <v>1</v>
      </c>
      <c r="AP34" s="179">
        <v>1083.4236186348862</v>
      </c>
      <c r="BO34" s="52" t="s">
        <v>1623</v>
      </c>
    </row>
    <row r="35" spans="2:67" x14ac:dyDescent="0.25">
      <c r="G35" s="52" t="s">
        <v>1685</v>
      </c>
      <c r="H35">
        <v>112</v>
      </c>
      <c r="P35" s="52">
        <v>15</v>
      </c>
      <c r="Q35" s="68">
        <v>6395</v>
      </c>
      <c r="R35" s="68">
        <v>1426</v>
      </c>
      <c r="S35" s="68">
        <v>222986.70836591086</v>
      </c>
      <c r="AM35" s="52">
        <v>18</v>
      </c>
      <c r="AN35" s="179">
        <v>710</v>
      </c>
      <c r="AO35" s="179">
        <v>0</v>
      </c>
      <c r="AP35" s="179">
        <v>0</v>
      </c>
      <c r="BO35" s="52" t="s">
        <v>1618</v>
      </c>
    </row>
    <row r="36" spans="2:67" x14ac:dyDescent="0.25">
      <c r="G36" s="52" t="s">
        <v>1716</v>
      </c>
      <c r="H36">
        <v>117</v>
      </c>
      <c r="P36" s="52">
        <v>16</v>
      </c>
      <c r="Q36" s="68">
        <v>9124</v>
      </c>
      <c r="R36" s="68">
        <v>985</v>
      </c>
      <c r="S36" s="68">
        <v>107957.03638754932</v>
      </c>
      <c r="AM36" s="52" t="s">
        <v>1658</v>
      </c>
      <c r="AN36">
        <v>47900</v>
      </c>
      <c r="AO36">
        <v>41</v>
      </c>
      <c r="AP36">
        <v>855.94989561586635</v>
      </c>
      <c r="BO36" s="52" t="s">
        <v>1619</v>
      </c>
    </row>
    <row r="37" spans="2:67" x14ac:dyDescent="0.25">
      <c r="G37" s="52" t="s">
        <v>1686</v>
      </c>
      <c r="H37">
        <v>90</v>
      </c>
      <c r="P37" s="52">
        <v>17</v>
      </c>
      <c r="Q37" s="68">
        <v>10754</v>
      </c>
      <c r="R37" s="68">
        <v>345</v>
      </c>
      <c r="S37" s="68">
        <v>32081.086107494884</v>
      </c>
      <c r="BO37" s="52" t="s">
        <v>1621</v>
      </c>
    </row>
    <row r="38" spans="2:67" x14ac:dyDescent="0.25">
      <c r="G38" s="52" t="s">
        <v>1713</v>
      </c>
      <c r="H38">
        <v>67</v>
      </c>
      <c r="P38" s="52">
        <v>18</v>
      </c>
      <c r="Q38" s="68">
        <v>2221</v>
      </c>
      <c r="R38" s="68">
        <v>7</v>
      </c>
      <c r="S38" s="68">
        <v>3151.7334533993694</v>
      </c>
      <c r="BO38" s="52" t="s">
        <v>1622</v>
      </c>
    </row>
    <row r="39" spans="2:67" x14ac:dyDescent="0.25">
      <c r="G39" s="52" t="s">
        <v>1719</v>
      </c>
      <c r="H39">
        <v>41</v>
      </c>
      <c r="P39" s="52" t="s">
        <v>1658</v>
      </c>
      <c r="Q39" s="68">
        <v>154850</v>
      </c>
      <c r="R39" s="68">
        <v>8418</v>
      </c>
      <c r="S39" s="68">
        <v>54362.286083306426</v>
      </c>
    </row>
    <row r="40" spans="2:67" x14ac:dyDescent="0.25">
      <c r="G40" s="52" t="s">
        <v>1715</v>
      </c>
      <c r="H40">
        <v>183</v>
      </c>
      <c r="Q40"/>
    </row>
    <row r="41" spans="2:67" x14ac:dyDescent="0.25">
      <c r="G41" s="52" t="s">
        <v>1690</v>
      </c>
      <c r="H41">
        <v>11</v>
      </c>
      <c r="Q41"/>
    </row>
    <row r="42" spans="2:67" x14ac:dyDescent="0.25">
      <c r="G42" s="52" t="s">
        <v>1714</v>
      </c>
      <c r="H42">
        <v>12</v>
      </c>
      <c r="Q42"/>
    </row>
    <row r="43" spans="2:67" x14ac:dyDescent="0.25">
      <c r="G43" s="52" t="s">
        <v>1729</v>
      </c>
      <c r="H43">
        <v>21</v>
      </c>
      <c r="Q43"/>
    </row>
    <row r="44" spans="2:67" x14ac:dyDescent="0.25">
      <c r="G44" s="52" t="s">
        <v>1717</v>
      </c>
      <c r="H44">
        <v>48</v>
      </c>
      <c r="Q44"/>
    </row>
    <row r="45" spans="2:67" x14ac:dyDescent="0.25">
      <c r="G45" s="52" t="s">
        <v>1731</v>
      </c>
      <c r="Q45"/>
    </row>
    <row r="46" spans="2:67" x14ac:dyDescent="0.25">
      <c r="B46"/>
      <c r="G46" s="52" t="s">
        <v>1728</v>
      </c>
      <c r="Q46"/>
    </row>
    <row r="47" spans="2:67" x14ac:dyDescent="0.25">
      <c r="G47" s="52" t="s">
        <v>1727</v>
      </c>
      <c r="Q47"/>
    </row>
    <row r="48" spans="2:67" x14ac:dyDescent="0.25">
      <c r="G48" s="52" t="s">
        <v>1726</v>
      </c>
      <c r="Q48"/>
    </row>
    <row r="49" spans="17:17" x14ac:dyDescent="0.25">
      <c r="Q49"/>
    </row>
    <row r="50" spans="17:17" x14ac:dyDescent="0.25">
      <c r="Q50"/>
    </row>
    <row r="51" spans="17:17" x14ac:dyDescent="0.25">
      <c r="Q51"/>
    </row>
    <row r="52" spans="17:17" x14ac:dyDescent="0.25">
      <c r="Q52"/>
    </row>
    <row r="53" spans="17:17" x14ac:dyDescent="0.25">
      <c r="Q53"/>
    </row>
    <row r="54" spans="17:17" x14ac:dyDescent="0.25">
      <c r="Q54"/>
    </row>
    <row r="55" spans="17:17" x14ac:dyDescent="0.25">
      <c r="Q55"/>
    </row>
    <row r="56" spans="17:17" x14ac:dyDescent="0.25">
      <c r="Q56"/>
    </row>
    <row r="57" spans="17:17" x14ac:dyDescent="0.25">
      <c r="Q57"/>
    </row>
    <row r="58" spans="17:17" x14ac:dyDescent="0.25">
      <c r="Q58"/>
    </row>
    <row r="59" spans="17:17" x14ac:dyDescent="0.25">
      <c r="Q59"/>
    </row>
    <row r="60" spans="17:17" x14ac:dyDescent="0.25">
      <c r="Q60"/>
    </row>
    <row r="61" spans="17:17" x14ac:dyDescent="0.25">
      <c r="Q61"/>
    </row>
    <row r="62" spans="17:17" x14ac:dyDescent="0.25">
      <c r="Q62"/>
    </row>
    <row r="63" spans="17:17" x14ac:dyDescent="0.25">
      <c r="Q63"/>
    </row>
    <row r="64" spans="17:17" x14ac:dyDescent="0.25">
      <c r="Q64"/>
    </row>
    <row r="65" spans="17:17" x14ac:dyDescent="0.25">
      <c r="Q65"/>
    </row>
    <row r="66" spans="17:17" x14ac:dyDescent="0.25">
      <c r="Q66"/>
    </row>
    <row r="67" spans="17:17" x14ac:dyDescent="0.25">
      <c r="Q67"/>
    </row>
    <row r="68" spans="17:17" x14ac:dyDescent="0.25">
      <c r="Q68"/>
    </row>
    <row r="69" spans="17:17" x14ac:dyDescent="0.25">
      <c r="Q69"/>
    </row>
    <row r="70" spans="17:17" x14ac:dyDescent="0.25">
      <c r="Q70"/>
    </row>
    <row r="71" spans="17:17" x14ac:dyDescent="0.25">
      <c r="Q71"/>
    </row>
    <row r="72" spans="17:17" x14ac:dyDescent="0.25">
      <c r="Q72"/>
    </row>
    <row r="73" spans="17:17" x14ac:dyDescent="0.25">
      <c r="Q73"/>
    </row>
    <row r="74" spans="17:17" x14ac:dyDescent="0.25">
      <c r="Q74"/>
    </row>
    <row r="75" spans="17:17" x14ac:dyDescent="0.25">
      <c r="Q75"/>
    </row>
    <row r="76" spans="17:17" x14ac:dyDescent="0.25">
      <c r="Q76"/>
    </row>
    <row r="77" spans="17:17" x14ac:dyDescent="0.25">
      <c r="Q77"/>
    </row>
    <row r="78" spans="17:17" x14ac:dyDescent="0.25">
      <c r="Q78"/>
    </row>
    <row r="79" spans="17:17" x14ac:dyDescent="0.25">
      <c r="Q79"/>
    </row>
    <row r="80" spans="17:17" x14ac:dyDescent="0.25">
      <c r="Q80"/>
    </row>
    <row r="81" spans="17:17" x14ac:dyDescent="0.25">
      <c r="Q81"/>
    </row>
    <row r="82" spans="17:17" x14ac:dyDescent="0.25">
      <c r="Q82"/>
    </row>
    <row r="83" spans="17:17" x14ac:dyDescent="0.25">
      <c r="Q83"/>
    </row>
    <row r="84" spans="17:17" x14ac:dyDescent="0.25">
      <c r="Q84"/>
    </row>
    <row r="85" spans="17:17" x14ac:dyDescent="0.25">
      <c r="Q85"/>
    </row>
    <row r="86" spans="17:17" x14ac:dyDescent="0.25">
      <c r="Q86"/>
    </row>
    <row r="87" spans="17:17" x14ac:dyDescent="0.25">
      <c r="Q87"/>
    </row>
    <row r="88" spans="17:17" x14ac:dyDescent="0.25">
      <c r="Q88"/>
    </row>
  </sheetData>
  <sortState xmlns:xlrd2="http://schemas.microsoft.com/office/spreadsheetml/2017/richdata2" ref="G22:H48">
    <sortCondition descending="1" ref="H23"/>
  </sortState>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37"/>
  <sheetViews>
    <sheetView topLeftCell="A10" workbookViewId="0">
      <selection activeCell="B36" sqref="B36"/>
    </sheetView>
  </sheetViews>
  <sheetFormatPr baseColWidth="10" defaultColWidth="11.42578125" defaultRowHeight="15" x14ac:dyDescent="0.25"/>
  <sheetData>
    <row r="1" spans="1:2" ht="18.75" x14ac:dyDescent="0.25">
      <c r="A1" s="205" t="s">
        <v>1706</v>
      </c>
      <c r="B1" s="205" t="s">
        <v>10</v>
      </c>
    </row>
    <row r="2" spans="1:2" x14ac:dyDescent="0.25">
      <c r="A2" s="209">
        <v>3</v>
      </c>
      <c r="B2" s="206">
        <v>0.63510848126232755</v>
      </c>
    </row>
    <row r="3" spans="1:2" x14ac:dyDescent="0.25">
      <c r="A3" s="209">
        <v>4</v>
      </c>
      <c r="B3" s="206">
        <v>0.70628571428571418</v>
      </c>
    </row>
    <row r="4" spans="1:2" x14ac:dyDescent="0.25">
      <c r="A4" s="209">
        <v>7</v>
      </c>
      <c r="B4" s="206">
        <v>0.53028571428571425</v>
      </c>
    </row>
    <row r="5" spans="1:2" x14ac:dyDescent="0.25">
      <c r="A5" s="209">
        <v>8</v>
      </c>
      <c r="B5" s="206">
        <v>0.22857142857142856</v>
      </c>
    </row>
    <row r="6" spans="1:2" x14ac:dyDescent="0.25">
      <c r="A6" s="209">
        <v>10</v>
      </c>
      <c r="B6" s="206">
        <v>0.33752380952380956</v>
      </c>
    </row>
    <row r="7" spans="1:2" x14ac:dyDescent="0.25">
      <c r="A7" s="209">
        <v>10</v>
      </c>
      <c r="B7" s="206">
        <v>0.57485714285714284</v>
      </c>
    </row>
    <row r="8" spans="1:2" x14ac:dyDescent="0.25">
      <c r="A8" s="209">
        <v>11</v>
      </c>
      <c r="B8" s="206">
        <v>0.14209523809523811</v>
      </c>
    </row>
    <row r="9" spans="1:2" x14ac:dyDescent="0.25">
      <c r="A9" s="209">
        <v>11</v>
      </c>
      <c r="B9" s="206">
        <v>0.80609523809523831</v>
      </c>
    </row>
    <row r="10" spans="1:2" x14ac:dyDescent="0.25">
      <c r="A10" s="209">
        <v>12</v>
      </c>
      <c r="B10" s="206">
        <v>0.25676190476190469</v>
      </c>
    </row>
    <row r="11" spans="1:2" x14ac:dyDescent="0.25">
      <c r="A11" s="209">
        <v>14</v>
      </c>
      <c r="B11" s="206">
        <v>0.1459047619047619</v>
      </c>
    </row>
    <row r="12" spans="1:2" x14ac:dyDescent="0.25">
      <c r="A12" s="209">
        <v>14</v>
      </c>
      <c r="B12" s="206">
        <v>0.36</v>
      </c>
    </row>
    <row r="13" spans="1:2" x14ac:dyDescent="0.25">
      <c r="A13" s="209">
        <v>16</v>
      </c>
      <c r="B13" s="206">
        <v>0.36952380952380948</v>
      </c>
    </row>
    <row r="14" spans="1:2" x14ac:dyDescent="0.25">
      <c r="A14" s="209">
        <v>16</v>
      </c>
      <c r="B14" s="206">
        <v>0.64860215053763437</v>
      </c>
    </row>
    <row r="15" spans="1:2" x14ac:dyDescent="0.25">
      <c r="A15" s="209">
        <v>17</v>
      </c>
      <c r="B15" s="206">
        <v>0.75771428571428578</v>
      </c>
    </row>
    <row r="16" spans="1:2" x14ac:dyDescent="0.25">
      <c r="A16" s="209">
        <v>17</v>
      </c>
      <c r="B16" s="206">
        <v>0.41806451612903234</v>
      </c>
    </row>
    <row r="17" spans="1:2" x14ac:dyDescent="0.25">
      <c r="A17" s="209">
        <v>18</v>
      </c>
      <c r="B17" s="206">
        <v>0.31161904761904763</v>
      </c>
    </row>
    <row r="18" spans="1:2" x14ac:dyDescent="0.25">
      <c r="A18" s="209">
        <v>18</v>
      </c>
      <c r="B18" s="206">
        <v>0.50064516129032255</v>
      </c>
    </row>
    <row r="19" spans="1:2" x14ac:dyDescent="0.25">
      <c r="A19" s="209">
        <v>19</v>
      </c>
      <c r="B19" s="206">
        <v>0.46819047619047621</v>
      </c>
    </row>
    <row r="20" spans="1:2" x14ac:dyDescent="0.25">
      <c r="A20" s="209">
        <v>21</v>
      </c>
      <c r="B20" s="206">
        <v>0.71053763440860218</v>
      </c>
    </row>
    <row r="21" spans="1:2" x14ac:dyDescent="0.25">
      <c r="A21" s="209">
        <v>22</v>
      </c>
      <c r="B21" s="206">
        <v>0.69510000000000005</v>
      </c>
    </row>
    <row r="22" spans="1:2" x14ac:dyDescent="0.25">
      <c r="A22" s="209">
        <v>23</v>
      </c>
      <c r="B22" s="206">
        <v>0.5161</v>
      </c>
    </row>
    <row r="23" spans="1:2" x14ac:dyDescent="0.25">
      <c r="A23" s="209">
        <v>24</v>
      </c>
      <c r="B23" s="206">
        <v>0.2969</v>
      </c>
    </row>
    <row r="24" spans="1:2" x14ac:dyDescent="0.25">
      <c r="A24" s="209">
        <v>25</v>
      </c>
      <c r="B24" s="206">
        <v>0.17710000000000001</v>
      </c>
    </row>
    <row r="25" spans="1:2" x14ac:dyDescent="0.25">
      <c r="A25" s="209">
        <v>25</v>
      </c>
      <c r="B25" s="206">
        <v>0.65</v>
      </c>
    </row>
    <row r="26" spans="1:2" x14ac:dyDescent="0.25">
      <c r="A26" s="209">
        <v>26</v>
      </c>
      <c r="B26" s="206">
        <v>0.38640000000000002</v>
      </c>
    </row>
    <row r="27" spans="1:2" x14ac:dyDescent="0.25">
      <c r="A27" s="209">
        <v>27</v>
      </c>
      <c r="B27" s="206">
        <v>0.51400000000000001</v>
      </c>
    </row>
    <row r="28" spans="1:2" x14ac:dyDescent="0.25">
      <c r="A28" s="209">
        <v>28</v>
      </c>
      <c r="B28" s="206">
        <v>0.53200000000000003</v>
      </c>
    </row>
    <row r="29" spans="1:2" x14ac:dyDescent="0.25">
      <c r="A29" s="209">
        <v>29</v>
      </c>
      <c r="B29" s="206">
        <v>0.4229</v>
      </c>
    </row>
    <row r="30" spans="1:2" x14ac:dyDescent="0.25">
      <c r="A30" s="209">
        <v>30</v>
      </c>
      <c r="B30" s="206">
        <v>0.51649999999999996</v>
      </c>
    </row>
    <row r="31" spans="1:2" x14ac:dyDescent="0.25">
      <c r="A31" s="209">
        <v>30</v>
      </c>
      <c r="B31" s="206">
        <v>0.36799999999999999</v>
      </c>
    </row>
    <row r="32" spans="1:2" x14ac:dyDescent="0.25">
      <c r="A32" s="209">
        <v>31</v>
      </c>
      <c r="B32" s="206">
        <v>0.79610000000000003</v>
      </c>
    </row>
    <row r="33" spans="1:2" x14ac:dyDescent="0.25">
      <c r="A33" s="209">
        <v>31</v>
      </c>
      <c r="B33" s="206">
        <v>0.80430000000000001</v>
      </c>
    </row>
    <row r="34" spans="1:2" x14ac:dyDescent="0.25">
      <c r="A34" s="225">
        <v>43497</v>
      </c>
      <c r="B34" s="206">
        <v>1</v>
      </c>
    </row>
    <row r="35" spans="1:2" x14ac:dyDescent="0.25">
      <c r="A35" s="226">
        <v>43497</v>
      </c>
      <c r="B35" s="206">
        <v>0.94799999999999995</v>
      </c>
    </row>
    <row r="36" spans="1:2" x14ac:dyDescent="0.25">
      <c r="A36" s="226">
        <v>43501</v>
      </c>
      <c r="B36" s="210">
        <v>0.53049999999999997</v>
      </c>
    </row>
    <row r="37" spans="1:2" ht="21" x14ac:dyDescent="0.25">
      <c r="A37" s="207" t="s">
        <v>1707</v>
      </c>
      <c r="B37" s="208">
        <f>IFERROR(AVERAGE(B2:B22),"")</f>
        <v>0.48188507214554721</v>
      </c>
    </row>
  </sheetData>
  <conditionalFormatting sqref="B2:B36">
    <cfRule type="cellIs" dxfId="23" priority="1" operator="greaterThan">
      <formula>0.9</formula>
    </cfRule>
    <cfRule type="cellIs" dxfId="22" priority="2" operator="greaterThan">
      <formula>0.8</formula>
    </cfRule>
    <cfRule type="cellIs" dxfId="21" priority="3" operator="lessThan">
      <formula>80</formula>
    </cfRule>
    <cfRule type="cellIs" dxfId="20" priority="4" operator="greaterThan">
      <formula>80</formula>
    </cfRule>
  </conditionalFormatting>
  <conditionalFormatting sqref="B37">
    <cfRule type="cellIs" dxfId="19" priority="25" operator="lessThan">
      <formula>0.75</formula>
    </cfRule>
    <cfRule type="cellIs" dxfId="18" priority="26" operator="lessThan">
      <formula>0.8</formula>
    </cfRule>
    <cfRule type="cellIs" dxfId="17" priority="27" operator="lessThan">
      <formula>0.9</formula>
    </cfRule>
    <cfRule type="cellIs" dxfId="16" priority="28" operator="lessThan">
      <formula>0.95</formula>
    </cfRule>
    <cfRule type="cellIs" dxfId="15" priority="29" operator="greaterThan">
      <formula>0.95</formula>
    </cfRule>
  </conditionalFormatting>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5" tint="0.39997558519241921"/>
  </sheetPr>
  <dimension ref="A1:B36"/>
  <sheetViews>
    <sheetView topLeftCell="A10" zoomScale="85" zoomScaleNormal="85" workbookViewId="0">
      <selection activeCell="B35" sqref="B35"/>
    </sheetView>
  </sheetViews>
  <sheetFormatPr baseColWidth="10" defaultColWidth="11.42578125" defaultRowHeight="15" x14ac:dyDescent="0.25"/>
  <sheetData>
    <row r="1" spans="1:2" ht="18.75" x14ac:dyDescent="0.25">
      <c r="A1" s="205" t="s">
        <v>1706</v>
      </c>
      <c r="B1" s="205" t="s">
        <v>10</v>
      </c>
    </row>
    <row r="2" spans="1:2" x14ac:dyDescent="0.25">
      <c r="A2" s="209">
        <v>3</v>
      </c>
      <c r="B2" s="206">
        <v>1</v>
      </c>
    </row>
    <row r="3" spans="1:2" x14ac:dyDescent="0.25">
      <c r="A3" s="209">
        <v>4</v>
      </c>
      <c r="B3" s="206">
        <v>0.91708597681032589</v>
      </c>
    </row>
    <row r="4" spans="1:2" x14ac:dyDescent="0.25">
      <c r="A4" s="209">
        <v>5</v>
      </c>
      <c r="B4" s="206">
        <v>0.76761904761904765</v>
      </c>
    </row>
    <row r="5" spans="1:2" x14ac:dyDescent="0.25">
      <c r="A5" s="209">
        <v>7</v>
      </c>
      <c r="B5" s="206">
        <v>0.50552380952380949</v>
      </c>
    </row>
    <row r="6" spans="1:2" x14ac:dyDescent="0.25">
      <c r="A6" s="209">
        <v>8</v>
      </c>
      <c r="B6" s="206">
        <v>0.1017142857142857</v>
      </c>
    </row>
    <row r="7" spans="1:2" x14ac:dyDescent="0.25">
      <c r="A7" s="209">
        <v>10</v>
      </c>
      <c r="B7" s="206">
        <v>0.37748917748917749</v>
      </c>
    </row>
    <row r="8" spans="1:2" x14ac:dyDescent="0.25">
      <c r="A8" s="209">
        <v>11</v>
      </c>
      <c r="B8" s="206">
        <v>0.49212121212121201</v>
      </c>
    </row>
    <row r="9" spans="1:2" x14ac:dyDescent="0.25">
      <c r="A9" s="209">
        <v>11</v>
      </c>
      <c r="B9" s="206">
        <v>0.97947214076246336</v>
      </c>
    </row>
    <row r="10" spans="1:2" x14ac:dyDescent="0.25">
      <c r="A10" s="209">
        <v>12</v>
      </c>
      <c r="B10" s="206">
        <v>0.45229437229437225</v>
      </c>
    </row>
    <row r="11" spans="1:2" x14ac:dyDescent="0.25">
      <c r="A11" s="209">
        <v>14</v>
      </c>
      <c r="B11" s="206">
        <v>0.34330400782013681</v>
      </c>
    </row>
    <row r="12" spans="1:2" x14ac:dyDescent="0.25">
      <c r="A12" s="209">
        <v>16</v>
      </c>
      <c r="B12" s="206">
        <v>0.38510822510822512</v>
      </c>
    </row>
    <row r="13" spans="1:2" x14ac:dyDescent="0.25">
      <c r="A13" s="209">
        <v>16</v>
      </c>
      <c r="B13" s="206">
        <v>0.6232649071358749</v>
      </c>
    </row>
    <row r="14" spans="1:2" x14ac:dyDescent="0.25">
      <c r="A14" s="209">
        <v>17</v>
      </c>
      <c r="B14" s="206">
        <v>0.65800865800865793</v>
      </c>
    </row>
    <row r="15" spans="1:2" x14ac:dyDescent="0.25">
      <c r="A15" s="209">
        <v>17</v>
      </c>
      <c r="B15" s="206">
        <v>0.41133919843597266</v>
      </c>
    </row>
    <row r="16" spans="1:2" x14ac:dyDescent="0.25">
      <c r="A16" s="209">
        <v>18</v>
      </c>
      <c r="B16" s="206">
        <v>0.33454545454545453</v>
      </c>
    </row>
    <row r="17" spans="1:2" x14ac:dyDescent="0.25">
      <c r="A17" s="209">
        <v>18</v>
      </c>
      <c r="B17" s="206">
        <v>0.44692082111436954</v>
      </c>
    </row>
    <row r="18" spans="1:2" x14ac:dyDescent="0.25">
      <c r="A18" s="209">
        <v>19</v>
      </c>
      <c r="B18" s="206">
        <v>0.46060606060606063</v>
      </c>
    </row>
    <row r="19" spans="1:2" x14ac:dyDescent="0.25">
      <c r="A19" s="209">
        <v>21</v>
      </c>
      <c r="B19" s="206">
        <v>0.62091886608015634</v>
      </c>
    </row>
    <row r="20" spans="1:2" x14ac:dyDescent="0.25">
      <c r="A20" s="209">
        <v>22</v>
      </c>
      <c r="B20" s="206">
        <v>0.69655781112091808</v>
      </c>
    </row>
    <row r="21" spans="1:2" x14ac:dyDescent="0.25">
      <c r="A21" s="209">
        <v>23</v>
      </c>
      <c r="B21" s="206">
        <v>0.45650000000000002</v>
      </c>
    </row>
    <row r="22" spans="1:2" x14ac:dyDescent="0.25">
      <c r="A22" s="209">
        <v>24</v>
      </c>
      <c r="B22" s="206">
        <v>0.29830000000000001</v>
      </c>
    </row>
    <row r="23" spans="1:2" x14ac:dyDescent="0.25">
      <c r="A23" s="209">
        <v>25</v>
      </c>
      <c r="B23" s="206">
        <v>0.61270000000000002</v>
      </c>
    </row>
    <row r="24" spans="1:2" x14ac:dyDescent="0.25">
      <c r="A24" s="209">
        <v>25</v>
      </c>
      <c r="B24" s="206">
        <v>0.16170000000000001</v>
      </c>
    </row>
    <row r="25" spans="1:2" x14ac:dyDescent="0.25">
      <c r="A25" s="209">
        <v>26</v>
      </c>
      <c r="B25" s="206">
        <v>0.45300000000000001</v>
      </c>
    </row>
    <row r="26" spans="1:2" x14ac:dyDescent="0.25">
      <c r="A26" s="209">
        <v>27</v>
      </c>
      <c r="B26" s="206">
        <v>0.6</v>
      </c>
    </row>
    <row r="27" spans="1:2" x14ac:dyDescent="0.25">
      <c r="A27" s="209">
        <v>28</v>
      </c>
      <c r="B27" s="206">
        <v>0.41</v>
      </c>
    </row>
    <row r="28" spans="1:2" x14ac:dyDescent="0.25">
      <c r="A28" s="209">
        <v>29</v>
      </c>
      <c r="B28" s="206">
        <v>0.40460000000000002</v>
      </c>
    </row>
    <row r="29" spans="1:2" x14ac:dyDescent="0.25">
      <c r="A29" s="209">
        <v>30</v>
      </c>
      <c r="B29" s="206">
        <v>0.48330000000000001</v>
      </c>
    </row>
    <row r="30" spans="1:2" x14ac:dyDescent="0.25">
      <c r="A30" s="209">
        <v>30</v>
      </c>
      <c r="B30" s="206">
        <v>0.35830000000000001</v>
      </c>
    </row>
    <row r="31" spans="1:2" x14ac:dyDescent="0.25">
      <c r="A31" s="209">
        <v>31</v>
      </c>
      <c r="B31" s="206">
        <v>0.76890000000000003</v>
      </c>
    </row>
    <row r="32" spans="1:2" x14ac:dyDescent="0.25">
      <c r="A32" s="209">
        <v>31</v>
      </c>
      <c r="B32" s="206">
        <v>0.75439999999999996</v>
      </c>
    </row>
    <row r="33" spans="1:2" x14ac:dyDescent="0.25">
      <c r="A33" s="225">
        <v>43497</v>
      </c>
      <c r="B33" s="206">
        <v>0.87770000000000004</v>
      </c>
    </row>
    <row r="34" spans="1:2" x14ac:dyDescent="0.25">
      <c r="A34" s="225">
        <v>43497</v>
      </c>
      <c r="B34" s="206">
        <v>0.91449999999999998</v>
      </c>
    </row>
    <row r="35" spans="1:2" x14ac:dyDescent="0.25">
      <c r="A35" s="225">
        <v>43501</v>
      </c>
      <c r="B35" s="206">
        <v>0.60529999999999995</v>
      </c>
    </row>
    <row r="36" spans="1:2" ht="21" x14ac:dyDescent="0.25">
      <c r="A36" s="207" t="s">
        <v>1707</v>
      </c>
      <c r="B36" s="208">
        <f>IFERROR(AVERAGE(B2:B20),"")</f>
        <v>0.55652073854265893</v>
      </c>
    </row>
  </sheetData>
  <conditionalFormatting sqref="B2:B35">
    <cfRule type="cellIs" dxfId="14" priority="1" operator="greaterThan">
      <formula>0.9</formula>
    </cfRule>
    <cfRule type="cellIs" dxfId="13" priority="2" operator="greaterThan">
      <formula>0.8</formula>
    </cfRule>
    <cfRule type="cellIs" dxfId="12" priority="3" operator="lessThan">
      <formula>80</formula>
    </cfRule>
    <cfRule type="cellIs" dxfId="11" priority="4" operator="greaterThan">
      <formula>80</formula>
    </cfRule>
  </conditionalFormatting>
  <conditionalFormatting sqref="B36">
    <cfRule type="cellIs" dxfId="10" priority="13" operator="lessThan">
      <formula>0.75</formula>
    </cfRule>
    <cfRule type="cellIs" dxfId="9" priority="14" operator="lessThan">
      <formula>0.8</formula>
    </cfRule>
    <cfRule type="cellIs" dxfId="8" priority="15" operator="lessThan">
      <formula>0.9</formula>
    </cfRule>
    <cfRule type="cellIs" dxfId="7" priority="16" operator="lessThan">
      <formula>0.95</formula>
    </cfRule>
    <cfRule type="cellIs" dxfId="6" priority="17" operator="greaterThan">
      <formula>0.95</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9">
    <tabColor theme="1" tint="4.9989318521683403E-2"/>
    <pageSetUpPr fitToPage="1"/>
  </sheetPr>
  <dimension ref="A1:N16"/>
  <sheetViews>
    <sheetView showGridLines="0" zoomScale="85" zoomScaleNormal="85" workbookViewId="0">
      <pane xSplit="1" ySplit="3" topLeftCell="B4" activePane="bottomRight" state="frozen"/>
      <selection activeCell="G72" sqref="G72"/>
      <selection pane="topRight" activeCell="G72" sqref="G72"/>
      <selection pane="bottomLeft" activeCell="G72" sqref="G72"/>
      <selection pane="bottomRight" activeCell="F25" sqref="F25"/>
    </sheetView>
  </sheetViews>
  <sheetFormatPr baseColWidth="10" defaultColWidth="11.42578125" defaultRowHeight="15" x14ac:dyDescent="0.25"/>
  <cols>
    <col min="2" max="2" width="24.7109375" customWidth="1"/>
    <col min="3" max="3" width="12.7109375" bestFit="1" customWidth="1"/>
    <col min="4" max="4" width="15.28515625" bestFit="1" customWidth="1"/>
    <col min="5" max="5" width="13" bestFit="1" customWidth="1"/>
    <col min="6" max="6" width="6" customWidth="1"/>
    <col min="7" max="7" width="19.85546875" hidden="1" customWidth="1"/>
    <col min="8" max="8" width="14.42578125" customWidth="1"/>
    <col min="9" max="9" width="14.140625" style="2" customWidth="1"/>
    <col min="10" max="10" width="13.7109375" customWidth="1"/>
    <col min="11" max="11" width="11.42578125" bestFit="1" customWidth="1"/>
    <col min="12" max="12" width="4.7109375" bestFit="1" customWidth="1"/>
    <col min="13" max="13" width="18.28515625" bestFit="1" customWidth="1"/>
    <col min="14" max="14" width="21.42578125" customWidth="1"/>
  </cols>
  <sheetData>
    <row r="1" spans="1:14" x14ac:dyDescent="0.25">
      <c r="B1" s="42" t="s">
        <v>16</v>
      </c>
      <c r="C1" s="43"/>
      <c r="D1" s="43"/>
      <c r="E1" s="43"/>
      <c r="F1" s="43"/>
      <c r="G1" s="43"/>
      <c r="H1" s="43"/>
      <c r="I1" s="45"/>
      <c r="J1" s="43"/>
      <c r="K1" s="43"/>
      <c r="L1" s="43"/>
      <c r="M1" s="43"/>
      <c r="N1" s="44"/>
    </row>
    <row r="2" spans="1:14" x14ac:dyDescent="0.25">
      <c r="B2" s="39" t="s">
        <v>55</v>
      </c>
      <c r="C2" s="40"/>
      <c r="D2" s="40"/>
      <c r="E2" s="40"/>
      <c r="F2" s="40"/>
      <c r="G2" s="40"/>
      <c r="H2" s="41"/>
      <c r="I2" s="362" t="s">
        <v>2</v>
      </c>
      <c r="J2" s="363"/>
      <c r="K2" s="363"/>
      <c r="L2" s="363"/>
      <c r="M2" s="363"/>
      <c r="N2" s="364"/>
    </row>
    <row r="3" spans="1:14" ht="51.75" x14ac:dyDescent="0.25">
      <c r="A3" t="s">
        <v>26</v>
      </c>
      <c r="B3" s="36" t="s">
        <v>17</v>
      </c>
      <c r="C3" s="33" t="s">
        <v>18</v>
      </c>
      <c r="D3" s="30" t="s">
        <v>19</v>
      </c>
      <c r="E3" s="30" t="s">
        <v>20</v>
      </c>
      <c r="F3" s="24" t="s">
        <v>54</v>
      </c>
      <c r="G3" s="31" t="s">
        <v>56</v>
      </c>
      <c r="H3" s="29" t="s">
        <v>21</v>
      </c>
      <c r="I3" s="26" t="s">
        <v>22</v>
      </c>
      <c r="J3" s="27" t="s">
        <v>23</v>
      </c>
      <c r="K3" s="26" t="s">
        <v>20</v>
      </c>
      <c r="L3" s="24" t="s">
        <v>54</v>
      </c>
      <c r="M3" s="32" t="s">
        <v>56</v>
      </c>
      <c r="N3" s="28" t="s">
        <v>24</v>
      </c>
    </row>
    <row r="4" spans="1:14" x14ac:dyDescent="0.25">
      <c r="A4" s="1"/>
      <c r="B4" s="38"/>
      <c r="C4" s="34">
        <v>6.0416666666666667E-2</v>
      </c>
      <c r="D4" s="22">
        <v>6.805555555555555E-2</v>
      </c>
      <c r="E4" s="22">
        <f>D4-C4</f>
        <v>7.6388888888888826E-3</v>
      </c>
      <c r="F4" s="20"/>
      <c r="G4" s="16"/>
      <c r="H4" s="22">
        <v>0.2951388888888889</v>
      </c>
      <c r="I4" s="277"/>
      <c r="J4" s="277">
        <v>0.32291666666666669</v>
      </c>
      <c r="K4" s="22">
        <f>J4-H4</f>
        <v>2.777777777777779E-2</v>
      </c>
      <c r="L4" s="25"/>
      <c r="M4" s="23"/>
      <c r="N4" s="19"/>
    </row>
    <row r="5" spans="1:14" x14ac:dyDescent="0.25">
      <c r="A5" s="1"/>
      <c r="B5" s="38"/>
      <c r="C5" s="34">
        <v>8.3333333333333329E-2</v>
      </c>
      <c r="D5" s="22">
        <v>9.0972222222222218E-2</v>
      </c>
      <c r="E5" s="22">
        <f t="shared" ref="E5:E11" si="0">D5-C5</f>
        <v>7.6388888888888895E-3</v>
      </c>
      <c r="F5" s="20"/>
      <c r="G5" s="16"/>
      <c r="H5" s="22"/>
      <c r="I5" s="17"/>
      <c r="J5" s="22"/>
      <c r="K5" s="22"/>
      <c r="L5" s="25"/>
      <c r="M5" s="23"/>
      <c r="N5" s="19"/>
    </row>
    <row r="6" spans="1:14" x14ac:dyDescent="0.25">
      <c r="A6" s="1"/>
      <c r="B6" s="38"/>
      <c r="C6" s="34">
        <v>0.10555555555555556</v>
      </c>
      <c r="D6" s="22">
        <v>0.11319444444444444</v>
      </c>
      <c r="E6" s="22">
        <f t="shared" si="0"/>
        <v>7.6388888888888895E-3</v>
      </c>
      <c r="F6" s="20"/>
      <c r="G6" s="16"/>
      <c r="H6" s="22"/>
      <c r="I6" s="17"/>
      <c r="J6" s="22"/>
      <c r="K6" s="22"/>
      <c r="L6" s="25"/>
      <c r="M6" s="23"/>
      <c r="N6" s="19"/>
    </row>
    <row r="7" spans="1:14" x14ac:dyDescent="0.25">
      <c r="A7" s="1"/>
      <c r="B7" s="38"/>
      <c r="C7" s="34">
        <v>0.12013888888888889</v>
      </c>
      <c r="D7" s="22">
        <v>0.13263888888888889</v>
      </c>
      <c r="E7" s="22">
        <f t="shared" si="0"/>
        <v>1.2499999999999997E-2</v>
      </c>
      <c r="F7" s="20"/>
      <c r="G7" s="16"/>
      <c r="H7" s="22"/>
      <c r="I7" s="17"/>
      <c r="J7" s="22"/>
      <c r="K7" s="22"/>
      <c r="L7" s="25"/>
      <c r="M7" s="23"/>
      <c r="N7" s="19"/>
    </row>
    <row r="8" spans="1:14" x14ac:dyDescent="0.25">
      <c r="A8" s="1"/>
      <c r="B8" s="38"/>
      <c r="C8" s="34">
        <v>0.1388888888888889</v>
      </c>
      <c r="D8" s="22">
        <v>0.15277777777777779</v>
      </c>
      <c r="E8" s="22">
        <f t="shared" si="0"/>
        <v>1.3888888888888895E-2</v>
      </c>
      <c r="F8" s="20"/>
      <c r="G8" s="16"/>
      <c r="H8" s="22"/>
      <c r="I8" s="17"/>
      <c r="J8" s="22"/>
      <c r="K8" s="22"/>
      <c r="L8" s="25"/>
      <c r="M8" s="23"/>
      <c r="N8" s="19"/>
    </row>
    <row r="9" spans="1:14" x14ac:dyDescent="0.25">
      <c r="A9" s="1"/>
      <c r="B9" s="38"/>
      <c r="C9" s="34">
        <v>0.16041666666666668</v>
      </c>
      <c r="D9" s="22">
        <v>0.1701388888888889</v>
      </c>
      <c r="E9" s="22">
        <f t="shared" si="0"/>
        <v>9.7222222222222154E-3</v>
      </c>
      <c r="F9" s="20"/>
      <c r="G9" s="16"/>
      <c r="H9" s="22"/>
      <c r="I9" s="17"/>
      <c r="J9" s="22"/>
      <c r="K9" s="22"/>
      <c r="L9" s="25"/>
      <c r="M9" s="23"/>
      <c r="N9" s="19"/>
    </row>
    <row r="10" spans="1:14" x14ac:dyDescent="0.25">
      <c r="A10" s="1"/>
      <c r="B10" s="38"/>
      <c r="C10" s="34"/>
      <c r="D10" s="22"/>
      <c r="E10" s="22">
        <f t="shared" si="0"/>
        <v>0</v>
      </c>
      <c r="F10" s="20"/>
      <c r="G10" s="16"/>
      <c r="H10" s="22"/>
      <c r="I10" s="17"/>
      <c r="J10" s="22"/>
      <c r="K10" s="22"/>
      <c r="L10" s="25"/>
      <c r="M10" s="23"/>
      <c r="N10" s="19"/>
    </row>
    <row r="11" spans="1:14" x14ac:dyDescent="0.25">
      <c r="A11" s="1"/>
      <c r="B11" s="38"/>
      <c r="C11" s="34"/>
      <c r="D11" s="22"/>
      <c r="E11" s="22">
        <f t="shared" si="0"/>
        <v>0</v>
      </c>
      <c r="F11" s="20"/>
      <c r="G11" s="16"/>
      <c r="H11" s="22"/>
      <c r="I11" s="17"/>
      <c r="J11" s="22"/>
      <c r="K11" s="22"/>
      <c r="L11" s="25"/>
      <c r="M11" s="23"/>
      <c r="N11" s="19"/>
    </row>
    <row r="12" spans="1:14" x14ac:dyDescent="0.25">
      <c r="A12" s="1"/>
      <c r="B12" s="358" t="s">
        <v>25</v>
      </c>
      <c r="C12" s="359"/>
      <c r="D12" s="359"/>
      <c r="E12" s="359"/>
      <c r="F12" s="359"/>
      <c r="G12" s="359"/>
      <c r="H12" s="359"/>
      <c r="I12" s="359"/>
      <c r="J12" s="359"/>
      <c r="K12" s="359"/>
      <c r="L12" s="360"/>
      <c r="M12" s="360"/>
      <c r="N12" s="361"/>
    </row>
    <row r="13" spans="1:14" x14ac:dyDescent="0.25">
      <c r="A13" s="1"/>
    </row>
    <row r="14" spans="1:14" x14ac:dyDescent="0.25">
      <c r="A14" s="1"/>
      <c r="B14" s="37"/>
      <c r="C14" s="35"/>
      <c r="D14" s="17"/>
      <c r="E14" s="17"/>
      <c r="F14" s="17"/>
      <c r="G14" s="17"/>
      <c r="H14" s="18"/>
      <c r="I14" s="17"/>
      <c r="J14" s="16"/>
      <c r="K14" s="16"/>
      <c r="L14" s="23"/>
      <c r="M14" s="23"/>
      <c r="N14" s="19"/>
    </row>
    <row r="15" spans="1:14" x14ac:dyDescent="0.25">
      <c r="B15" s="37"/>
      <c r="C15" s="35"/>
      <c r="D15" s="17"/>
      <c r="E15" s="17"/>
      <c r="F15" s="17"/>
      <c r="G15" s="17"/>
      <c r="H15" s="16"/>
      <c r="I15" s="17"/>
      <c r="J15" s="16"/>
      <c r="K15" s="16"/>
      <c r="L15" s="23"/>
      <c r="M15" s="23"/>
      <c r="N15" s="19"/>
    </row>
    <row r="16" spans="1:14" x14ac:dyDescent="0.25">
      <c r="B16" s="16"/>
      <c r="C16" s="15"/>
      <c r="D16" s="17"/>
      <c r="E16" s="17"/>
      <c r="F16" s="17"/>
      <c r="G16" s="17"/>
      <c r="H16" s="16"/>
      <c r="I16" s="17"/>
      <c r="J16" s="16"/>
      <c r="K16" s="16"/>
      <c r="L16" s="16"/>
      <c r="M16" s="16"/>
      <c r="N16" s="16"/>
    </row>
  </sheetData>
  <autoFilter ref="B1:B15" xr:uid="{00000000-0009-0000-0000-00000B000000}"/>
  <mergeCells count="2">
    <mergeCell ref="B12:N12"/>
    <mergeCell ref="I2:N2"/>
  </mergeCells>
  <pageMargins left="0.25" right="0.25" top="0.75" bottom="0.75" header="0.3" footer="0.3"/>
  <pageSetup scale="1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2">
    <tabColor rgb="FF0066FF"/>
  </sheetPr>
  <dimension ref="A1:S682"/>
  <sheetViews>
    <sheetView showGridLines="0" zoomScale="78" zoomScaleNormal="78" workbookViewId="0">
      <pane xSplit="3" ySplit="1" topLeftCell="D2" activePane="bottomRight" state="frozen"/>
      <selection activeCell="M29" sqref="M29"/>
      <selection pane="topRight" activeCell="M29" sqref="M29"/>
      <selection pane="bottomLeft" activeCell="M29" sqref="M29"/>
      <selection pane="bottomRight" activeCell="H23" sqref="H23"/>
    </sheetView>
  </sheetViews>
  <sheetFormatPr baseColWidth="10" defaultColWidth="9.140625" defaultRowHeight="21" x14ac:dyDescent="0.35"/>
  <cols>
    <col min="1" max="1" width="15.42578125" bestFit="1" customWidth="1"/>
    <col min="2" max="2" width="14.28515625" bestFit="1" customWidth="1"/>
    <col min="3" max="3" width="15.140625" style="131" customWidth="1"/>
    <col min="4" max="4" width="38.5703125" bestFit="1" customWidth="1"/>
    <col min="5" max="5" width="13.28515625" style="3" customWidth="1"/>
    <col min="6" max="6" width="17.140625" bestFit="1" customWidth="1"/>
    <col min="7" max="7" width="14.28515625" bestFit="1" customWidth="1"/>
    <col min="8" max="8" width="11.28515625" bestFit="1" customWidth="1"/>
    <col min="9" max="11" width="13.28515625" customWidth="1"/>
    <col min="12" max="12" width="10.7109375" customWidth="1"/>
    <col min="13" max="13" width="22.42578125" style="98" bestFit="1" customWidth="1"/>
    <col min="14" max="15" width="22.85546875" style="98" bestFit="1" customWidth="1"/>
    <col min="16" max="16" width="15.7109375" style="251" customWidth="1"/>
    <col min="18" max="18" width="12.85546875" bestFit="1" customWidth="1"/>
  </cols>
  <sheetData>
    <row r="1" spans="1:18" s="100" customFormat="1" ht="52.5" customHeight="1" x14ac:dyDescent="0.25">
      <c r="A1" s="101" t="s">
        <v>1653</v>
      </c>
      <c r="B1" s="114" t="s">
        <v>1656</v>
      </c>
      <c r="C1" s="105" t="s">
        <v>1652</v>
      </c>
      <c r="D1" s="108" t="s">
        <v>27</v>
      </c>
      <c r="E1" s="104" t="s">
        <v>1651</v>
      </c>
      <c r="F1" s="102" t="s">
        <v>1654</v>
      </c>
      <c r="G1" s="267" t="s">
        <v>1655</v>
      </c>
      <c r="H1" s="102" t="s">
        <v>28</v>
      </c>
      <c r="I1" s="104" t="s">
        <v>29</v>
      </c>
      <c r="J1" s="102" t="s">
        <v>30</v>
      </c>
      <c r="K1" s="102" t="s">
        <v>31</v>
      </c>
      <c r="L1" s="105" t="s">
        <v>32</v>
      </c>
      <c r="M1" s="104" t="s">
        <v>1648</v>
      </c>
      <c r="N1" s="102" t="s">
        <v>1649</v>
      </c>
      <c r="O1" s="267" t="s">
        <v>1650</v>
      </c>
      <c r="P1" s="249" t="s">
        <v>1770</v>
      </c>
      <c r="R1" s="100" t="s">
        <v>1793</v>
      </c>
    </row>
    <row r="2" spans="1:18" ht="20.25" x14ac:dyDescent="0.25">
      <c r="A2" s="246">
        <f>+'OEE REA'!A3</f>
        <v>1</v>
      </c>
      <c r="B2" s="99">
        <f>WEEKNUM(C2)</f>
        <v>2</v>
      </c>
      <c r="C2" s="113">
        <f>+'OEE REA'!D3</f>
        <v>45663</v>
      </c>
      <c r="D2" s="242" t="s">
        <v>1804</v>
      </c>
      <c r="E2" s="109">
        <f>VLOOKUP(A2,'OEE REA'!A:AO,13,FALSE)</f>
        <v>56</v>
      </c>
      <c r="F2" s="110">
        <f>VLOOKUP(A2,'OEE REA'!A:AO,11,FALSE)</f>
        <v>255</v>
      </c>
      <c r="G2" s="279">
        <f>IFERROR(E2/H2*60,"")</f>
        <v>21.96078431372549</v>
      </c>
      <c r="H2" s="110">
        <f>VLOOKUP(A2,'OEE REA'!A:AO,14,FALSE)</f>
        <v>153</v>
      </c>
      <c r="I2" s="106"/>
      <c r="J2" s="99"/>
      <c r="K2" s="99"/>
      <c r="L2" s="107">
        <v>1</v>
      </c>
      <c r="M2" s="112">
        <f>IFERROR(G2*L2,"")</f>
        <v>21.96078431372549</v>
      </c>
      <c r="N2" s="103">
        <f t="shared" ref="N2:N26" si="0">IFERROR(F2*L2,"")</f>
        <v>255</v>
      </c>
      <c r="O2" s="103">
        <f>IFERROR('OEE REA'!J3*'SPEED FACTOR REA'!L2,"")</f>
        <v>300</v>
      </c>
      <c r="P2" s="250">
        <f>IFERROR(N2/M2,"")</f>
        <v>11.611607142857142</v>
      </c>
      <c r="R2" s="70">
        <f>G2/O2</f>
        <v>7.3202614379084971E-2</v>
      </c>
    </row>
    <row r="3" spans="1:18" ht="20.25" x14ac:dyDescent="0.25">
      <c r="A3" s="246">
        <f>+'OEE REA'!A4</f>
        <v>2</v>
      </c>
      <c r="B3" s="99">
        <f t="shared" ref="B3:B45" si="1">WEEKNUM(C3)</f>
        <v>2</v>
      </c>
      <c r="C3" s="113">
        <f>+'OEE REA'!D4</f>
        <v>45663</v>
      </c>
      <c r="D3" s="242" t="s">
        <v>1805</v>
      </c>
      <c r="E3" s="109">
        <f>VLOOKUP(A3,'OEE REA'!A:AO,13,FALSE)</f>
        <v>0</v>
      </c>
      <c r="F3" s="110">
        <f>VLOOKUP(A3,'OEE REA'!A:AO,11,FALSE)</f>
        <v>240</v>
      </c>
      <c r="G3" s="111">
        <f>IFERROR(E3/H3*60,"")</f>
        <v>0</v>
      </c>
      <c r="H3" s="110">
        <f>VLOOKUP(A3,'OEE REA'!A:AO,14,FALSE)</f>
        <v>153</v>
      </c>
      <c r="I3" s="106"/>
      <c r="J3" s="99"/>
      <c r="K3" s="99"/>
      <c r="L3" s="107">
        <v>1</v>
      </c>
      <c r="M3" s="112">
        <f t="shared" ref="M3:M26" si="2">IFERROR(G3*L3,"")</f>
        <v>0</v>
      </c>
      <c r="N3" s="103">
        <f t="shared" si="0"/>
        <v>240</v>
      </c>
      <c r="O3" s="103">
        <f>IFERROR('OEE REA'!J4*'SPEED FACTOR REA'!L3,"")</f>
        <v>240</v>
      </c>
      <c r="P3" s="250" t="str">
        <f t="shared" ref="P3:P38" si="3">IFERROR(N3/M3,"")</f>
        <v/>
      </c>
      <c r="R3" s="70">
        <f t="shared" ref="R3:R66" si="4">G3/O3</f>
        <v>0</v>
      </c>
    </row>
    <row r="4" spans="1:18" ht="20.25" x14ac:dyDescent="0.25">
      <c r="A4" s="246">
        <f>+'OEE REA'!A5</f>
        <v>3</v>
      </c>
      <c r="B4" s="99">
        <f t="shared" si="1"/>
        <v>2</v>
      </c>
      <c r="C4" s="113">
        <f>+'OEE REA'!D5</f>
        <v>45663</v>
      </c>
      <c r="D4" s="242" t="s">
        <v>1806</v>
      </c>
      <c r="E4" s="109">
        <f>VLOOKUP(A4,'OEE REA'!A:AO,13,FALSE)</f>
        <v>377</v>
      </c>
      <c r="F4" s="110">
        <f>VLOOKUP(A4,'OEE REA'!A:AO,11,FALSE)</f>
        <v>360</v>
      </c>
      <c r="G4" s="111">
        <f t="shared" ref="G4:G66" si="5">IFERROR(E4/H4*60,"")</f>
        <v>147.84313725490196</v>
      </c>
      <c r="H4" s="110">
        <f>VLOOKUP(A4,'OEE REA'!A:AO,14,FALSE)</f>
        <v>153</v>
      </c>
      <c r="I4" s="106"/>
      <c r="J4" s="99"/>
      <c r="K4" s="99"/>
      <c r="L4" s="107">
        <v>1</v>
      </c>
      <c r="M4" s="112">
        <f t="shared" si="2"/>
        <v>147.84313725490196</v>
      </c>
      <c r="N4" s="103">
        <f t="shared" si="0"/>
        <v>360</v>
      </c>
      <c r="O4" s="103">
        <f>IFERROR('OEE REA'!J5*'SPEED FACTOR REA'!L4,"")</f>
        <v>360</v>
      </c>
      <c r="P4" s="250">
        <f t="shared" si="3"/>
        <v>2.4350132625994694</v>
      </c>
      <c r="R4" s="70">
        <f t="shared" si="4"/>
        <v>0.41067538126361658</v>
      </c>
    </row>
    <row r="5" spans="1:18" ht="20.25" x14ac:dyDescent="0.25">
      <c r="A5" s="246">
        <f>+'OEE REA'!A6</f>
        <v>4</v>
      </c>
      <c r="B5" s="99">
        <f t="shared" si="1"/>
        <v>2</v>
      </c>
      <c r="C5" s="113">
        <f>+'OEE REA'!D6</f>
        <v>45664</v>
      </c>
      <c r="D5" s="242" t="s">
        <v>1807</v>
      </c>
      <c r="E5" s="109">
        <f>VLOOKUP(A5,'OEE REA'!A:AO,13,FALSE)</f>
        <v>660</v>
      </c>
      <c r="F5" s="110">
        <f>VLOOKUP(A5,'OEE REA'!A:AO,11,FALSE)</f>
        <v>570</v>
      </c>
      <c r="G5" s="111">
        <f t="shared" si="5"/>
        <v>258.8235294117647</v>
      </c>
      <c r="H5" s="110">
        <f>VLOOKUP(A5,'OEE REA'!A:AO,14,FALSE)</f>
        <v>153</v>
      </c>
      <c r="I5" s="106"/>
      <c r="J5" s="99"/>
      <c r="K5" s="99"/>
      <c r="L5" s="107">
        <v>1</v>
      </c>
      <c r="M5" s="112">
        <f t="shared" si="2"/>
        <v>258.8235294117647</v>
      </c>
      <c r="N5" s="103">
        <f t="shared" si="0"/>
        <v>570</v>
      </c>
      <c r="O5" s="103">
        <f>IFERROR('OEE REA'!J6*'SPEED FACTOR REA'!L5,"")</f>
        <v>600</v>
      </c>
      <c r="P5" s="250">
        <f t="shared" si="3"/>
        <v>2.2022727272727272</v>
      </c>
      <c r="R5" s="70">
        <f t="shared" si="4"/>
        <v>0.43137254901960781</v>
      </c>
    </row>
    <row r="6" spans="1:18" ht="20.25" x14ac:dyDescent="0.25">
      <c r="A6" s="246">
        <f>+'OEE REA'!A7</f>
        <v>5</v>
      </c>
      <c r="B6" s="99">
        <f t="shared" si="1"/>
        <v>2</v>
      </c>
      <c r="C6" s="113">
        <f>+'OEE REA'!D7</f>
        <v>45664</v>
      </c>
      <c r="D6" s="242" t="s">
        <v>1808</v>
      </c>
      <c r="E6" s="109">
        <f>VLOOKUP(A6,'OEE REA'!A:AO,13,FALSE)</f>
        <v>459</v>
      </c>
      <c r="F6" s="110">
        <f>VLOOKUP(A6,'OEE REA'!A:AO,11,FALSE)</f>
        <v>300</v>
      </c>
      <c r="G6" s="111">
        <f t="shared" si="5"/>
        <v>180</v>
      </c>
      <c r="H6" s="110">
        <f>VLOOKUP(A6,'OEE REA'!A:AO,14,FALSE)</f>
        <v>153</v>
      </c>
      <c r="I6" s="106"/>
      <c r="J6" s="99"/>
      <c r="K6" s="99"/>
      <c r="L6" s="107">
        <v>1</v>
      </c>
      <c r="M6" s="112">
        <f t="shared" si="2"/>
        <v>180</v>
      </c>
      <c r="N6" s="103">
        <f t="shared" si="0"/>
        <v>300</v>
      </c>
      <c r="O6" s="103">
        <f>IFERROR('OEE REA'!J7*'SPEED FACTOR REA'!L6,"")</f>
        <v>540</v>
      </c>
      <c r="P6" s="250">
        <f t="shared" si="3"/>
        <v>1.6666666666666667</v>
      </c>
      <c r="R6" s="70">
        <f t="shared" si="4"/>
        <v>0.33333333333333331</v>
      </c>
    </row>
    <row r="7" spans="1:18" ht="20.25" x14ac:dyDescent="0.25">
      <c r="A7" s="246">
        <f>+'OEE REA'!A8</f>
        <v>6</v>
      </c>
      <c r="B7" s="99">
        <f t="shared" si="1"/>
        <v>2</v>
      </c>
      <c r="C7" s="113">
        <f>+'OEE REA'!D8</f>
        <v>45665</v>
      </c>
      <c r="D7" s="242" t="s">
        <v>1809</v>
      </c>
      <c r="E7" s="109">
        <f>VLOOKUP(A7,'OEE REA'!A:AO,13,FALSE)</f>
        <v>1058</v>
      </c>
      <c r="F7" s="110">
        <f>VLOOKUP(A7,'OEE REA'!A:AO,11,FALSE)</f>
        <v>566</v>
      </c>
      <c r="G7" s="111">
        <f t="shared" si="5"/>
        <v>414.90196078431376</v>
      </c>
      <c r="H7" s="110">
        <f>VLOOKUP(A7,'OEE REA'!A:AO,14,FALSE)</f>
        <v>153</v>
      </c>
      <c r="I7" s="106"/>
      <c r="J7" s="99"/>
      <c r="K7" s="99"/>
      <c r="L7" s="107"/>
      <c r="M7" s="112">
        <f t="shared" si="2"/>
        <v>0</v>
      </c>
      <c r="N7" s="103">
        <f t="shared" si="0"/>
        <v>0</v>
      </c>
      <c r="O7" s="103">
        <f>IFERROR('OEE REA'!J8*'SPEED FACTOR REA'!L7,"")</f>
        <v>0</v>
      </c>
      <c r="P7" s="250" t="str">
        <f>IFERROR(N7/M7,"")</f>
        <v/>
      </c>
      <c r="R7" s="70" t="e">
        <f>G7/O7</f>
        <v>#DIV/0!</v>
      </c>
    </row>
    <row r="8" spans="1:18" ht="20.25" x14ac:dyDescent="0.25">
      <c r="A8" s="246">
        <f>+'OEE REA'!A9</f>
        <v>7</v>
      </c>
      <c r="B8" s="99">
        <f t="shared" si="1"/>
        <v>2</v>
      </c>
      <c r="C8" s="113">
        <f>+'OEE REA'!D9</f>
        <v>45665</v>
      </c>
      <c r="D8" s="242" t="s">
        <v>1810</v>
      </c>
      <c r="E8" s="109">
        <f>VLOOKUP(A8,'OEE REA'!A:AO,13,FALSE)</f>
        <v>1170</v>
      </c>
      <c r="F8" s="110">
        <f>VLOOKUP(A8,'OEE REA'!A:AO,11,FALSE)</f>
        <v>540</v>
      </c>
      <c r="G8" s="111">
        <f t="shared" si="5"/>
        <v>458.82352941176475</v>
      </c>
      <c r="H8" s="110">
        <f>VLOOKUP(A8,'OEE REA'!A:AO,14,FALSE)</f>
        <v>153</v>
      </c>
      <c r="I8" s="106"/>
      <c r="J8" s="99"/>
      <c r="K8" s="99"/>
      <c r="L8" s="107"/>
      <c r="M8" s="112">
        <f t="shared" si="2"/>
        <v>0</v>
      </c>
      <c r="N8" s="103">
        <f t="shared" si="0"/>
        <v>0</v>
      </c>
      <c r="O8" s="103">
        <f>IFERROR('OEE REA'!J9*'SPEED FACTOR REA'!L8,"")</f>
        <v>0</v>
      </c>
      <c r="P8" s="250" t="str">
        <f t="shared" si="3"/>
        <v/>
      </c>
      <c r="R8" s="70" t="e">
        <f t="shared" si="4"/>
        <v>#DIV/0!</v>
      </c>
    </row>
    <row r="9" spans="1:18" ht="20.25" x14ac:dyDescent="0.25">
      <c r="A9" s="246">
        <f>+'OEE REA'!A10</f>
        <v>8</v>
      </c>
      <c r="B9" s="99">
        <f t="shared" si="1"/>
        <v>2</v>
      </c>
      <c r="C9" s="113">
        <f>+'OEE REA'!D10</f>
        <v>45666</v>
      </c>
      <c r="D9" s="242" t="s">
        <v>1811</v>
      </c>
      <c r="E9" s="109">
        <f>VLOOKUP(A9,'OEE REA'!A:AO,13,FALSE)</f>
        <v>1208</v>
      </c>
      <c r="F9" s="110">
        <f>VLOOKUP(A9,'OEE REA'!A:AO,11,FALSE)</f>
        <v>555</v>
      </c>
      <c r="G9" s="111">
        <f t="shared" si="5"/>
        <v>473.72549019607845</v>
      </c>
      <c r="H9" s="110">
        <f>VLOOKUP(A9,'OEE REA'!A:AO,14,FALSE)</f>
        <v>153</v>
      </c>
      <c r="I9" s="106"/>
      <c r="J9" s="99"/>
      <c r="K9" s="99"/>
      <c r="L9" s="107"/>
      <c r="M9" s="112">
        <f t="shared" si="2"/>
        <v>0</v>
      </c>
      <c r="N9" s="103">
        <f t="shared" si="0"/>
        <v>0</v>
      </c>
      <c r="O9" s="103">
        <f>IFERROR('OEE REA'!J10*'SPEED FACTOR REA'!L9,"")</f>
        <v>0</v>
      </c>
      <c r="P9" s="250" t="str">
        <f t="shared" si="3"/>
        <v/>
      </c>
      <c r="R9" s="70" t="e">
        <f t="shared" si="4"/>
        <v>#DIV/0!</v>
      </c>
    </row>
    <row r="10" spans="1:18" ht="20.25" x14ac:dyDescent="0.25">
      <c r="A10" s="246">
        <f>+'OEE REA'!A11</f>
        <v>9</v>
      </c>
      <c r="B10" s="99">
        <f t="shared" si="1"/>
        <v>2</v>
      </c>
      <c r="C10" s="113">
        <f>+'OEE REA'!D11</f>
        <v>45666</v>
      </c>
      <c r="D10" s="242" t="s">
        <v>1812</v>
      </c>
      <c r="E10" s="109">
        <f>VLOOKUP(A10,'OEE REA'!A:AO,13,FALSE)</f>
        <v>816</v>
      </c>
      <c r="F10" s="110">
        <f>VLOOKUP(A10,'OEE REA'!A:AO,11,FALSE)</f>
        <v>240</v>
      </c>
      <c r="G10" s="111">
        <f t="shared" si="5"/>
        <v>320</v>
      </c>
      <c r="H10" s="110">
        <f>VLOOKUP(A10,'OEE REA'!A:AO,14,FALSE)</f>
        <v>153</v>
      </c>
      <c r="I10" s="106"/>
      <c r="J10" s="99"/>
      <c r="K10" s="99"/>
      <c r="L10" s="107"/>
      <c r="M10" s="112">
        <f t="shared" si="2"/>
        <v>0</v>
      </c>
      <c r="N10" s="103">
        <f t="shared" si="0"/>
        <v>0</v>
      </c>
      <c r="O10" s="103">
        <f>IFERROR('OEE REA'!J11*'SPEED FACTOR REA'!L10,"")</f>
        <v>0</v>
      </c>
      <c r="P10" s="250" t="str">
        <f t="shared" si="3"/>
        <v/>
      </c>
      <c r="R10" s="70" t="e">
        <f t="shared" si="4"/>
        <v>#DIV/0!</v>
      </c>
    </row>
    <row r="11" spans="1:18" ht="20.25" x14ac:dyDescent="0.25">
      <c r="A11" s="246">
        <f>+'OEE REA'!A12</f>
        <v>10</v>
      </c>
      <c r="B11" s="99">
        <f t="shared" si="1"/>
        <v>2</v>
      </c>
      <c r="C11" s="113">
        <f>+'OEE REA'!D12</f>
        <v>45666</v>
      </c>
      <c r="D11" s="242" t="s">
        <v>1813</v>
      </c>
      <c r="E11" s="109">
        <f>VLOOKUP(A11,'OEE REA'!A:AO,13,FALSE)</f>
        <v>114</v>
      </c>
      <c r="F11" s="110">
        <f>VLOOKUP(A11,'OEE REA'!A:AO,11,FALSE)</f>
        <v>185</v>
      </c>
      <c r="G11" s="111">
        <f t="shared" si="5"/>
        <v>44.705882352941174</v>
      </c>
      <c r="H11" s="110">
        <f>VLOOKUP(A11,'OEE REA'!A:AO,14,FALSE)</f>
        <v>153</v>
      </c>
      <c r="I11" s="106"/>
      <c r="J11" s="99"/>
      <c r="K11" s="99"/>
      <c r="L11" s="107"/>
      <c r="M11" s="112">
        <f t="shared" si="2"/>
        <v>0</v>
      </c>
      <c r="N11" s="103">
        <f t="shared" si="0"/>
        <v>0</v>
      </c>
      <c r="O11" s="103">
        <f>IFERROR('OEE REA'!J12*'SPEED FACTOR REA'!L11,"")</f>
        <v>0</v>
      </c>
      <c r="P11" s="250" t="str">
        <f t="shared" si="3"/>
        <v/>
      </c>
      <c r="R11" s="70" t="e">
        <f t="shared" si="4"/>
        <v>#DIV/0!</v>
      </c>
    </row>
    <row r="12" spans="1:18" ht="20.25" x14ac:dyDescent="0.25">
      <c r="A12" s="246">
        <f>+'OEE REA'!A13</f>
        <v>11</v>
      </c>
      <c r="B12" s="99">
        <f t="shared" si="1"/>
        <v>2</v>
      </c>
      <c r="C12" s="113">
        <f>+'OEE REA'!D13</f>
        <v>45667</v>
      </c>
      <c r="D12" s="242" t="s">
        <v>1814</v>
      </c>
      <c r="E12" s="109">
        <f>VLOOKUP(A12,'OEE REA'!A:AO,13,FALSE)</f>
        <v>894</v>
      </c>
      <c r="F12" s="110">
        <f>VLOOKUP(A12,'OEE REA'!A:AO,11,FALSE)</f>
        <v>497</v>
      </c>
      <c r="G12" s="111">
        <f t="shared" si="5"/>
        <v>350.58823529411762</v>
      </c>
      <c r="H12" s="110">
        <f>VLOOKUP(A12,'OEE REA'!A:AO,14,FALSE)</f>
        <v>153</v>
      </c>
      <c r="I12" s="106"/>
      <c r="J12" s="99"/>
      <c r="K12" s="99"/>
      <c r="L12" s="107"/>
      <c r="M12" s="112">
        <f t="shared" si="2"/>
        <v>0</v>
      </c>
      <c r="N12" s="103">
        <f t="shared" si="0"/>
        <v>0</v>
      </c>
      <c r="O12" s="103">
        <f>IFERROR('OEE REA'!J13*'SPEED FACTOR REA'!L12,"")</f>
        <v>0</v>
      </c>
      <c r="P12" s="250" t="str">
        <f t="shared" si="3"/>
        <v/>
      </c>
      <c r="R12" s="70" t="e">
        <f t="shared" si="4"/>
        <v>#DIV/0!</v>
      </c>
    </row>
    <row r="13" spans="1:18" ht="20.25" x14ac:dyDescent="0.25">
      <c r="A13" s="246">
        <f>+'OEE REA'!A14</f>
        <v>12</v>
      </c>
      <c r="B13" s="99">
        <f t="shared" si="1"/>
        <v>2</v>
      </c>
      <c r="C13" s="113">
        <f>+'OEE REA'!D14</f>
        <v>45667</v>
      </c>
      <c r="D13" s="242" t="s">
        <v>1815</v>
      </c>
      <c r="E13" s="109">
        <f>VLOOKUP(A13,'OEE REA'!A:AO,13,FALSE)</f>
        <v>271</v>
      </c>
      <c r="F13" s="110">
        <f>VLOOKUP(A13,'OEE REA'!A:AO,11,FALSE)</f>
        <v>240</v>
      </c>
      <c r="G13" s="111">
        <f t="shared" si="5"/>
        <v>106.27450980392156</v>
      </c>
      <c r="H13" s="110">
        <f>VLOOKUP(A13,'OEE REA'!A:AO,14,FALSE)</f>
        <v>153</v>
      </c>
      <c r="I13" s="106"/>
      <c r="J13" s="99"/>
      <c r="K13" s="99"/>
      <c r="L13" s="107"/>
      <c r="M13" s="112">
        <f t="shared" si="2"/>
        <v>0</v>
      </c>
      <c r="N13" s="103">
        <f t="shared" si="0"/>
        <v>0</v>
      </c>
      <c r="O13" s="103">
        <f>IFERROR('OEE REA'!J14*'SPEED FACTOR REA'!L13,"")</f>
        <v>0</v>
      </c>
      <c r="P13" s="250" t="str">
        <f t="shared" si="3"/>
        <v/>
      </c>
      <c r="R13" s="70" t="e">
        <f t="shared" si="4"/>
        <v>#DIV/0!</v>
      </c>
    </row>
    <row r="14" spans="1:18" ht="20.25" x14ac:dyDescent="0.25">
      <c r="A14" s="246">
        <f>+'OEE REA'!A15</f>
        <v>13</v>
      </c>
      <c r="B14" s="99">
        <f t="shared" si="1"/>
        <v>2</v>
      </c>
      <c r="C14" s="113">
        <f>+'OEE REA'!D15</f>
        <v>45667</v>
      </c>
      <c r="D14" s="242" t="s">
        <v>1816</v>
      </c>
      <c r="E14" s="109">
        <f>VLOOKUP(A14,'OEE REA'!A:AO,13,FALSE)</f>
        <v>0</v>
      </c>
      <c r="F14" s="110">
        <f>VLOOKUP(A14,'OEE REA'!A:AO,11,FALSE)</f>
        <v>205</v>
      </c>
      <c r="G14" s="111">
        <f t="shared" si="5"/>
        <v>0</v>
      </c>
      <c r="H14" s="110">
        <f>VLOOKUP(A14,'OEE REA'!A:AO,14,FALSE)</f>
        <v>153</v>
      </c>
      <c r="I14" s="106"/>
      <c r="J14" s="99"/>
      <c r="K14" s="99"/>
      <c r="L14" s="107"/>
      <c r="M14" s="112">
        <f t="shared" si="2"/>
        <v>0</v>
      </c>
      <c r="N14" s="103">
        <f t="shared" si="0"/>
        <v>0</v>
      </c>
      <c r="O14" s="103">
        <f>IFERROR('OEE REA'!J15*'SPEED FACTOR REA'!L14,"")</f>
        <v>0</v>
      </c>
      <c r="P14" s="250" t="str">
        <f t="shared" si="3"/>
        <v/>
      </c>
      <c r="R14" s="70" t="e">
        <f t="shared" si="4"/>
        <v>#DIV/0!</v>
      </c>
    </row>
    <row r="15" spans="1:18" ht="20.25" x14ac:dyDescent="0.25">
      <c r="A15" s="246">
        <f>+'OEE REA'!A16</f>
        <v>14</v>
      </c>
      <c r="B15" s="99">
        <f t="shared" si="1"/>
        <v>3</v>
      </c>
      <c r="C15" s="113">
        <f>+'OEE REA'!D16</f>
        <v>45670</v>
      </c>
      <c r="D15" s="242" t="s">
        <v>1817</v>
      </c>
      <c r="E15" s="109">
        <f>VLOOKUP(A15,'OEE REA'!A:AO,13,FALSE)</f>
        <v>756</v>
      </c>
      <c r="F15" s="110">
        <f>VLOOKUP(A15,'OEE REA'!A:AO,11,FALSE)</f>
        <v>408</v>
      </c>
      <c r="G15" s="111">
        <f t="shared" si="5"/>
        <v>296.47058823529414</v>
      </c>
      <c r="H15" s="110">
        <f>VLOOKUP(A15,'OEE REA'!A:AO,14,FALSE)</f>
        <v>153</v>
      </c>
      <c r="I15" s="106"/>
      <c r="J15" s="99"/>
      <c r="K15" s="99"/>
      <c r="L15" s="107"/>
      <c r="M15" s="112">
        <f t="shared" si="2"/>
        <v>0</v>
      </c>
      <c r="N15" s="103">
        <f t="shared" si="0"/>
        <v>0</v>
      </c>
      <c r="O15" s="103">
        <f>IFERROR('OEE REA'!J16*'SPEED FACTOR REA'!L15,"")</f>
        <v>0</v>
      </c>
      <c r="P15" s="250" t="str">
        <f t="shared" si="3"/>
        <v/>
      </c>
      <c r="R15" s="70" t="e">
        <f t="shared" si="4"/>
        <v>#DIV/0!</v>
      </c>
    </row>
    <row r="16" spans="1:18" ht="20.25" x14ac:dyDescent="0.25">
      <c r="A16" s="246">
        <f>+'OEE REA'!A17</f>
        <v>15</v>
      </c>
      <c r="B16" s="99">
        <f t="shared" si="1"/>
        <v>3</v>
      </c>
      <c r="C16" s="113">
        <f>+'OEE REA'!D17</f>
        <v>45670</v>
      </c>
      <c r="D16" s="242" t="s">
        <v>1818</v>
      </c>
      <c r="E16" s="109">
        <f>VLOOKUP(A16,'OEE REA'!A:AO,13,FALSE)</f>
        <v>860</v>
      </c>
      <c r="F16" s="110">
        <f>VLOOKUP(A16,'OEE REA'!A:AO,11,FALSE)</f>
        <v>540</v>
      </c>
      <c r="G16" s="111">
        <f t="shared" si="5"/>
        <v>337.25490196078431</v>
      </c>
      <c r="H16" s="110">
        <f>VLOOKUP(A16,'OEE REA'!A:AO,14,FALSE)</f>
        <v>153</v>
      </c>
      <c r="I16" s="106"/>
      <c r="J16" s="99"/>
      <c r="K16" s="99"/>
      <c r="L16" s="107"/>
      <c r="M16" s="112">
        <f t="shared" si="2"/>
        <v>0</v>
      </c>
      <c r="N16" s="103">
        <f t="shared" si="0"/>
        <v>0</v>
      </c>
      <c r="O16" s="103">
        <f>IFERROR('OEE REA'!J17*'SPEED FACTOR REA'!L16,"")</f>
        <v>0</v>
      </c>
      <c r="P16" s="250" t="str">
        <f t="shared" si="3"/>
        <v/>
      </c>
      <c r="R16" s="70" t="e">
        <f t="shared" si="4"/>
        <v>#DIV/0!</v>
      </c>
    </row>
    <row r="17" spans="1:18" ht="20.25" x14ac:dyDescent="0.25">
      <c r="A17" s="246">
        <f>+'OEE REA'!A18</f>
        <v>16</v>
      </c>
      <c r="B17" s="99">
        <f t="shared" si="1"/>
        <v>3</v>
      </c>
      <c r="C17" s="113">
        <f>+'OEE REA'!D18</f>
        <v>45671</v>
      </c>
      <c r="D17" s="242" t="s">
        <v>1819</v>
      </c>
      <c r="E17" s="109">
        <f>VLOOKUP(A17,'OEE REA'!A:AO,13,FALSE)</f>
        <v>867</v>
      </c>
      <c r="F17" s="110">
        <f>VLOOKUP(A17,'OEE REA'!A:AO,11,FALSE)</f>
        <v>559</v>
      </c>
      <c r="G17" s="111">
        <f t="shared" si="5"/>
        <v>340</v>
      </c>
      <c r="H17" s="110">
        <f>VLOOKUP(A17,'OEE REA'!A:AO,14,FALSE)</f>
        <v>153</v>
      </c>
      <c r="I17" s="106"/>
      <c r="J17" s="99"/>
      <c r="K17" s="99"/>
      <c r="L17" s="107"/>
      <c r="M17" s="112">
        <f t="shared" si="2"/>
        <v>0</v>
      </c>
      <c r="N17" s="103">
        <f t="shared" si="0"/>
        <v>0</v>
      </c>
      <c r="O17" s="103">
        <f>IFERROR('OEE REA'!J18*'SPEED FACTOR REA'!L17,"")</f>
        <v>0</v>
      </c>
      <c r="P17" s="250" t="str">
        <f t="shared" si="3"/>
        <v/>
      </c>
      <c r="R17" s="70" t="e">
        <f t="shared" si="4"/>
        <v>#DIV/0!</v>
      </c>
    </row>
    <row r="18" spans="1:18" ht="20.25" x14ac:dyDescent="0.25">
      <c r="A18" s="246">
        <f>+'OEE REA'!A19</f>
        <v>17</v>
      </c>
      <c r="B18" s="99">
        <f t="shared" si="1"/>
        <v>3</v>
      </c>
      <c r="C18" s="113">
        <f>+'OEE REA'!D19</f>
        <v>45671</v>
      </c>
      <c r="D18" s="242" t="s">
        <v>1820</v>
      </c>
      <c r="E18" s="109">
        <f>VLOOKUP(A18,'OEE REA'!A:AO,13,FALSE)</f>
        <v>968</v>
      </c>
      <c r="F18" s="110">
        <f>VLOOKUP(A18,'OEE REA'!A:AO,11,FALSE)</f>
        <v>540</v>
      </c>
      <c r="G18" s="111">
        <f t="shared" si="5"/>
        <v>379.60784313725486</v>
      </c>
      <c r="H18" s="110">
        <f>VLOOKUP(A18,'OEE REA'!A:AO,14,FALSE)</f>
        <v>153</v>
      </c>
      <c r="I18" s="106"/>
      <c r="J18" s="99"/>
      <c r="K18" s="99"/>
      <c r="L18" s="107"/>
      <c r="M18" s="112">
        <f t="shared" si="2"/>
        <v>0</v>
      </c>
      <c r="N18" s="103">
        <f t="shared" si="0"/>
        <v>0</v>
      </c>
      <c r="O18" s="103">
        <f>IFERROR('OEE REA'!J19*'SPEED FACTOR REA'!L18,"")</f>
        <v>0</v>
      </c>
      <c r="P18" s="250" t="str">
        <f t="shared" si="3"/>
        <v/>
      </c>
      <c r="R18" s="70" t="e">
        <f t="shared" si="4"/>
        <v>#DIV/0!</v>
      </c>
    </row>
    <row r="19" spans="1:18" ht="20.25" x14ac:dyDescent="0.25">
      <c r="A19" s="246">
        <f>+'OEE REA'!A20</f>
        <v>18</v>
      </c>
      <c r="B19" s="99">
        <f t="shared" si="1"/>
        <v>3</v>
      </c>
      <c r="C19" s="113">
        <f>+'OEE REA'!D20</f>
        <v>45672</v>
      </c>
      <c r="D19" s="242" t="s">
        <v>1821</v>
      </c>
      <c r="E19" s="109">
        <f>VLOOKUP(A19,'OEE REA'!A:AO,13,FALSE)</f>
        <v>411</v>
      </c>
      <c r="F19" s="110">
        <f>VLOOKUP(A19,'OEE REA'!A:AO,11,FALSE)</f>
        <v>229</v>
      </c>
      <c r="G19" s="111">
        <f t="shared" si="5"/>
        <v>161.17647058823528</v>
      </c>
      <c r="H19" s="110">
        <f>VLOOKUP(A19,'OEE REA'!A:AO,14,FALSE)</f>
        <v>153</v>
      </c>
      <c r="I19" s="106"/>
      <c r="J19" s="99"/>
      <c r="K19" s="99"/>
      <c r="L19" s="107"/>
      <c r="M19" s="112">
        <f t="shared" si="2"/>
        <v>0</v>
      </c>
      <c r="N19" s="103">
        <f t="shared" si="0"/>
        <v>0</v>
      </c>
      <c r="O19" s="103">
        <f>IFERROR('OEE REA'!J20*'SPEED FACTOR REA'!L19,"")</f>
        <v>0</v>
      </c>
      <c r="P19" s="250" t="str">
        <f t="shared" si="3"/>
        <v/>
      </c>
      <c r="R19" s="70" t="e">
        <f t="shared" si="4"/>
        <v>#DIV/0!</v>
      </c>
    </row>
    <row r="20" spans="1:18" ht="20.25" x14ac:dyDescent="0.25">
      <c r="A20" s="246">
        <f>+'OEE REA'!A21</f>
        <v>19</v>
      </c>
      <c r="B20" s="99">
        <f t="shared" si="1"/>
        <v>3</v>
      </c>
      <c r="C20" s="113">
        <f>+'OEE REA'!D21</f>
        <v>45672</v>
      </c>
      <c r="D20" s="242" t="s">
        <v>1822</v>
      </c>
      <c r="E20" s="109">
        <f>VLOOKUP(A20,'OEE REA'!A:AO,13,FALSE)</f>
        <v>789</v>
      </c>
      <c r="F20" s="110">
        <f>VLOOKUP(A20,'OEE REA'!A:AO,11,FALSE)</f>
        <v>275</v>
      </c>
      <c r="G20" s="111">
        <f t="shared" si="5"/>
        <v>309.41176470588238</v>
      </c>
      <c r="H20" s="110">
        <f>VLOOKUP(A20,'OEE REA'!A:AO,14,FALSE)</f>
        <v>153</v>
      </c>
      <c r="I20" s="106"/>
      <c r="J20" s="99"/>
      <c r="K20" s="99"/>
      <c r="L20" s="107"/>
      <c r="M20" s="112">
        <f t="shared" si="2"/>
        <v>0</v>
      </c>
      <c r="N20" s="103">
        <f t="shared" si="0"/>
        <v>0</v>
      </c>
      <c r="O20" s="103">
        <f>IFERROR('OEE REA'!J21*'SPEED FACTOR REA'!L20,"")</f>
        <v>0</v>
      </c>
      <c r="P20" s="250" t="str">
        <f t="shared" si="3"/>
        <v/>
      </c>
      <c r="R20" s="70" t="e">
        <f t="shared" si="4"/>
        <v>#DIV/0!</v>
      </c>
    </row>
    <row r="21" spans="1:18" ht="20.25" x14ac:dyDescent="0.25">
      <c r="A21" s="246">
        <f>+'OEE REA'!A22</f>
        <v>20</v>
      </c>
      <c r="B21" s="99">
        <f t="shared" si="1"/>
        <v>3</v>
      </c>
      <c r="C21" s="113">
        <f>+'OEE REA'!D22</f>
        <v>45673</v>
      </c>
      <c r="D21" s="242" t="s">
        <v>1823</v>
      </c>
      <c r="E21" s="109">
        <f>VLOOKUP(A21,'OEE REA'!A:AO,13,FALSE)</f>
        <v>911</v>
      </c>
      <c r="F21" s="110">
        <f>VLOOKUP(A21,'OEE REA'!A:AO,11,FALSE)</f>
        <v>546</v>
      </c>
      <c r="G21" s="111">
        <f t="shared" si="5"/>
        <v>357.25490196078431</v>
      </c>
      <c r="H21" s="110">
        <f>VLOOKUP(A21,'OEE REA'!A:AO,14,FALSE)</f>
        <v>153</v>
      </c>
      <c r="I21" s="106"/>
      <c r="J21" s="99"/>
      <c r="K21" s="99"/>
      <c r="L21" s="107"/>
      <c r="M21" s="112">
        <f t="shared" si="2"/>
        <v>0</v>
      </c>
      <c r="N21" s="103">
        <f t="shared" si="0"/>
        <v>0</v>
      </c>
      <c r="O21" s="103">
        <f>IFERROR('OEE REA'!J22*'SPEED FACTOR REA'!L21,"")</f>
        <v>0</v>
      </c>
      <c r="P21" s="250" t="str">
        <f t="shared" si="3"/>
        <v/>
      </c>
      <c r="R21" s="70" t="e">
        <f t="shared" si="4"/>
        <v>#DIV/0!</v>
      </c>
    </row>
    <row r="22" spans="1:18" ht="20.25" x14ac:dyDescent="0.25">
      <c r="A22" s="246">
        <f>+'OEE REA'!A23</f>
        <v>21</v>
      </c>
      <c r="B22" s="99">
        <f t="shared" si="1"/>
        <v>3</v>
      </c>
      <c r="C22" s="113">
        <f>+'OEE REA'!D23</f>
        <v>45673</v>
      </c>
      <c r="D22" s="242" t="s">
        <v>1824</v>
      </c>
      <c r="E22" s="109">
        <f>VLOOKUP(A22,'OEE REA'!A:AO,13,FALSE)</f>
        <v>908</v>
      </c>
      <c r="F22" s="110">
        <f>VLOOKUP(A22,'OEE REA'!A:AO,11,FALSE)</f>
        <v>540</v>
      </c>
      <c r="G22" s="111">
        <f t="shared" si="5"/>
        <v>356.07843137254906</v>
      </c>
      <c r="H22" s="110">
        <f>VLOOKUP(A22,'OEE REA'!A:AO,14,FALSE)</f>
        <v>153</v>
      </c>
      <c r="I22" s="106"/>
      <c r="J22" s="99"/>
      <c r="K22" s="99"/>
      <c r="L22" s="107"/>
      <c r="M22" s="112">
        <f t="shared" si="2"/>
        <v>0</v>
      </c>
      <c r="N22" s="103">
        <f t="shared" si="0"/>
        <v>0</v>
      </c>
      <c r="O22" s="103">
        <f>IFERROR('OEE REA'!J23*'SPEED FACTOR REA'!L22,"")</f>
        <v>0</v>
      </c>
      <c r="P22" s="250" t="str">
        <f t="shared" si="3"/>
        <v/>
      </c>
      <c r="R22" s="70" t="e">
        <f t="shared" si="4"/>
        <v>#DIV/0!</v>
      </c>
    </row>
    <row r="23" spans="1:18" ht="20.25" x14ac:dyDescent="0.25">
      <c r="A23" s="246">
        <f>+'OEE REA'!A24</f>
        <v>22</v>
      </c>
      <c r="B23" s="99">
        <f t="shared" si="1"/>
        <v>3</v>
      </c>
      <c r="C23" s="113">
        <f>+'OEE REA'!D24</f>
        <v>45674</v>
      </c>
      <c r="D23" s="242" t="s">
        <v>1825</v>
      </c>
      <c r="E23" s="109">
        <f>VLOOKUP(A23,'OEE REA'!A:AO,13,FALSE)</f>
        <v>559</v>
      </c>
      <c r="F23" s="110">
        <f>VLOOKUP(A23,'OEE REA'!A:AO,11,FALSE)</f>
        <v>257</v>
      </c>
      <c r="G23" s="111">
        <f t="shared" si="5"/>
        <v>219.21568627450981</v>
      </c>
      <c r="H23" s="110">
        <f>VLOOKUP(A23,'OEE REA'!A:AO,14,FALSE)</f>
        <v>153</v>
      </c>
      <c r="I23" s="106"/>
      <c r="J23" s="99"/>
      <c r="K23" s="99"/>
      <c r="L23" s="107"/>
      <c r="M23" s="112">
        <f t="shared" si="2"/>
        <v>0</v>
      </c>
      <c r="N23" s="103">
        <f t="shared" si="0"/>
        <v>0</v>
      </c>
      <c r="O23" s="103">
        <f>IFERROR('OEE REA'!J24*'SPEED FACTOR REA'!L23,"")</f>
        <v>0</v>
      </c>
      <c r="P23" s="250" t="str">
        <f t="shared" si="3"/>
        <v/>
      </c>
      <c r="R23" s="70" t="e">
        <f t="shared" si="4"/>
        <v>#DIV/0!</v>
      </c>
    </row>
    <row r="24" spans="1:18" ht="20.25" x14ac:dyDescent="0.25">
      <c r="A24" s="246">
        <f>+'OEE REA'!A25</f>
        <v>23</v>
      </c>
      <c r="B24" s="99">
        <f t="shared" si="1"/>
        <v>3</v>
      </c>
      <c r="C24" s="113">
        <f>+'OEE REA'!D25</f>
        <v>45674</v>
      </c>
      <c r="D24" s="242" t="s">
        <v>1826</v>
      </c>
      <c r="E24" s="109">
        <f>VLOOKUP(A24,'OEE REA'!A:AO,13,FALSE)</f>
        <v>486</v>
      </c>
      <c r="F24" s="110">
        <f>VLOOKUP(A24,'OEE REA'!A:AO,11,FALSE)</f>
        <v>180</v>
      </c>
      <c r="G24" s="111">
        <f t="shared" si="5"/>
        <v>190.58823529411762</v>
      </c>
      <c r="H24" s="110">
        <f>VLOOKUP(A24,'OEE REA'!A:AO,14,FALSE)</f>
        <v>153</v>
      </c>
      <c r="I24" s="106"/>
      <c r="J24" s="99"/>
      <c r="K24" s="99"/>
      <c r="L24" s="107"/>
      <c r="M24" s="112">
        <f t="shared" si="2"/>
        <v>0</v>
      </c>
      <c r="N24" s="103">
        <f t="shared" si="0"/>
        <v>0</v>
      </c>
      <c r="O24" s="103">
        <f>IFERROR('OEE REA'!J25*'SPEED FACTOR REA'!L24,"")</f>
        <v>0</v>
      </c>
      <c r="P24" s="250" t="str">
        <f t="shared" si="3"/>
        <v/>
      </c>
      <c r="R24" s="70" t="e">
        <f t="shared" si="4"/>
        <v>#DIV/0!</v>
      </c>
    </row>
    <row r="25" spans="1:18" ht="20.25" x14ac:dyDescent="0.25">
      <c r="A25" s="246">
        <f>+'OEE REA'!A26</f>
        <v>24</v>
      </c>
      <c r="B25" s="99">
        <f t="shared" si="1"/>
        <v>4</v>
      </c>
      <c r="C25" s="113">
        <f>+'OEE REA'!D26</f>
        <v>45677</v>
      </c>
      <c r="D25" s="242" t="s">
        <v>1827</v>
      </c>
      <c r="E25" s="109">
        <f>VLOOKUP(A25,'OEE REA'!A:AO,13,FALSE)</f>
        <v>1248</v>
      </c>
      <c r="F25" s="110">
        <f>VLOOKUP(A25,'OEE REA'!A:AO,11,FALSE)</f>
        <v>555</v>
      </c>
      <c r="G25" s="111">
        <f t="shared" si="5"/>
        <v>489.41176470588232</v>
      </c>
      <c r="H25" s="110">
        <f>VLOOKUP(A25,'OEE REA'!A:AO,14,FALSE)</f>
        <v>153</v>
      </c>
      <c r="I25" s="106"/>
      <c r="J25" s="99"/>
      <c r="K25" s="99"/>
      <c r="L25" s="107"/>
      <c r="M25" s="112">
        <f t="shared" si="2"/>
        <v>0</v>
      </c>
      <c r="N25" s="103">
        <f t="shared" si="0"/>
        <v>0</v>
      </c>
      <c r="O25" s="103">
        <f>IFERROR('OEE REA'!J26*'SPEED FACTOR REA'!L25,"")</f>
        <v>0</v>
      </c>
      <c r="P25" s="250" t="str">
        <f t="shared" si="3"/>
        <v/>
      </c>
      <c r="R25" s="70" t="e">
        <f t="shared" si="4"/>
        <v>#DIV/0!</v>
      </c>
    </row>
    <row r="26" spans="1:18" ht="20.25" x14ac:dyDescent="0.25">
      <c r="A26" s="246">
        <f>+'OEE REA'!A27</f>
        <v>25</v>
      </c>
      <c r="B26" s="99">
        <f t="shared" si="1"/>
        <v>4</v>
      </c>
      <c r="C26" s="113">
        <f>+'OEE REA'!D27</f>
        <v>45677</v>
      </c>
      <c r="D26" s="242" t="s">
        <v>1828</v>
      </c>
      <c r="E26" s="109">
        <f>VLOOKUP(A26,'OEE REA'!A:AO,13,FALSE)</f>
        <v>1166</v>
      </c>
      <c r="F26" s="110">
        <f>VLOOKUP(A26,'OEE REA'!A:AO,11,FALSE)</f>
        <v>540</v>
      </c>
      <c r="G26" s="111">
        <f t="shared" si="5"/>
        <v>457.25490196078431</v>
      </c>
      <c r="H26" s="110">
        <f>VLOOKUP(A26,'OEE REA'!A:AO,14,FALSE)</f>
        <v>153</v>
      </c>
      <c r="I26" s="106"/>
      <c r="J26" s="99"/>
      <c r="K26" s="99"/>
      <c r="L26" s="107"/>
      <c r="M26" s="112">
        <f t="shared" si="2"/>
        <v>0</v>
      </c>
      <c r="N26" s="103">
        <f t="shared" si="0"/>
        <v>0</v>
      </c>
      <c r="O26" s="103">
        <f>IFERROR('OEE REA'!J27*'SPEED FACTOR REA'!L26,"")</f>
        <v>0</v>
      </c>
      <c r="P26" s="250" t="str">
        <f t="shared" si="3"/>
        <v/>
      </c>
      <c r="R26" s="70" t="e">
        <f t="shared" si="4"/>
        <v>#DIV/0!</v>
      </c>
    </row>
    <row r="27" spans="1:18" ht="20.25" x14ac:dyDescent="0.25">
      <c r="A27" s="246">
        <f>+'OEE REA'!A28</f>
        <v>26</v>
      </c>
      <c r="B27" s="99">
        <f t="shared" si="1"/>
        <v>4</v>
      </c>
      <c r="C27" s="113">
        <f>+'OEE REA'!D28</f>
        <v>45678</v>
      </c>
      <c r="D27" s="242" t="s">
        <v>1829</v>
      </c>
      <c r="E27" s="109">
        <f>VLOOKUP(A27,'OEE REA'!A:AO,13,FALSE)</f>
        <v>1221</v>
      </c>
      <c r="F27" s="110">
        <f>VLOOKUP(A27,'OEE REA'!A:AO,11,FALSE)</f>
        <v>555</v>
      </c>
      <c r="G27" s="111">
        <f t="shared" si="5"/>
        <v>478.8235294117647</v>
      </c>
      <c r="H27" s="110">
        <f>VLOOKUP(A27,'OEE REA'!A:AO,14,FALSE)</f>
        <v>153</v>
      </c>
      <c r="I27" s="106"/>
      <c r="J27" s="99"/>
      <c r="K27" s="99"/>
      <c r="L27" s="107"/>
      <c r="M27" s="112">
        <f t="shared" ref="M27:M38" si="6">IFERROR(G27*L27,"")</f>
        <v>0</v>
      </c>
      <c r="N27" s="103">
        <f t="shared" ref="N27:N38" si="7">IFERROR(F27*L27,"")</f>
        <v>0</v>
      </c>
      <c r="O27" s="103">
        <f>IFERROR('OEE REA'!J28*'SPEED FACTOR REA'!L27,"")</f>
        <v>0</v>
      </c>
      <c r="P27" s="250" t="str">
        <f t="shared" si="3"/>
        <v/>
      </c>
      <c r="R27" s="70" t="e">
        <f t="shared" si="4"/>
        <v>#DIV/0!</v>
      </c>
    </row>
    <row r="28" spans="1:18" ht="20.25" x14ac:dyDescent="0.25">
      <c r="A28" s="246">
        <f>+'OEE REA'!A29</f>
        <v>27</v>
      </c>
      <c r="B28" s="99">
        <f t="shared" si="1"/>
        <v>4</v>
      </c>
      <c r="C28" s="113">
        <f>+'OEE REA'!D29</f>
        <v>45678</v>
      </c>
      <c r="D28" s="242" t="s">
        <v>1830</v>
      </c>
      <c r="E28" s="109">
        <f>VLOOKUP(A28,'OEE REA'!A:AO,13,FALSE)</f>
        <v>1226</v>
      </c>
      <c r="F28" s="110">
        <f>VLOOKUP(A28,'OEE REA'!A:AO,11,FALSE)</f>
        <v>540</v>
      </c>
      <c r="G28" s="111">
        <f t="shared" si="5"/>
        <v>480.78431372549016</v>
      </c>
      <c r="H28" s="110">
        <f>VLOOKUP(A28,'OEE REA'!A:AO,14,FALSE)</f>
        <v>153</v>
      </c>
      <c r="I28" s="106"/>
      <c r="J28" s="99"/>
      <c r="K28" s="99"/>
      <c r="L28" s="107"/>
      <c r="M28" s="112">
        <f t="shared" si="6"/>
        <v>0</v>
      </c>
      <c r="N28" s="103">
        <f t="shared" si="7"/>
        <v>0</v>
      </c>
      <c r="O28" s="103">
        <f>IFERROR('OEE REA'!J29*'SPEED FACTOR REA'!L28,"")</f>
        <v>0</v>
      </c>
      <c r="P28" s="250" t="str">
        <f t="shared" si="3"/>
        <v/>
      </c>
      <c r="R28" s="70" t="e">
        <f t="shared" si="4"/>
        <v>#DIV/0!</v>
      </c>
    </row>
    <row r="29" spans="1:18" ht="20.25" x14ac:dyDescent="0.25">
      <c r="A29" s="246">
        <f>+'OEE REA'!A30</f>
        <v>28</v>
      </c>
      <c r="B29" s="99">
        <f t="shared" si="1"/>
        <v>4</v>
      </c>
      <c r="C29" s="113">
        <f>+'OEE REA'!D30</f>
        <v>45679</v>
      </c>
      <c r="D29" s="242" t="s">
        <v>1831</v>
      </c>
      <c r="E29" s="109">
        <f>VLOOKUP(A29,'OEE REA'!A:AO,13,FALSE)</f>
        <v>1161</v>
      </c>
      <c r="F29" s="110">
        <f>VLOOKUP(A29,'OEE REA'!A:AO,11,FALSE)</f>
        <v>459</v>
      </c>
      <c r="G29" s="111">
        <f t="shared" si="5"/>
        <v>455.29411764705878</v>
      </c>
      <c r="H29" s="110">
        <f>VLOOKUP(A29,'OEE REA'!A:AO,14,FALSE)</f>
        <v>153</v>
      </c>
      <c r="I29" s="106"/>
      <c r="J29" s="99"/>
      <c r="K29" s="99"/>
      <c r="L29" s="107"/>
      <c r="M29" s="112">
        <f t="shared" si="6"/>
        <v>0</v>
      </c>
      <c r="N29" s="103">
        <f t="shared" si="7"/>
        <v>0</v>
      </c>
      <c r="O29" s="103">
        <f>IFERROR('OEE REA'!J30*'SPEED FACTOR REA'!L29,"")</f>
        <v>0</v>
      </c>
      <c r="P29" s="250" t="str">
        <f t="shared" si="3"/>
        <v/>
      </c>
      <c r="R29" s="70" t="e">
        <f t="shared" si="4"/>
        <v>#DIV/0!</v>
      </c>
    </row>
    <row r="30" spans="1:18" ht="20.25" x14ac:dyDescent="0.25">
      <c r="A30" s="246">
        <f>+'OEE REA'!A31</f>
        <v>29</v>
      </c>
      <c r="B30" s="99">
        <f t="shared" si="1"/>
        <v>4</v>
      </c>
      <c r="C30" s="113">
        <f>+'OEE REA'!D31</f>
        <v>45679</v>
      </c>
      <c r="D30" s="242" t="s">
        <v>1832</v>
      </c>
      <c r="E30" s="109">
        <f>VLOOKUP(A30,'OEE REA'!A:AO,13,FALSE)</f>
        <v>970</v>
      </c>
      <c r="F30" s="110">
        <f>VLOOKUP(A30,'OEE REA'!A:AO,11,FALSE)</f>
        <v>480</v>
      </c>
      <c r="G30" s="111">
        <f t="shared" si="5"/>
        <v>380.39215686274508</v>
      </c>
      <c r="H30" s="110">
        <f>VLOOKUP(A30,'OEE REA'!A:AO,14,FALSE)</f>
        <v>153</v>
      </c>
      <c r="I30" s="106"/>
      <c r="J30" s="99"/>
      <c r="K30" s="99"/>
      <c r="L30" s="107"/>
      <c r="M30" s="112">
        <f t="shared" si="6"/>
        <v>0</v>
      </c>
      <c r="N30" s="103">
        <f t="shared" si="7"/>
        <v>0</v>
      </c>
      <c r="O30" s="103">
        <f>IFERROR('OEE REA'!J31*'SPEED FACTOR REA'!L30,"")</f>
        <v>0</v>
      </c>
      <c r="P30" s="250" t="str">
        <f t="shared" si="3"/>
        <v/>
      </c>
      <c r="R30" s="70" t="e">
        <f t="shared" si="4"/>
        <v>#DIV/0!</v>
      </c>
    </row>
    <row r="31" spans="1:18" ht="20.25" x14ac:dyDescent="0.25">
      <c r="A31" s="246">
        <f>+'OEE REA'!A32</f>
        <v>30</v>
      </c>
      <c r="B31" s="99">
        <f t="shared" si="1"/>
        <v>4</v>
      </c>
      <c r="C31" s="113">
        <f>+'OEE REA'!D32</f>
        <v>45680</v>
      </c>
      <c r="D31" s="242" t="s">
        <v>1833</v>
      </c>
      <c r="E31" s="109">
        <f>VLOOKUP(A31,'OEE REA'!A:AO,13,FALSE)</f>
        <v>1036</v>
      </c>
      <c r="F31" s="110">
        <f>VLOOKUP(A31,'OEE REA'!A:AO,11,FALSE)</f>
        <v>555</v>
      </c>
      <c r="G31" s="111">
        <f t="shared" si="5"/>
        <v>406.27450980392155</v>
      </c>
      <c r="H31" s="110">
        <f>VLOOKUP(A31,'OEE REA'!A:AO,14,FALSE)</f>
        <v>153</v>
      </c>
      <c r="I31" s="106"/>
      <c r="J31" s="99"/>
      <c r="K31" s="99"/>
      <c r="L31" s="107"/>
      <c r="M31" s="112">
        <f t="shared" si="6"/>
        <v>0</v>
      </c>
      <c r="N31" s="103">
        <f t="shared" si="7"/>
        <v>0</v>
      </c>
      <c r="O31" s="103">
        <f>IFERROR('OEE REA'!J32*'SPEED FACTOR REA'!L31,"")</f>
        <v>0</v>
      </c>
      <c r="P31" s="250" t="str">
        <f t="shared" si="3"/>
        <v/>
      </c>
      <c r="R31" s="70" t="e">
        <f t="shared" si="4"/>
        <v>#DIV/0!</v>
      </c>
    </row>
    <row r="32" spans="1:18" ht="20.25" x14ac:dyDescent="0.25">
      <c r="A32" s="246">
        <f>+'OEE REA'!A33</f>
        <v>31</v>
      </c>
      <c r="B32" s="99">
        <f t="shared" si="1"/>
        <v>4</v>
      </c>
      <c r="C32" s="113">
        <f>+'OEE REA'!D33</f>
        <v>45680</v>
      </c>
      <c r="D32" s="242" t="s">
        <v>1834</v>
      </c>
      <c r="E32" s="109">
        <f>VLOOKUP(A32,'OEE REA'!A:AO,13,FALSE)</f>
        <v>680</v>
      </c>
      <c r="F32" s="110">
        <f>VLOOKUP(A32,'OEE REA'!A:AO,11,FALSE)</f>
        <v>330</v>
      </c>
      <c r="G32" s="111">
        <f t="shared" si="5"/>
        <v>266.66666666666669</v>
      </c>
      <c r="H32" s="110">
        <f>VLOOKUP(A32,'OEE REA'!A:AO,14,FALSE)</f>
        <v>153</v>
      </c>
      <c r="I32" s="106"/>
      <c r="J32" s="99"/>
      <c r="K32" s="99"/>
      <c r="L32" s="107"/>
      <c r="M32" s="112">
        <f t="shared" si="6"/>
        <v>0</v>
      </c>
      <c r="N32" s="103">
        <f t="shared" si="7"/>
        <v>0</v>
      </c>
      <c r="O32" s="103">
        <f>IFERROR('OEE REA'!J33*'SPEED FACTOR REA'!L32,"")</f>
        <v>0</v>
      </c>
      <c r="P32" s="250" t="str">
        <f t="shared" si="3"/>
        <v/>
      </c>
      <c r="R32" s="70" t="e">
        <f t="shared" si="4"/>
        <v>#DIV/0!</v>
      </c>
    </row>
    <row r="33" spans="1:18" ht="20.25" x14ac:dyDescent="0.25">
      <c r="A33" s="246">
        <f>+'OEE REA'!A34</f>
        <v>32</v>
      </c>
      <c r="B33" s="99">
        <f t="shared" si="1"/>
        <v>4</v>
      </c>
      <c r="C33" s="113">
        <f>+'OEE REA'!D34</f>
        <v>45681</v>
      </c>
      <c r="D33" s="242" t="s">
        <v>1835</v>
      </c>
      <c r="E33" s="109">
        <f>VLOOKUP(A33,'OEE REA'!A:AO,13,FALSE)</f>
        <v>1148</v>
      </c>
      <c r="F33" s="110">
        <f>VLOOKUP(A33,'OEE REA'!A:AO,11,FALSE)</f>
        <v>555</v>
      </c>
      <c r="G33" s="111">
        <f t="shared" si="5"/>
        <v>450.19607843137254</v>
      </c>
      <c r="H33" s="110">
        <f>VLOOKUP(A33,'OEE REA'!A:AO,14,FALSE)</f>
        <v>153</v>
      </c>
      <c r="I33" s="106"/>
      <c r="J33" s="99"/>
      <c r="K33" s="99"/>
      <c r="L33" s="107"/>
      <c r="M33" s="112">
        <f t="shared" si="6"/>
        <v>0</v>
      </c>
      <c r="N33" s="103">
        <f t="shared" si="7"/>
        <v>0</v>
      </c>
      <c r="O33" s="103">
        <f>IFERROR('OEE REA'!J34*'SPEED FACTOR REA'!L33,"")</f>
        <v>0</v>
      </c>
      <c r="P33" s="250" t="str">
        <f t="shared" si="3"/>
        <v/>
      </c>
      <c r="R33" s="70" t="e">
        <f t="shared" si="4"/>
        <v>#DIV/0!</v>
      </c>
    </row>
    <row r="34" spans="1:18" ht="20.25" x14ac:dyDescent="0.25">
      <c r="A34" s="246">
        <f>+'OEE REA'!A389</f>
        <v>386</v>
      </c>
      <c r="B34" s="99">
        <f t="shared" si="1"/>
        <v>26</v>
      </c>
      <c r="C34" s="113">
        <f>+'OEE REA'!D389</f>
        <v>45835</v>
      </c>
      <c r="D34" s="242" t="s">
        <v>1836</v>
      </c>
      <c r="E34" s="109">
        <f>VLOOKUP(A34,'OEE REA'!A:AO,13,FALSE)</f>
        <v>1030</v>
      </c>
      <c r="F34" s="110">
        <f>VLOOKUP(A34,'OEE REA'!A:AO,11,FALSE)</f>
        <v>510</v>
      </c>
      <c r="G34" s="111">
        <f t="shared" si="5"/>
        <v>403.92156862745099</v>
      </c>
      <c r="H34" s="110">
        <f>VLOOKUP(A34,'OEE REA'!A:AO,14,FALSE)</f>
        <v>153</v>
      </c>
      <c r="I34" s="106"/>
      <c r="J34" s="99"/>
      <c r="K34" s="99"/>
      <c r="L34" s="107"/>
      <c r="M34" s="112">
        <f t="shared" si="6"/>
        <v>0</v>
      </c>
      <c r="N34" s="103">
        <f t="shared" si="7"/>
        <v>0</v>
      </c>
      <c r="O34" s="103">
        <f>IFERROR('OEE REA'!J389*'SPEED FACTOR REA'!L34,"")</f>
        <v>0</v>
      </c>
      <c r="P34" s="250" t="str">
        <f t="shared" si="3"/>
        <v/>
      </c>
      <c r="R34" s="70" t="e">
        <f t="shared" si="4"/>
        <v>#DIV/0!</v>
      </c>
    </row>
    <row r="35" spans="1:18" ht="20.25" x14ac:dyDescent="0.25">
      <c r="A35" s="246">
        <f>+'OEE REA'!A390</f>
        <v>387</v>
      </c>
      <c r="B35" s="99">
        <f t="shared" si="1"/>
        <v>26</v>
      </c>
      <c r="C35" s="113">
        <f>+'OEE REA'!D390</f>
        <v>45836</v>
      </c>
      <c r="D35" s="242" t="s">
        <v>1837</v>
      </c>
      <c r="E35" s="109">
        <f>VLOOKUP(A35,'OEE REA'!A:AO,13,FALSE)</f>
        <v>935</v>
      </c>
      <c r="F35" s="110">
        <f>VLOOKUP(A35,'OEE REA'!A:AO,11,FALSE)</f>
        <v>435</v>
      </c>
      <c r="G35" s="111">
        <f t="shared" si="5"/>
        <v>366.66666666666663</v>
      </c>
      <c r="H35" s="110">
        <f>VLOOKUP(A35,'OEE REA'!A:AO,14,FALSE)</f>
        <v>153</v>
      </c>
      <c r="I35" s="106"/>
      <c r="J35" s="99"/>
      <c r="K35" s="99"/>
      <c r="L35" s="107"/>
      <c r="M35" s="112">
        <f>IFERROR(G35*L35,"")</f>
        <v>0</v>
      </c>
      <c r="N35" s="103">
        <f>IFERROR(F35*L35,"")</f>
        <v>0</v>
      </c>
      <c r="O35" s="103">
        <f>IFERROR('OEE REA'!J390*'SPEED FACTOR REA'!L35,"")</f>
        <v>0</v>
      </c>
      <c r="P35" s="250" t="str">
        <f t="shared" si="3"/>
        <v/>
      </c>
      <c r="R35" s="70" t="e">
        <f t="shared" si="4"/>
        <v>#DIV/0!</v>
      </c>
    </row>
    <row r="36" spans="1:18" ht="20.25" x14ac:dyDescent="0.25">
      <c r="A36" s="246">
        <f>+'OEE REA'!A547</f>
        <v>388</v>
      </c>
      <c r="B36" s="99">
        <f t="shared" si="1"/>
        <v>0</v>
      </c>
      <c r="C36" s="113">
        <f>+'OEE REA'!D547</f>
        <v>0</v>
      </c>
      <c r="D36" s="242" t="s">
        <v>1838</v>
      </c>
      <c r="E36" s="109">
        <f>VLOOKUP(A36,'OEE REA'!A:AO,13,FALSE)</f>
        <v>816</v>
      </c>
      <c r="F36" s="110">
        <f>VLOOKUP(A36,'OEE REA'!A:AO,11,FALSE)</f>
        <v>450</v>
      </c>
      <c r="G36" s="111">
        <f t="shared" si="5"/>
        <v>320</v>
      </c>
      <c r="H36" s="110">
        <f>VLOOKUP(A36,'OEE REA'!A:AO,14,FALSE)</f>
        <v>153</v>
      </c>
      <c r="I36" s="106"/>
      <c r="J36" s="99"/>
      <c r="K36" s="99"/>
      <c r="L36" s="107"/>
      <c r="M36" s="112">
        <f t="shared" si="6"/>
        <v>0</v>
      </c>
      <c r="N36" s="103">
        <f>IFERROR(F36*L36,"")</f>
        <v>0</v>
      </c>
      <c r="O36" s="103">
        <f>IFERROR('OEE REA'!J547*'SPEED FACTOR REA'!L36,"")</f>
        <v>0</v>
      </c>
      <c r="P36" s="250" t="str">
        <f t="shared" si="3"/>
        <v/>
      </c>
      <c r="R36" s="70" t="e">
        <f t="shared" si="4"/>
        <v>#DIV/0!</v>
      </c>
    </row>
    <row r="37" spans="1:18" ht="20.25" x14ac:dyDescent="0.25">
      <c r="A37" s="246">
        <f>+'OEE REA'!A548</f>
        <v>389</v>
      </c>
      <c r="B37" s="99">
        <f t="shared" si="1"/>
        <v>0</v>
      </c>
      <c r="C37" s="113">
        <f>+'OEE REA'!D548</f>
        <v>0</v>
      </c>
      <c r="D37" s="242" t="s">
        <v>1839</v>
      </c>
      <c r="E37" s="109">
        <f>VLOOKUP(A37,'OEE REA'!A:AO,13,FALSE)</f>
        <v>109</v>
      </c>
      <c r="F37" s="110">
        <f>VLOOKUP(A37,'OEE REA'!A:AO,11,FALSE)</f>
        <v>120</v>
      </c>
      <c r="G37" s="111">
        <f t="shared" si="5"/>
        <v>42.745098039215691</v>
      </c>
      <c r="H37" s="110">
        <f>VLOOKUP(A37,'OEE REA'!A:AO,14,FALSE)</f>
        <v>153</v>
      </c>
      <c r="I37" s="106"/>
      <c r="J37" s="99"/>
      <c r="K37" s="99"/>
      <c r="L37" s="107"/>
      <c r="M37" s="112">
        <f t="shared" si="6"/>
        <v>0</v>
      </c>
      <c r="N37" s="103">
        <f t="shared" si="7"/>
        <v>0</v>
      </c>
      <c r="O37" s="103">
        <f>IFERROR('OEE REA'!J548*'SPEED FACTOR REA'!L37,"")</f>
        <v>0</v>
      </c>
      <c r="P37" s="250" t="str">
        <f t="shared" si="3"/>
        <v/>
      </c>
      <c r="R37" s="70" t="e">
        <f t="shared" si="4"/>
        <v>#DIV/0!</v>
      </c>
    </row>
    <row r="38" spans="1:18" ht="20.25" x14ac:dyDescent="0.25">
      <c r="A38" s="246">
        <f>+'OEE REA'!A549</f>
        <v>390</v>
      </c>
      <c r="B38" s="99">
        <f t="shared" si="1"/>
        <v>0</v>
      </c>
      <c r="C38" s="113">
        <f>+'OEE REA'!D549</f>
        <v>0</v>
      </c>
      <c r="D38" s="242" t="s">
        <v>1840</v>
      </c>
      <c r="E38" s="109">
        <f>VLOOKUP(A38,'OEE REA'!A:AO,13,FALSE)</f>
        <v>862</v>
      </c>
      <c r="F38" s="110">
        <f>VLOOKUP(A38,'OEE REA'!A:AO,11,FALSE)</f>
        <v>450</v>
      </c>
      <c r="G38" s="111">
        <f t="shared" si="5"/>
        <v>338.03921568627453</v>
      </c>
      <c r="H38" s="110">
        <f>VLOOKUP(A38,'OEE REA'!A:AO,14,FALSE)</f>
        <v>153</v>
      </c>
      <c r="I38" s="106"/>
      <c r="J38" s="99"/>
      <c r="K38" s="99"/>
      <c r="L38" s="107"/>
      <c r="M38" s="112">
        <f t="shared" si="6"/>
        <v>0</v>
      </c>
      <c r="N38" s="103">
        <f t="shared" si="7"/>
        <v>0</v>
      </c>
      <c r="O38" s="103">
        <f>IFERROR('OEE REA'!J549*'SPEED FACTOR REA'!L38,"")</f>
        <v>0</v>
      </c>
      <c r="P38" s="250" t="str">
        <f t="shared" si="3"/>
        <v/>
      </c>
      <c r="R38" s="70" t="e">
        <f t="shared" si="4"/>
        <v>#DIV/0!</v>
      </c>
    </row>
    <row r="39" spans="1:18" ht="20.25" x14ac:dyDescent="0.25">
      <c r="A39" s="246">
        <f>+'OEE REA'!A550</f>
        <v>391</v>
      </c>
      <c r="B39" s="99">
        <f t="shared" si="1"/>
        <v>0</v>
      </c>
      <c r="C39" s="113">
        <f>+'OEE REA'!D550</f>
        <v>0</v>
      </c>
      <c r="D39" s="242" t="s">
        <v>1841</v>
      </c>
      <c r="E39" s="109">
        <f>VLOOKUP(A39,'OEE REA'!A:AO,13,FALSE)</f>
        <v>281</v>
      </c>
      <c r="F39" s="110">
        <f>VLOOKUP(A39,'OEE REA'!A:AO,11,FALSE)</f>
        <v>510</v>
      </c>
      <c r="G39" s="111">
        <f t="shared" si="5"/>
        <v>110.19607843137254</v>
      </c>
      <c r="H39" s="110">
        <f>VLOOKUP(A39,'OEE REA'!A:AO,14,FALSE)</f>
        <v>153</v>
      </c>
      <c r="I39" s="106"/>
      <c r="J39" s="99"/>
      <c r="K39" s="99"/>
      <c r="L39" s="107"/>
      <c r="M39" s="112">
        <f t="shared" ref="M39:M102" si="8">IFERROR(G39*L39,"")</f>
        <v>0</v>
      </c>
      <c r="N39" s="103">
        <f t="shared" ref="N39:N102" si="9">IFERROR(F39*L39,"")</f>
        <v>0</v>
      </c>
      <c r="O39" s="103">
        <f>IFERROR('OEE REA'!J550*'SPEED FACTOR REA'!L39,"")</f>
        <v>0</v>
      </c>
      <c r="P39" s="250" t="str">
        <f t="shared" ref="P39:P102" si="10">IFERROR(N39/M39,"")</f>
        <v/>
      </c>
      <c r="R39" s="70" t="e">
        <f t="shared" si="4"/>
        <v>#DIV/0!</v>
      </c>
    </row>
    <row r="40" spans="1:18" ht="20.25" x14ac:dyDescent="0.25">
      <c r="A40" s="246">
        <f>+'OEE REA'!A551</f>
        <v>392</v>
      </c>
      <c r="B40" s="99">
        <f t="shared" si="1"/>
        <v>0</v>
      </c>
      <c r="C40" s="113">
        <f>+'OEE REA'!D551</f>
        <v>0</v>
      </c>
      <c r="D40" s="242" t="s">
        <v>1842</v>
      </c>
      <c r="E40" s="109">
        <f>VLOOKUP(A40,'OEE REA'!A:AO,13,FALSE)</f>
        <v>593</v>
      </c>
      <c r="F40" s="110">
        <f>VLOOKUP(A40,'OEE REA'!A:AO,11,FALSE)</f>
        <v>315</v>
      </c>
      <c r="G40" s="111">
        <f t="shared" si="5"/>
        <v>232.54901960784315</v>
      </c>
      <c r="H40" s="110">
        <f>VLOOKUP(A40,'OEE REA'!A:AO,14,FALSE)</f>
        <v>153</v>
      </c>
      <c r="I40" s="106"/>
      <c r="J40" s="99"/>
      <c r="K40" s="99"/>
      <c r="L40" s="107"/>
      <c r="M40" s="112">
        <f t="shared" si="8"/>
        <v>0</v>
      </c>
      <c r="N40" s="103">
        <f t="shared" si="9"/>
        <v>0</v>
      </c>
      <c r="O40" s="103">
        <f>IFERROR('OEE REA'!J551*'SPEED FACTOR REA'!L40,"")</f>
        <v>0</v>
      </c>
      <c r="P40" s="250" t="str">
        <f t="shared" si="10"/>
        <v/>
      </c>
      <c r="R40" s="70" t="e">
        <f t="shared" si="4"/>
        <v>#DIV/0!</v>
      </c>
    </row>
    <row r="41" spans="1:18" ht="20.25" x14ac:dyDescent="0.25">
      <c r="A41" s="246">
        <f>+'OEE REA'!A552</f>
        <v>393</v>
      </c>
      <c r="B41" s="99">
        <f t="shared" si="1"/>
        <v>0</v>
      </c>
      <c r="C41" s="113">
        <f>+'OEE REA'!D552</f>
        <v>0</v>
      </c>
      <c r="D41" s="242" t="s">
        <v>1843</v>
      </c>
      <c r="E41" s="109">
        <f>VLOOKUP(A41,'OEE REA'!A:AO,13,FALSE)</f>
        <v>816</v>
      </c>
      <c r="F41" s="110">
        <f>VLOOKUP(A41,'OEE REA'!A:AO,11,FALSE)</f>
        <v>450</v>
      </c>
      <c r="G41" s="111">
        <f t="shared" si="5"/>
        <v>320</v>
      </c>
      <c r="H41" s="110">
        <f>VLOOKUP(A41,'OEE REA'!A:AO,14,FALSE)</f>
        <v>153</v>
      </c>
      <c r="I41" s="106"/>
      <c r="J41" s="99"/>
      <c r="K41" s="99"/>
      <c r="L41" s="107"/>
      <c r="M41" s="112">
        <f t="shared" si="8"/>
        <v>0</v>
      </c>
      <c r="N41" s="103">
        <f t="shared" si="9"/>
        <v>0</v>
      </c>
      <c r="O41" s="103">
        <f>IFERROR('OEE REA'!J552*'SPEED FACTOR REA'!L41,"")</f>
        <v>0</v>
      </c>
      <c r="P41" s="250" t="str">
        <f t="shared" si="10"/>
        <v/>
      </c>
      <c r="R41" s="70" t="e">
        <f t="shared" si="4"/>
        <v>#DIV/0!</v>
      </c>
    </row>
    <row r="42" spans="1:18" ht="20.25" x14ac:dyDescent="0.25">
      <c r="A42" s="246">
        <f>+'OEE REA'!A553</f>
        <v>394</v>
      </c>
      <c r="B42" s="99">
        <f t="shared" si="1"/>
        <v>0</v>
      </c>
      <c r="C42" s="113">
        <f>+'OEE REA'!D553</f>
        <v>0</v>
      </c>
      <c r="D42" s="242" t="s">
        <v>1844</v>
      </c>
      <c r="E42" s="109">
        <f>VLOOKUP(A42,'OEE REA'!A:AO,13,FALSE)</f>
        <v>1153</v>
      </c>
      <c r="F42" s="110">
        <f>VLOOKUP(A42,'OEE REA'!A:AO,11,FALSE)</f>
        <v>510</v>
      </c>
      <c r="G42" s="111">
        <f t="shared" si="5"/>
        <v>452.15686274509801</v>
      </c>
      <c r="H42" s="110">
        <f>VLOOKUP(A42,'OEE REA'!A:AO,14,FALSE)</f>
        <v>153</v>
      </c>
      <c r="I42" s="106"/>
      <c r="J42" s="99"/>
      <c r="K42" s="99"/>
      <c r="L42" s="107"/>
      <c r="M42" s="112">
        <f t="shared" si="8"/>
        <v>0</v>
      </c>
      <c r="N42" s="103">
        <f>IFERROR(F42*L42,"")</f>
        <v>0</v>
      </c>
      <c r="O42" s="103">
        <f>IFERROR('OEE REA'!J553*'SPEED FACTOR REA'!L42,"")</f>
        <v>0</v>
      </c>
      <c r="P42" s="250" t="str">
        <f t="shared" si="10"/>
        <v/>
      </c>
      <c r="R42" s="70" t="e">
        <f t="shared" si="4"/>
        <v>#DIV/0!</v>
      </c>
    </row>
    <row r="43" spans="1:18" ht="20.25" x14ac:dyDescent="0.25">
      <c r="A43" s="246">
        <f>+'OEE REA'!A554</f>
        <v>395</v>
      </c>
      <c r="B43" s="99">
        <f t="shared" si="1"/>
        <v>0</v>
      </c>
      <c r="C43" s="113">
        <f>+'OEE REA'!D554</f>
        <v>0</v>
      </c>
      <c r="D43" s="242" t="s">
        <v>1845</v>
      </c>
      <c r="E43" s="109">
        <f>VLOOKUP(A43,'OEE REA'!A:AO,13,FALSE)</f>
        <v>1081</v>
      </c>
      <c r="F43" s="110">
        <f>VLOOKUP(A43,'OEE REA'!A:AO,11,FALSE)</f>
        <v>435</v>
      </c>
      <c r="G43" s="111">
        <f t="shared" si="5"/>
        <v>423.92156862745094</v>
      </c>
      <c r="H43" s="110">
        <f>VLOOKUP(A43,'OEE REA'!A:AO,14,FALSE)</f>
        <v>153</v>
      </c>
      <c r="I43" s="106"/>
      <c r="J43" s="99"/>
      <c r="K43" s="99"/>
      <c r="L43" s="107"/>
      <c r="M43" s="112">
        <f t="shared" si="8"/>
        <v>0</v>
      </c>
      <c r="N43" s="103">
        <f t="shared" si="9"/>
        <v>0</v>
      </c>
      <c r="O43" s="103">
        <f>IFERROR('OEE REA'!J554*'SPEED FACTOR REA'!L43,"")</f>
        <v>0</v>
      </c>
      <c r="P43" s="250" t="str">
        <f t="shared" si="10"/>
        <v/>
      </c>
      <c r="R43" s="70" t="e">
        <f t="shared" si="4"/>
        <v>#DIV/0!</v>
      </c>
    </row>
    <row r="44" spans="1:18" ht="20.25" x14ac:dyDescent="0.25">
      <c r="A44" s="246">
        <f>+'OEE REA'!A555</f>
        <v>396</v>
      </c>
      <c r="B44" s="99">
        <f t="shared" si="1"/>
        <v>0</v>
      </c>
      <c r="C44" s="113">
        <f>+'OEE REA'!D555</f>
        <v>0</v>
      </c>
      <c r="D44" s="242" t="s">
        <v>1846</v>
      </c>
      <c r="E44" s="109">
        <f>VLOOKUP(A44,'OEE REA'!A:AO,13,FALSE)</f>
        <v>1116</v>
      </c>
      <c r="F44" s="110">
        <f>VLOOKUP(A44,'OEE REA'!A:AO,11,FALSE)</f>
        <v>450</v>
      </c>
      <c r="G44" s="111">
        <f t="shared" si="5"/>
        <v>437.64705882352939</v>
      </c>
      <c r="H44" s="110">
        <f>VLOOKUP(A44,'OEE REA'!A:AO,14,FALSE)</f>
        <v>153</v>
      </c>
      <c r="I44" s="106"/>
      <c r="J44" s="99"/>
      <c r="K44" s="99"/>
      <c r="L44" s="107"/>
      <c r="M44" s="112">
        <f t="shared" si="8"/>
        <v>0</v>
      </c>
      <c r="N44" s="103">
        <f t="shared" si="9"/>
        <v>0</v>
      </c>
      <c r="O44" s="103">
        <f>IFERROR('OEE REA'!J555*'SPEED FACTOR REA'!L44,"")</f>
        <v>0</v>
      </c>
      <c r="P44" s="250" t="str">
        <f t="shared" si="10"/>
        <v/>
      </c>
      <c r="R44" s="70" t="e">
        <f t="shared" si="4"/>
        <v>#DIV/0!</v>
      </c>
    </row>
    <row r="45" spans="1:18" ht="20.25" x14ac:dyDescent="0.25">
      <c r="A45" s="246">
        <f>+'OEE REA'!A556</f>
        <v>397</v>
      </c>
      <c r="B45" s="99">
        <f t="shared" si="1"/>
        <v>0</v>
      </c>
      <c r="C45" s="113">
        <f>+'OEE REA'!D556</f>
        <v>0</v>
      </c>
      <c r="D45" s="242" t="s">
        <v>1847</v>
      </c>
      <c r="E45" s="109">
        <f>VLOOKUP(A45,'OEE REA'!A:AO,13,FALSE)</f>
        <v>1246</v>
      </c>
      <c r="F45" s="110">
        <f>VLOOKUP(A45,'OEE REA'!A:AO,11,FALSE)</f>
        <v>510</v>
      </c>
      <c r="G45" s="111">
        <f t="shared" si="5"/>
        <v>488.62745098039215</v>
      </c>
      <c r="H45" s="110">
        <f>VLOOKUP(A45,'OEE REA'!A:AO,14,FALSE)</f>
        <v>153</v>
      </c>
      <c r="I45" s="106"/>
      <c r="J45" s="99"/>
      <c r="K45" s="99"/>
      <c r="L45" s="107"/>
      <c r="M45" s="112">
        <f t="shared" si="8"/>
        <v>0</v>
      </c>
      <c r="N45" s="103">
        <f t="shared" si="9"/>
        <v>0</v>
      </c>
      <c r="O45" s="103">
        <f>IFERROR('OEE REA'!J556*'SPEED FACTOR REA'!L45,"")</f>
        <v>0</v>
      </c>
      <c r="P45" s="250" t="str">
        <f t="shared" si="10"/>
        <v/>
      </c>
      <c r="R45" s="70" t="e">
        <f t="shared" si="4"/>
        <v>#DIV/0!</v>
      </c>
    </row>
    <row r="46" spans="1:18" ht="20.25" x14ac:dyDescent="0.25">
      <c r="A46" s="246">
        <f>+'OEE REA'!A557</f>
        <v>398</v>
      </c>
      <c r="B46" s="99">
        <f t="shared" ref="B46:B109" si="11">WEEKNUM(C46)</f>
        <v>0</v>
      </c>
      <c r="C46" s="113">
        <f>+'OEE REA'!D557</f>
        <v>0</v>
      </c>
      <c r="D46" s="242" t="s">
        <v>1848</v>
      </c>
      <c r="E46" s="109">
        <f>VLOOKUP(A46,'OEE REA'!A:AO,13,FALSE)</f>
        <v>1212</v>
      </c>
      <c r="F46" s="110">
        <f>VLOOKUP(A46,'OEE REA'!A:AO,11,FALSE)</f>
        <v>435</v>
      </c>
      <c r="G46" s="111">
        <f>IFERROR(E46/H46*60,"")</f>
        <v>475.29411764705884</v>
      </c>
      <c r="H46" s="110">
        <f>VLOOKUP(A46,'OEE REA'!A:AO,14,FALSE)</f>
        <v>153</v>
      </c>
      <c r="I46" s="106"/>
      <c r="J46" s="99"/>
      <c r="K46" s="99"/>
      <c r="L46" s="107"/>
      <c r="M46" s="112">
        <f>IFERROR(G46*L46,"")</f>
        <v>0</v>
      </c>
      <c r="N46" s="103">
        <f>IFERROR(F46*L46,"")</f>
        <v>0</v>
      </c>
      <c r="O46" s="103">
        <f>IFERROR('OEE REA'!J557*'SPEED FACTOR REA'!L46,"")</f>
        <v>0</v>
      </c>
      <c r="P46" s="250" t="str">
        <f t="shared" si="10"/>
        <v/>
      </c>
      <c r="R46" s="70" t="e">
        <f t="shared" si="4"/>
        <v>#DIV/0!</v>
      </c>
    </row>
    <row r="47" spans="1:18" ht="20.25" x14ac:dyDescent="0.25">
      <c r="A47" s="246">
        <f>+'OEE REA'!A558</f>
        <v>399</v>
      </c>
      <c r="B47" s="99">
        <f t="shared" si="11"/>
        <v>0</v>
      </c>
      <c r="C47" s="113">
        <f>+'OEE REA'!D558</f>
        <v>0</v>
      </c>
      <c r="D47" s="242" t="s">
        <v>1849</v>
      </c>
      <c r="E47" s="109">
        <f>VLOOKUP(A47,'OEE REA'!A:AO,13,FALSE)</f>
        <v>943</v>
      </c>
      <c r="F47" s="110">
        <f>VLOOKUP(A47,'OEE REA'!A:AO,11,FALSE)</f>
        <v>450</v>
      </c>
      <c r="G47" s="111">
        <f t="shared" si="5"/>
        <v>369.80392156862746</v>
      </c>
      <c r="H47" s="110">
        <f>VLOOKUP(A47,'OEE REA'!A:AO,14,FALSE)</f>
        <v>153</v>
      </c>
      <c r="I47" s="106"/>
      <c r="J47" s="99"/>
      <c r="K47" s="99"/>
      <c r="L47" s="107"/>
      <c r="M47" s="112">
        <f t="shared" si="8"/>
        <v>0</v>
      </c>
      <c r="N47" s="103">
        <f t="shared" si="9"/>
        <v>0</v>
      </c>
      <c r="O47" s="103">
        <f>IFERROR('OEE REA'!J558*'SPEED FACTOR REA'!L47,"")</f>
        <v>0</v>
      </c>
      <c r="P47" s="250" t="str">
        <f t="shared" si="10"/>
        <v/>
      </c>
      <c r="R47" s="70" t="e">
        <f t="shared" si="4"/>
        <v>#DIV/0!</v>
      </c>
    </row>
    <row r="48" spans="1:18" ht="20.25" x14ac:dyDescent="0.25">
      <c r="A48" s="246">
        <f>+'OEE REA'!A559</f>
        <v>400</v>
      </c>
      <c r="B48" s="99">
        <f t="shared" si="11"/>
        <v>0</v>
      </c>
      <c r="C48" s="113">
        <f>+'OEE REA'!D559</f>
        <v>0</v>
      </c>
      <c r="D48" s="242" t="s">
        <v>1850</v>
      </c>
      <c r="E48" s="109">
        <f>VLOOKUP(A48,'OEE REA'!A:AO,13,FALSE)</f>
        <v>1251</v>
      </c>
      <c r="F48" s="110">
        <f>VLOOKUP(A48,'OEE REA'!A:AO,11,FALSE)</f>
        <v>510</v>
      </c>
      <c r="G48" s="111">
        <f t="shared" si="5"/>
        <v>490.58823529411762</v>
      </c>
      <c r="H48" s="110">
        <f>VLOOKUP(A48,'OEE REA'!A:AO,14,FALSE)</f>
        <v>153</v>
      </c>
      <c r="I48" s="106"/>
      <c r="J48" s="99"/>
      <c r="K48" s="99"/>
      <c r="L48" s="107"/>
      <c r="M48" s="112">
        <f t="shared" si="8"/>
        <v>0</v>
      </c>
      <c r="N48" s="103">
        <f t="shared" si="9"/>
        <v>0</v>
      </c>
      <c r="O48" s="103">
        <f>IFERROR('OEE REA'!J559*'SPEED FACTOR REA'!L48,"")</f>
        <v>0</v>
      </c>
      <c r="P48" s="250" t="str">
        <f t="shared" si="10"/>
        <v/>
      </c>
      <c r="R48" s="70" t="e">
        <f>G48/O48</f>
        <v>#DIV/0!</v>
      </c>
    </row>
    <row r="49" spans="1:18" ht="20.25" x14ac:dyDescent="0.25">
      <c r="A49" s="246">
        <f>+'OEE REA'!A560</f>
        <v>401</v>
      </c>
      <c r="B49" s="99">
        <f t="shared" si="11"/>
        <v>0</v>
      </c>
      <c r="C49" s="113">
        <f>+'OEE REA'!D560</f>
        <v>0</v>
      </c>
      <c r="D49" s="242" t="s">
        <v>1851</v>
      </c>
      <c r="E49" s="109">
        <f>VLOOKUP(A49,'OEE REA'!A:AO,13,FALSE)</f>
        <v>1094</v>
      </c>
      <c r="F49" s="110">
        <f>VLOOKUP(A49,'OEE REA'!A:AO,11,FALSE)</f>
        <v>435</v>
      </c>
      <c r="G49" s="111">
        <f t="shared" si="5"/>
        <v>429.01960784313729</v>
      </c>
      <c r="H49" s="110">
        <f>VLOOKUP(A49,'OEE REA'!A:AO,14,FALSE)</f>
        <v>153</v>
      </c>
      <c r="I49" s="106"/>
      <c r="J49" s="99"/>
      <c r="K49" s="99"/>
      <c r="L49" s="107"/>
      <c r="M49" s="112">
        <f t="shared" si="8"/>
        <v>0</v>
      </c>
      <c r="N49" s="103">
        <f t="shared" si="9"/>
        <v>0</v>
      </c>
      <c r="O49" s="103">
        <f>IFERROR('OEE REA'!J560*'SPEED FACTOR REA'!L49,"")</f>
        <v>0</v>
      </c>
      <c r="P49" s="250" t="str">
        <f t="shared" si="10"/>
        <v/>
      </c>
      <c r="R49" s="70" t="e">
        <f t="shared" si="4"/>
        <v>#DIV/0!</v>
      </c>
    </row>
    <row r="50" spans="1:18" ht="20.25" x14ac:dyDescent="0.25">
      <c r="A50" s="246">
        <f>+'OEE REA'!A561</f>
        <v>402</v>
      </c>
      <c r="B50" s="99">
        <f t="shared" si="11"/>
        <v>0</v>
      </c>
      <c r="C50" s="113">
        <f>+'OEE REA'!D561</f>
        <v>0</v>
      </c>
      <c r="D50" s="242" t="s">
        <v>1852</v>
      </c>
      <c r="E50" s="109">
        <f>VLOOKUP(A50,'OEE REA'!A:AO,13,FALSE)</f>
        <v>1000</v>
      </c>
      <c r="F50" s="110">
        <f>VLOOKUP(A50,'OEE REA'!A:AO,11,FALSE)</f>
        <v>450</v>
      </c>
      <c r="G50" s="111">
        <f t="shared" si="5"/>
        <v>392.15686274509801</v>
      </c>
      <c r="H50" s="110">
        <f>VLOOKUP(A50,'OEE REA'!A:AO,14,FALSE)</f>
        <v>153</v>
      </c>
      <c r="I50" s="106"/>
      <c r="J50" s="99"/>
      <c r="K50" s="99"/>
      <c r="L50" s="107"/>
      <c r="M50" s="112">
        <f t="shared" si="8"/>
        <v>0</v>
      </c>
      <c r="N50" s="103">
        <f t="shared" si="9"/>
        <v>0</v>
      </c>
      <c r="O50" s="103">
        <f>IFERROR('OEE REA'!J561*'SPEED FACTOR REA'!L50,"")</f>
        <v>0</v>
      </c>
      <c r="P50" s="250" t="str">
        <f t="shared" si="10"/>
        <v/>
      </c>
      <c r="R50" s="70" t="e">
        <f t="shared" si="4"/>
        <v>#DIV/0!</v>
      </c>
    </row>
    <row r="51" spans="1:18" ht="20.25" x14ac:dyDescent="0.25">
      <c r="A51" s="246">
        <f>+'OEE REA'!A562</f>
        <v>403</v>
      </c>
      <c r="B51" s="99">
        <f t="shared" si="11"/>
        <v>0</v>
      </c>
      <c r="C51" s="113">
        <f>+'OEE REA'!D562</f>
        <v>0</v>
      </c>
      <c r="D51" s="242" t="s">
        <v>1853</v>
      </c>
      <c r="E51" s="109">
        <f>VLOOKUP(A51,'OEE REA'!A:AO,13,FALSE)</f>
        <v>1297</v>
      </c>
      <c r="F51" s="110">
        <f>VLOOKUP(A51,'OEE REA'!A:AO,11,FALSE)</f>
        <v>510</v>
      </c>
      <c r="G51" s="111">
        <f t="shared" si="5"/>
        <v>508.62745098039215</v>
      </c>
      <c r="H51" s="110">
        <f>VLOOKUP(A51,'OEE REA'!A:AO,14,FALSE)</f>
        <v>153</v>
      </c>
      <c r="I51" s="106"/>
      <c r="J51" s="99"/>
      <c r="K51" s="99"/>
      <c r="L51" s="107"/>
      <c r="M51" s="112">
        <f t="shared" si="8"/>
        <v>0</v>
      </c>
      <c r="N51" s="103">
        <f t="shared" si="9"/>
        <v>0</v>
      </c>
      <c r="O51" s="103">
        <f>IFERROR('OEE REA'!J562*'SPEED FACTOR REA'!L51,"")</f>
        <v>0</v>
      </c>
      <c r="P51" s="250" t="str">
        <f t="shared" si="10"/>
        <v/>
      </c>
      <c r="R51" s="70" t="e">
        <f t="shared" si="4"/>
        <v>#DIV/0!</v>
      </c>
    </row>
    <row r="52" spans="1:18" ht="20.25" x14ac:dyDescent="0.25">
      <c r="A52" s="246">
        <f>+'OEE REA'!A563</f>
        <v>0</v>
      </c>
      <c r="B52" s="99">
        <f t="shared" si="11"/>
        <v>0</v>
      </c>
      <c r="C52" s="113">
        <f>+'OEE REA'!D563</f>
        <v>0</v>
      </c>
      <c r="D52" s="242" t="s">
        <v>1854</v>
      </c>
      <c r="E52" s="109" t="e">
        <f>VLOOKUP(A52,'OEE REA'!A:AO,13,FALSE)</f>
        <v>#N/A</v>
      </c>
      <c r="F52" s="110" t="e">
        <f>VLOOKUP(A52,'OEE REA'!A:AO,11,FALSE)</f>
        <v>#N/A</v>
      </c>
      <c r="G52" s="111" t="str">
        <f t="shared" si="5"/>
        <v/>
      </c>
      <c r="H52" s="110" t="e">
        <f>VLOOKUP(A52,'OEE REA'!A:AO,14,FALSE)</f>
        <v>#N/A</v>
      </c>
      <c r="I52" s="106"/>
      <c r="J52" s="99"/>
      <c r="K52" s="99"/>
      <c r="L52" s="107"/>
      <c r="M52" s="112" t="str">
        <f t="shared" si="8"/>
        <v/>
      </c>
      <c r="N52" s="103" t="str">
        <f t="shared" si="9"/>
        <v/>
      </c>
      <c r="O52" s="103">
        <f>IFERROR('OEE REA'!J563*'SPEED FACTOR REA'!L52,"")</f>
        <v>0</v>
      </c>
      <c r="P52" s="250" t="str">
        <f t="shared" si="10"/>
        <v/>
      </c>
      <c r="R52" s="70" t="e">
        <f t="shared" si="4"/>
        <v>#VALUE!</v>
      </c>
    </row>
    <row r="53" spans="1:18" ht="20.25" x14ac:dyDescent="0.25">
      <c r="A53" s="246">
        <f>+'OEE REA'!A564</f>
        <v>0</v>
      </c>
      <c r="B53" s="99">
        <f t="shared" si="11"/>
        <v>0</v>
      </c>
      <c r="C53" s="113">
        <f>+'OEE REA'!D564</f>
        <v>0</v>
      </c>
      <c r="D53" s="242" t="s">
        <v>1855</v>
      </c>
      <c r="E53" s="109" t="e">
        <f>VLOOKUP(A53,'OEE REA'!A:AO,13,FALSE)</f>
        <v>#N/A</v>
      </c>
      <c r="F53" s="110" t="e">
        <f>VLOOKUP(A53,'OEE REA'!A:AO,11,FALSE)</f>
        <v>#N/A</v>
      </c>
      <c r="G53" s="111" t="str">
        <f t="shared" si="5"/>
        <v/>
      </c>
      <c r="H53" s="110" t="e">
        <f>VLOOKUP(A53,'OEE REA'!A:AO,14,FALSE)</f>
        <v>#N/A</v>
      </c>
      <c r="I53" s="106"/>
      <c r="J53" s="99"/>
      <c r="K53" s="99"/>
      <c r="L53" s="107"/>
      <c r="M53" s="112" t="str">
        <f t="shared" si="8"/>
        <v/>
      </c>
      <c r="N53" s="103" t="str">
        <f t="shared" si="9"/>
        <v/>
      </c>
      <c r="O53" s="103">
        <f>IFERROR('OEE REA'!J564*'SPEED FACTOR REA'!L53,"")</f>
        <v>0</v>
      </c>
      <c r="P53" s="250" t="str">
        <f t="shared" si="10"/>
        <v/>
      </c>
      <c r="R53" s="70" t="e">
        <f t="shared" si="4"/>
        <v>#VALUE!</v>
      </c>
    </row>
    <row r="54" spans="1:18" ht="20.25" x14ac:dyDescent="0.25">
      <c r="A54" s="246">
        <f>+'OEE REA'!A565</f>
        <v>0</v>
      </c>
      <c r="B54" s="99">
        <f t="shared" si="11"/>
        <v>0</v>
      </c>
      <c r="C54" s="113">
        <f>+'OEE REA'!D565</f>
        <v>0</v>
      </c>
      <c r="D54" s="242" t="s">
        <v>1856</v>
      </c>
      <c r="E54" s="109" t="e">
        <f>VLOOKUP(A54,'OEE REA'!A:AO,13,FALSE)</f>
        <v>#N/A</v>
      </c>
      <c r="F54" s="110" t="e">
        <f>VLOOKUP(A54,'OEE REA'!A:AO,11,FALSE)</f>
        <v>#N/A</v>
      </c>
      <c r="G54" s="111" t="str">
        <f t="shared" si="5"/>
        <v/>
      </c>
      <c r="H54" s="110" t="e">
        <f>VLOOKUP(A54,'OEE REA'!A:AO,14,FALSE)</f>
        <v>#N/A</v>
      </c>
      <c r="I54" s="106"/>
      <c r="J54" s="99"/>
      <c r="K54" s="99"/>
      <c r="L54" s="107"/>
      <c r="M54" s="112" t="str">
        <f t="shared" si="8"/>
        <v/>
      </c>
      <c r="N54" s="103" t="str">
        <f t="shared" si="9"/>
        <v/>
      </c>
      <c r="O54" s="103">
        <f>IFERROR('OEE REA'!J565*'SPEED FACTOR REA'!L54,"")</f>
        <v>0</v>
      </c>
      <c r="P54" s="250" t="str">
        <f t="shared" si="10"/>
        <v/>
      </c>
      <c r="R54" s="70" t="e">
        <f t="shared" si="4"/>
        <v>#VALUE!</v>
      </c>
    </row>
    <row r="55" spans="1:18" ht="20.25" x14ac:dyDescent="0.25">
      <c r="A55" s="246">
        <f>+'OEE REA'!A566</f>
        <v>0</v>
      </c>
      <c r="B55" s="99">
        <f t="shared" si="11"/>
        <v>0</v>
      </c>
      <c r="C55" s="113">
        <f>+'OEE REA'!D566</f>
        <v>0</v>
      </c>
      <c r="D55" s="242" t="s">
        <v>1857</v>
      </c>
      <c r="E55" s="109" t="e">
        <f>VLOOKUP(A55,'OEE REA'!A:AO,13,FALSE)</f>
        <v>#N/A</v>
      </c>
      <c r="F55" s="110" t="e">
        <f>VLOOKUP(A55,'OEE REA'!A:AO,11,FALSE)</f>
        <v>#N/A</v>
      </c>
      <c r="G55" s="111" t="str">
        <f t="shared" si="5"/>
        <v/>
      </c>
      <c r="H55" s="110" t="e">
        <f>VLOOKUP(A55,'OEE REA'!A:AO,14,FALSE)</f>
        <v>#N/A</v>
      </c>
      <c r="I55" s="106"/>
      <c r="J55" s="99"/>
      <c r="K55" s="99"/>
      <c r="L55" s="107"/>
      <c r="M55" s="112" t="str">
        <f t="shared" si="8"/>
        <v/>
      </c>
      <c r="N55" s="103" t="str">
        <f t="shared" si="9"/>
        <v/>
      </c>
      <c r="O55" s="103">
        <f>IFERROR('OEE REA'!J566*'SPEED FACTOR REA'!L55,"")</f>
        <v>0</v>
      </c>
      <c r="P55" s="250" t="str">
        <f t="shared" si="10"/>
        <v/>
      </c>
      <c r="R55" s="70" t="e">
        <f t="shared" si="4"/>
        <v>#VALUE!</v>
      </c>
    </row>
    <row r="56" spans="1:18" ht="20.25" x14ac:dyDescent="0.25">
      <c r="A56" s="246">
        <f>+'OEE REA'!A567</f>
        <v>0</v>
      </c>
      <c r="B56" s="99">
        <f t="shared" si="11"/>
        <v>0</v>
      </c>
      <c r="C56" s="113">
        <f>+'OEE REA'!D567</f>
        <v>0</v>
      </c>
      <c r="D56" s="242" t="s">
        <v>1858</v>
      </c>
      <c r="E56" s="109" t="e">
        <f>VLOOKUP(A56,'OEE REA'!A:AO,13,FALSE)</f>
        <v>#N/A</v>
      </c>
      <c r="F56" s="110" t="e">
        <f>VLOOKUP(A56,'OEE REA'!A:AO,11,FALSE)</f>
        <v>#N/A</v>
      </c>
      <c r="G56" s="111" t="str">
        <f t="shared" si="5"/>
        <v/>
      </c>
      <c r="H56" s="110" t="e">
        <f>VLOOKUP(A56,'OEE REA'!A:AO,14,FALSE)</f>
        <v>#N/A</v>
      </c>
      <c r="I56" s="106"/>
      <c r="J56" s="99"/>
      <c r="K56" s="99"/>
      <c r="L56" s="107"/>
      <c r="M56" s="112" t="str">
        <f t="shared" si="8"/>
        <v/>
      </c>
      <c r="N56" s="103" t="str">
        <f t="shared" si="9"/>
        <v/>
      </c>
      <c r="O56" s="103">
        <f>IFERROR('OEE REA'!J567*'SPEED FACTOR REA'!L56,"")</f>
        <v>0</v>
      </c>
      <c r="P56" s="250" t="str">
        <f t="shared" si="10"/>
        <v/>
      </c>
      <c r="R56" s="70" t="e">
        <f t="shared" si="4"/>
        <v>#VALUE!</v>
      </c>
    </row>
    <row r="57" spans="1:18" ht="20.25" x14ac:dyDescent="0.25">
      <c r="A57" s="246">
        <f>+'OEE REA'!A568</f>
        <v>0</v>
      </c>
      <c r="B57" s="99">
        <f t="shared" si="11"/>
        <v>0</v>
      </c>
      <c r="C57" s="113">
        <f>+'OEE REA'!D568</f>
        <v>0</v>
      </c>
      <c r="D57" s="242" t="s">
        <v>1859</v>
      </c>
      <c r="E57" s="109" t="e">
        <f>VLOOKUP(A57,'OEE REA'!A:AO,13,FALSE)</f>
        <v>#N/A</v>
      </c>
      <c r="F57" s="110" t="e">
        <f>VLOOKUP(A57,'OEE REA'!A:AO,11,FALSE)</f>
        <v>#N/A</v>
      </c>
      <c r="G57" s="111" t="str">
        <f t="shared" si="5"/>
        <v/>
      </c>
      <c r="H57" s="110" t="e">
        <f>VLOOKUP(A57,'OEE REA'!A:AO,14,FALSE)</f>
        <v>#N/A</v>
      </c>
      <c r="I57" s="106"/>
      <c r="J57" s="99"/>
      <c r="K57" s="99"/>
      <c r="L57" s="107"/>
      <c r="M57" s="112" t="str">
        <f t="shared" si="8"/>
        <v/>
      </c>
      <c r="N57" s="103" t="str">
        <f t="shared" si="9"/>
        <v/>
      </c>
      <c r="O57" s="103">
        <f>IFERROR('OEE REA'!J568*'SPEED FACTOR REA'!L57,"")</f>
        <v>0</v>
      </c>
      <c r="P57" s="250" t="str">
        <f t="shared" si="10"/>
        <v/>
      </c>
      <c r="R57" s="70" t="e">
        <f>G57/O57</f>
        <v>#VALUE!</v>
      </c>
    </row>
    <row r="58" spans="1:18" ht="20.25" x14ac:dyDescent="0.25">
      <c r="A58" s="246">
        <f>+'OEE REA'!A569</f>
        <v>0</v>
      </c>
      <c r="B58" s="99">
        <f t="shared" si="11"/>
        <v>0</v>
      </c>
      <c r="C58" s="113">
        <f>+'OEE REA'!D569</f>
        <v>0</v>
      </c>
      <c r="D58" s="242" t="s">
        <v>1860</v>
      </c>
      <c r="E58" s="109" t="e">
        <f>VLOOKUP(A58,'OEE REA'!A:AO,13,FALSE)</f>
        <v>#N/A</v>
      </c>
      <c r="F58" s="110" t="e">
        <f>VLOOKUP(A58,'OEE REA'!A:AO,11,FALSE)</f>
        <v>#N/A</v>
      </c>
      <c r="G58" s="111" t="str">
        <f t="shared" si="5"/>
        <v/>
      </c>
      <c r="H58" s="110" t="e">
        <f>VLOOKUP(A58,'OEE REA'!A:AO,14,FALSE)</f>
        <v>#N/A</v>
      </c>
      <c r="I58" s="106"/>
      <c r="J58" s="99"/>
      <c r="K58" s="99"/>
      <c r="L58" s="258"/>
      <c r="M58" s="112" t="str">
        <f t="shared" si="8"/>
        <v/>
      </c>
      <c r="N58" s="103" t="str">
        <f t="shared" si="9"/>
        <v/>
      </c>
      <c r="O58" s="103">
        <f>IFERROR('OEE REA'!J569*'SPEED FACTOR REA'!L58,"")</f>
        <v>0</v>
      </c>
      <c r="P58" s="250" t="str">
        <f t="shared" si="10"/>
        <v/>
      </c>
      <c r="R58" s="70" t="e">
        <f t="shared" si="4"/>
        <v>#VALUE!</v>
      </c>
    </row>
    <row r="59" spans="1:18" ht="20.25" x14ac:dyDescent="0.25">
      <c r="A59" s="246">
        <f>+'OEE REA'!A570</f>
        <v>0</v>
      </c>
      <c r="B59" s="99">
        <f t="shared" si="11"/>
        <v>0</v>
      </c>
      <c r="C59" s="113">
        <f>+'OEE REA'!D570</f>
        <v>0</v>
      </c>
      <c r="D59" s="242" t="s">
        <v>1861</v>
      </c>
      <c r="E59" s="109" t="e">
        <f>VLOOKUP(A59,'OEE REA'!A:AO,13,FALSE)</f>
        <v>#N/A</v>
      </c>
      <c r="F59" s="110" t="e">
        <f>VLOOKUP(A59,'OEE REA'!A:AO,11,FALSE)</f>
        <v>#N/A</v>
      </c>
      <c r="G59" s="111" t="str">
        <f t="shared" si="5"/>
        <v/>
      </c>
      <c r="H59" s="110" t="e">
        <f>VLOOKUP(A59,'OEE REA'!A:AO,14,FALSE)</f>
        <v>#N/A</v>
      </c>
      <c r="I59" s="106"/>
      <c r="J59" s="99"/>
      <c r="K59" s="99"/>
      <c r="L59" s="107"/>
      <c r="M59" s="112" t="str">
        <f t="shared" si="8"/>
        <v/>
      </c>
      <c r="N59" s="103" t="str">
        <f t="shared" si="9"/>
        <v/>
      </c>
      <c r="O59" s="103">
        <f>IFERROR('OEE REA'!J570*'SPEED FACTOR REA'!L59,"")</f>
        <v>0</v>
      </c>
      <c r="P59" s="250" t="str">
        <f t="shared" si="10"/>
        <v/>
      </c>
      <c r="R59" s="70" t="e">
        <f t="shared" si="4"/>
        <v>#VALUE!</v>
      </c>
    </row>
    <row r="60" spans="1:18" ht="20.25" x14ac:dyDescent="0.25">
      <c r="A60" s="246">
        <f>+'OEE REA'!A571</f>
        <v>0</v>
      </c>
      <c r="B60" s="99">
        <f t="shared" si="11"/>
        <v>0</v>
      </c>
      <c r="C60" s="113">
        <f>+'OEE REA'!D571</f>
        <v>0</v>
      </c>
      <c r="D60" s="242" t="s">
        <v>1862</v>
      </c>
      <c r="E60" s="109" t="e">
        <f>VLOOKUP(A60,'OEE REA'!A:AO,13,FALSE)</f>
        <v>#N/A</v>
      </c>
      <c r="F60" s="110" t="e">
        <f>VLOOKUP(A60,'OEE REA'!A:AO,11,FALSE)</f>
        <v>#N/A</v>
      </c>
      <c r="G60" s="111" t="str">
        <f t="shared" si="5"/>
        <v/>
      </c>
      <c r="H60" s="110" t="e">
        <f>VLOOKUP(A60,'OEE REA'!A:AO,14,FALSE)</f>
        <v>#N/A</v>
      </c>
      <c r="I60" s="106"/>
      <c r="J60" s="99"/>
      <c r="K60" s="99"/>
      <c r="L60" s="107"/>
      <c r="M60" s="112" t="str">
        <f t="shared" si="8"/>
        <v/>
      </c>
      <c r="N60" s="103" t="str">
        <f t="shared" si="9"/>
        <v/>
      </c>
      <c r="O60" s="103">
        <f>IFERROR('OEE REA'!J571*'SPEED FACTOR REA'!L60,"")</f>
        <v>0</v>
      </c>
      <c r="P60" s="250" t="str">
        <f t="shared" si="10"/>
        <v/>
      </c>
      <c r="R60" s="70" t="e">
        <f t="shared" si="4"/>
        <v>#VALUE!</v>
      </c>
    </row>
    <row r="61" spans="1:18" ht="20.25" x14ac:dyDescent="0.25">
      <c r="A61" s="246">
        <f>+'OEE REA'!A572</f>
        <v>0</v>
      </c>
      <c r="B61" s="99">
        <f t="shared" si="11"/>
        <v>0</v>
      </c>
      <c r="C61" s="113">
        <f>+'OEE REA'!D572</f>
        <v>0</v>
      </c>
      <c r="D61" s="242" t="s">
        <v>1863</v>
      </c>
      <c r="E61" s="109" t="e">
        <f>VLOOKUP(A61,'OEE REA'!A:AO,13,FALSE)</f>
        <v>#N/A</v>
      </c>
      <c r="F61" s="110" t="e">
        <f>VLOOKUP(A61,'OEE REA'!A:AO,11,FALSE)</f>
        <v>#N/A</v>
      </c>
      <c r="G61" s="111" t="str">
        <f t="shared" si="5"/>
        <v/>
      </c>
      <c r="H61" s="110" t="e">
        <f>VLOOKUP(A61,'OEE REA'!A:AO,14,FALSE)</f>
        <v>#N/A</v>
      </c>
      <c r="I61" s="106"/>
      <c r="J61" s="99"/>
      <c r="K61" s="99"/>
      <c r="L61" s="107"/>
      <c r="M61" s="112" t="str">
        <f t="shared" si="8"/>
        <v/>
      </c>
      <c r="N61" s="103" t="str">
        <f t="shared" si="9"/>
        <v/>
      </c>
      <c r="O61" s="103">
        <f>IFERROR('OEE REA'!J572*'SPEED FACTOR REA'!L61,"")</f>
        <v>0</v>
      </c>
      <c r="P61" s="250" t="str">
        <f t="shared" si="10"/>
        <v/>
      </c>
      <c r="R61" s="70" t="e">
        <f t="shared" si="4"/>
        <v>#VALUE!</v>
      </c>
    </row>
    <row r="62" spans="1:18" ht="20.25" x14ac:dyDescent="0.25">
      <c r="A62" s="246">
        <f>+'OEE REA'!A573</f>
        <v>0</v>
      </c>
      <c r="B62" s="99">
        <f t="shared" si="11"/>
        <v>0</v>
      </c>
      <c r="C62" s="113">
        <f>+'OEE REA'!D573</f>
        <v>0</v>
      </c>
      <c r="D62" s="242" t="s">
        <v>1864</v>
      </c>
      <c r="E62" s="109" t="e">
        <f>VLOOKUP(A62,'OEE REA'!A:AO,13,FALSE)</f>
        <v>#N/A</v>
      </c>
      <c r="F62" s="110" t="e">
        <f>VLOOKUP(A62,'OEE REA'!A:AO,11,FALSE)</f>
        <v>#N/A</v>
      </c>
      <c r="G62" s="111" t="str">
        <f t="shared" si="5"/>
        <v/>
      </c>
      <c r="H62" s="110" t="e">
        <f>VLOOKUP(A62,'OEE REA'!A:AO,14,FALSE)</f>
        <v>#N/A</v>
      </c>
      <c r="I62" s="106"/>
      <c r="J62" s="99"/>
      <c r="K62" s="99"/>
      <c r="L62" s="107"/>
      <c r="M62" s="112" t="str">
        <f t="shared" si="8"/>
        <v/>
      </c>
      <c r="N62" s="103" t="str">
        <f t="shared" si="9"/>
        <v/>
      </c>
      <c r="O62" s="103">
        <f>IFERROR('OEE REA'!J573*'SPEED FACTOR REA'!L62,"")</f>
        <v>0</v>
      </c>
      <c r="P62" s="250" t="str">
        <f t="shared" si="10"/>
        <v/>
      </c>
      <c r="R62" s="70" t="e">
        <f t="shared" si="4"/>
        <v>#VALUE!</v>
      </c>
    </row>
    <row r="63" spans="1:18" ht="20.25" x14ac:dyDescent="0.25">
      <c r="A63" s="246">
        <f>+'OEE REA'!A574</f>
        <v>0</v>
      </c>
      <c r="B63" s="99">
        <f t="shared" si="11"/>
        <v>0</v>
      </c>
      <c r="C63" s="113">
        <f>+'OEE REA'!D574</f>
        <v>0</v>
      </c>
      <c r="D63" s="242" t="s">
        <v>1865</v>
      </c>
      <c r="E63" s="109" t="e">
        <f>VLOOKUP(A63,'OEE REA'!A:AO,13,FALSE)</f>
        <v>#N/A</v>
      </c>
      <c r="F63" s="110" t="e">
        <f>VLOOKUP(A63,'OEE REA'!A:AO,11,FALSE)</f>
        <v>#N/A</v>
      </c>
      <c r="G63" s="111" t="str">
        <f t="shared" si="5"/>
        <v/>
      </c>
      <c r="H63" s="110" t="e">
        <f>VLOOKUP(A63,'OEE REA'!A:AO,14,FALSE)</f>
        <v>#N/A</v>
      </c>
      <c r="I63" s="106"/>
      <c r="J63" s="99"/>
      <c r="K63" s="99"/>
      <c r="L63" s="107"/>
      <c r="M63" s="112" t="str">
        <f t="shared" si="8"/>
        <v/>
      </c>
      <c r="N63" s="103" t="str">
        <f t="shared" si="9"/>
        <v/>
      </c>
      <c r="O63" s="103">
        <f>IFERROR('OEE REA'!J574*'SPEED FACTOR REA'!L63,"")</f>
        <v>0</v>
      </c>
      <c r="P63" s="250" t="str">
        <f t="shared" si="10"/>
        <v/>
      </c>
      <c r="R63" s="70" t="e">
        <f t="shared" si="4"/>
        <v>#VALUE!</v>
      </c>
    </row>
    <row r="64" spans="1:18" ht="20.25" x14ac:dyDescent="0.25">
      <c r="A64" s="246">
        <f>+'OEE REA'!A575</f>
        <v>0</v>
      </c>
      <c r="B64" s="99">
        <f t="shared" si="11"/>
        <v>0</v>
      </c>
      <c r="C64" s="113">
        <f>+'OEE REA'!D575</f>
        <v>0</v>
      </c>
      <c r="D64" s="242" t="s">
        <v>1866</v>
      </c>
      <c r="E64" s="109" t="e">
        <f>VLOOKUP(A64,'OEE REA'!A:AO,13,FALSE)</f>
        <v>#N/A</v>
      </c>
      <c r="F64" s="110" t="e">
        <f>VLOOKUP(A64,'OEE REA'!A:AO,11,FALSE)</f>
        <v>#N/A</v>
      </c>
      <c r="G64" s="111" t="str">
        <f t="shared" si="5"/>
        <v/>
      </c>
      <c r="H64" s="110" t="e">
        <f>VLOOKUP(A64,'OEE REA'!A:AO,14,FALSE)</f>
        <v>#N/A</v>
      </c>
      <c r="I64" s="106"/>
      <c r="J64" s="99"/>
      <c r="K64" s="99"/>
      <c r="L64" s="107"/>
      <c r="M64" s="112" t="str">
        <f t="shared" si="8"/>
        <v/>
      </c>
      <c r="N64" s="103" t="str">
        <f t="shared" si="9"/>
        <v/>
      </c>
      <c r="O64" s="103">
        <f>IFERROR('OEE REA'!J575*'SPEED FACTOR REA'!L64,"")</f>
        <v>0</v>
      </c>
      <c r="P64" s="250" t="str">
        <f t="shared" si="10"/>
        <v/>
      </c>
      <c r="R64" s="70" t="e">
        <f t="shared" si="4"/>
        <v>#VALUE!</v>
      </c>
    </row>
    <row r="65" spans="1:18" ht="20.25" x14ac:dyDescent="0.25">
      <c r="A65" s="246">
        <f>+'OEE REA'!A576</f>
        <v>0</v>
      </c>
      <c r="B65" s="99">
        <f t="shared" si="11"/>
        <v>0</v>
      </c>
      <c r="C65" s="113">
        <f>+'OEE REA'!D576</f>
        <v>0</v>
      </c>
      <c r="D65" s="242" t="s">
        <v>1867</v>
      </c>
      <c r="E65" s="109" t="e">
        <f>VLOOKUP(A65,'OEE REA'!A:AO,13,FALSE)</f>
        <v>#N/A</v>
      </c>
      <c r="F65" s="110" t="e">
        <f>VLOOKUP(A65,'OEE REA'!A:AO,11,FALSE)</f>
        <v>#N/A</v>
      </c>
      <c r="G65" s="111" t="str">
        <f t="shared" si="5"/>
        <v/>
      </c>
      <c r="H65" s="110" t="e">
        <f>VLOOKUP(A65,'OEE REA'!A:AO,14,FALSE)</f>
        <v>#N/A</v>
      </c>
      <c r="I65" s="106"/>
      <c r="J65" s="99"/>
      <c r="K65" s="99"/>
      <c r="L65" s="107"/>
      <c r="M65" s="112" t="str">
        <f t="shared" si="8"/>
        <v/>
      </c>
      <c r="N65" s="103" t="str">
        <f t="shared" si="9"/>
        <v/>
      </c>
      <c r="O65" s="103">
        <f>IFERROR('OEE REA'!J576*'SPEED FACTOR REA'!L65,"")</f>
        <v>0</v>
      </c>
      <c r="P65" s="250" t="str">
        <f t="shared" si="10"/>
        <v/>
      </c>
      <c r="R65" s="70" t="e">
        <f t="shared" si="4"/>
        <v>#VALUE!</v>
      </c>
    </row>
    <row r="66" spans="1:18" ht="20.25" x14ac:dyDescent="0.25">
      <c r="A66" s="246">
        <f>+'OEE REA'!A577</f>
        <v>0</v>
      </c>
      <c r="B66" s="99">
        <f t="shared" si="11"/>
        <v>0</v>
      </c>
      <c r="C66" s="113">
        <f>+'OEE REA'!D577</f>
        <v>0</v>
      </c>
      <c r="D66" s="242" t="s">
        <v>1868</v>
      </c>
      <c r="E66" s="109" t="e">
        <f>VLOOKUP(A66,'OEE REA'!A:AO,13,FALSE)</f>
        <v>#N/A</v>
      </c>
      <c r="F66" s="110" t="e">
        <f>VLOOKUP(A66,'OEE REA'!A:AO,11,FALSE)</f>
        <v>#N/A</v>
      </c>
      <c r="G66" s="111" t="str">
        <f t="shared" si="5"/>
        <v/>
      </c>
      <c r="H66" s="110" t="e">
        <f>VLOOKUP(A66,'OEE REA'!A:AO,14,FALSE)</f>
        <v>#N/A</v>
      </c>
      <c r="I66" s="106"/>
      <c r="J66" s="99"/>
      <c r="K66" s="99"/>
      <c r="L66" s="107"/>
      <c r="M66" s="112" t="str">
        <f t="shared" si="8"/>
        <v/>
      </c>
      <c r="N66" s="103" t="str">
        <f t="shared" si="9"/>
        <v/>
      </c>
      <c r="O66" s="103">
        <f>IFERROR('OEE REA'!J577*'SPEED FACTOR REA'!L66,"")</f>
        <v>0</v>
      </c>
      <c r="P66" s="250" t="str">
        <f t="shared" si="10"/>
        <v/>
      </c>
      <c r="R66" s="70" t="e">
        <f t="shared" si="4"/>
        <v>#VALUE!</v>
      </c>
    </row>
    <row r="67" spans="1:18" ht="20.25" x14ac:dyDescent="0.25">
      <c r="A67" s="246">
        <f>+'OEE REA'!A578</f>
        <v>0</v>
      </c>
      <c r="B67" s="99">
        <f t="shared" si="11"/>
        <v>0</v>
      </c>
      <c r="C67" s="113">
        <f>+'OEE REA'!D578</f>
        <v>0</v>
      </c>
      <c r="D67" s="242" t="s">
        <v>1869</v>
      </c>
      <c r="E67" s="109" t="e">
        <f>VLOOKUP(A67,'OEE REA'!A:AO,13,FALSE)</f>
        <v>#N/A</v>
      </c>
      <c r="F67" s="110" t="e">
        <f>VLOOKUP(A67,'OEE REA'!A:AO,11,FALSE)</f>
        <v>#N/A</v>
      </c>
      <c r="G67" s="111" t="str">
        <f t="shared" ref="G67:G130" si="12">IFERROR(E67/H67*60,"")</f>
        <v/>
      </c>
      <c r="H67" s="110" t="e">
        <f>VLOOKUP(A67,'OEE REA'!A:AO,14,FALSE)</f>
        <v>#N/A</v>
      </c>
      <c r="I67" s="106"/>
      <c r="J67" s="99"/>
      <c r="K67" s="99"/>
      <c r="L67" s="107"/>
      <c r="M67" s="112" t="str">
        <f t="shared" si="8"/>
        <v/>
      </c>
      <c r="N67" s="103" t="str">
        <f t="shared" si="9"/>
        <v/>
      </c>
      <c r="O67" s="103">
        <f>IFERROR('OEE REA'!J578*'SPEED FACTOR REA'!L67,"")</f>
        <v>0</v>
      </c>
      <c r="P67" s="250" t="str">
        <f t="shared" si="10"/>
        <v/>
      </c>
      <c r="R67" s="70" t="e">
        <f t="shared" ref="R67:R131" si="13">G67/O67</f>
        <v>#VALUE!</v>
      </c>
    </row>
    <row r="68" spans="1:18" ht="20.25" x14ac:dyDescent="0.25">
      <c r="A68" s="246">
        <f>+'OEE REA'!A579</f>
        <v>0</v>
      </c>
      <c r="B68" s="99">
        <f t="shared" si="11"/>
        <v>0</v>
      </c>
      <c r="C68" s="113">
        <f>+'OEE REA'!D579</f>
        <v>0</v>
      </c>
      <c r="D68" s="242" t="s">
        <v>1870</v>
      </c>
      <c r="E68" s="109" t="e">
        <f>VLOOKUP(A68,'OEE REA'!A:AO,13,FALSE)</f>
        <v>#N/A</v>
      </c>
      <c r="F68" s="110" t="e">
        <f>VLOOKUP(A68,'OEE REA'!A:AO,11,FALSE)</f>
        <v>#N/A</v>
      </c>
      <c r="G68" s="111" t="str">
        <f>IFERROR(E68/H68*60,"")</f>
        <v/>
      </c>
      <c r="H68" s="110" t="e">
        <f>VLOOKUP(A68,'OEE REA'!A:AO,14,FALSE)</f>
        <v>#N/A</v>
      </c>
      <c r="I68" s="106"/>
      <c r="J68" s="99"/>
      <c r="K68" s="99"/>
      <c r="L68" s="107"/>
      <c r="M68" s="112" t="str">
        <f t="shared" si="8"/>
        <v/>
      </c>
      <c r="N68" s="103" t="str">
        <f t="shared" si="9"/>
        <v/>
      </c>
      <c r="O68" s="103">
        <f>IFERROR('OEE REA'!J579*'SPEED FACTOR REA'!L68,"")</f>
        <v>0</v>
      </c>
      <c r="P68" s="250" t="str">
        <f t="shared" si="10"/>
        <v/>
      </c>
      <c r="R68" s="70" t="e">
        <f>G68/O68</f>
        <v>#VALUE!</v>
      </c>
    </row>
    <row r="69" spans="1:18" ht="20.25" x14ac:dyDescent="0.25">
      <c r="A69" s="246">
        <f>+'OEE REA'!A580</f>
        <v>0</v>
      </c>
      <c r="B69" s="99">
        <f t="shared" si="11"/>
        <v>0</v>
      </c>
      <c r="C69" s="113">
        <f>+'OEE REA'!D580</f>
        <v>0</v>
      </c>
      <c r="D69" s="242" t="s">
        <v>1871</v>
      </c>
      <c r="E69" s="109" t="e">
        <f>VLOOKUP(A69,'OEE REA'!A:AO,13,FALSE)</f>
        <v>#N/A</v>
      </c>
      <c r="F69" s="110" t="e">
        <f>VLOOKUP(A69,'OEE REA'!A:AO,11,FALSE)</f>
        <v>#N/A</v>
      </c>
      <c r="G69" s="111" t="str">
        <f t="shared" si="12"/>
        <v/>
      </c>
      <c r="H69" s="110" t="e">
        <f>VLOOKUP(A69,'OEE REA'!A:AO,14,FALSE)</f>
        <v>#N/A</v>
      </c>
      <c r="I69" s="106"/>
      <c r="J69" s="99"/>
      <c r="K69" s="99"/>
      <c r="L69" s="107"/>
      <c r="M69" s="112" t="str">
        <f t="shared" si="8"/>
        <v/>
      </c>
      <c r="N69" s="103" t="str">
        <f t="shared" si="9"/>
        <v/>
      </c>
      <c r="O69" s="103">
        <f>IFERROR('OEE REA'!J580*'SPEED FACTOR REA'!L69,"")</f>
        <v>0</v>
      </c>
      <c r="P69" s="250" t="str">
        <f t="shared" si="10"/>
        <v/>
      </c>
      <c r="R69" s="70" t="e">
        <f t="shared" si="13"/>
        <v>#VALUE!</v>
      </c>
    </row>
    <row r="70" spans="1:18" ht="20.25" x14ac:dyDescent="0.25">
      <c r="A70" s="246">
        <f>+'OEE REA'!A581</f>
        <v>0</v>
      </c>
      <c r="B70" s="99">
        <f t="shared" si="11"/>
        <v>0</v>
      </c>
      <c r="C70" s="113">
        <f>+'OEE REA'!D581</f>
        <v>0</v>
      </c>
      <c r="D70" s="242" t="s">
        <v>1872</v>
      </c>
      <c r="E70" s="109" t="e">
        <f>VLOOKUP(A70,'OEE REA'!A:AO,13,FALSE)</f>
        <v>#N/A</v>
      </c>
      <c r="F70" s="110" t="e">
        <f>VLOOKUP(A70,'OEE REA'!A:AO,11,FALSE)</f>
        <v>#N/A</v>
      </c>
      <c r="G70" s="111" t="str">
        <f t="shared" si="12"/>
        <v/>
      </c>
      <c r="H70" s="110" t="e">
        <f>VLOOKUP(A70,'OEE REA'!A:AO,14,FALSE)</f>
        <v>#N/A</v>
      </c>
      <c r="I70" s="106"/>
      <c r="J70" s="99"/>
      <c r="K70" s="99"/>
      <c r="L70" s="107"/>
      <c r="M70" s="112" t="str">
        <f t="shared" si="8"/>
        <v/>
      </c>
      <c r="N70" s="103" t="str">
        <f t="shared" si="9"/>
        <v/>
      </c>
      <c r="O70" s="103">
        <f>IFERROR('OEE REA'!J581*'SPEED FACTOR REA'!L70,"")</f>
        <v>0</v>
      </c>
      <c r="P70" s="250" t="str">
        <f t="shared" si="10"/>
        <v/>
      </c>
      <c r="R70" s="70" t="e">
        <f t="shared" si="13"/>
        <v>#VALUE!</v>
      </c>
    </row>
    <row r="71" spans="1:18" ht="20.25" x14ac:dyDescent="0.25">
      <c r="A71" s="246">
        <f>+'OEE REA'!A582</f>
        <v>0</v>
      </c>
      <c r="B71" s="99">
        <f t="shared" si="11"/>
        <v>0</v>
      </c>
      <c r="C71" s="113">
        <f>+'OEE REA'!D582</f>
        <v>0</v>
      </c>
      <c r="D71" s="242" t="s">
        <v>1873</v>
      </c>
      <c r="E71" s="109" t="e">
        <f>VLOOKUP(A71,'OEE REA'!A:AO,13,FALSE)</f>
        <v>#N/A</v>
      </c>
      <c r="F71" s="110" t="e">
        <f>VLOOKUP(A71,'OEE REA'!A:AO,11,FALSE)</f>
        <v>#N/A</v>
      </c>
      <c r="G71" s="111" t="str">
        <f t="shared" si="12"/>
        <v/>
      </c>
      <c r="H71" s="110" t="e">
        <f>VLOOKUP(A71,'OEE REA'!A:AO,14,FALSE)</f>
        <v>#N/A</v>
      </c>
      <c r="I71" s="106"/>
      <c r="J71" s="99"/>
      <c r="K71" s="99"/>
      <c r="L71" s="107"/>
      <c r="M71" s="112" t="str">
        <f t="shared" si="8"/>
        <v/>
      </c>
      <c r="N71" s="103" t="str">
        <f t="shared" si="9"/>
        <v/>
      </c>
      <c r="O71" s="103">
        <f>IFERROR('OEE REA'!J582*'SPEED FACTOR REA'!L71,"")</f>
        <v>0</v>
      </c>
      <c r="P71" s="250" t="str">
        <f>IFERROR(N71/M71,"")</f>
        <v/>
      </c>
      <c r="R71" s="70" t="e">
        <f t="shared" si="13"/>
        <v>#VALUE!</v>
      </c>
    </row>
    <row r="72" spans="1:18" ht="20.25" x14ac:dyDescent="0.25">
      <c r="A72" s="246">
        <f>+'OEE REA'!A583</f>
        <v>0</v>
      </c>
      <c r="B72" s="99">
        <f t="shared" si="11"/>
        <v>0</v>
      </c>
      <c r="C72" s="113">
        <f>+'OEE REA'!D583</f>
        <v>0</v>
      </c>
      <c r="D72" s="242" t="s">
        <v>1874</v>
      </c>
      <c r="E72" s="109" t="e">
        <f>VLOOKUP(A72,'OEE REA'!A:AO,13,FALSE)</f>
        <v>#N/A</v>
      </c>
      <c r="F72" s="110" t="e">
        <f>VLOOKUP(A72,'OEE REA'!A:AO,11,FALSE)</f>
        <v>#N/A</v>
      </c>
      <c r="G72" s="111" t="str">
        <f t="shared" si="12"/>
        <v/>
      </c>
      <c r="H72" s="110" t="e">
        <f>VLOOKUP(A72,'OEE REA'!A:AO,14,FALSE)</f>
        <v>#N/A</v>
      </c>
      <c r="I72" s="106"/>
      <c r="J72" s="99"/>
      <c r="K72" s="99"/>
      <c r="L72" s="107"/>
      <c r="M72" s="112" t="str">
        <f t="shared" si="8"/>
        <v/>
      </c>
      <c r="N72" s="103" t="str">
        <f t="shared" si="9"/>
        <v/>
      </c>
      <c r="O72" s="103">
        <f>IFERROR('OEE REA'!J583*'SPEED FACTOR REA'!L72,"")</f>
        <v>0</v>
      </c>
      <c r="P72" s="250" t="str">
        <f t="shared" si="10"/>
        <v/>
      </c>
      <c r="R72" s="70" t="e">
        <f>G72/O72</f>
        <v>#VALUE!</v>
      </c>
    </row>
    <row r="73" spans="1:18" ht="20.25" x14ac:dyDescent="0.25">
      <c r="A73" s="246">
        <f>+'OEE REA'!A584</f>
        <v>0</v>
      </c>
      <c r="B73" s="99">
        <f t="shared" si="11"/>
        <v>0</v>
      </c>
      <c r="C73" s="113">
        <f>+'OEE REA'!D584</f>
        <v>0</v>
      </c>
      <c r="D73" s="242" t="s">
        <v>1875</v>
      </c>
      <c r="E73" s="109" t="e">
        <f>VLOOKUP(A73,'OEE REA'!A:AO,13,FALSE)</f>
        <v>#N/A</v>
      </c>
      <c r="F73" s="110" t="e">
        <f>VLOOKUP(A73,'OEE REA'!A:AO,11,FALSE)</f>
        <v>#N/A</v>
      </c>
      <c r="G73" s="111" t="str">
        <f t="shared" si="12"/>
        <v/>
      </c>
      <c r="H73" s="110" t="e">
        <f>VLOOKUP(A73,'OEE REA'!A:AO,14,FALSE)</f>
        <v>#N/A</v>
      </c>
      <c r="I73" s="106"/>
      <c r="J73" s="99"/>
      <c r="K73" s="99"/>
      <c r="L73" s="107"/>
      <c r="M73" s="112" t="str">
        <f t="shared" si="8"/>
        <v/>
      </c>
      <c r="N73" s="103" t="str">
        <f t="shared" si="9"/>
        <v/>
      </c>
      <c r="O73" s="103">
        <f>IFERROR('OEE REA'!J584*'SPEED FACTOR REA'!L73,"")</f>
        <v>0</v>
      </c>
      <c r="P73" s="250" t="str">
        <f t="shared" si="10"/>
        <v/>
      </c>
      <c r="R73" s="70" t="e">
        <f t="shared" si="13"/>
        <v>#VALUE!</v>
      </c>
    </row>
    <row r="74" spans="1:18" ht="20.25" x14ac:dyDescent="0.25">
      <c r="A74" s="246">
        <f>+'OEE REA'!A585</f>
        <v>0</v>
      </c>
      <c r="B74" s="99">
        <f t="shared" si="11"/>
        <v>0</v>
      </c>
      <c r="C74" s="113">
        <f>+'OEE REA'!D585</f>
        <v>0</v>
      </c>
      <c r="D74" s="242" t="s">
        <v>1876</v>
      </c>
      <c r="E74" s="109" t="e">
        <f>VLOOKUP(A74,'OEE REA'!A:AO,13,FALSE)</f>
        <v>#N/A</v>
      </c>
      <c r="F74" s="110" t="e">
        <f>VLOOKUP(A74,'OEE REA'!A:AO,11,FALSE)</f>
        <v>#N/A</v>
      </c>
      <c r="G74" s="111" t="str">
        <f t="shared" si="12"/>
        <v/>
      </c>
      <c r="H74" s="110" t="e">
        <f>VLOOKUP(A74,'OEE REA'!A:AO,14,FALSE)</f>
        <v>#N/A</v>
      </c>
      <c r="I74" s="106"/>
      <c r="J74" s="99"/>
      <c r="K74" s="99"/>
      <c r="L74" s="107"/>
      <c r="M74" s="112" t="str">
        <f t="shared" si="8"/>
        <v/>
      </c>
      <c r="N74" s="103" t="str">
        <f t="shared" si="9"/>
        <v/>
      </c>
      <c r="O74" s="103">
        <f>IFERROR('OEE REA'!J585*'SPEED FACTOR REA'!L74,"")</f>
        <v>0</v>
      </c>
      <c r="P74" s="250" t="str">
        <f t="shared" si="10"/>
        <v/>
      </c>
      <c r="R74" s="70" t="e">
        <f>G74/O74</f>
        <v>#VALUE!</v>
      </c>
    </row>
    <row r="75" spans="1:18" ht="20.25" x14ac:dyDescent="0.25">
      <c r="A75" s="246">
        <f>+'OEE REA'!A586</f>
        <v>0</v>
      </c>
      <c r="B75" s="99">
        <f t="shared" si="11"/>
        <v>0</v>
      </c>
      <c r="C75" s="113">
        <f>+'OEE REA'!D586</f>
        <v>0</v>
      </c>
      <c r="D75" s="242" t="s">
        <v>1877</v>
      </c>
      <c r="E75" s="109" t="e">
        <f>VLOOKUP(A75,'OEE REA'!A:AO,13,FALSE)</f>
        <v>#N/A</v>
      </c>
      <c r="F75" s="110" t="e">
        <f>VLOOKUP(A75,'OEE REA'!A:AO,11,FALSE)</f>
        <v>#N/A</v>
      </c>
      <c r="G75" s="111" t="str">
        <f t="shared" si="12"/>
        <v/>
      </c>
      <c r="H75" s="110" t="e">
        <f>VLOOKUP(A75,'OEE REA'!A:AO,14,FALSE)</f>
        <v>#N/A</v>
      </c>
      <c r="I75" s="106"/>
      <c r="J75" s="99"/>
      <c r="K75" s="99"/>
      <c r="L75" s="107"/>
      <c r="M75" s="112" t="str">
        <f t="shared" si="8"/>
        <v/>
      </c>
      <c r="N75" s="103" t="str">
        <f t="shared" si="9"/>
        <v/>
      </c>
      <c r="O75" s="103">
        <f>IFERROR('OEE REA'!J586*'SPEED FACTOR REA'!L75,"")</f>
        <v>0</v>
      </c>
      <c r="P75" s="250" t="str">
        <f t="shared" si="10"/>
        <v/>
      </c>
      <c r="R75" s="70" t="e">
        <f>G75/O75</f>
        <v>#VALUE!</v>
      </c>
    </row>
    <row r="76" spans="1:18" ht="20.25" x14ac:dyDescent="0.25">
      <c r="A76" s="246">
        <f>+'OEE REA'!A587</f>
        <v>0</v>
      </c>
      <c r="B76" s="99">
        <f t="shared" si="11"/>
        <v>0</v>
      </c>
      <c r="C76" s="113">
        <f>+'OEE REA'!D587</f>
        <v>0</v>
      </c>
      <c r="D76" s="242" t="s">
        <v>1878</v>
      </c>
      <c r="E76" s="109" t="e">
        <f>VLOOKUP(A76,'OEE REA'!A:AO,13,FALSE)</f>
        <v>#N/A</v>
      </c>
      <c r="F76" s="110" t="e">
        <f>VLOOKUP(A76,'OEE REA'!A:AO,11,FALSE)</f>
        <v>#N/A</v>
      </c>
      <c r="G76" s="111" t="str">
        <f t="shared" si="12"/>
        <v/>
      </c>
      <c r="H76" s="110" t="e">
        <f>VLOOKUP(A76,'OEE REA'!A:AO,14,FALSE)</f>
        <v>#N/A</v>
      </c>
      <c r="I76" s="106"/>
      <c r="J76" s="99"/>
      <c r="K76" s="99"/>
      <c r="L76" s="107"/>
      <c r="M76" s="112" t="str">
        <f t="shared" si="8"/>
        <v/>
      </c>
      <c r="N76" s="103" t="str">
        <f t="shared" si="9"/>
        <v/>
      </c>
      <c r="O76" s="103">
        <f>IFERROR('OEE REA'!J587*'SPEED FACTOR REA'!L76,"")</f>
        <v>0</v>
      </c>
      <c r="P76" s="250" t="str">
        <f t="shared" si="10"/>
        <v/>
      </c>
      <c r="R76" s="70" t="e">
        <f t="shared" si="13"/>
        <v>#VALUE!</v>
      </c>
    </row>
    <row r="77" spans="1:18" ht="20.25" x14ac:dyDescent="0.25">
      <c r="A77" s="246">
        <f>+'OEE REA'!A588</f>
        <v>0</v>
      </c>
      <c r="B77" s="99">
        <f t="shared" si="11"/>
        <v>0</v>
      </c>
      <c r="C77" s="113">
        <f>+'OEE REA'!D588</f>
        <v>0</v>
      </c>
      <c r="D77" s="242" t="s">
        <v>1879</v>
      </c>
      <c r="E77" s="109" t="e">
        <f>VLOOKUP(A77,'OEE REA'!A:AO,13,FALSE)</f>
        <v>#N/A</v>
      </c>
      <c r="F77" s="110" t="e">
        <f>VLOOKUP(A77,'OEE REA'!A:AO,11,FALSE)</f>
        <v>#N/A</v>
      </c>
      <c r="G77" s="111" t="str">
        <f t="shared" si="12"/>
        <v/>
      </c>
      <c r="H77" s="110" t="e">
        <f>VLOOKUP(A77,'OEE REA'!A:AO,14,FALSE)</f>
        <v>#N/A</v>
      </c>
      <c r="I77" s="106"/>
      <c r="J77" s="99"/>
      <c r="K77" s="99"/>
      <c r="L77" s="107"/>
      <c r="M77" s="112" t="str">
        <f t="shared" si="8"/>
        <v/>
      </c>
      <c r="N77" s="103" t="str">
        <f t="shared" si="9"/>
        <v/>
      </c>
      <c r="O77" s="103">
        <f>IFERROR('OEE REA'!J588*'SPEED FACTOR REA'!L77,"")</f>
        <v>0</v>
      </c>
      <c r="P77" s="250" t="str">
        <f t="shared" si="10"/>
        <v/>
      </c>
      <c r="R77" s="70" t="e">
        <f t="shared" si="13"/>
        <v>#VALUE!</v>
      </c>
    </row>
    <row r="78" spans="1:18" ht="20.25" x14ac:dyDescent="0.25">
      <c r="A78" s="246">
        <f>+'OEE REA'!A589</f>
        <v>0</v>
      </c>
      <c r="B78" s="99">
        <f t="shared" si="11"/>
        <v>0</v>
      </c>
      <c r="C78" s="113">
        <f>+'OEE REA'!D589</f>
        <v>0</v>
      </c>
      <c r="D78" s="242" t="s">
        <v>1880</v>
      </c>
      <c r="E78" s="109" t="e">
        <f>VLOOKUP(A78,'OEE REA'!A:AO,13,FALSE)</f>
        <v>#N/A</v>
      </c>
      <c r="F78" s="110" t="e">
        <f>VLOOKUP(A78,'OEE REA'!A:AO,11,FALSE)</f>
        <v>#N/A</v>
      </c>
      <c r="G78" s="111" t="str">
        <f>IFERROR(E78/H78*60,"")</f>
        <v/>
      </c>
      <c r="H78" s="110" t="e">
        <f>VLOOKUP(A78,'OEE REA'!A:AO,14,FALSE)</f>
        <v>#N/A</v>
      </c>
      <c r="I78" s="106"/>
      <c r="J78" s="99"/>
      <c r="K78" s="99"/>
      <c r="L78" s="107"/>
      <c r="M78" s="112" t="str">
        <f t="shared" si="8"/>
        <v/>
      </c>
      <c r="N78" s="103" t="str">
        <f t="shared" si="9"/>
        <v/>
      </c>
      <c r="O78" s="103">
        <f>IFERROR('OEE REA'!J589*'SPEED FACTOR REA'!L78,"")</f>
        <v>0</v>
      </c>
      <c r="P78" s="250" t="str">
        <f t="shared" si="10"/>
        <v/>
      </c>
      <c r="R78" s="70" t="e">
        <f>G78/O78</f>
        <v>#VALUE!</v>
      </c>
    </row>
    <row r="79" spans="1:18" ht="20.25" x14ac:dyDescent="0.25">
      <c r="A79" s="246">
        <f>+'OEE REA'!A590</f>
        <v>0</v>
      </c>
      <c r="B79" s="99">
        <f t="shared" si="11"/>
        <v>0</v>
      </c>
      <c r="C79" s="113">
        <f>+'OEE REA'!D590</f>
        <v>0</v>
      </c>
      <c r="D79" s="242" t="s">
        <v>1881</v>
      </c>
      <c r="E79" s="109" t="e">
        <f>VLOOKUP(A79,'OEE REA'!A:AO,13,FALSE)</f>
        <v>#N/A</v>
      </c>
      <c r="F79" s="110" t="e">
        <f>VLOOKUP(A79,'OEE REA'!A:AO,11,FALSE)</f>
        <v>#N/A</v>
      </c>
      <c r="G79" s="111" t="str">
        <f t="shared" si="12"/>
        <v/>
      </c>
      <c r="H79" s="110" t="e">
        <f>VLOOKUP(A79,'OEE REA'!A:AO,14,FALSE)</f>
        <v>#N/A</v>
      </c>
      <c r="I79" s="106"/>
      <c r="J79" s="99"/>
      <c r="K79" s="99"/>
      <c r="L79" s="107"/>
      <c r="M79" s="112" t="str">
        <f t="shared" si="8"/>
        <v/>
      </c>
      <c r="N79" s="103" t="str">
        <f t="shared" si="9"/>
        <v/>
      </c>
      <c r="O79" s="103">
        <f>IFERROR('OEE REA'!J590*'SPEED FACTOR REA'!L79,"")</f>
        <v>0</v>
      </c>
      <c r="P79" s="250" t="str">
        <f t="shared" si="10"/>
        <v/>
      </c>
      <c r="R79" s="70" t="e">
        <f t="shared" si="13"/>
        <v>#VALUE!</v>
      </c>
    </row>
    <row r="80" spans="1:18" ht="20.25" x14ac:dyDescent="0.25">
      <c r="A80" s="246">
        <f>+'OEE REA'!A591</f>
        <v>0</v>
      </c>
      <c r="B80" s="99">
        <f t="shared" si="11"/>
        <v>0</v>
      </c>
      <c r="C80" s="113">
        <f>+'OEE REA'!D591</f>
        <v>0</v>
      </c>
      <c r="D80" s="242" t="s">
        <v>1882</v>
      </c>
      <c r="E80" s="109" t="e">
        <f>VLOOKUP(A80,'OEE REA'!A:AO,13,FALSE)</f>
        <v>#N/A</v>
      </c>
      <c r="F80" s="110" t="e">
        <f>VLOOKUP(A80,'OEE REA'!A:AO,11,FALSE)</f>
        <v>#N/A</v>
      </c>
      <c r="G80" s="111" t="str">
        <f t="shared" si="12"/>
        <v/>
      </c>
      <c r="H80" s="110" t="e">
        <f>VLOOKUP(A80,'OEE REA'!A:AO,14,FALSE)</f>
        <v>#N/A</v>
      </c>
      <c r="I80" s="106"/>
      <c r="J80" s="99"/>
      <c r="K80" s="99"/>
      <c r="L80" s="107"/>
      <c r="M80" s="112" t="str">
        <f t="shared" si="8"/>
        <v/>
      </c>
      <c r="N80" s="103" t="str">
        <f t="shared" si="9"/>
        <v/>
      </c>
      <c r="O80" s="103">
        <f>IFERROR('OEE REA'!J591*'SPEED FACTOR REA'!L80,"")</f>
        <v>0</v>
      </c>
      <c r="P80" s="250" t="str">
        <f t="shared" si="10"/>
        <v/>
      </c>
      <c r="R80" s="70" t="e">
        <f t="shared" si="13"/>
        <v>#VALUE!</v>
      </c>
    </row>
    <row r="81" spans="1:18" ht="20.25" x14ac:dyDescent="0.25">
      <c r="A81" s="246">
        <f>+'OEE REA'!A592</f>
        <v>0</v>
      </c>
      <c r="B81" s="99">
        <f t="shared" si="11"/>
        <v>0</v>
      </c>
      <c r="C81" s="113">
        <f>+'OEE REA'!D592</f>
        <v>0</v>
      </c>
      <c r="D81" s="242" t="s">
        <v>1883</v>
      </c>
      <c r="E81" s="109" t="e">
        <f>VLOOKUP(A81,'OEE REA'!A:AO,13,FALSE)</f>
        <v>#N/A</v>
      </c>
      <c r="F81" s="110" t="e">
        <f>VLOOKUP(A81,'OEE REA'!A:AO,11,FALSE)</f>
        <v>#N/A</v>
      </c>
      <c r="G81" s="111" t="str">
        <f t="shared" si="12"/>
        <v/>
      </c>
      <c r="H81" s="110" t="e">
        <f>VLOOKUP(A81,'OEE REA'!A:AO,14,FALSE)</f>
        <v>#N/A</v>
      </c>
      <c r="I81" s="106"/>
      <c r="J81" s="99"/>
      <c r="K81" s="99"/>
      <c r="L81" s="107"/>
      <c r="M81" s="112" t="str">
        <f t="shared" si="8"/>
        <v/>
      </c>
      <c r="N81" s="103" t="str">
        <f t="shared" si="9"/>
        <v/>
      </c>
      <c r="O81" s="103">
        <f>IFERROR('OEE REA'!J592*'SPEED FACTOR REA'!L81,"")</f>
        <v>0</v>
      </c>
      <c r="P81" s="250" t="str">
        <f t="shared" si="10"/>
        <v/>
      </c>
      <c r="R81" s="70" t="e">
        <f t="shared" si="13"/>
        <v>#VALUE!</v>
      </c>
    </row>
    <row r="82" spans="1:18" ht="20.25" x14ac:dyDescent="0.25">
      <c r="A82" s="246">
        <f>+'OEE REA'!A593</f>
        <v>0</v>
      </c>
      <c r="B82" s="99">
        <f t="shared" si="11"/>
        <v>0</v>
      </c>
      <c r="C82" s="113">
        <f>+'OEE REA'!D593</f>
        <v>0</v>
      </c>
      <c r="D82" s="242" t="s">
        <v>1884</v>
      </c>
      <c r="E82" s="109" t="e">
        <f>VLOOKUP(A82,'OEE REA'!A:AO,13,FALSE)</f>
        <v>#N/A</v>
      </c>
      <c r="F82" s="110" t="e">
        <f>VLOOKUP(A82,'OEE REA'!A:AO,11,FALSE)</f>
        <v>#N/A</v>
      </c>
      <c r="G82" s="111" t="str">
        <f t="shared" si="12"/>
        <v/>
      </c>
      <c r="H82" s="110" t="e">
        <f>VLOOKUP(A82,'OEE REA'!A:AO,14,FALSE)</f>
        <v>#N/A</v>
      </c>
      <c r="I82" s="106"/>
      <c r="J82" s="99"/>
      <c r="K82" s="99"/>
      <c r="L82" s="107"/>
      <c r="M82" s="112" t="str">
        <f t="shared" si="8"/>
        <v/>
      </c>
      <c r="N82" s="103" t="str">
        <f t="shared" si="9"/>
        <v/>
      </c>
      <c r="O82" s="103">
        <f>IFERROR('OEE REA'!J593*'SPEED FACTOR REA'!L82,"")</f>
        <v>0</v>
      </c>
      <c r="P82" s="250" t="str">
        <f t="shared" si="10"/>
        <v/>
      </c>
      <c r="R82" s="70" t="e">
        <f t="shared" si="13"/>
        <v>#VALUE!</v>
      </c>
    </row>
    <row r="83" spans="1:18" ht="20.25" x14ac:dyDescent="0.25">
      <c r="A83" s="246">
        <f>+'OEE REA'!A594</f>
        <v>0</v>
      </c>
      <c r="B83" s="99">
        <f t="shared" si="11"/>
        <v>0</v>
      </c>
      <c r="C83" s="113">
        <f>+'OEE REA'!D594</f>
        <v>0</v>
      </c>
      <c r="D83" s="242" t="s">
        <v>1885</v>
      </c>
      <c r="E83" s="109" t="e">
        <f>VLOOKUP(A83,'OEE REA'!A:AO,13,FALSE)</f>
        <v>#N/A</v>
      </c>
      <c r="F83" s="110" t="e">
        <f>VLOOKUP(A83,'OEE REA'!A:AO,11,FALSE)</f>
        <v>#N/A</v>
      </c>
      <c r="G83" s="111" t="str">
        <f t="shared" si="12"/>
        <v/>
      </c>
      <c r="H83" s="110" t="e">
        <f>VLOOKUP(A83,'OEE REA'!A:AO,14,FALSE)</f>
        <v>#N/A</v>
      </c>
      <c r="I83" s="106"/>
      <c r="J83" s="99"/>
      <c r="K83" s="99"/>
      <c r="L83" s="107"/>
      <c r="M83" s="112" t="str">
        <f t="shared" si="8"/>
        <v/>
      </c>
      <c r="N83" s="103" t="str">
        <f t="shared" si="9"/>
        <v/>
      </c>
      <c r="O83" s="103">
        <f>IFERROR('OEE REA'!J594*'SPEED FACTOR REA'!L83,"")</f>
        <v>0</v>
      </c>
      <c r="P83" s="250" t="str">
        <f t="shared" si="10"/>
        <v/>
      </c>
      <c r="R83" s="70" t="e">
        <f t="shared" si="13"/>
        <v>#VALUE!</v>
      </c>
    </row>
    <row r="84" spans="1:18" ht="20.25" x14ac:dyDescent="0.25">
      <c r="A84" s="246">
        <f>+'OEE REA'!A595</f>
        <v>0</v>
      </c>
      <c r="B84" s="99">
        <f t="shared" si="11"/>
        <v>0</v>
      </c>
      <c r="C84" s="113">
        <f>+'OEE REA'!D595</f>
        <v>0</v>
      </c>
      <c r="D84" s="242" t="s">
        <v>1886</v>
      </c>
      <c r="E84" s="109" t="e">
        <f>VLOOKUP(A84,'OEE REA'!A:AO,13,FALSE)</f>
        <v>#N/A</v>
      </c>
      <c r="F84" s="110" t="e">
        <f>VLOOKUP(A84,'OEE REA'!A:AO,11,FALSE)</f>
        <v>#N/A</v>
      </c>
      <c r="G84" s="111" t="str">
        <f t="shared" si="12"/>
        <v/>
      </c>
      <c r="H84" s="110" t="e">
        <f>VLOOKUP(A84,'OEE REA'!A:AO,14,FALSE)</f>
        <v>#N/A</v>
      </c>
      <c r="I84" s="106"/>
      <c r="J84" s="99"/>
      <c r="K84" s="99"/>
      <c r="L84" s="107"/>
      <c r="M84" s="112" t="str">
        <f t="shared" si="8"/>
        <v/>
      </c>
      <c r="N84" s="103" t="str">
        <f t="shared" si="9"/>
        <v/>
      </c>
      <c r="O84" s="103">
        <f>IFERROR('OEE REA'!J595*'SPEED FACTOR REA'!L84,"")</f>
        <v>0</v>
      </c>
      <c r="P84" s="250" t="str">
        <f t="shared" si="10"/>
        <v/>
      </c>
      <c r="R84" s="70" t="e">
        <f t="shared" si="13"/>
        <v>#VALUE!</v>
      </c>
    </row>
    <row r="85" spans="1:18" ht="20.25" x14ac:dyDescent="0.25">
      <c r="A85" s="246">
        <f>+'OEE REA'!A596</f>
        <v>0</v>
      </c>
      <c r="B85" s="99">
        <f t="shared" si="11"/>
        <v>0</v>
      </c>
      <c r="C85" s="113">
        <f>+'OEE REA'!D596</f>
        <v>0</v>
      </c>
      <c r="D85" s="242" t="s">
        <v>1887</v>
      </c>
      <c r="E85" s="109" t="e">
        <f>VLOOKUP(A85,'OEE REA'!A:AO,13,FALSE)</f>
        <v>#N/A</v>
      </c>
      <c r="F85" s="110" t="e">
        <f>VLOOKUP(A85,'OEE REA'!A:AO,11,FALSE)</f>
        <v>#N/A</v>
      </c>
      <c r="G85" s="111" t="str">
        <f t="shared" si="12"/>
        <v/>
      </c>
      <c r="H85" s="110" t="e">
        <f>VLOOKUP(A85,'OEE REA'!A:AO,14,FALSE)</f>
        <v>#N/A</v>
      </c>
      <c r="I85" s="106"/>
      <c r="J85" s="99"/>
      <c r="K85" s="99"/>
      <c r="L85" s="107"/>
      <c r="M85" s="112" t="str">
        <f t="shared" si="8"/>
        <v/>
      </c>
      <c r="N85" s="103" t="str">
        <f t="shared" si="9"/>
        <v/>
      </c>
      <c r="O85" s="103">
        <f>IFERROR('OEE REA'!J596*'SPEED FACTOR REA'!L85,"")</f>
        <v>0</v>
      </c>
      <c r="P85" s="250" t="str">
        <f t="shared" si="10"/>
        <v/>
      </c>
      <c r="R85" s="70" t="e">
        <f t="shared" si="13"/>
        <v>#VALUE!</v>
      </c>
    </row>
    <row r="86" spans="1:18" ht="20.25" x14ac:dyDescent="0.25">
      <c r="A86" s="246">
        <f>+'OEE REA'!A597</f>
        <v>0</v>
      </c>
      <c r="B86" s="99">
        <f t="shared" si="11"/>
        <v>0</v>
      </c>
      <c r="C86" s="113">
        <f>+'OEE REA'!D597</f>
        <v>0</v>
      </c>
      <c r="D86" s="242" t="s">
        <v>1888</v>
      </c>
      <c r="E86" s="109" t="e">
        <f>VLOOKUP(A86,'OEE REA'!A:AO,13,FALSE)</f>
        <v>#N/A</v>
      </c>
      <c r="F86" s="110" t="e">
        <f>VLOOKUP(A86,'OEE REA'!A:AO,11,FALSE)</f>
        <v>#N/A</v>
      </c>
      <c r="G86" s="111" t="str">
        <f t="shared" si="12"/>
        <v/>
      </c>
      <c r="H86" s="110" t="e">
        <f>VLOOKUP(A86,'OEE REA'!A:AO,14,FALSE)</f>
        <v>#N/A</v>
      </c>
      <c r="I86" s="106"/>
      <c r="J86" s="99"/>
      <c r="K86" s="99"/>
      <c r="L86" s="107"/>
      <c r="M86" s="112" t="str">
        <f t="shared" si="8"/>
        <v/>
      </c>
      <c r="N86" s="103" t="str">
        <f t="shared" si="9"/>
        <v/>
      </c>
      <c r="O86" s="103">
        <f>IFERROR('OEE REA'!J597*'SPEED FACTOR REA'!L86,"")</f>
        <v>0</v>
      </c>
      <c r="P86" s="250" t="str">
        <f t="shared" si="10"/>
        <v/>
      </c>
      <c r="R86" s="70" t="e">
        <f t="shared" si="13"/>
        <v>#VALUE!</v>
      </c>
    </row>
    <row r="87" spans="1:18" ht="20.25" x14ac:dyDescent="0.25">
      <c r="A87" s="246">
        <f>+'OEE REA'!A598</f>
        <v>0</v>
      </c>
      <c r="B87" s="99">
        <f t="shared" si="11"/>
        <v>0</v>
      </c>
      <c r="C87" s="113">
        <f>+'OEE REA'!D598</f>
        <v>0</v>
      </c>
      <c r="D87" s="242" t="s">
        <v>1889</v>
      </c>
      <c r="E87" s="109" t="e">
        <f>VLOOKUP(A87,'OEE REA'!A:AO,13,FALSE)</f>
        <v>#N/A</v>
      </c>
      <c r="F87" s="110" t="e">
        <f>VLOOKUP(A87,'OEE REA'!A:AO,11,FALSE)</f>
        <v>#N/A</v>
      </c>
      <c r="G87" s="111" t="str">
        <f t="shared" si="12"/>
        <v/>
      </c>
      <c r="H87" s="110" t="e">
        <f>VLOOKUP(A87,'OEE REA'!A:AO,14,FALSE)</f>
        <v>#N/A</v>
      </c>
      <c r="I87" s="106"/>
      <c r="J87" s="99"/>
      <c r="K87" s="99"/>
      <c r="L87" s="107"/>
      <c r="M87" s="112" t="str">
        <f t="shared" si="8"/>
        <v/>
      </c>
      <c r="N87" s="103" t="str">
        <f t="shared" si="9"/>
        <v/>
      </c>
      <c r="O87" s="103">
        <f>IFERROR('OEE REA'!J598*'SPEED FACTOR REA'!L87,"")</f>
        <v>0</v>
      </c>
      <c r="P87" s="250" t="str">
        <f t="shared" si="10"/>
        <v/>
      </c>
      <c r="R87" s="70" t="e">
        <f t="shared" si="13"/>
        <v>#VALUE!</v>
      </c>
    </row>
    <row r="88" spans="1:18" ht="20.25" x14ac:dyDescent="0.25">
      <c r="A88" s="246">
        <f>+'OEE REA'!A599</f>
        <v>0</v>
      </c>
      <c r="B88" s="99">
        <f t="shared" si="11"/>
        <v>0</v>
      </c>
      <c r="C88" s="113">
        <f>+'OEE REA'!D599</f>
        <v>0</v>
      </c>
      <c r="D88" s="242" t="s">
        <v>1890</v>
      </c>
      <c r="E88" s="109" t="e">
        <f>VLOOKUP(A88,'OEE REA'!A:AO,13,FALSE)</f>
        <v>#N/A</v>
      </c>
      <c r="F88" s="110" t="e">
        <f>VLOOKUP(A88,'OEE REA'!A:AO,11,FALSE)</f>
        <v>#N/A</v>
      </c>
      <c r="G88" s="111" t="str">
        <f t="shared" si="12"/>
        <v/>
      </c>
      <c r="H88" s="110" t="e">
        <f>VLOOKUP(A88,'OEE REA'!A:AO,14,FALSE)</f>
        <v>#N/A</v>
      </c>
      <c r="I88" s="106"/>
      <c r="J88" s="99"/>
      <c r="K88" s="99"/>
      <c r="L88" s="107"/>
      <c r="M88" s="112" t="str">
        <f t="shared" si="8"/>
        <v/>
      </c>
      <c r="N88" s="103" t="str">
        <f t="shared" si="9"/>
        <v/>
      </c>
      <c r="O88" s="103">
        <f>IFERROR('OEE REA'!J599*'SPEED FACTOR REA'!L88,"")</f>
        <v>0</v>
      </c>
      <c r="P88" s="250" t="str">
        <f t="shared" si="10"/>
        <v/>
      </c>
      <c r="R88" s="70" t="e">
        <f t="shared" si="13"/>
        <v>#VALUE!</v>
      </c>
    </row>
    <row r="89" spans="1:18" ht="20.25" x14ac:dyDescent="0.25">
      <c r="A89" s="246">
        <f>+'OEE REA'!A600</f>
        <v>0</v>
      </c>
      <c r="B89" s="99">
        <f t="shared" si="11"/>
        <v>0</v>
      </c>
      <c r="C89" s="113">
        <f>+'OEE REA'!D600</f>
        <v>0</v>
      </c>
      <c r="D89" s="242" t="s">
        <v>1891</v>
      </c>
      <c r="E89" s="109" t="e">
        <f>VLOOKUP(A89,'OEE REA'!A:AO,13,FALSE)</f>
        <v>#N/A</v>
      </c>
      <c r="F89" s="110" t="e">
        <f>VLOOKUP(A89,'OEE REA'!A:AO,11,FALSE)</f>
        <v>#N/A</v>
      </c>
      <c r="G89" s="111" t="str">
        <f t="shared" si="12"/>
        <v/>
      </c>
      <c r="H89" s="110" t="e">
        <f>VLOOKUP(A89,'OEE REA'!A:AO,14,FALSE)</f>
        <v>#N/A</v>
      </c>
      <c r="I89" s="106"/>
      <c r="J89" s="99"/>
      <c r="K89" s="99"/>
      <c r="L89" s="107"/>
      <c r="M89" s="112" t="str">
        <f t="shared" si="8"/>
        <v/>
      </c>
      <c r="N89" s="103" t="str">
        <f t="shared" si="9"/>
        <v/>
      </c>
      <c r="O89" s="103">
        <f>IFERROR('OEE REA'!J600*'SPEED FACTOR REA'!L89,"")</f>
        <v>0</v>
      </c>
      <c r="P89" s="250" t="str">
        <f t="shared" si="10"/>
        <v/>
      </c>
      <c r="R89" s="70" t="e">
        <f t="shared" si="13"/>
        <v>#VALUE!</v>
      </c>
    </row>
    <row r="90" spans="1:18" ht="20.25" x14ac:dyDescent="0.25">
      <c r="A90" s="246">
        <f>+'OEE REA'!A601</f>
        <v>0</v>
      </c>
      <c r="B90" s="99">
        <f t="shared" si="11"/>
        <v>0</v>
      </c>
      <c r="C90" s="113">
        <f>+'OEE REA'!D601</f>
        <v>0</v>
      </c>
      <c r="D90" s="242" t="s">
        <v>1892</v>
      </c>
      <c r="E90" s="109" t="e">
        <f>VLOOKUP(A90,'OEE REA'!A:AO,13,FALSE)</f>
        <v>#N/A</v>
      </c>
      <c r="F90" s="110" t="e">
        <f>VLOOKUP(A90,'OEE REA'!A:AO,11,FALSE)</f>
        <v>#N/A</v>
      </c>
      <c r="G90" s="111" t="str">
        <f t="shared" si="12"/>
        <v/>
      </c>
      <c r="H90" s="110" t="e">
        <f>VLOOKUP(A90,'OEE REA'!A:AO,14,FALSE)</f>
        <v>#N/A</v>
      </c>
      <c r="I90" s="106"/>
      <c r="J90" s="99"/>
      <c r="K90" s="99"/>
      <c r="L90" s="107"/>
      <c r="M90" s="112" t="str">
        <f t="shared" si="8"/>
        <v/>
      </c>
      <c r="N90" s="103" t="str">
        <f t="shared" si="9"/>
        <v/>
      </c>
      <c r="O90" s="103">
        <f>IFERROR('OEE REA'!J601*'SPEED FACTOR REA'!L90,"")</f>
        <v>0</v>
      </c>
      <c r="P90" s="250" t="str">
        <f t="shared" si="10"/>
        <v/>
      </c>
      <c r="R90" s="70" t="e">
        <f t="shared" si="13"/>
        <v>#VALUE!</v>
      </c>
    </row>
    <row r="91" spans="1:18" ht="20.25" x14ac:dyDescent="0.25">
      <c r="A91" s="246">
        <f>+'OEE REA'!A602</f>
        <v>0</v>
      </c>
      <c r="B91" s="99">
        <f t="shared" si="11"/>
        <v>0</v>
      </c>
      <c r="C91" s="113">
        <f>+'OEE REA'!D602</f>
        <v>0</v>
      </c>
      <c r="D91" s="242" t="s">
        <v>1893</v>
      </c>
      <c r="E91" s="109" t="e">
        <f>VLOOKUP(A91,'OEE REA'!A:AO,13,FALSE)</f>
        <v>#N/A</v>
      </c>
      <c r="F91" s="110" t="e">
        <f>VLOOKUP(A91,'OEE REA'!A:AO,11,FALSE)</f>
        <v>#N/A</v>
      </c>
      <c r="G91" s="111" t="str">
        <f t="shared" si="12"/>
        <v/>
      </c>
      <c r="H91" s="110" t="e">
        <f>VLOOKUP(A91,'OEE REA'!A:AO,14,FALSE)</f>
        <v>#N/A</v>
      </c>
      <c r="I91" s="106"/>
      <c r="J91" s="99"/>
      <c r="K91" s="99"/>
      <c r="L91" s="107"/>
      <c r="M91" s="112" t="str">
        <f t="shared" si="8"/>
        <v/>
      </c>
      <c r="N91" s="103" t="str">
        <f t="shared" si="9"/>
        <v/>
      </c>
      <c r="O91" s="103">
        <f>IFERROR('OEE REA'!J602*'SPEED FACTOR REA'!L91,"")</f>
        <v>0</v>
      </c>
      <c r="P91" s="250" t="str">
        <f t="shared" si="10"/>
        <v/>
      </c>
      <c r="R91" s="70" t="e">
        <f t="shared" si="13"/>
        <v>#VALUE!</v>
      </c>
    </row>
    <row r="92" spans="1:18" ht="20.25" x14ac:dyDescent="0.25">
      <c r="A92" s="246">
        <f>+'OEE REA'!A603</f>
        <v>0</v>
      </c>
      <c r="B92" s="99">
        <f t="shared" si="11"/>
        <v>0</v>
      </c>
      <c r="C92" s="113">
        <f>+'OEE REA'!D603</f>
        <v>0</v>
      </c>
      <c r="D92" s="242" t="s">
        <v>1894</v>
      </c>
      <c r="E92" s="109" t="e">
        <f>VLOOKUP(A92,'OEE REA'!A:AO,13,FALSE)</f>
        <v>#N/A</v>
      </c>
      <c r="F92" s="110" t="e">
        <f>VLOOKUP(A92,'OEE REA'!A:AO,11,FALSE)</f>
        <v>#N/A</v>
      </c>
      <c r="G92" s="111" t="str">
        <f t="shared" si="12"/>
        <v/>
      </c>
      <c r="H92" s="110" t="e">
        <f>VLOOKUP(A92,'OEE REA'!A:AO,14,FALSE)</f>
        <v>#N/A</v>
      </c>
      <c r="I92" s="106"/>
      <c r="J92" s="99"/>
      <c r="K92" s="99"/>
      <c r="L92" s="107"/>
      <c r="M92" s="112" t="str">
        <f t="shared" si="8"/>
        <v/>
      </c>
      <c r="N92" s="103" t="str">
        <f t="shared" si="9"/>
        <v/>
      </c>
      <c r="O92" s="103">
        <f>IFERROR('OEE REA'!J603*'SPEED FACTOR REA'!L92,"")</f>
        <v>0</v>
      </c>
      <c r="P92" s="250" t="str">
        <f t="shared" si="10"/>
        <v/>
      </c>
      <c r="R92" s="70" t="e">
        <f t="shared" si="13"/>
        <v>#VALUE!</v>
      </c>
    </row>
    <row r="93" spans="1:18" ht="20.25" x14ac:dyDescent="0.25">
      <c r="A93" s="246">
        <f>+'OEE REA'!A604</f>
        <v>0</v>
      </c>
      <c r="B93" s="99">
        <f t="shared" si="11"/>
        <v>0</v>
      </c>
      <c r="C93" s="113">
        <f>+'OEE REA'!D604</f>
        <v>0</v>
      </c>
      <c r="D93" s="242" t="s">
        <v>1895</v>
      </c>
      <c r="E93" s="109" t="e">
        <f>VLOOKUP(A93,'OEE REA'!A:AO,13,FALSE)</f>
        <v>#N/A</v>
      </c>
      <c r="F93" s="110" t="e">
        <f>VLOOKUP(A93,'OEE REA'!A:AO,11,FALSE)</f>
        <v>#N/A</v>
      </c>
      <c r="G93" s="111" t="str">
        <f t="shared" si="12"/>
        <v/>
      </c>
      <c r="H93" s="110" t="e">
        <f>VLOOKUP(A93,'OEE REA'!A:AO,14,FALSE)</f>
        <v>#N/A</v>
      </c>
      <c r="I93" s="106"/>
      <c r="J93" s="99"/>
      <c r="K93" s="99"/>
      <c r="L93" s="107"/>
      <c r="M93" s="112" t="str">
        <f t="shared" si="8"/>
        <v/>
      </c>
      <c r="N93" s="103" t="str">
        <f t="shared" si="9"/>
        <v/>
      </c>
      <c r="O93" s="103">
        <f>IFERROR('OEE REA'!J604*'SPEED FACTOR REA'!L93,"")</f>
        <v>0</v>
      </c>
      <c r="P93" s="250" t="str">
        <f t="shared" si="10"/>
        <v/>
      </c>
      <c r="R93" s="70" t="e">
        <f t="shared" si="13"/>
        <v>#VALUE!</v>
      </c>
    </row>
    <row r="94" spans="1:18" ht="20.25" x14ac:dyDescent="0.25">
      <c r="A94" s="246">
        <f>+'OEE REA'!A605</f>
        <v>0</v>
      </c>
      <c r="B94" s="99">
        <f t="shared" si="11"/>
        <v>0</v>
      </c>
      <c r="C94" s="113">
        <f>+'OEE REA'!D605</f>
        <v>0</v>
      </c>
      <c r="D94" s="242" t="s">
        <v>1896</v>
      </c>
      <c r="E94" s="109" t="e">
        <f>VLOOKUP(A94,'OEE REA'!A:AO,13,FALSE)</f>
        <v>#N/A</v>
      </c>
      <c r="F94" s="110" t="e">
        <f>VLOOKUP(A94,'OEE REA'!A:AO,11,FALSE)</f>
        <v>#N/A</v>
      </c>
      <c r="G94" s="111" t="str">
        <f t="shared" si="12"/>
        <v/>
      </c>
      <c r="H94" s="110" t="e">
        <f>VLOOKUP(A94,'OEE REA'!A:AO,14,FALSE)</f>
        <v>#N/A</v>
      </c>
      <c r="I94" s="106"/>
      <c r="J94" s="99"/>
      <c r="K94" s="99"/>
      <c r="L94" s="107"/>
      <c r="M94" s="112" t="str">
        <f t="shared" si="8"/>
        <v/>
      </c>
      <c r="N94" s="103" t="str">
        <f t="shared" si="9"/>
        <v/>
      </c>
      <c r="O94" s="103">
        <f>IFERROR('OEE REA'!J605*'SPEED FACTOR REA'!L94,"")</f>
        <v>0</v>
      </c>
      <c r="P94" s="250" t="str">
        <f t="shared" si="10"/>
        <v/>
      </c>
      <c r="R94" s="70" t="e">
        <f t="shared" si="13"/>
        <v>#VALUE!</v>
      </c>
    </row>
    <row r="95" spans="1:18" ht="20.25" x14ac:dyDescent="0.25">
      <c r="A95" s="246">
        <f>+'OEE REA'!A606</f>
        <v>0</v>
      </c>
      <c r="B95" s="99">
        <f t="shared" si="11"/>
        <v>0</v>
      </c>
      <c r="C95" s="113">
        <f>+'OEE REA'!D606</f>
        <v>0</v>
      </c>
      <c r="D95" s="242" t="s">
        <v>1897</v>
      </c>
      <c r="E95" s="109" t="e">
        <f>VLOOKUP(A95,'OEE REA'!A:AO,13,FALSE)</f>
        <v>#N/A</v>
      </c>
      <c r="F95" s="110" t="e">
        <f>VLOOKUP(A95,'OEE REA'!A:AO,11,FALSE)</f>
        <v>#N/A</v>
      </c>
      <c r="G95" s="111" t="str">
        <f t="shared" si="12"/>
        <v/>
      </c>
      <c r="H95" s="110" t="e">
        <f>VLOOKUP(A95,'OEE REA'!A:AO,14,FALSE)</f>
        <v>#N/A</v>
      </c>
      <c r="I95" s="106"/>
      <c r="J95" s="99"/>
      <c r="K95" s="99"/>
      <c r="L95" s="107"/>
      <c r="M95" s="112" t="str">
        <f t="shared" si="8"/>
        <v/>
      </c>
      <c r="N95" s="103" t="str">
        <f t="shared" si="9"/>
        <v/>
      </c>
      <c r="O95" s="103">
        <f>IFERROR('OEE REA'!J606*'SPEED FACTOR REA'!L95,"")</f>
        <v>0</v>
      </c>
      <c r="P95" s="250" t="str">
        <f t="shared" si="10"/>
        <v/>
      </c>
      <c r="R95" s="70" t="e">
        <f t="shared" si="13"/>
        <v>#VALUE!</v>
      </c>
    </row>
    <row r="96" spans="1:18" ht="20.25" x14ac:dyDescent="0.25">
      <c r="A96" s="246">
        <f>+'OEE REA'!A607</f>
        <v>0</v>
      </c>
      <c r="B96" s="99">
        <f t="shared" si="11"/>
        <v>0</v>
      </c>
      <c r="C96" s="113">
        <f>+'OEE REA'!D607</f>
        <v>0</v>
      </c>
      <c r="D96" s="242" t="s">
        <v>1898</v>
      </c>
      <c r="E96" s="109" t="e">
        <f>VLOOKUP(A96,'OEE REA'!A:AO,13,FALSE)</f>
        <v>#N/A</v>
      </c>
      <c r="F96" s="110" t="e">
        <f>VLOOKUP(A96,'OEE REA'!A:AO,11,FALSE)</f>
        <v>#N/A</v>
      </c>
      <c r="G96" s="111" t="str">
        <f t="shared" si="12"/>
        <v/>
      </c>
      <c r="H96" s="110" t="e">
        <f>VLOOKUP(A96,'OEE REA'!A:AO,14,FALSE)</f>
        <v>#N/A</v>
      </c>
      <c r="I96" s="106"/>
      <c r="J96" s="99"/>
      <c r="K96" s="99"/>
      <c r="L96" s="107"/>
      <c r="M96" s="112" t="str">
        <f t="shared" si="8"/>
        <v/>
      </c>
      <c r="N96" s="103" t="str">
        <f t="shared" si="9"/>
        <v/>
      </c>
      <c r="O96" s="103">
        <f>IFERROR('OEE REA'!J607*'SPEED FACTOR REA'!L96,"")</f>
        <v>0</v>
      </c>
      <c r="P96" s="250" t="str">
        <f t="shared" si="10"/>
        <v/>
      </c>
      <c r="R96" s="70" t="e">
        <f t="shared" si="13"/>
        <v>#VALUE!</v>
      </c>
    </row>
    <row r="97" spans="1:18" ht="20.25" x14ac:dyDescent="0.25">
      <c r="A97" s="246">
        <f>+'OEE REA'!A608</f>
        <v>0</v>
      </c>
      <c r="B97" s="99">
        <f t="shared" si="11"/>
        <v>0</v>
      </c>
      <c r="C97" s="113">
        <f>+'OEE REA'!D608</f>
        <v>0</v>
      </c>
      <c r="D97" s="242" t="s">
        <v>1899</v>
      </c>
      <c r="E97" s="109" t="e">
        <f>VLOOKUP(A97,'OEE REA'!A:AO,13,FALSE)</f>
        <v>#N/A</v>
      </c>
      <c r="F97" s="110" t="e">
        <f>VLOOKUP(A97,'OEE REA'!A:AO,11,FALSE)</f>
        <v>#N/A</v>
      </c>
      <c r="G97" s="111" t="str">
        <f t="shared" si="12"/>
        <v/>
      </c>
      <c r="H97" s="110" t="e">
        <f>VLOOKUP(A97,'OEE REA'!A:AO,14,FALSE)</f>
        <v>#N/A</v>
      </c>
      <c r="I97" s="106"/>
      <c r="J97" s="99"/>
      <c r="K97" s="99"/>
      <c r="L97" s="107"/>
      <c r="M97" s="112" t="str">
        <f t="shared" si="8"/>
        <v/>
      </c>
      <c r="N97" s="103" t="str">
        <f t="shared" si="9"/>
        <v/>
      </c>
      <c r="O97" s="103">
        <f>IFERROR('OEE REA'!J608*'SPEED FACTOR REA'!L97,"")</f>
        <v>0</v>
      </c>
      <c r="P97" s="250" t="str">
        <f t="shared" si="10"/>
        <v/>
      </c>
      <c r="R97" s="70" t="e">
        <f t="shared" si="13"/>
        <v>#VALUE!</v>
      </c>
    </row>
    <row r="98" spans="1:18" ht="20.25" x14ac:dyDescent="0.25">
      <c r="A98" s="246">
        <f>+'OEE REA'!A609</f>
        <v>0</v>
      </c>
      <c r="B98" s="99">
        <f t="shared" si="11"/>
        <v>0</v>
      </c>
      <c r="C98" s="113">
        <f>+'OEE REA'!D609</f>
        <v>0</v>
      </c>
      <c r="D98" s="242" t="s">
        <v>1900</v>
      </c>
      <c r="E98" s="109" t="e">
        <f>VLOOKUP(A98,'OEE REA'!A:AO,13,FALSE)</f>
        <v>#N/A</v>
      </c>
      <c r="F98" s="110" t="e">
        <f>VLOOKUP(A98,'OEE REA'!A:AO,11,FALSE)</f>
        <v>#N/A</v>
      </c>
      <c r="G98" s="111" t="str">
        <f t="shared" si="12"/>
        <v/>
      </c>
      <c r="H98" s="110" t="e">
        <f>VLOOKUP(A98,'OEE REA'!A:AO,14,FALSE)</f>
        <v>#N/A</v>
      </c>
      <c r="I98" s="106"/>
      <c r="J98" s="99"/>
      <c r="K98" s="99"/>
      <c r="L98" s="107"/>
      <c r="M98" s="112" t="str">
        <f t="shared" si="8"/>
        <v/>
      </c>
      <c r="N98" s="103" t="str">
        <f t="shared" si="9"/>
        <v/>
      </c>
      <c r="O98" s="103">
        <f>IFERROR('OEE REA'!J609*'SPEED FACTOR REA'!L98,"")</f>
        <v>0</v>
      </c>
      <c r="P98" s="250" t="str">
        <f t="shared" si="10"/>
        <v/>
      </c>
      <c r="R98" s="70" t="e">
        <f t="shared" si="13"/>
        <v>#VALUE!</v>
      </c>
    </row>
    <row r="99" spans="1:18" ht="20.25" x14ac:dyDescent="0.25">
      <c r="A99" s="246">
        <f>+'OEE REA'!A610</f>
        <v>0</v>
      </c>
      <c r="B99" s="99">
        <f t="shared" si="11"/>
        <v>0</v>
      </c>
      <c r="C99" s="113">
        <f>+'OEE REA'!D610</f>
        <v>0</v>
      </c>
      <c r="D99" s="242" t="s">
        <v>1901</v>
      </c>
      <c r="E99" s="109" t="e">
        <f>VLOOKUP(A99,'OEE REA'!A:AO,13,FALSE)</f>
        <v>#N/A</v>
      </c>
      <c r="F99" s="110" t="e">
        <f>VLOOKUP(A99,'OEE REA'!A:AO,11,FALSE)</f>
        <v>#N/A</v>
      </c>
      <c r="G99" s="111" t="str">
        <f t="shared" si="12"/>
        <v/>
      </c>
      <c r="H99" s="110" t="e">
        <f>VLOOKUP(A99,'OEE REA'!A:AO,14,FALSE)</f>
        <v>#N/A</v>
      </c>
      <c r="I99" s="106"/>
      <c r="J99" s="99"/>
      <c r="K99" s="99"/>
      <c r="L99" s="107"/>
      <c r="M99" s="112" t="str">
        <f t="shared" si="8"/>
        <v/>
      </c>
      <c r="N99" s="103" t="str">
        <f t="shared" si="9"/>
        <v/>
      </c>
      <c r="O99" s="103">
        <f>IFERROR('OEE REA'!J610*'SPEED FACTOR REA'!L99,"")</f>
        <v>0</v>
      </c>
      <c r="P99" s="250" t="str">
        <f t="shared" si="10"/>
        <v/>
      </c>
      <c r="R99" s="70" t="e">
        <f t="shared" si="13"/>
        <v>#VALUE!</v>
      </c>
    </row>
    <row r="100" spans="1:18" ht="20.25" x14ac:dyDescent="0.25">
      <c r="A100" s="246">
        <f>+'OEE REA'!A611</f>
        <v>0</v>
      </c>
      <c r="B100" s="99">
        <f t="shared" si="11"/>
        <v>0</v>
      </c>
      <c r="C100" s="113">
        <f>+'OEE REA'!D611</f>
        <v>0</v>
      </c>
      <c r="D100" s="242" t="s">
        <v>1902</v>
      </c>
      <c r="E100" s="109" t="e">
        <f>VLOOKUP(A100,'OEE REA'!A:AO,13,FALSE)</f>
        <v>#N/A</v>
      </c>
      <c r="F100" s="110" t="e">
        <f>VLOOKUP(A100,'OEE REA'!A:AO,11,FALSE)</f>
        <v>#N/A</v>
      </c>
      <c r="G100" s="111" t="str">
        <f t="shared" si="12"/>
        <v/>
      </c>
      <c r="H100" s="110" t="e">
        <f>VLOOKUP(A100,'OEE REA'!A:AO,14,FALSE)</f>
        <v>#N/A</v>
      </c>
      <c r="I100" s="106"/>
      <c r="J100" s="99"/>
      <c r="K100" s="99"/>
      <c r="L100" s="107"/>
      <c r="M100" s="112" t="str">
        <f t="shared" si="8"/>
        <v/>
      </c>
      <c r="N100" s="103" t="str">
        <f t="shared" si="9"/>
        <v/>
      </c>
      <c r="O100" s="103">
        <f>IFERROR('OEE REA'!J611*'SPEED FACTOR REA'!L100,"")</f>
        <v>0</v>
      </c>
      <c r="P100" s="250" t="str">
        <f t="shared" si="10"/>
        <v/>
      </c>
      <c r="R100" s="70" t="e">
        <f t="shared" si="13"/>
        <v>#VALUE!</v>
      </c>
    </row>
    <row r="101" spans="1:18" ht="20.25" x14ac:dyDescent="0.25">
      <c r="A101" s="246">
        <f>+'OEE REA'!A612</f>
        <v>0</v>
      </c>
      <c r="B101" s="99">
        <f t="shared" si="11"/>
        <v>0</v>
      </c>
      <c r="C101" s="113">
        <f>+'OEE REA'!D612</f>
        <v>0</v>
      </c>
      <c r="D101" s="242" t="s">
        <v>1903</v>
      </c>
      <c r="E101" s="109" t="e">
        <f>VLOOKUP(A101,'OEE REA'!A:AO,13,FALSE)</f>
        <v>#N/A</v>
      </c>
      <c r="F101" s="110" t="e">
        <f>VLOOKUP(A101,'OEE REA'!A:AO,11,FALSE)</f>
        <v>#N/A</v>
      </c>
      <c r="G101" s="111" t="str">
        <f t="shared" si="12"/>
        <v/>
      </c>
      <c r="H101" s="110" t="e">
        <f>VLOOKUP(A101,'OEE REA'!A:AO,14,FALSE)</f>
        <v>#N/A</v>
      </c>
      <c r="I101" s="106"/>
      <c r="J101" s="99"/>
      <c r="K101" s="99"/>
      <c r="L101" s="107"/>
      <c r="M101" s="112" t="str">
        <f t="shared" si="8"/>
        <v/>
      </c>
      <c r="N101" s="103" t="str">
        <f t="shared" si="9"/>
        <v/>
      </c>
      <c r="O101" s="103">
        <f>IFERROR('OEE REA'!J612*'SPEED FACTOR REA'!L101,"")</f>
        <v>0</v>
      </c>
      <c r="P101" s="250" t="str">
        <f t="shared" si="10"/>
        <v/>
      </c>
      <c r="R101" s="70" t="e">
        <f t="shared" si="13"/>
        <v>#VALUE!</v>
      </c>
    </row>
    <row r="102" spans="1:18" ht="20.25" x14ac:dyDescent="0.25">
      <c r="A102" s="246">
        <f>+'OEE REA'!A613</f>
        <v>0</v>
      </c>
      <c r="B102" s="99">
        <f t="shared" si="11"/>
        <v>0</v>
      </c>
      <c r="C102" s="113">
        <f>+'OEE REA'!D613</f>
        <v>0</v>
      </c>
      <c r="D102" s="242" t="s">
        <v>1904</v>
      </c>
      <c r="E102" s="109" t="e">
        <f>VLOOKUP(A102,'OEE REA'!A:AO,13,FALSE)</f>
        <v>#N/A</v>
      </c>
      <c r="F102" s="110" t="e">
        <f>VLOOKUP(A102,'OEE REA'!A:AO,11,FALSE)</f>
        <v>#N/A</v>
      </c>
      <c r="G102" s="111" t="str">
        <f t="shared" si="12"/>
        <v/>
      </c>
      <c r="H102" s="110" t="e">
        <f>VLOOKUP(A102,'OEE REA'!A:AO,14,FALSE)</f>
        <v>#N/A</v>
      </c>
      <c r="I102" s="106"/>
      <c r="J102" s="99"/>
      <c r="K102" s="99"/>
      <c r="L102" s="107"/>
      <c r="M102" s="112" t="str">
        <f t="shared" si="8"/>
        <v/>
      </c>
      <c r="N102" s="103" t="str">
        <f t="shared" si="9"/>
        <v/>
      </c>
      <c r="O102" s="103">
        <f>IFERROR('OEE REA'!J613*'SPEED FACTOR REA'!L102,"")</f>
        <v>0</v>
      </c>
      <c r="P102" s="250" t="str">
        <f t="shared" si="10"/>
        <v/>
      </c>
      <c r="R102" s="70" t="e">
        <f t="shared" si="13"/>
        <v>#VALUE!</v>
      </c>
    </row>
    <row r="103" spans="1:18" ht="20.25" x14ac:dyDescent="0.25">
      <c r="A103" s="246">
        <f>+'OEE REA'!A614</f>
        <v>0</v>
      </c>
      <c r="B103" s="99">
        <f t="shared" si="11"/>
        <v>0</v>
      </c>
      <c r="C103" s="113">
        <f>+'OEE REA'!D614</f>
        <v>0</v>
      </c>
      <c r="D103" s="242" t="s">
        <v>1905</v>
      </c>
      <c r="E103" s="109" t="e">
        <f>VLOOKUP(A103,'OEE REA'!A:AO,13,FALSE)</f>
        <v>#N/A</v>
      </c>
      <c r="F103" s="110" t="e">
        <f>VLOOKUP(A103,'OEE REA'!A:AO,11,FALSE)</f>
        <v>#N/A</v>
      </c>
      <c r="G103" s="111" t="str">
        <f t="shared" si="12"/>
        <v/>
      </c>
      <c r="H103" s="110" t="e">
        <f>VLOOKUP(A103,'OEE REA'!A:AO,14,FALSE)</f>
        <v>#N/A</v>
      </c>
      <c r="I103" s="106"/>
      <c r="J103" s="99"/>
      <c r="K103" s="99"/>
      <c r="L103" s="107"/>
      <c r="M103" s="112" t="str">
        <f t="shared" ref="M103:M166" si="14">IFERROR(G103*L103,"")</f>
        <v/>
      </c>
      <c r="N103" s="103" t="str">
        <f t="shared" ref="N103:N166" si="15">IFERROR(F103*L103,"")</f>
        <v/>
      </c>
      <c r="O103" s="103">
        <f>IFERROR('OEE REA'!J614*'SPEED FACTOR REA'!L103,"")</f>
        <v>0</v>
      </c>
      <c r="P103" s="250" t="str">
        <f t="shared" ref="P103:P166" si="16">IFERROR(N103/M103,"")</f>
        <v/>
      </c>
      <c r="R103" s="70" t="e">
        <f t="shared" si="13"/>
        <v>#VALUE!</v>
      </c>
    </row>
    <row r="104" spans="1:18" ht="20.25" x14ac:dyDescent="0.25">
      <c r="A104" s="246">
        <f>+'OEE REA'!A615</f>
        <v>0</v>
      </c>
      <c r="B104" s="99">
        <f t="shared" si="11"/>
        <v>0</v>
      </c>
      <c r="C104" s="113">
        <f>+'OEE REA'!D615</f>
        <v>0</v>
      </c>
      <c r="D104" s="242" t="s">
        <v>1906</v>
      </c>
      <c r="E104" s="109" t="e">
        <f>VLOOKUP(A104,'OEE REA'!A:AO,13,FALSE)</f>
        <v>#N/A</v>
      </c>
      <c r="F104" s="110" t="e">
        <f>VLOOKUP(A104,'OEE REA'!A:AO,11,FALSE)</f>
        <v>#N/A</v>
      </c>
      <c r="G104" s="111" t="str">
        <f t="shared" si="12"/>
        <v/>
      </c>
      <c r="H104" s="110" t="e">
        <f>VLOOKUP(A104,'OEE REA'!A:AO,14,FALSE)</f>
        <v>#N/A</v>
      </c>
      <c r="I104" s="106"/>
      <c r="J104" s="99"/>
      <c r="K104" s="99"/>
      <c r="L104" s="107"/>
      <c r="M104" s="112" t="str">
        <f t="shared" si="14"/>
        <v/>
      </c>
      <c r="N104" s="103" t="str">
        <f t="shared" si="15"/>
        <v/>
      </c>
      <c r="O104" s="103">
        <f>IFERROR('OEE REA'!J615*'SPEED FACTOR REA'!L104,"")</f>
        <v>0</v>
      </c>
      <c r="P104" s="250" t="str">
        <f t="shared" si="16"/>
        <v/>
      </c>
      <c r="R104" s="70" t="e">
        <f t="shared" si="13"/>
        <v>#VALUE!</v>
      </c>
    </row>
    <row r="105" spans="1:18" ht="20.25" x14ac:dyDescent="0.25">
      <c r="A105" s="246">
        <f>+'OEE REA'!A616</f>
        <v>0</v>
      </c>
      <c r="B105" s="99">
        <f t="shared" si="11"/>
        <v>0</v>
      </c>
      <c r="C105" s="113">
        <f>+'OEE REA'!D616</f>
        <v>0</v>
      </c>
      <c r="D105" s="242" t="s">
        <v>1907</v>
      </c>
      <c r="E105" s="109" t="e">
        <f>VLOOKUP(A105,'OEE REA'!A:AO,13,FALSE)</f>
        <v>#N/A</v>
      </c>
      <c r="F105" s="110" t="e">
        <f>VLOOKUP(A105,'OEE REA'!A:AO,11,FALSE)</f>
        <v>#N/A</v>
      </c>
      <c r="G105" s="111" t="str">
        <f t="shared" si="12"/>
        <v/>
      </c>
      <c r="H105" s="110" t="e">
        <f>VLOOKUP(A105,'OEE REA'!A:AO,14,FALSE)</f>
        <v>#N/A</v>
      </c>
      <c r="I105" s="106"/>
      <c r="J105" s="99"/>
      <c r="K105" s="99"/>
      <c r="L105" s="107"/>
      <c r="M105" s="112" t="str">
        <f t="shared" si="14"/>
        <v/>
      </c>
      <c r="N105" s="103" t="str">
        <f t="shared" si="15"/>
        <v/>
      </c>
      <c r="O105" s="103">
        <f>IFERROR('OEE REA'!J616*'SPEED FACTOR REA'!L105,"")</f>
        <v>0</v>
      </c>
      <c r="P105" s="250" t="str">
        <f t="shared" si="16"/>
        <v/>
      </c>
      <c r="R105" s="70" t="e">
        <f t="shared" si="13"/>
        <v>#VALUE!</v>
      </c>
    </row>
    <row r="106" spans="1:18" ht="20.25" x14ac:dyDescent="0.25">
      <c r="A106" s="246">
        <f>+'OEE REA'!A617</f>
        <v>0</v>
      </c>
      <c r="B106" s="99">
        <f t="shared" si="11"/>
        <v>0</v>
      </c>
      <c r="C106" s="113">
        <f>+'OEE REA'!D617</f>
        <v>0</v>
      </c>
      <c r="D106" s="242" t="s">
        <v>1908</v>
      </c>
      <c r="E106" s="109" t="e">
        <f>VLOOKUP(A106,'OEE REA'!A:AO,13,FALSE)</f>
        <v>#N/A</v>
      </c>
      <c r="F106" s="110" t="e">
        <f>VLOOKUP(A106,'OEE REA'!A:AO,11,FALSE)</f>
        <v>#N/A</v>
      </c>
      <c r="G106" s="111" t="str">
        <f t="shared" si="12"/>
        <v/>
      </c>
      <c r="H106" s="110" t="e">
        <f>VLOOKUP(A106,'OEE REA'!A:AO,14,FALSE)</f>
        <v>#N/A</v>
      </c>
      <c r="I106" s="106"/>
      <c r="J106" s="99"/>
      <c r="K106" s="99"/>
      <c r="L106" s="107"/>
      <c r="M106" s="112" t="str">
        <f t="shared" si="14"/>
        <v/>
      </c>
      <c r="N106" s="103" t="str">
        <f t="shared" si="15"/>
        <v/>
      </c>
      <c r="O106" s="103">
        <f>IFERROR('OEE REA'!J617*'SPEED FACTOR REA'!L106,"")</f>
        <v>0</v>
      </c>
      <c r="P106" s="250" t="str">
        <f t="shared" si="16"/>
        <v/>
      </c>
      <c r="R106" s="70" t="e">
        <f t="shared" si="13"/>
        <v>#VALUE!</v>
      </c>
    </row>
    <row r="107" spans="1:18" ht="20.25" x14ac:dyDescent="0.25">
      <c r="A107" s="246">
        <f>+'OEE REA'!A618</f>
        <v>0</v>
      </c>
      <c r="B107" s="99">
        <f t="shared" si="11"/>
        <v>0</v>
      </c>
      <c r="C107" s="113">
        <f>+'OEE REA'!D618</f>
        <v>0</v>
      </c>
      <c r="D107" s="242" t="s">
        <v>1909</v>
      </c>
      <c r="E107" s="109" t="e">
        <f>VLOOKUP(A107,'OEE REA'!A:AO,13,FALSE)</f>
        <v>#N/A</v>
      </c>
      <c r="F107" s="110" t="e">
        <f>VLOOKUP(A107,'OEE REA'!A:AO,11,FALSE)</f>
        <v>#N/A</v>
      </c>
      <c r="G107" s="111" t="str">
        <f t="shared" si="12"/>
        <v/>
      </c>
      <c r="H107" s="110" t="e">
        <f>VLOOKUP(A107,'OEE REA'!A:AO,14,FALSE)</f>
        <v>#N/A</v>
      </c>
      <c r="I107" s="106"/>
      <c r="J107" s="99"/>
      <c r="K107" s="99"/>
      <c r="L107" s="107"/>
      <c r="M107" s="112" t="str">
        <f t="shared" si="14"/>
        <v/>
      </c>
      <c r="N107" s="103" t="str">
        <f t="shared" si="15"/>
        <v/>
      </c>
      <c r="O107" s="103">
        <f>IFERROR('OEE REA'!J618*'SPEED FACTOR REA'!L107,"")</f>
        <v>0</v>
      </c>
      <c r="P107" s="250" t="str">
        <f t="shared" si="16"/>
        <v/>
      </c>
      <c r="R107" s="70" t="e">
        <f t="shared" si="13"/>
        <v>#VALUE!</v>
      </c>
    </row>
    <row r="108" spans="1:18" ht="20.25" x14ac:dyDescent="0.25">
      <c r="A108" s="246">
        <f>+'OEE REA'!A619</f>
        <v>0</v>
      </c>
      <c r="B108" s="99">
        <f t="shared" si="11"/>
        <v>0</v>
      </c>
      <c r="C108" s="113">
        <f>+'OEE REA'!D619</f>
        <v>0</v>
      </c>
      <c r="D108" s="242" t="s">
        <v>1910</v>
      </c>
      <c r="E108" s="109" t="e">
        <f>VLOOKUP(A108,'OEE REA'!A:AO,13,FALSE)</f>
        <v>#N/A</v>
      </c>
      <c r="F108" s="110" t="e">
        <f>VLOOKUP(A108,'OEE REA'!A:AO,11,FALSE)</f>
        <v>#N/A</v>
      </c>
      <c r="G108" s="111" t="str">
        <f t="shared" si="12"/>
        <v/>
      </c>
      <c r="H108" s="110" t="e">
        <f>VLOOKUP(A108,'OEE REA'!A:AO,14,FALSE)</f>
        <v>#N/A</v>
      </c>
      <c r="I108" s="106"/>
      <c r="J108" s="99"/>
      <c r="K108" s="99"/>
      <c r="L108" s="107"/>
      <c r="M108" s="112" t="str">
        <f t="shared" si="14"/>
        <v/>
      </c>
      <c r="N108" s="103" t="str">
        <f t="shared" si="15"/>
        <v/>
      </c>
      <c r="O108" s="103">
        <f>IFERROR('OEE REA'!J619*'SPEED FACTOR REA'!L108,"")</f>
        <v>0</v>
      </c>
      <c r="P108" s="250" t="str">
        <f t="shared" si="16"/>
        <v/>
      </c>
      <c r="R108" s="70" t="e">
        <f t="shared" si="13"/>
        <v>#VALUE!</v>
      </c>
    </row>
    <row r="109" spans="1:18" ht="20.25" x14ac:dyDescent="0.25">
      <c r="A109" s="246">
        <f>+'OEE REA'!A620</f>
        <v>0</v>
      </c>
      <c r="B109" s="99">
        <f t="shared" si="11"/>
        <v>0</v>
      </c>
      <c r="C109" s="113">
        <f>+'OEE REA'!D620</f>
        <v>0</v>
      </c>
      <c r="D109" s="242" t="s">
        <v>1911</v>
      </c>
      <c r="E109" s="109" t="e">
        <f>VLOOKUP(A109,'OEE REA'!A:AO,13,FALSE)</f>
        <v>#N/A</v>
      </c>
      <c r="F109" s="110" t="e">
        <f>VLOOKUP(A109,'OEE REA'!A:AO,11,FALSE)</f>
        <v>#N/A</v>
      </c>
      <c r="G109" s="111" t="str">
        <f t="shared" si="12"/>
        <v/>
      </c>
      <c r="H109" s="110" t="e">
        <f>VLOOKUP(A109,'OEE REA'!A:AO,14,FALSE)</f>
        <v>#N/A</v>
      </c>
      <c r="I109" s="106"/>
      <c r="J109" s="99"/>
      <c r="K109" s="99"/>
      <c r="L109" s="107"/>
      <c r="M109" s="112" t="str">
        <f t="shared" si="14"/>
        <v/>
      </c>
      <c r="N109" s="103" t="str">
        <f t="shared" si="15"/>
        <v/>
      </c>
      <c r="O109" s="103">
        <f>IFERROR('OEE REA'!J620*'SPEED FACTOR REA'!L109,"")</f>
        <v>0</v>
      </c>
      <c r="P109" s="250" t="str">
        <f t="shared" si="16"/>
        <v/>
      </c>
      <c r="R109" s="70" t="e">
        <f t="shared" si="13"/>
        <v>#VALUE!</v>
      </c>
    </row>
    <row r="110" spans="1:18" ht="20.25" x14ac:dyDescent="0.25">
      <c r="A110" s="246">
        <f>+'OEE REA'!A621</f>
        <v>0</v>
      </c>
      <c r="B110" s="99">
        <f t="shared" ref="B110:B164" si="17">WEEKNUM(C110)</f>
        <v>0</v>
      </c>
      <c r="C110" s="113">
        <f>+'OEE REA'!D621</f>
        <v>0</v>
      </c>
      <c r="D110" s="242" t="s">
        <v>1912</v>
      </c>
      <c r="E110" s="109" t="e">
        <f>VLOOKUP(A110,'OEE REA'!A:AO,13,FALSE)</f>
        <v>#N/A</v>
      </c>
      <c r="F110" s="110" t="e">
        <f>VLOOKUP(A110,'OEE REA'!A:AO,11,FALSE)</f>
        <v>#N/A</v>
      </c>
      <c r="G110" s="111" t="str">
        <f t="shared" si="12"/>
        <v/>
      </c>
      <c r="H110" s="110" t="e">
        <f>VLOOKUP(A110,'OEE REA'!A:AO,14,FALSE)</f>
        <v>#N/A</v>
      </c>
      <c r="I110" s="106"/>
      <c r="J110" s="99"/>
      <c r="K110" s="99"/>
      <c r="L110" s="107"/>
      <c r="M110" s="112" t="str">
        <f t="shared" si="14"/>
        <v/>
      </c>
      <c r="N110" s="103" t="str">
        <f t="shared" si="15"/>
        <v/>
      </c>
      <c r="O110" s="103">
        <f>IFERROR('OEE REA'!J621*'SPEED FACTOR REA'!L110,"")</f>
        <v>0</v>
      </c>
      <c r="P110" s="250" t="str">
        <f t="shared" si="16"/>
        <v/>
      </c>
      <c r="R110" s="70" t="e">
        <f t="shared" si="13"/>
        <v>#VALUE!</v>
      </c>
    </row>
    <row r="111" spans="1:18" ht="20.25" x14ac:dyDescent="0.25">
      <c r="A111" s="246">
        <f>+'OEE REA'!A622</f>
        <v>0</v>
      </c>
      <c r="B111" s="99">
        <f t="shared" si="17"/>
        <v>0</v>
      </c>
      <c r="C111" s="113">
        <f>+'OEE REA'!D622</f>
        <v>0</v>
      </c>
      <c r="D111" s="242" t="s">
        <v>1913</v>
      </c>
      <c r="E111" s="109" t="e">
        <f>VLOOKUP(A111,'OEE REA'!A:AO,13,FALSE)</f>
        <v>#N/A</v>
      </c>
      <c r="F111" s="110" t="e">
        <f>VLOOKUP(A111,'OEE REA'!A:AO,11,FALSE)</f>
        <v>#N/A</v>
      </c>
      <c r="G111" s="111" t="str">
        <f t="shared" si="12"/>
        <v/>
      </c>
      <c r="H111" s="110" t="e">
        <f>VLOOKUP(A111,'OEE REA'!A:AO,14,FALSE)</f>
        <v>#N/A</v>
      </c>
      <c r="I111" s="106"/>
      <c r="J111" s="99"/>
      <c r="K111" s="99"/>
      <c r="L111" s="107"/>
      <c r="M111" s="112" t="str">
        <f t="shared" si="14"/>
        <v/>
      </c>
      <c r="N111" s="103" t="str">
        <f t="shared" si="15"/>
        <v/>
      </c>
      <c r="O111" s="103">
        <f>IFERROR('OEE REA'!J622*'SPEED FACTOR REA'!L111,"")</f>
        <v>0</v>
      </c>
      <c r="P111" s="250" t="str">
        <f t="shared" si="16"/>
        <v/>
      </c>
      <c r="R111" s="70" t="e">
        <f t="shared" si="13"/>
        <v>#VALUE!</v>
      </c>
    </row>
    <row r="112" spans="1:18" ht="20.25" x14ac:dyDescent="0.25">
      <c r="A112" s="246">
        <f>+'OEE REA'!A623</f>
        <v>0</v>
      </c>
      <c r="B112" s="99">
        <f t="shared" si="17"/>
        <v>0</v>
      </c>
      <c r="C112" s="113">
        <f>+'OEE REA'!D623</f>
        <v>0</v>
      </c>
      <c r="D112" s="242" t="s">
        <v>1914</v>
      </c>
      <c r="E112" s="109" t="e">
        <f>VLOOKUP(A112,'OEE REA'!A:AO,13,FALSE)</f>
        <v>#N/A</v>
      </c>
      <c r="F112" s="110" t="e">
        <f>VLOOKUP(A112,'OEE REA'!A:AO,11,FALSE)</f>
        <v>#N/A</v>
      </c>
      <c r="G112" s="111" t="str">
        <f t="shared" si="12"/>
        <v/>
      </c>
      <c r="H112" s="110" t="e">
        <f>VLOOKUP(A112,'OEE REA'!A:AO,14,FALSE)</f>
        <v>#N/A</v>
      </c>
      <c r="I112" s="106"/>
      <c r="J112" s="99"/>
      <c r="K112" s="99"/>
      <c r="L112" s="107"/>
      <c r="M112" s="112" t="str">
        <f t="shared" si="14"/>
        <v/>
      </c>
      <c r="N112" s="103" t="str">
        <f t="shared" si="15"/>
        <v/>
      </c>
      <c r="O112" s="103">
        <f>IFERROR('OEE REA'!J623*'SPEED FACTOR REA'!L112,"")</f>
        <v>0</v>
      </c>
      <c r="P112" s="250" t="str">
        <f t="shared" si="16"/>
        <v/>
      </c>
      <c r="R112" s="70" t="e">
        <f t="shared" si="13"/>
        <v>#VALUE!</v>
      </c>
    </row>
    <row r="113" spans="1:18" ht="20.25" x14ac:dyDescent="0.25">
      <c r="A113" s="246">
        <f>+'OEE REA'!A624</f>
        <v>0</v>
      </c>
      <c r="B113" s="99">
        <f t="shared" si="17"/>
        <v>0</v>
      </c>
      <c r="C113" s="113">
        <f>+'OEE REA'!D624</f>
        <v>0</v>
      </c>
      <c r="D113" s="242" t="s">
        <v>1915</v>
      </c>
      <c r="E113" s="109" t="e">
        <f>VLOOKUP(A113,'OEE REA'!A:AO,13,FALSE)</f>
        <v>#N/A</v>
      </c>
      <c r="F113" s="110" t="e">
        <f>VLOOKUP(A113,'OEE REA'!A:AO,11,FALSE)</f>
        <v>#N/A</v>
      </c>
      <c r="G113" s="111" t="str">
        <f t="shared" si="12"/>
        <v/>
      </c>
      <c r="H113" s="110" t="e">
        <f>VLOOKUP(A113,'OEE REA'!A:AO,14,FALSE)</f>
        <v>#N/A</v>
      </c>
      <c r="I113" s="106"/>
      <c r="J113" s="99"/>
      <c r="K113" s="99"/>
      <c r="L113" s="107"/>
      <c r="M113" s="112" t="str">
        <f t="shared" si="14"/>
        <v/>
      </c>
      <c r="N113" s="103" t="str">
        <f t="shared" si="15"/>
        <v/>
      </c>
      <c r="O113" s="103">
        <f>IFERROR('OEE REA'!J624*'SPEED FACTOR REA'!L113,"")</f>
        <v>0</v>
      </c>
      <c r="P113" s="250" t="str">
        <f t="shared" si="16"/>
        <v/>
      </c>
      <c r="R113" s="70" t="e">
        <f t="shared" si="13"/>
        <v>#VALUE!</v>
      </c>
    </row>
    <row r="114" spans="1:18" ht="20.25" x14ac:dyDescent="0.25">
      <c r="A114" s="246">
        <f>+'OEE REA'!A625</f>
        <v>0</v>
      </c>
      <c r="B114" s="99">
        <f t="shared" si="17"/>
        <v>0</v>
      </c>
      <c r="C114" s="113">
        <f>+'OEE REA'!D625</f>
        <v>0</v>
      </c>
      <c r="D114" s="242" t="s">
        <v>1916</v>
      </c>
      <c r="E114" s="109" t="e">
        <f>VLOOKUP(A114,'OEE REA'!A:AO,13,FALSE)</f>
        <v>#N/A</v>
      </c>
      <c r="F114" s="110" t="e">
        <f>VLOOKUP(A114,'OEE REA'!A:AO,11,FALSE)</f>
        <v>#N/A</v>
      </c>
      <c r="G114" s="111" t="str">
        <f t="shared" si="12"/>
        <v/>
      </c>
      <c r="H114" s="110" t="e">
        <f>VLOOKUP(A114,'OEE REA'!A:AO,14,FALSE)</f>
        <v>#N/A</v>
      </c>
      <c r="I114" s="106"/>
      <c r="J114" s="99"/>
      <c r="K114" s="99"/>
      <c r="L114" s="107"/>
      <c r="M114" s="112" t="str">
        <f t="shared" si="14"/>
        <v/>
      </c>
      <c r="N114" s="103" t="str">
        <f t="shared" si="15"/>
        <v/>
      </c>
      <c r="O114" s="103">
        <f>IFERROR('OEE REA'!J625*'SPEED FACTOR REA'!L114,"")</f>
        <v>0</v>
      </c>
      <c r="P114" s="250" t="str">
        <f t="shared" si="16"/>
        <v/>
      </c>
      <c r="R114" s="70" t="e">
        <f>G114/O114</f>
        <v>#VALUE!</v>
      </c>
    </row>
    <row r="115" spans="1:18" ht="20.25" x14ac:dyDescent="0.25">
      <c r="A115" s="246">
        <f>+'OEE REA'!A626</f>
        <v>0</v>
      </c>
      <c r="B115" s="99">
        <f t="shared" si="17"/>
        <v>0</v>
      </c>
      <c r="C115" s="113">
        <f>+'OEE REA'!D626</f>
        <v>0</v>
      </c>
      <c r="D115" s="242" t="s">
        <v>1917</v>
      </c>
      <c r="E115" s="109" t="e">
        <f>VLOOKUP(A115,'OEE REA'!A:AO,13,FALSE)</f>
        <v>#N/A</v>
      </c>
      <c r="F115" s="110" t="e">
        <f>VLOOKUP(A115,'OEE REA'!A:AO,11,FALSE)</f>
        <v>#N/A</v>
      </c>
      <c r="G115" s="111" t="str">
        <f t="shared" si="12"/>
        <v/>
      </c>
      <c r="H115" s="110" t="e">
        <f>VLOOKUP(A115,'OEE REA'!A:AO,14,FALSE)</f>
        <v>#N/A</v>
      </c>
      <c r="I115" s="106"/>
      <c r="J115" s="99"/>
      <c r="K115" s="99"/>
      <c r="L115" s="107"/>
      <c r="M115" s="112" t="str">
        <f t="shared" si="14"/>
        <v/>
      </c>
      <c r="N115" s="103" t="str">
        <f t="shared" si="15"/>
        <v/>
      </c>
      <c r="O115" s="103">
        <f>IFERROR('OEE REA'!J626*'SPEED FACTOR REA'!L115,"")</f>
        <v>0</v>
      </c>
      <c r="P115" s="250" t="str">
        <f t="shared" si="16"/>
        <v/>
      </c>
      <c r="R115" s="70" t="e">
        <f t="shared" si="13"/>
        <v>#VALUE!</v>
      </c>
    </row>
    <row r="116" spans="1:18" ht="20.25" x14ac:dyDescent="0.25">
      <c r="A116" s="246">
        <f>+'OEE REA'!A627</f>
        <v>0</v>
      </c>
      <c r="B116" s="99">
        <f t="shared" si="17"/>
        <v>0</v>
      </c>
      <c r="C116" s="113">
        <f>+'OEE REA'!D627</f>
        <v>0</v>
      </c>
      <c r="D116" s="242" t="s">
        <v>1918</v>
      </c>
      <c r="E116" s="109" t="e">
        <f>VLOOKUP(A116,'OEE REA'!A:AO,13,FALSE)</f>
        <v>#N/A</v>
      </c>
      <c r="F116" s="110" t="e">
        <f>VLOOKUP(A116,'OEE REA'!A:AO,11,FALSE)</f>
        <v>#N/A</v>
      </c>
      <c r="G116" s="111" t="str">
        <f t="shared" si="12"/>
        <v/>
      </c>
      <c r="H116" s="110" t="e">
        <f>VLOOKUP(A116,'OEE REA'!A:AO,14,FALSE)</f>
        <v>#N/A</v>
      </c>
      <c r="I116" s="106"/>
      <c r="J116" s="99"/>
      <c r="K116" s="99"/>
      <c r="L116" s="107"/>
      <c r="M116" s="112" t="str">
        <f t="shared" si="14"/>
        <v/>
      </c>
      <c r="N116" s="103" t="str">
        <f t="shared" si="15"/>
        <v/>
      </c>
      <c r="O116" s="103">
        <f>IFERROR('OEE REA'!J627*'SPEED FACTOR REA'!L116,"")</f>
        <v>0</v>
      </c>
      <c r="P116" s="250" t="str">
        <f t="shared" si="16"/>
        <v/>
      </c>
      <c r="R116" s="70" t="e">
        <f>G116/O116</f>
        <v>#VALUE!</v>
      </c>
    </row>
    <row r="117" spans="1:18" ht="20.25" x14ac:dyDescent="0.25">
      <c r="A117" s="246">
        <f>+'OEE REA'!A628</f>
        <v>0</v>
      </c>
      <c r="B117" s="99">
        <f t="shared" si="17"/>
        <v>0</v>
      </c>
      <c r="C117" s="113">
        <f>+'OEE REA'!D628</f>
        <v>0</v>
      </c>
      <c r="D117" s="242" t="s">
        <v>1919</v>
      </c>
      <c r="E117" s="109" t="e">
        <f>VLOOKUP(A117,'OEE REA'!A:AO,13,FALSE)</f>
        <v>#N/A</v>
      </c>
      <c r="F117" s="110" t="e">
        <f>VLOOKUP(A117,'OEE REA'!A:AO,11,FALSE)</f>
        <v>#N/A</v>
      </c>
      <c r="G117" s="111" t="str">
        <f t="shared" si="12"/>
        <v/>
      </c>
      <c r="H117" s="110" t="e">
        <f>VLOOKUP(A117,'OEE REA'!A:AO,14,FALSE)</f>
        <v>#N/A</v>
      </c>
      <c r="I117" s="106"/>
      <c r="J117" s="99"/>
      <c r="K117" s="99"/>
      <c r="L117" s="107"/>
      <c r="M117" s="112" t="str">
        <f t="shared" si="14"/>
        <v/>
      </c>
      <c r="N117" s="103" t="str">
        <f t="shared" si="15"/>
        <v/>
      </c>
      <c r="O117" s="103">
        <f>IFERROR('OEE REA'!J628*'SPEED FACTOR REA'!L117,"")</f>
        <v>0</v>
      </c>
      <c r="P117" s="250" t="str">
        <f t="shared" si="16"/>
        <v/>
      </c>
      <c r="R117" s="70" t="e">
        <f t="shared" si="13"/>
        <v>#VALUE!</v>
      </c>
    </row>
    <row r="118" spans="1:18" ht="20.25" x14ac:dyDescent="0.25">
      <c r="A118" s="246">
        <f>+'OEE REA'!A629</f>
        <v>0</v>
      </c>
      <c r="B118" s="99">
        <f t="shared" si="17"/>
        <v>0</v>
      </c>
      <c r="C118" s="113">
        <f>+'OEE REA'!D629</f>
        <v>0</v>
      </c>
      <c r="D118" s="242" t="s">
        <v>1920</v>
      </c>
      <c r="E118" s="109" t="e">
        <f>VLOOKUP(A118,'OEE REA'!A:AO,13,FALSE)</f>
        <v>#N/A</v>
      </c>
      <c r="F118" s="110" t="e">
        <f>VLOOKUP(A118,'OEE REA'!A:AO,11,FALSE)</f>
        <v>#N/A</v>
      </c>
      <c r="G118" s="111" t="str">
        <f t="shared" si="12"/>
        <v/>
      </c>
      <c r="H118" s="110" t="e">
        <f>VLOOKUP(A118,'OEE REA'!A:AO,14,FALSE)</f>
        <v>#N/A</v>
      </c>
      <c r="I118" s="106"/>
      <c r="J118" s="99"/>
      <c r="K118" s="99"/>
      <c r="L118" s="107"/>
      <c r="M118" s="112" t="str">
        <f t="shared" si="14"/>
        <v/>
      </c>
      <c r="N118" s="103" t="str">
        <f t="shared" si="15"/>
        <v/>
      </c>
      <c r="O118" s="103">
        <f>IFERROR('OEE REA'!J629*'SPEED FACTOR REA'!L118,"")</f>
        <v>0</v>
      </c>
      <c r="P118" s="250" t="str">
        <f t="shared" si="16"/>
        <v/>
      </c>
      <c r="R118" s="70" t="e">
        <f t="shared" si="13"/>
        <v>#VALUE!</v>
      </c>
    </row>
    <row r="119" spans="1:18" ht="20.25" x14ac:dyDescent="0.25">
      <c r="A119" s="246">
        <f>+'OEE REA'!A630</f>
        <v>0</v>
      </c>
      <c r="B119" s="99">
        <f t="shared" si="17"/>
        <v>0</v>
      </c>
      <c r="C119" s="113">
        <f>+'OEE REA'!D630</f>
        <v>0</v>
      </c>
      <c r="D119" s="242" t="s">
        <v>1921</v>
      </c>
      <c r="E119" s="109" t="e">
        <f>VLOOKUP(A119,'OEE REA'!A:AO,13,FALSE)</f>
        <v>#N/A</v>
      </c>
      <c r="F119" s="110" t="e">
        <f>VLOOKUP(A119,'OEE REA'!A:AO,11,FALSE)</f>
        <v>#N/A</v>
      </c>
      <c r="G119" s="111" t="str">
        <f t="shared" si="12"/>
        <v/>
      </c>
      <c r="H119" s="110" t="e">
        <f>VLOOKUP(A119,'OEE REA'!A:AO,14,FALSE)</f>
        <v>#N/A</v>
      </c>
      <c r="I119" s="106"/>
      <c r="J119" s="99"/>
      <c r="K119" s="99"/>
      <c r="L119" s="107"/>
      <c r="M119" s="112" t="str">
        <f t="shared" si="14"/>
        <v/>
      </c>
      <c r="N119" s="103" t="str">
        <f t="shared" si="15"/>
        <v/>
      </c>
      <c r="O119" s="103">
        <f>IFERROR('OEE REA'!J630*'SPEED FACTOR REA'!L119,"")</f>
        <v>0</v>
      </c>
      <c r="P119" s="250" t="str">
        <f t="shared" si="16"/>
        <v/>
      </c>
      <c r="R119" s="70" t="e">
        <f t="shared" si="13"/>
        <v>#VALUE!</v>
      </c>
    </row>
    <row r="120" spans="1:18" ht="20.25" x14ac:dyDescent="0.25">
      <c r="A120" s="246">
        <f>+'OEE REA'!A631</f>
        <v>0</v>
      </c>
      <c r="B120" s="99">
        <f t="shared" si="17"/>
        <v>0</v>
      </c>
      <c r="C120" s="113">
        <f>+'OEE REA'!D631</f>
        <v>0</v>
      </c>
      <c r="D120" s="242" t="s">
        <v>1922</v>
      </c>
      <c r="E120" s="109" t="e">
        <f>VLOOKUP(A120,'OEE REA'!A:AO,13,FALSE)</f>
        <v>#N/A</v>
      </c>
      <c r="F120" s="110" t="e">
        <f>VLOOKUP(A120,'OEE REA'!A:AO,11,FALSE)</f>
        <v>#N/A</v>
      </c>
      <c r="G120" s="111" t="str">
        <f t="shared" si="12"/>
        <v/>
      </c>
      <c r="H120" s="110" t="e">
        <f>VLOOKUP(A120,'OEE REA'!A:AO,14,FALSE)</f>
        <v>#N/A</v>
      </c>
      <c r="I120" s="106"/>
      <c r="J120" s="99"/>
      <c r="K120" s="99"/>
      <c r="L120" s="107"/>
      <c r="M120" s="112" t="str">
        <f t="shared" si="14"/>
        <v/>
      </c>
      <c r="N120" s="103" t="str">
        <f t="shared" si="15"/>
        <v/>
      </c>
      <c r="O120" s="103">
        <f>IFERROR('OEE REA'!J631*'SPEED FACTOR REA'!L120,"")</f>
        <v>0</v>
      </c>
      <c r="P120" s="250" t="str">
        <f t="shared" si="16"/>
        <v/>
      </c>
      <c r="R120" s="70" t="e">
        <f t="shared" si="13"/>
        <v>#VALUE!</v>
      </c>
    </row>
    <row r="121" spans="1:18" ht="20.25" x14ac:dyDescent="0.25">
      <c r="A121" s="246">
        <f>+'OEE REA'!A632</f>
        <v>0</v>
      </c>
      <c r="B121" s="99">
        <f t="shared" si="17"/>
        <v>0</v>
      </c>
      <c r="C121" s="113">
        <f>+'OEE REA'!D632</f>
        <v>0</v>
      </c>
      <c r="D121" s="242" t="s">
        <v>1923</v>
      </c>
      <c r="E121" s="109" t="e">
        <f>VLOOKUP(A121,'OEE REA'!A:AO,13,FALSE)</f>
        <v>#N/A</v>
      </c>
      <c r="F121" s="110" t="e">
        <f>VLOOKUP(A121,'OEE REA'!A:AO,11,FALSE)</f>
        <v>#N/A</v>
      </c>
      <c r="G121" s="111" t="str">
        <f t="shared" si="12"/>
        <v/>
      </c>
      <c r="H121" s="110" t="e">
        <f>VLOOKUP(A121,'OEE REA'!A:AO,14,FALSE)</f>
        <v>#N/A</v>
      </c>
      <c r="I121" s="106"/>
      <c r="J121" s="99"/>
      <c r="K121" s="99"/>
      <c r="L121" s="107"/>
      <c r="M121" s="112" t="str">
        <f t="shared" si="14"/>
        <v/>
      </c>
      <c r="N121" s="103" t="str">
        <f t="shared" si="15"/>
        <v/>
      </c>
      <c r="O121" s="103">
        <f>IFERROR('OEE REA'!J632*'SPEED FACTOR REA'!L121,"")</f>
        <v>0</v>
      </c>
      <c r="P121" s="250" t="str">
        <f t="shared" si="16"/>
        <v/>
      </c>
      <c r="R121" s="70" t="e">
        <f t="shared" si="13"/>
        <v>#VALUE!</v>
      </c>
    </row>
    <row r="122" spans="1:18" ht="20.25" x14ac:dyDescent="0.25">
      <c r="A122" s="246">
        <f>+'OEE REA'!A633</f>
        <v>0</v>
      </c>
      <c r="B122" s="99">
        <f t="shared" si="17"/>
        <v>0</v>
      </c>
      <c r="C122" s="113">
        <f>+'OEE REA'!D633</f>
        <v>0</v>
      </c>
      <c r="D122" s="242" t="s">
        <v>1924</v>
      </c>
      <c r="E122" s="109" t="e">
        <f>VLOOKUP(A122,'OEE REA'!A:AO,13,FALSE)</f>
        <v>#N/A</v>
      </c>
      <c r="F122" s="110" t="e">
        <f>VLOOKUP(A122,'OEE REA'!A:AO,11,FALSE)</f>
        <v>#N/A</v>
      </c>
      <c r="G122" s="111" t="str">
        <f t="shared" si="12"/>
        <v/>
      </c>
      <c r="H122" s="110" t="e">
        <f>VLOOKUP(A122,'OEE REA'!A:AO,14,FALSE)</f>
        <v>#N/A</v>
      </c>
      <c r="I122" s="106"/>
      <c r="J122" s="99"/>
      <c r="K122" s="99"/>
      <c r="L122" s="107"/>
      <c r="M122" s="112" t="str">
        <f t="shared" si="14"/>
        <v/>
      </c>
      <c r="N122" s="103" t="str">
        <f t="shared" si="15"/>
        <v/>
      </c>
      <c r="O122" s="103">
        <f>IFERROR('OEE REA'!J633*'SPEED FACTOR REA'!L122,"")</f>
        <v>0</v>
      </c>
      <c r="P122" s="250" t="str">
        <f t="shared" si="16"/>
        <v/>
      </c>
      <c r="R122" s="70" t="e">
        <f t="shared" si="13"/>
        <v>#VALUE!</v>
      </c>
    </row>
    <row r="123" spans="1:18" ht="20.25" x14ac:dyDescent="0.25">
      <c r="A123" s="246">
        <f>+'OEE REA'!A634</f>
        <v>0</v>
      </c>
      <c r="B123" s="99">
        <f t="shared" si="17"/>
        <v>0</v>
      </c>
      <c r="C123" s="113">
        <f>+'OEE REA'!D634</f>
        <v>0</v>
      </c>
      <c r="D123" s="242" t="s">
        <v>1925</v>
      </c>
      <c r="E123" s="109" t="e">
        <f>VLOOKUP(A123,'OEE REA'!A:AO,13,FALSE)</f>
        <v>#N/A</v>
      </c>
      <c r="F123" s="110" t="e">
        <f>VLOOKUP(A123,'OEE REA'!A:AO,11,FALSE)</f>
        <v>#N/A</v>
      </c>
      <c r="G123" s="111" t="str">
        <f t="shared" si="12"/>
        <v/>
      </c>
      <c r="H123" s="110" t="e">
        <f>VLOOKUP(A123,'OEE REA'!A:AO,14,FALSE)</f>
        <v>#N/A</v>
      </c>
      <c r="I123" s="106"/>
      <c r="J123" s="99"/>
      <c r="K123" s="99"/>
      <c r="L123" s="107"/>
      <c r="M123" s="112" t="str">
        <f t="shared" si="14"/>
        <v/>
      </c>
      <c r="N123" s="103" t="str">
        <f t="shared" si="15"/>
        <v/>
      </c>
      <c r="O123" s="103">
        <f>IFERROR('OEE REA'!J634*'SPEED FACTOR REA'!L123,"")</f>
        <v>0</v>
      </c>
      <c r="P123" s="250" t="str">
        <f t="shared" si="16"/>
        <v/>
      </c>
      <c r="R123" s="70" t="e">
        <f t="shared" si="13"/>
        <v>#VALUE!</v>
      </c>
    </row>
    <row r="124" spans="1:18" ht="20.25" x14ac:dyDescent="0.25">
      <c r="A124" s="246">
        <f>+'OEE REA'!A635</f>
        <v>0</v>
      </c>
      <c r="B124" s="99">
        <f t="shared" si="17"/>
        <v>0</v>
      </c>
      <c r="C124" s="113">
        <f>+'OEE REA'!D635</f>
        <v>0</v>
      </c>
      <c r="D124" s="242" t="s">
        <v>1926</v>
      </c>
      <c r="E124" s="109" t="e">
        <f>VLOOKUP(A124,'OEE REA'!A:AO,13,FALSE)</f>
        <v>#N/A</v>
      </c>
      <c r="F124" s="110" t="e">
        <f>VLOOKUP(A124,'OEE REA'!A:AO,11,FALSE)</f>
        <v>#N/A</v>
      </c>
      <c r="G124" s="111" t="str">
        <f t="shared" si="12"/>
        <v/>
      </c>
      <c r="H124" s="110" t="e">
        <f>VLOOKUP(A124,'OEE REA'!A:AO,14,FALSE)</f>
        <v>#N/A</v>
      </c>
      <c r="I124" s="106"/>
      <c r="J124" s="99"/>
      <c r="K124" s="99"/>
      <c r="L124" s="107"/>
      <c r="M124" s="112" t="str">
        <f t="shared" si="14"/>
        <v/>
      </c>
      <c r="N124" s="103" t="str">
        <f t="shared" si="15"/>
        <v/>
      </c>
      <c r="O124" s="103">
        <f>IFERROR('OEE REA'!J635*'SPEED FACTOR REA'!L124,"")</f>
        <v>0</v>
      </c>
      <c r="P124" s="250" t="str">
        <f t="shared" si="16"/>
        <v/>
      </c>
      <c r="R124" s="70" t="e">
        <f t="shared" si="13"/>
        <v>#VALUE!</v>
      </c>
    </row>
    <row r="125" spans="1:18" ht="20.25" x14ac:dyDescent="0.25">
      <c r="A125" s="246">
        <f>+'OEE REA'!A636</f>
        <v>0</v>
      </c>
      <c r="B125" s="99">
        <f t="shared" si="17"/>
        <v>0</v>
      </c>
      <c r="C125" s="113">
        <f>+'OEE REA'!D636</f>
        <v>0</v>
      </c>
      <c r="D125" s="242" t="s">
        <v>1927</v>
      </c>
      <c r="E125" s="109" t="e">
        <f>VLOOKUP(A125,'OEE REA'!A:AO,13,FALSE)</f>
        <v>#N/A</v>
      </c>
      <c r="F125" s="110" t="e">
        <f>VLOOKUP(A125,'OEE REA'!A:AO,11,FALSE)</f>
        <v>#N/A</v>
      </c>
      <c r="G125" s="111" t="str">
        <f t="shared" si="12"/>
        <v/>
      </c>
      <c r="H125" s="110" t="e">
        <f>VLOOKUP(A125,'OEE REA'!A:AO,14,FALSE)</f>
        <v>#N/A</v>
      </c>
      <c r="I125" s="106"/>
      <c r="J125" s="99"/>
      <c r="K125" s="99"/>
      <c r="L125" s="107"/>
      <c r="M125" s="112" t="str">
        <f t="shared" si="14"/>
        <v/>
      </c>
      <c r="N125" s="103" t="str">
        <f t="shared" si="15"/>
        <v/>
      </c>
      <c r="O125" s="103">
        <f>IFERROR('OEE REA'!J636*'SPEED FACTOR REA'!L125,"")</f>
        <v>0</v>
      </c>
      <c r="P125" s="250" t="str">
        <f t="shared" si="16"/>
        <v/>
      </c>
      <c r="R125" s="70" t="e">
        <f t="shared" si="13"/>
        <v>#VALUE!</v>
      </c>
    </row>
    <row r="126" spans="1:18" ht="20.25" x14ac:dyDescent="0.25">
      <c r="A126" s="246">
        <f>+'OEE REA'!A637</f>
        <v>0</v>
      </c>
      <c r="B126" s="99">
        <f t="shared" si="17"/>
        <v>0</v>
      </c>
      <c r="C126" s="113">
        <f>+'OEE REA'!D637</f>
        <v>0</v>
      </c>
      <c r="D126" s="242" t="s">
        <v>1928</v>
      </c>
      <c r="E126" s="109" t="e">
        <f>VLOOKUP(A126,'OEE REA'!A:AO,13,FALSE)</f>
        <v>#N/A</v>
      </c>
      <c r="F126" s="110" t="e">
        <f>VLOOKUP(A126,'OEE REA'!A:AO,11,FALSE)</f>
        <v>#N/A</v>
      </c>
      <c r="G126" s="111" t="str">
        <f t="shared" si="12"/>
        <v/>
      </c>
      <c r="H126" s="110" t="e">
        <f>VLOOKUP(A126,'OEE REA'!A:AO,14,FALSE)</f>
        <v>#N/A</v>
      </c>
      <c r="I126" s="106"/>
      <c r="J126" s="99"/>
      <c r="K126" s="99"/>
      <c r="L126" s="107"/>
      <c r="M126" s="112" t="str">
        <f t="shared" si="14"/>
        <v/>
      </c>
      <c r="N126" s="103" t="str">
        <f t="shared" si="15"/>
        <v/>
      </c>
      <c r="O126" s="103">
        <f>IFERROR('OEE REA'!J637*'SPEED FACTOR REA'!L126,"")</f>
        <v>0</v>
      </c>
      <c r="P126" s="250" t="str">
        <f t="shared" si="16"/>
        <v/>
      </c>
      <c r="R126" s="70" t="e">
        <f t="shared" si="13"/>
        <v>#VALUE!</v>
      </c>
    </row>
    <row r="127" spans="1:18" ht="20.25" x14ac:dyDescent="0.25">
      <c r="A127" s="246">
        <f>+'OEE REA'!A638</f>
        <v>0</v>
      </c>
      <c r="B127" s="99">
        <f t="shared" si="17"/>
        <v>0</v>
      </c>
      <c r="C127" s="113">
        <f>+'OEE REA'!D638</f>
        <v>0</v>
      </c>
      <c r="D127" s="242" t="s">
        <v>1929</v>
      </c>
      <c r="E127" s="109" t="e">
        <f>VLOOKUP(A127,'OEE REA'!A:AO,13,FALSE)</f>
        <v>#N/A</v>
      </c>
      <c r="F127" s="110" t="e">
        <f>VLOOKUP(A127,'OEE REA'!A:AO,11,FALSE)</f>
        <v>#N/A</v>
      </c>
      <c r="G127" s="111" t="str">
        <f t="shared" si="12"/>
        <v/>
      </c>
      <c r="H127" s="110" t="e">
        <f>VLOOKUP(A127,'OEE REA'!A:AO,14,FALSE)</f>
        <v>#N/A</v>
      </c>
      <c r="I127" s="106"/>
      <c r="J127" s="99"/>
      <c r="K127" s="99"/>
      <c r="L127" s="107"/>
      <c r="M127" s="112" t="str">
        <f t="shared" si="14"/>
        <v/>
      </c>
      <c r="N127" s="103" t="str">
        <f t="shared" si="15"/>
        <v/>
      </c>
      <c r="O127" s="103">
        <f>IFERROR('OEE REA'!J638*'SPEED FACTOR REA'!L127,"")</f>
        <v>0</v>
      </c>
      <c r="P127" s="250" t="str">
        <f t="shared" si="16"/>
        <v/>
      </c>
      <c r="R127" s="70" t="e">
        <f t="shared" si="13"/>
        <v>#VALUE!</v>
      </c>
    </row>
    <row r="128" spans="1:18" ht="20.25" x14ac:dyDescent="0.25">
      <c r="A128" s="246">
        <f>+'OEE REA'!A639</f>
        <v>0</v>
      </c>
      <c r="B128" s="99">
        <f t="shared" si="17"/>
        <v>0</v>
      </c>
      <c r="C128" s="113">
        <f>+'OEE REA'!D639</f>
        <v>0</v>
      </c>
      <c r="D128" s="242" t="s">
        <v>1930</v>
      </c>
      <c r="E128" s="109" t="e">
        <f>VLOOKUP(A128,'OEE REA'!A:AO,13,FALSE)</f>
        <v>#N/A</v>
      </c>
      <c r="F128" s="110" t="e">
        <f>VLOOKUP(A128,'OEE REA'!A:AO,11,FALSE)</f>
        <v>#N/A</v>
      </c>
      <c r="G128" s="111" t="str">
        <f t="shared" si="12"/>
        <v/>
      </c>
      <c r="H128" s="110" t="e">
        <f>VLOOKUP(A128,'OEE REA'!A:AO,14,FALSE)</f>
        <v>#N/A</v>
      </c>
      <c r="I128" s="106"/>
      <c r="J128" s="99"/>
      <c r="K128" s="99"/>
      <c r="L128" s="107"/>
      <c r="M128" s="112" t="str">
        <f t="shared" si="14"/>
        <v/>
      </c>
      <c r="N128" s="103" t="str">
        <f t="shared" si="15"/>
        <v/>
      </c>
      <c r="O128" s="103">
        <f>IFERROR('OEE REA'!J639*'SPEED FACTOR REA'!L128,"")</f>
        <v>0</v>
      </c>
      <c r="P128" s="250" t="str">
        <f t="shared" si="16"/>
        <v/>
      </c>
      <c r="R128" s="70" t="e">
        <f t="shared" si="13"/>
        <v>#VALUE!</v>
      </c>
    </row>
    <row r="129" spans="1:18" ht="20.25" x14ac:dyDescent="0.25">
      <c r="A129" s="246">
        <f>+'OEE REA'!A640</f>
        <v>0</v>
      </c>
      <c r="B129" s="99">
        <f t="shared" si="17"/>
        <v>0</v>
      </c>
      <c r="C129" s="113">
        <f>+'OEE REA'!D640</f>
        <v>0</v>
      </c>
      <c r="D129" s="242" t="s">
        <v>1931</v>
      </c>
      <c r="E129" s="109" t="e">
        <f>VLOOKUP(A129,'OEE REA'!A:AO,13,FALSE)</f>
        <v>#N/A</v>
      </c>
      <c r="F129" s="110" t="e">
        <f>VLOOKUP(A129,'OEE REA'!A:AO,11,FALSE)</f>
        <v>#N/A</v>
      </c>
      <c r="G129" s="111" t="str">
        <f t="shared" si="12"/>
        <v/>
      </c>
      <c r="H129" s="110" t="e">
        <f>VLOOKUP(A129,'OEE REA'!A:AO,14,FALSE)</f>
        <v>#N/A</v>
      </c>
      <c r="I129" s="106"/>
      <c r="J129" s="99"/>
      <c r="K129" s="99"/>
      <c r="L129" s="107"/>
      <c r="M129" s="112" t="str">
        <f t="shared" si="14"/>
        <v/>
      </c>
      <c r="N129" s="103" t="str">
        <f t="shared" si="15"/>
        <v/>
      </c>
      <c r="O129" s="103">
        <f>IFERROR('OEE REA'!J640*'SPEED FACTOR REA'!L129,"")</f>
        <v>0</v>
      </c>
      <c r="P129" s="250" t="str">
        <f t="shared" si="16"/>
        <v/>
      </c>
      <c r="R129" s="70" t="e">
        <f t="shared" si="13"/>
        <v>#VALUE!</v>
      </c>
    </row>
    <row r="130" spans="1:18" ht="20.25" x14ac:dyDescent="0.25">
      <c r="A130" s="246">
        <f>+'OEE REA'!A641</f>
        <v>0</v>
      </c>
      <c r="B130" s="99">
        <f t="shared" si="17"/>
        <v>0</v>
      </c>
      <c r="C130" s="113">
        <f>+'OEE REA'!D641</f>
        <v>0</v>
      </c>
      <c r="D130" s="242" t="s">
        <v>1932</v>
      </c>
      <c r="E130" s="109" t="e">
        <f>VLOOKUP(A130,'OEE REA'!A:AO,13,FALSE)</f>
        <v>#N/A</v>
      </c>
      <c r="F130" s="110" t="e">
        <f>VLOOKUP(A130,'OEE REA'!A:AO,11,FALSE)</f>
        <v>#N/A</v>
      </c>
      <c r="G130" s="111" t="str">
        <f t="shared" si="12"/>
        <v/>
      </c>
      <c r="H130" s="110" t="e">
        <f>VLOOKUP(A130,'OEE REA'!A:AO,14,FALSE)</f>
        <v>#N/A</v>
      </c>
      <c r="I130" s="106"/>
      <c r="J130" s="99"/>
      <c r="K130" s="99"/>
      <c r="L130" s="107"/>
      <c r="M130" s="112" t="str">
        <f t="shared" si="14"/>
        <v/>
      </c>
      <c r="N130" s="103" t="str">
        <f t="shared" si="15"/>
        <v/>
      </c>
      <c r="O130" s="103">
        <f>IFERROR('OEE REA'!J641*'SPEED FACTOR REA'!L130,"")</f>
        <v>0</v>
      </c>
      <c r="P130" s="250" t="str">
        <f t="shared" si="16"/>
        <v/>
      </c>
      <c r="R130" s="70" t="e">
        <f t="shared" si="13"/>
        <v>#VALUE!</v>
      </c>
    </row>
    <row r="131" spans="1:18" ht="20.25" x14ac:dyDescent="0.25">
      <c r="A131" s="246">
        <f>+'OEE REA'!A642</f>
        <v>0</v>
      </c>
      <c r="B131" s="99">
        <f t="shared" si="17"/>
        <v>0</v>
      </c>
      <c r="C131" s="113">
        <f>+'OEE REA'!D642</f>
        <v>0</v>
      </c>
      <c r="D131" s="242" t="s">
        <v>1933</v>
      </c>
      <c r="E131" s="109" t="e">
        <f>VLOOKUP(A131,'OEE REA'!A:AO,13,FALSE)</f>
        <v>#N/A</v>
      </c>
      <c r="F131" s="110" t="e">
        <f>VLOOKUP(A131,'OEE REA'!A:AO,11,FALSE)</f>
        <v>#N/A</v>
      </c>
      <c r="G131" s="111" t="str">
        <f t="shared" ref="G131:G190" si="18">IFERROR(E131/H131*60,"")</f>
        <v/>
      </c>
      <c r="H131" s="110" t="e">
        <f>VLOOKUP(A131,'OEE REA'!A:AO,14,FALSE)</f>
        <v>#N/A</v>
      </c>
      <c r="I131" s="106"/>
      <c r="J131" s="99"/>
      <c r="K131" s="99"/>
      <c r="L131" s="107"/>
      <c r="M131" s="112" t="str">
        <f t="shared" si="14"/>
        <v/>
      </c>
      <c r="N131" s="103" t="str">
        <f t="shared" si="15"/>
        <v/>
      </c>
      <c r="O131" s="103">
        <f>IFERROR('OEE REA'!J642*'SPEED FACTOR REA'!L131,"")</f>
        <v>0</v>
      </c>
      <c r="P131" s="250" t="str">
        <f t="shared" si="16"/>
        <v/>
      </c>
      <c r="R131" s="70" t="e">
        <f t="shared" si="13"/>
        <v>#VALUE!</v>
      </c>
    </row>
    <row r="132" spans="1:18" ht="20.25" x14ac:dyDescent="0.25">
      <c r="A132" s="246">
        <f>+'OEE REA'!A643</f>
        <v>0</v>
      </c>
      <c r="B132" s="99">
        <f t="shared" si="17"/>
        <v>0</v>
      </c>
      <c r="C132" s="113">
        <f>+'OEE REA'!D643</f>
        <v>0</v>
      </c>
      <c r="D132" s="242" t="s">
        <v>1934</v>
      </c>
      <c r="E132" s="109" t="e">
        <f>VLOOKUP(A132,'OEE REA'!A:AO,13,FALSE)</f>
        <v>#N/A</v>
      </c>
      <c r="F132" s="110" t="e">
        <f>VLOOKUP(A132,'OEE REA'!A:AO,11,FALSE)</f>
        <v>#N/A</v>
      </c>
      <c r="G132" s="111" t="str">
        <f t="shared" si="18"/>
        <v/>
      </c>
      <c r="H132" s="110" t="e">
        <f>VLOOKUP(A132,'OEE REA'!A:AO,14,FALSE)</f>
        <v>#N/A</v>
      </c>
      <c r="I132" s="106"/>
      <c r="J132" s="99"/>
      <c r="K132" s="99"/>
      <c r="L132" s="107"/>
      <c r="M132" s="112" t="str">
        <f t="shared" si="14"/>
        <v/>
      </c>
      <c r="N132" s="103" t="str">
        <f t="shared" si="15"/>
        <v/>
      </c>
      <c r="O132" s="103">
        <f>IFERROR('OEE REA'!J643*'SPEED FACTOR REA'!L132,"")</f>
        <v>0</v>
      </c>
      <c r="P132" s="250" t="str">
        <f t="shared" si="16"/>
        <v/>
      </c>
      <c r="R132" s="70" t="e">
        <f t="shared" ref="R132:R194" si="19">G132/O132</f>
        <v>#VALUE!</v>
      </c>
    </row>
    <row r="133" spans="1:18" ht="20.25" x14ac:dyDescent="0.25">
      <c r="A133" s="246">
        <f>+'OEE REA'!A644</f>
        <v>0</v>
      </c>
      <c r="B133" s="99">
        <f t="shared" si="17"/>
        <v>0</v>
      </c>
      <c r="C133" s="113">
        <f>+'OEE REA'!D644</f>
        <v>0</v>
      </c>
      <c r="D133" s="242" t="s">
        <v>1935</v>
      </c>
      <c r="E133" s="109" t="e">
        <f>VLOOKUP(A133,'OEE REA'!A:AO,13,FALSE)</f>
        <v>#N/A</v>
      </c>
      <c r="F133" s="110" t="e">
        <f>VLOOKUP(A133,'OEE REA'!A:AO,11,FALSE)</f>
        <v>#N/A</v>
      </c>
      <c r="G133" s="111" t="str">
        <f t="shared" si="18"/>
        <v/>
      </c>
      <c r="H133" s="110" t="e">
        <f>VLOOKUP(A133,'OEE REA'!A:AO,14,FALSE)</f>
        <v>#N/A</v>
      </c>
      <c r="I133" s="106"/>
      <c r="J133" s="99"/>
      <c r="K133" s="99"/>
      <c r="L133" s="107"/>
      <c r="M133" s="112" t="str">
        <f t="shared" si="14"/>
        <v/>
      </c>
      <c r="N133" s="103" t="str">
        <f t="shared" si="15"/>
        <v/>
      </c>
      <c r="O133" s="103">
        <f>IFERROR('OEE REA'!J644*'SPEED FACTOR REA'!L133,"")</f>
        <v>0</v>
      </c>
      <c r="P133" s="250" t="str">
        <f t="shared" si="16"/>
        <v/>
      </c>
      <c r="R133" s="70" t="e">
        <f t="shared" si="19"/>
        <v>#VALUE!</v>
      </c>
    </row>
    <row r="134" spans="1:18" ht="20.25" x14ac:dyDescent="0.25">
      <c r="A134" s="246">
        <f>+'OEE REA'!A645</f>
        <v>0</v>
      </c>
      <c r="B134" s="99">
        <f t="shared" si="17"/>
        <v>0</v>
      </c>
      <c r="C134" s="113">
        <f>+'OEE REA'!D645</f>
        <v>0</v>
      </c>
      <c r="D134" s="242" t="s">
        <v>1936</v>
      </c>
      <c r="E134" s="109" t="e">
        <f>VLOOKUP(A134,'OEE REA'!A:AO,13,FALSE)</f>
        <v>#N/A</v>
      </c>
      <c r="F134" s="110" t="e">
        <f>VLOOKUP(A134,'OEE REA'!A:AO,11,FALSE)</f>
        <v>#N/A</v>
      </c>
      <c r="G134" s="111" t="str">
        <f t="shared" si="18"/>
        <v/>
      </c>
      <c r="H134" s="110" t="e">
        <f>VLOOKUP(A134,'OEE REA'!A:AO,14,FALSE)</f>
        <v>#N/A</v>
      </c>
      <c r="I134" s="106"/>
      <c r="J134" s="99"/>
      <c r="K134" s="99"/>
      <c r="L134" s="107"/>
      <c r="M134" s="112" t="str">
        <f t="shared" si="14"/>
        <v/>
      </c>
      <c r="N134" s="103" t="str">
        <f t="shared" si="15"/>
        <v/>
      </c>
      <c r="O134" s="103">
        <f>IFERROR('OEE REA'!J645*'SPEED FACTOR REA'!L134,"")</f>
        <v>0</v>
      </c>
      <c r="P134" s="250" t="str">
        <f t="shared" si="16"/>
        <v/>
      </c>
      <c r="R134" s="70" t="e">
        <f t="shared" si="19"/>
        <v>#VALUE!</v>
      </c>
    </row>
    <row r="135" spans="1:18" ht="20.25" x14ac:dyDescent="0.25">
      <c r="A135" s="246">
        <f>+'OEE REA'!A646</f>
        <v>0</v>
      </c>
      <c r="B135" s="99">
        <f t="shared" si="17"/>
        <v>0</v>
      </c>
      <c r="C135" s="113">
        <f>+'OEE REA'!D646</f>
        <v>0</v>
      </c>
      <c r="D135" s="242" t="s">
        <v>1937</v>
      </c>
      <c r="E135" s="109" t="e">
        <f>VLOOKUP(A135,'OEE REA'!A:AO,13,FALSE)</f>
        <v>#N/A</v>
      </c>
      <c r="F135" s="110" t="e">
        <f>VLOOKUP(A135,'OEE REA'!A:AO,11,FALSE)</f>
        <v>#N/A</v>
      </c>
      <c r="G135" s="111" t="str">
        <f t="shared" si="18"/>
        <v/>
      </c>
      <c r="H135" s="110" t="e">
        <f>VLOOKUP(A135,'OEE REA'!A:AO,14,FALSE)</f>
        <v>#N/A</v>
      </c>
      <c r="I135" s="106"/>
      <c r="J135" s="99"/>
      <c r="K135" s="99"/>
      <c r="L135" s="107"/>
      <c r="M135" s="112" t="str">
        <f t="shared" si="14"/>
        <v/>
      </c>
      <c r="N135" s="103" t="str">
        <f t="shared" si="15"/>
        <v/>
      </c>
      <c r="O135" s="103">
        <f>IFERROR('OEE REA'!J646*'SPEED FACTOR REA'!L135,"")</f>
        <v>0</v>
      </c>
      <c r="P135" s="250" t="str">
        <f t="shared" si="16"/>
        <v/>
      </c>
      <c r="R135" s="70" t="e">
        <f t="shared" si="19"/>
        <v>#VALUE!</v>
      </c>
    </row>
    <row r="136" spans="1:18" ht="20.25" x14ac:dyDescent="0.25">
      <c r="A136" s="246">
        <f>+'OEE REA'!A647</f>
        <v>0</v>
      </c>
      <c r="B136" s="99">
        <f t="shared" si="17"/>
        <v>0</v>
      </c>
      <c r="C136" s="113">
        <f>+'OEE REA'!D647</f>
        <v>0</v>
      </c>
      <c r="D136" s="242" t="s">
        <v>1938</v>
      </c>
      <c r="E136" s="109" t="e">
        <f>VLOOKUP(A136,'OEE REA'!A:AO,13,FALSE)</f>
        <v>#N/A</v>
      </c>
      <c r="F136" s="110" t="e">
        <f>VLOOKUP(A136,'OEE REA'!A:AO,11,FALSE)</f>
        <v>#N/A</v>
      </c>
      <c r="G136" s="111" t="str">
        <f t="shared" si="18"/>
        <v/>
      </c>
      <c r="H136" s="110" t="e">
        <f>VLOOKUP(A136,'OEE REA'!A:AO,14,FALSE)</f>
        <v>#N/A</v>
      </c>
      <c r="I136" s="106"/>
      <c r="J136" s="99"/>
      <c r="K136" s="99"/>
      <c r="L136" s="107"/>
      <c r="M136" s="112" t="str">
        <f t="shared" si="14"/>
        <v/>
      </c>
      <c r="N136" s="103" t="str">
        <f t="shared" si="15"/>
        <v/>
      </c>
      <c r="O136" s="103">
        <f>IFERROR('OEE REA'!J647*'SPEED FACTOR REA'!L136,"")</f>
        <v>0</v>
      </c>
      <c r="P136" s="250" t="str">
        <f t="shared" si="16"/>
        <v/>
      </c>
      <c r="R136" s="70" t="e">
        <f t="shared" si="19"/>
        <v>#VALUE!</v>
      </c>
    </row>
    <row r="137" spans="1:18" ht="20.25" x14ac:dyDescent="0.25">
      <c r="A137" s="246">
        <f>+'OEE REA'!A648</f>
        <v>0</v>
      </c>
      <c r="B137" s="99">
        <f t="shared" si="17"/>
        <v>0</v>
      </c>
      <c r="C137" s="113">
        <f>+'OEE REA'!D648</f>
        <v>0</v>
      </c>
      <c r="D137" s="242" t="s">
        <v>1939</v>
      </c>
      <c r="E137" s="109" t="e">
        <f>VLOOKUP(A137,'OEE REA'!A:AO,13,FALSE)</f>
        <v>#N/A</v>
      </c>
      <c r="F137" s="110" t="e">
        <f>VLOOKUP(A137,'OEE REA'!A:AO,11,FALSE)</f>
        <v>#N/A</v>
      </c>
      <c r="G137" s="111" t="str">
        <f t="shared" si="18"/>
        <v/>
      </c>
      <c r="H137" s="110" t="e">
        <f>VLOOKUP(A137,'OEE REA'!A:AO,14,FALSE)</f>
        <v>#N/A</v>
      </c>
      <c r="I137" s="106"/>
      <c r="J137" s="99"/>
      <c r="K137" s="99"/>
      <c r="L137" s="107"/>
      <c r="M137" s="112" t="str">
        <f t="shared" si="14"/>
        <v/>
      </c>
      <c r="N137" s="103" t="str">
        <f t="shared" si="15"/>
        <v/>
      </c>
      <c r="O137" s="103">
        <f>IFERROR('OEE REA'!J648*'SPEED FACTOR REA'!L137,"")</f>
        <v>0</v>
      </c>
      <c r="P137" s="250" t="str">
        <f t="shared" si="16"/>
        <v/>
      </c>
      <c r="R137" s="70" t="e">
        <f t="shared" si="19"/>
        <v>#VALUE!</v>
      </c>
    </row>
    <row r="138" spans="1:18" ht="20.25" x14ac:dyDescent="0.25">
      <c r="A138" s="246">
        <f>+'OEE REA'!A649</f>
        <v>0</v>
      </c>
      <c r="B138" s="99">
        <f t="shared" si="17"/>
        <v>0</v>
      </c>
      <c r="C138" s="113">
        <f>+'OEE REA'!D649</f>
        <v>0</v>
      </c>
      <c r="D138" s="242" t="s">
        <v>1940</v>
      </c>
      <c r="E138" s="109" t="e">
        <f>VLOOKUP(A138,'OEE REA'!A:AO,13,FALSE)</f>
        <v>#N/A</v>
      </c>
      <c r="F138" s="110" t="e">
        <f>VLOOKUP(A138,'OEE REA'!A:AO,11,FALSE)</f>
        <v>#N/A</v>
      </c>
      <c r="G138" s="111" t="str">
        <f t="shared" si="18"/>
        <v/>
      </c>
      <c r="H138" s="110" t="e">
        <f>VLOOKUP(A138,'OEE REA'!A:AO,14,FALSE)</f>
        <v>#N/A</v>
      </c>
      <c r="I138" s="106"/>
      <c r="J138" s="99"/>
      <c r="K138" s="99"/>
      <c r="L138" s="107"/>
      <c r="M138" s="112" t="str">
        <f t="shared" si="14"/>
        <v/>
      </c>
      <c r="N138" s="103" t="str">
        <f t="shared" si="15"/>
        <v/>
      </c>
      <c r="O138" s="103">
        <f>IFERROR('OEE REA'!J649*'SPEED FACTOR REA'!L138,"")</f>
        <v>0</v>
      </c>
      <c r="P138" s="250" t="str">
        <f t="shared" si="16"/>
        <v/>
      </c>
      <c r="R138" s="70" t="e">
        <f t="shared" si="19"/>
        <v>#VALUE!</v>
      </c>
    </row>
    <row r="139" spans="1:18" ht="20.25" x14ac:dyDescent="0.25">
      <c r="A139" s="246">
        <f>+'OEE REA'!A650</f>
        <v>0</v>
      </c>
      <c r="B139" s="99">
        <f t="shared" si="17"/>
        <v>0</v>
      </c>
      <c r="C139" s="113">
        <f>+'OEE REA'!D650</f>
        <v>0</v>
      </c>
      <c r="D139" s="242" t="s">
        <v>1941</v>
      </c>
      <c r="E139" s="109" t="e">
        <f>VLOOKUP(A139,'OEE REA'!A:AO,13,FALSE)</f>
        <v>#N/A</v>
      </c>
      <c r="F139" s="110" t="e">
        <f>VLOOKUP(A139,'OEE REA'!A:AO,11,FALSE)</f>
        <v>#N/A</v>
      </c>
      <c r="G139" s="111" t="str">
        <f t="shared" si="18"/>
        <v/>
      </c>
      <c r="H139" s="110" t="e">
        <f>VLOOKUP(A139,'OEE REA'!A:AO,14,FALSE)</f>
        <v>#N/A</v>
      </c>
      <c r="I139" s="106"/>
      <c r="J139" s="99"/>
      <c r="K139" s="99"/>
      <c r="L139" s="107"/>
      <c r="M139" s="112" t="str">
        <f t="shared" si="14"/>
        <v/>
      </c>
      <c r="N139" s="103" t="str">
        <f t="shared" si="15"/>
        <v/>
      </c>
      <c r="O139" s="103">
        <f>IFERROR('OEE REA'!J650*'SPEED FACTOR REA'!L139,"")</f>
        <v>0</v>
      </c>
      <c r="P139" s="250" t="str">
        <f t="shared" si="16"/>
        <v/>
      </c>
      <c r="R139" s="70" t="e">
        <f t="shared" si="19"/>
        <v>#VALUE!</v>
      </c>
    </row>
    <row r="140" spans="1:18" ht="20.25" x14ac:dyDescent="0.25">
      <c r="A140" s="246">
        <f>+'OEE REA'!A651</f>
        <v>0</v>
      </c>
      <c r="B140" s="99">
        <f t="shared" si="17"/>
        <v>0</v>
      </c>
      <c r="C140" s="113">
        <f>+'OEE REA'!D651</f>
        <v>0</v>
      </c>
      <c r="D140" s="242" t="s">
        <v>1942</v>
      </c>
      <c r="E140" s="109" t="e">
        <f>VLOOKUP(A140,'OEE REA'!A:AO,13,FALSE)</f>
        <v>#N/A</v>
      </c>
      <c r="F140" s="110" t="e">
        <f>VLOOKUP(A140,'OEE REA'!A:AO,11,FALSE)</f>
        <v>#N/A</v>
      </c>
      <c r="G140" s="111" t="str">
        <f t="shared" si="18"/>
        <v/>
      </c>
      <c r="H140" s="110" t="e">
        <f>VLOOKUP(A140,'OEE REA'!A:AO,14,FALSE)</f>
        <v>#N/A</v>
      </c>
      <c r="I140" s="106"/>
      <c r="J140" s="99"/>
      <c r="K140" s="99"/>
      <c r="L140" s="107"/>
      <c r="M140" s="112" t="str">
        <f t="shared" si="14"/>
        <v/>
      </c>
      <c r="N140" s="103" t="str">
        <f t="shared" si="15"/>
        <v/>
      </c>
      <c r="O140" s="103">
        <f>IFERROR('OEE REA'!J651*'SPEED FACTOR REA'!L140,"")</f>
        <v>0</v>
      </c>
      <c r="P140" s="250" t="str">
        <f t="shared" si="16"/>
        <v/>
      </c>
      <c r="R140" s="70" t="e">
        <f t="shared" si="19"/>
        <v>#VALUE!</v>
      </c>
    </row>
    <row r="141" spans="1:18" ht="20.25" x14ac:dyDescent="0.25">
      <c r="A141" s="246">
        <f>+'OEE REA'!A652</f>
        <v>0</v>
      </c>
      <c r="B141" s="99">
        <f t="shared" si="17"/>
        <v>0</v>
      </c>
      <c r="C141" s="113">
        <f>+'OEE REA'!D652</f>
        <v>0</v>
      </c>
      <c r="D141" s="242" t="s">
        <v>1943</v>
      </c>
      <c r="E141" s="109" t="e">
        <f>VLOOKUP(A141,'OEE REA'!A:AO,13,FALSE)</f>
        <v>#N/A</v>
      </c>
      <c r="F141" s="110" t="e">
        <f>VLOOKUP(A141,'OEE REA'!A:AO,11,FALSE)</f>
        <v>#N/A</v>
      </c>
      <c r="G141" s="111" t="str">
        <f t="shared" si="18"/>
        <v/>
      </c>
      <c r="H141" s="110" t="e">
        <f>VLOOKUP(A141,'OEE REA'!A:AO,14,FALSE)</f>
        <v>#N/A</v>
      </c>
      <c r="I141" s="106"/>
      <c r="J141" s="99"/>
      <c r="K141" s="99"/>
      <c r="L141" s="107"/>
      <c r="M141" s="112" t="str">
        <f t="shared" si="14"/>
        <v/>
      </c>
      <c r="N141" s="103" t="str">
        <f t="shared" si="15"/>
        <v/>
      </c>
      <c r="O141" s="103">
        <f>IFERROR('OEE REA'!J652*'SPEED FACTOR REA'!L141,"")</f>
        <v>0</v>
      </c>
      <c r="P141" s="250" t="str">
        <f t="shared" si="16"/>
        <v/>
      </c>
      <c r="R141" s="70" t="e">
        <f t="shared" si="19"/>
        <v>#VALUE!</v>
      </c>
    </row>
    <row r="142" spans="1:18" ht="20.25" x14ac:dyDescent="0.25">
      <c r="A142" s="246">
        <f>+'OEE REA'!A653</f>
        <v>0</v>
      </c>
      <c r="B142" s="99">
        <f t="shared" si="17"/>
        <v>0</v>
      </c>
      <c r="C142" s="113">
        <f>+'OEE REA'!D653</f>
        <v>0</v>
      </c>
      <c r="D142" s="242" t="s">
        <v>1944</v>
      </c>
      <c r="E142" s="109" t="e">
        <f>VLOOKUP(A142,'OEE REA'!A:AO,13,FALSE)</f>
        <v>#N/A</v>
      </c>
      <c r="F142" s="110" t="e">
        <f>VLOOKUP(A142,'OEE REA'!A:AO,11,FALSE)</f>
        <v>#N/A</v>
      </c>
      <c r="G142" s="111" t="str">
        <f t="shared" si="18"/>
        <v/>
      </c>
      <c r="H142" s="110" t="e">
        <f>VLOOKUP(A142,'OEE REA'!A:AO,14,FALSE)</f>
        <v>#N/A</v>
      </c>
      <c r="I142" s="106"/>
      <c r="J142" s="99"/>
      <c r="K142" s="99"/>
      <c r="L142" s="107"/>
      <c r="M142" s="112" t="str">
        <f t="shared" si="14"/>
        <v/>
      </c>
      <c r="N142" s="103" t="str">
        <f t="shared" si="15"/>
        <v/>
      </c>
      <c r="O142" s="103">
        <f>IFERROR('OEE REA'!J653*'SPEED FACTOR REA'!L142,"")</f>
        <v>0</v>
      </c>
      <c r="P142" s="250" t="str">
        <f t="shared" si="16"/>
        <v/>
      </c>
      <c r="R142" s="70" t="e">
        <f t="shared" si="19"/>
        <v>#VALUE!</v>
      </c>
    </row>
    <row r="143" spans="1:18" ht="20.25" x14ac:dyDescent="0.25">
      <c r="A143" s="246">
        <f>+'OEE REA'!A654</f>
        <v>0</v>
      </c>
      <c r="B143" s="99">
        <f t="shared" si="17"/>
        <v>0</v>
      </c>
      <c r="C143" s="113">
        <f>+'OEE REA'!D654</f>
        <v>0</v>
      </c>
      <c r="D143" s="242" t="s">
        <v>1945</v>
      </c>
      <c r="E143" s="109" t="e">
        <f>VLOOKUP(A143,'OEE REA'!A:AO,13,FALSE)</f>
        <v>#N/A</v>
      </c>
      <c r="F143" s="110" t="e">
        <f>VLOOKUP(A143,'OEE REA'!A:AO,11,FALSE)</f>
        <v>#N/A</v>
      </c>
      <c r="G143" s="111" t="str">
        <f t="shared" si="18"/>
        <v/>
      </c>
      <c r="H143" s="110" t="e">
        <f>VLOOKUP(A143,'OEE REA'!A:AO,14,FALSE)</f>
        <v>#N/A</v>
      </c>
      <c r="I143" s="106"/>
      <c r="J143" s="99"/>
      <c r="K143" s="99"/>
      <c r="L143" s="107"/>
      <c r="M143" s="112" t="str">
        <f t="shared" si="14"/>
        <v/>
      </c>
      <c r="N143" s="103" t="str">
        <f t="shared" si="15"/>
        <v/>
      </c>
      <c r="O143" s="103">
        <f>IFERROR('OEE REA'!J654*'SPEED FACTOR REA'!L143,"")</f>
        <v>0</v>
      </c>
      <c r="P143" s="250" t="str">
        <f t="shared" si="16"/>
        <v/>
      </c>
      <c r="R143" s="70" t="e">
        <f t="shared" si="19"/>
        <v>#VALUE!</v>
      </c>
    </row>
    <row r="144" spans="1:18" ht="20.25" x14ac:dyDescent="0.25">
      <c r="A144" s="246">
        <f>+'OEE REA'!A655</f>
        <v>0</v>
      </c>
      <c r="B144" s="99">
        <f t="shared" si="17"/>
        <v>0</v>
      </c>
      <c r="C144" s="113">
        <f>+'OEE REA'!D655</f>
        <v>0</v>
      </c>
      <c r="D144" s="242" t="s">
        <v>1946</v>
      </c>
      <c r="E144" s="109" t="e">
        <f>VLOOKUP(A144,'OEE REA'!A:AO,13,FALSE)</f>
        <v>#N/A</v>
      </c>
      <c r="F144" s="110" t="e">
        <f>VLOOKUP(A144,'OEE REA'!A:AO,11,FALSE)</f>
        <v>#N/A</v>
      </c>
      <c r="G144" s="111" t="str">
        <f t="shared" si="18"/>
        <v/>
      </c>
      <c r="H144" s="110" t="e">
        <f>VLOOKUP(A144,'OEE REA'!A:AO,14,FALSE)</f>
        <v>#N/A</v>
      </c>
      <c r="I144" s="106"/>
      <c r="J144" s="99"/>
      <c r="K144" s="99"/>
      <c r="L144" s="107"/>
      <c r="M144" s="112" t="str">
        <f t="shared" si="14"/>
        <v/>
      </c>
      <c r="N144" s="103" t="str">
        <f t="shared" si="15"/>
        <v/>
      </c>
      <c r="O144" s="103">
        <f>IFERROR('OEE REA'!J655*'SPEED FACTOR REA'!L144,"")</f>
        <v>0</v>
      </c>
      <c r="P144" s="250" t="str">
        <f t="shared" si="16"/>
        <v/>
      </c>
      <c r="R144" s="70" t="e">
        <f t="shared" si="19"/>
        <v>#VALUE!</v>
      </c>
    </row>
    <row r="145" spans="1:18" ht="20.25" x14ac:dyDescent="0.25">
      <c r="A145" s="246">
        <f>+'OEE REA'!A656</f>
        <v>0</v>
      </c>
      <c r="B145" s="99">
        <f t="shared" si="17"/>
        <v>0</v>
      </c>
      <c r="C145" s="113">
        <f>+'OEE REA'!D656</f>
        <v>0</v>
      </c>
      <c r="D145" s="242" t="s">
        <v>1947</v>
      </c>
      <c r="E145" s="109" t="e">
        <f>VLOOKUP(A145,'OEE REA'!A:AO,13,FALSE)</f>
        <v>#N/A</v>
      </c>
      <c r="F145" s="110" t="e">
        <f>VLOOKUP(A145,'OEE REA'!A:AO,11,FALSE)</f>
        <v>#N/A</v>
      </c>
      <c r="G145" s="111" t="str">
        <f t="shared" si="18"/>
        <v/>
      </c>
      <c r="H145" s="110" t="e">
        <f>VLOOKUP(A145,'OEE REA'!A:AO,14,FALSE)</f>
        <v>#N/A</v>
      </c>
      <c r="I145" s="106"/>
      <c r="J145" s="99"/>
      <c r="K145" s="99"/>
      <c r="L145" s="107"/>
      <c r="M145" s="112" t="str">
        <f t="shared" si="14"/>
        <v/>
      </c>
      <c r="N145" s="103" t="str">
        <f t="shared" si="15"/>
        <v/>
      </c>
      <c r="O145" s="103">
        <f>IFERROR('OEE REA'!J656*'SPEED FACTOR REA'!L145,"")</f>
        <v>0</v>
      </c>
      <c r="P145" s="250" t="str">
        <f t="shared" si="16"/>
        <v/>
      </c>
      <c r="R145" s="70" t="e">
        <f t="shared" si="19"/>
        <v>#VALUE!</v>
      </c>
    </row>
    <row r="146" spans="1:18" ht="20.25" x14ac:dyDescent="0.25">
      <c r="A146" s="246">
        <f>+'OEE REA'!A657</f>
        <v>0</v>
      </c>
      <c r="B146" s="99">
        <f t="shared" si="17"/>
        <v>0</v>
      </c>
      <c r="C146" s="113">
        <f>+'OEE REA'!D657</f>
        <v>0</v>
      </c>
      <c r="D146" s="242" t="s">
        <v>1948</v>
      </c>
      <c r="E146" s="109" t="e">
        <f>VLOOKUP(A146,'OEE REA'!A:AO,13,FALSE)</f>
        <v>#N/A</v>
      </c>
      <c r="F146" s="110" t="e">
        <f>VLOOKUP(A146,'OEE REA'!A:AO,11,FALSE)</f>
        <v>#N/A</v>
      </c>
      <c r="G146" s="111" t="str">
        <f t="shared" si="18"/>
        <v/>
      </c>
      <c r="H146" s="110" t="e">
        <f>VLOOKUP(A146,'OEE REA'!A:AO,14,FALSE)</f>
        <v>#N/A</v>
      </c>
      <c r="I146" s="106"/>
      <c r="J146" s="99"/>
      <c r="K146" s="99"/>
      <c r="L146" s="107"/>
      <c r="M146" s="112" t="str">
        <f t="shared" si="14"/>
        <v/>
      </c>
      <c r="N146" s="103" t="str">
        <f t="shared" si="15"/>
        <v/>
      </c>
      <c r="O146" s="103">
        <f>IFERROR('OEE REA'!J657*'SPEED FACTOR REA'!L146,"")</f>
        <v>0</v>
      </c>
      <c r="P146" s="250" t="str">
        <f t="shared" si="16"/>
        <v/>
      </c>
      <c r="R146" s="70" t="e">
        <f t="shared" si="19"/>
        <v>#VALUE!</v>
      </c>
    </row>
    <row r="147" spans="1:18" ht="20.25" x14ac:dyDescent="0.25">
      <c r="A147" s="246">
        <f>+'OEE REA'!A658</f>
        <v>0</v>
      </c>
      <c r="B147" s="99">
        <f t="shared" si="17"/>
        <v>0</v>
      </c>
      <c r="C147" s="113">
        <f>+'OEE REA'!D658</f>
        <v>0</v>
      </c>
      <c r="D147" s="242" t="s">
        <v>1949</v>
      </c>
      <c r="E147" s="109" t="e">
        <f>VLOOKUP(A147,'OEE REA'!A:AO,13,FALSE)</f>
        <v>#N/A</v>
      </c>
      <c r="F147" s="110" t="e">
        <f>VLOOKUP(A147,'OEE REA'!A:AO,11,FALSE)</f>
        <v>#N/A</v>
      </c>
      <c r="G147" s="111" t="str">
        <f t="shared" si="18"/>
        <v/>
      </c>
      <c r="H147" s="110" t="e">
        <f>VLOOKUP(A147,'OEE REA'!A:AO,14,FALSE)</f>
        <v>#N/A</v>
      </c>
      <c r="I147" s="106"/>
      <c r="J147" s="99"/>
      <c r="K147" s="99"/>
      <c r="L147" s="107"/>
      <c r="M147" s="112" t="str">
        <f t="shared" si="14"/>
        <v/>
      </c>
      <c r="N147" s="103" t="str">
        <f t="shared" si="15"/>
        <v/>
      </c>
      <c r="O147" s="103">
        <f>IFERROR('OEE REA'!J658*'SPEED FACTOR REA'!L147,"")</f>
        <v>0</v>
      </c>
      <c r="P147" s="250" t="str">
        <f t="shared" si="16"/>
        <v/>
      </c>
      <c r="R147" s="70" t="e">
        <f t="shared" si="19"/>
        <v>#VALUE!</v>
      </c>
    </row>
    <row r="148" spans="1:18" ht="20.25" x14ac:dyDescent="0.25">
      <c r="A148" s="246">
        <f>+'OEE REA'!A659</f>
        <v>0</v>
      </c>
      <c r="B148" s="99">
        <f t="shared" si="17"/>
        <v>0</v>
      </c>
      <c r="C148" s="113">
        <f>+'OEE REA'!D659</f>
        <v>0</v>
      </c>
      <c r="D148" s="242" t="s">
        <v>1950</v>
      </c>
      <c r="E148" s="109" t="e">
        <f>VLOOKUP(A148,'OEE REA'!A:AO,13,FALSE)</f>
        <v>#N/A</v>
      </c>
      <c r="F148" s="110" t="e">
        <f>VLOOKUP(A148,'OEE REA'!A:AO,11,FALSE)</f>
        <v>#N/A</v>
      </c>
      <c r="G148" s="111" t="str">
        <f t="shared" si="18"/>
        <v/>
      </c>
      <c r="H148" s="110" t="e">
        <f>VLOOKUP(A148,'OEE REA'!A:AO,14,FALSE)</f>
        <v>#N/A</v>
      </c>
      <c r="I148" s="106"/>
      <c r="J148" s="99"/>
      <c r="K148" s="99"/>
      <c r="L148" s="107"/>
      <c r="M148" s="112" t="str">
        <f t="shared" si="14"/>
        <v/>
      </c>
      <c r="N148" s="103" t="str">
        <f t="shared" si="15"/>
        <v/>
      </c>
      <c r="O148" s="103">
        <f>IFERROR('OEE REA'!J659*'SPEED FACTOR REA'!L148,"")</f>
        <v>0</v>
      </c>
      <c r="P148" s="250" t="str">
        <f t="shared" si="16"/>
        <v/>
      </c>
      <c r="R148" s="70" t="e">
        <f t="shared" si="19"/>
        <v>#VALUE!</v>
      </c>
    </row>
    <row r="149" spans="1:18" ht="20.25" x14ac:dyDescent="0.25">
      <c r="A149" s="246">
        <f>+'OEE REA'!A660</f>
        <v>0</v>
      </c>
      <c r="B149" s="99">
        <f t="shared" si="17"/>
        <v>0</v>
      </c>
      <c r="C149" s="113">
        <f>+'OEE REA'!D660</f>
        <v>0</v>
      </c>
      <c r="D149" s="242" t="s">
        <v>1951</v>
      </c>
      <c r="E149" s="109" t="e">
        <f>VLOOKUP(A149,'OEE REA'!A:AO,13,FALSE)</f>
        <v>#N/A</v>
      </c>
      <c r="F149" s="110" t="e">
        <f>VLOOKUP(A149,'OEE REA'!A:AO,11,FALSE)</f>
        <v>#N/A</v>
      </c>
      <c r="G149" s="111" t="str">
        <f t="shared" si="18"/>
        <v/>
      </c>
      <c r="H149" s="110" t="e">
        <f>VLOOKUP(A149,'OEE REA'!A:AO,14,FALSE)</f>
        <v>#N/A</v>
      </c>
      <c r="I149" s="106"/>
      <c r="J149" s="99"/>
      <c r="K149" s="99"/>
      <c r="L149" s="107"/>
      <c r="M149" s="112" t="str">
        <f t="shared" si="14"/>
        <v/>
      </c>
      <c r="N149" s="103" t="str">
        <f t="shared" si="15"/>
        <v/>
      </c>
      <c r="O149" s="103">
        <f>IFERROR('OEE REA'!J660*'SPEED FACTOR REA'!L149,"")</f>
        <v>0</v>
      </c>
      <c r="P149" s="250" t="str">
        <f t="shared" si="16"/>
        <v/>
      </c>
      <c r="R149" s="70" t="e">
        <f t="shared" si="19"/>
        <v>#VALUE!</v>
      </c>
    </row>
    <row r="150" spans="1:18" ht="20.25" x14ac:dyDescent="0.25">
      <c r="A150" s="246">
        <f>+'OEE REA'!A661</f>
        <v>0</v>
      </c>
      <c r="B150" s="99">
        <f t="shared" si="17"/>
        <v>0</v>
      </c>
      <c r="C150" s="113">
        <f>+'OEE REA'!D661</f>
        <v>0</v>
      </c>
      <c r="D150" s="242" t="s">
        <v>1952</v>
      </c>
      <c r="E150" s="109" t="e">
        <f>VLOOKUP(A150,'OEE REA'!A:AO,13,FALSE)</f>
        <v>#N/A</v>
      </c>
      <c r="F150" s="110" t="e">
        <f>VLOOKUP(A150,'OEE REA'!A:AO,11,FALSE)</f>
        <v>#N/A</v>
      </c>
      <c r="G150" s="111" t="str">
        <f t="shared" si="18"/>
        <v/>
      </c>
      <c r="H150" s="110" t="e">
        <f>VLOOKUP(A150,'OEE REA'!A:AO,14,FALSE)</f>
        <v>#N/A</v>
      </c>
      <c r="I150" s="106"/>
      <c r="J150" s="99"/>
      <c r="K150" s="99"/>
      <c r="L150" s="107"/>
      <c r="M150" s="112" t="str">
        <f t="shared" si="14"/>
        <v/>
      </c>
      <c r="N150" s="103" t="str">
        <f t="shared" si="15"/>
        <v/>
      </c>
      <c r="O150" s="103">
        <f>IFERROR('OEE REA'!J661*'SPEED FACTOR REA'!L150,"")</f>
        <v>0</v>
      </c>
      <c r="P150" s="250" t="str">
        <f t="shared" si="16"/>
        <v/>
      </c>
      <c r="R150" s="70" t="e">
        <f t="shared" si="19"/>
        <v>#VALUE!</v>
      </c>
    </row>
    <row r="151" spans="1:18" ht="20.25" x14ac:dyDescent="0.25">
      <c r="A151" s="246">
        <f>+'OEE REA'!A662</f>
        <v>0</v>
      </c>
      <c r="B151" s="99">
        <f t="shared" si="17"/>
        <v>0</v>
      </c>
      <c r="C151" s="113">
        <f>+'OEE REA'!D662</f>
        <v>0</v>
      </c>
      <c r="D151" s="242" t="s">
        <v>1953</v>
      </c>
      <c r="E151" s="109" t="e">
        <f>VLOOKUP(A151,'OEE REA'!A:AO,13,FALSE)</f>
        <v>#N/A</v>
      </c>
      <c r="F151" s="110" t="e">
        <f>VLOOKUP(A151,'OEE REA'!A:AO,11,FALSE)</f>
        <v>#N/A</v>
      </c>
      <c r="G151" s="111" t="str">
        <f t="shared" si="18"/>
        <v/>
      </c>
      <c r="H151" s="110" t="e">
        <f>VLOOKUP(A151,'OEE REA'!A:AO,14,FALSE)</f>
        <v>#N/A</v>
      </c>
      <c r="I151" s="106"/>
      <c r="J151" s="99"/>
      <c r="K151" s="99"/>
      <c r="L151" s="107"/>
      <c r="M151" s="112" t="str">
        <f t="shared" si="14"/>
        <v/>
      </c>
      <c r="N151" s="103" t="str">
        <f t="shared" si="15"/>
        <v/>
      </c>
      <c r="O151" s="103">
        <f>IFERROR('OEE REA'!J662*'SPEED FACTOR REA'!L151,"")</f>
        <v>0</v>
      </c>
      <c r="P151" s="250" t="str">
        <f t="shared" si="16"/>
        <v/>
      </c>
      <c r="R151" s="70" t="e">
        <f t="shared" si="19"/>
        <v>#VALUE!</v>
      </c>
    </row>
    <row r="152" spans="1:18" ht="20.25" x14ac:dyDescent="0.25">
      <c r="A152" s="246">
        <f>+'OEE REA'!A663</f>
        <v>0</v>
      </c>
      <c r="B152" s="99">
        <f t="shared" si="17"/>
        <v>0</v>
      </c>
      <c r="C152" s="113">
        <f>+'OEE REA'!D663</f>
        <v>0</v>
      </c>
      <c r="D152" s="242" t="s">
        <v>1954</v>
      </c>
      <c r="E152" s="109" t="e">
        <f>VLOOKUP(A152,'OEE REA'!A:AO,13,FALSE)</f>
        <v>#N/A</v>
      </c>
      <c r="F152" s="110" t="e">
        <f>VLOOKUP(A152,'OEE REA'!A:AO,11,FALSE)</f>
        <v>#N/A</v>
      </c>
      <c r="G152" s="111" t="str">
        <f t="shared" si="18"/>
        <v/>
      </c>
      <c r="H152" s="110" t="e">
        <f>VLOOKUP(A152,'OEE REA'!A:AO,14,FALSE)</f>
        <v>#N/A</v>
      </c>
      <c r="I152" s="106"/>
      <c r="J152" s="99"/>
      <c r="K152" s="99"/>
      <c r="L152" s="107"/>
      <c r="M152" s="112" t="str">
        <f t="shared" si="14"/>
        <v/>
      </c>
      <c r="N152" s="103" t="str">
        <f t="shared" si="15"/>
        <v/>
      </c>
      <c r="O152" s="103">
        <f>IFERROR('OEE REA'!J663*'SPEED FACTOR REA'!L152,"")</f>
        <v>0</v>
      </c>
      <c r="P152" s="250" t="str">
        <f t="shared" si="16"/>
        <v/>
      </c>
      <c r="R152" s="70" t="e">
        <f t="shared" si="19"/>
        <v>#VALUE!</v>
      </c>
    </row>
    <row r="153" spans="1:18" ht="20.25" x14ac:dyDescent="0.25">
      <c r="A153" s="246">
        <f>+'OEE REA'!A664</f>
        <v>0</v>
      </c>
      <c r="B153" s="99">
        <f t="shared" si="17"/>
        <v>0</v>
      </c>
      <c r="C153" s="113">
        <f>+'OEE REA'!D664</f>
        <v>0</v>
      </c>
      <c r="D153" s="242" t="s">
        <v>1955</v>
      </c>
      <c r="E153" s="109" t="e">
        <f>VLOOKUP(A153,'OEE REA'!A:AO,13,FALSE)</f>
        <v>#N/A</v>
      </c>
      <c r="F153" s="110" t="e">
        <f>VLOOKUP(A153,'OEE REA'!A:AO,11,FALSE)</f>
        <v>#N/A</v>
      </c>
      <c r="G153" s="111" t="str">
        <f t="shared" si="18"/>
        <v/>
      </c>
      <c r="H153" s="110" t="e">
        <f>VLOOKUP(A153,'OEE REA'!A:AO,14,FALSE)</f>
        <v>#N/A</v>
      </c>
      <c r="I153" s="106"/>
      <c r="J153" s="99"/>
      <c r="K153" s="99"/>
      <c r="L153" s="107"/>
      <c r="M153" s="112" t="str">
        <f t="shared" si="14"/>
        <v/>
      </c>
      <c r="N153" s="103" t="str">
        <f t="shared" si="15"/>
        <v/>
      </c>
      <c r="O153" s="103">
        <f>IFERROR('OEE REA'!J664*'SPEED FACTOR REA'!L153,"")</f>
        <v>0</v>
      </c>
      <c r="P153" s="250" t="str">
        <f t="shared" si="16"/>
        <v/>
      </c>
      <c r="R153" s="70" t="e">
        <f t="shared" si="19"/>
        <v>#VALUE!</v>
      </c>
    </row>
    <row r="154" spans="1:18" ht="20.25" x14ac:dyDescent="0.25">
      <c r="A154" s="246">
        <f>+'OEE REA'!A665</f>
        <v>0</v>
      </c>
      <c r="B154" s="99">
        <f t="shared" si="17"/>
        <v>0</v>
      </c>
      <c r="C154" s="113">
        <f>+'OEE REA'!D665</f>
        <v>0</v>
      </c>
      <c r="D154" s="242" t="s">
        <v>1956</v>
      </c>
      <c r="E154" s="109" t="e">
        <f>VLOOKUP(A154,'OEE REA'!A:AO,13,FALSE)</f>
        <v>#N/A</v>
      </c>
      <c r="F154" s="110" t="e">
        <f>VLOOKUP(A154,'OEE REA'!A:AO,11,FALSE)</f>
        <v>#N/A</v>
      </c>
      <c r="G154" s="111" t="str">
        <f t="shared" si="18"/>
        <v/>
      </c>
      <c r="H154" s="110" t="e">
        <f>VLOOKUP(A154,'OEE REA'!A:AO,14,FALSE)</f>
        <v>#N/A</v>
      </c>
      <c r="I154" s="106"/>
      <c r="J154" s="99"/>
      <c r="K154" s="99"/>
      <c r="L154" s="107"/>
      <c r="M154" s="112" t="str">
        <f t="shared" si="14"/>
        <v/>
      </c>
      <c r="N154" s="103" t="str">
        <f t="shared" si="15"/>
        <v/>
      </c>
      <c r="O154" s="103">
        <f>IFERROR('OEE REA'!J665*'SPEED FACTOR REA'!L154,"")</f>
        <v>0</v>
      </c>
      <c r="P154" s="250" t="str">
        <f t="shared" si="16"/>
        <v/>
      </c>
      <c r="R154" s="70" t="e">
        <f t="shared" si="19"/>
        <v>#VALUE!</v>
      </c>
    </row>
    <row r="155" spans="1:18" ht="20.25" x14ac:dyDescent="0.25">
      <c r="A155" s="246">
        <f>+'OEE REA'!A666</f>
        <v>0</v>
      </c>
      <c r="B155" s="99">
        <f t="shared" si="17"/>
        <v>0</v>
      </c>
      <c r="C155" s="113">
        <f>+'OEE REA'!D666</f>
        <v>0</v>
      </c>
      <c r="D155" s="242" t="s">
        <v>1957</v>
      </c>
      <c r="E155" s="109" t="e">
        <f>VLOOKUP(A155,'OEE REA'!A:AO,13,FALSE)</f>
        <v>#N/A</v>
      </c>
      <c r="F155" s="110" t="e">
        <f>VLOOKUP(A155,'OEE REA'!A:AO,11,FALSE)</f>
        <v>#N/A</v>
      </c>
      <c r="G155" s="111" t="str">
        <f t="shared" si="18"/>
        <v/>
      </c>
      <c r="H155" s="110" t="e">
        <f>VLOOKUP(A155,'OEE REA'!A:AO,14,FALSE)</f>
        <v>#N/A</v>
      </c>
      <c r="I155" s="106"/>
      <c r="J155" s="99"/>
      <c r="K155" s="99"/>
      <c r="L155" s="107"/>
      <c r="M155" s="112" t="str">
        <f t="shared" si="14"/>
        <v/>
      </c>
      <c r="N155" s="103" t="str">
        <f t="shared" si="15"/>
        <v/>
      </c>
      <c r="O155" s="103">
        <f>IFERROR('OEE REA'!J666*'SPEED FACTOR REA'!L155,"")</f>
        <v>0</v>
      </c>
      <c r="P155" s="250" t="str">
        <f t="shared" si="16"/>
        <v/>
      </c>
      <c r="R155" s="70" t="e">
        <f t="shared" si="19"/>
        <v>#VALUE!</v>
      </c>
    </row>
    <row r="156" spans="1:18" ht="20.25" x14ac:dyDescent="0.25">
      <c r="A156" s="246">
        <f>+'OEE REA'!A667</f>
        <v>0</v>
      </c>
      <c r="B156" s="99">
        <f t="shared" si="17"/>
        <v>0</v>
      </c>
      <c r="C156" s="113">
        <f>+'OEE REA'!D667</f>
        <v>0</v>
      </c>
      <c r="D156" s="242" t="s">
        <v>1958</v>
      </c>
      <c r="E156" s="109" t="e">
        <f>VLOOKUP(A156,'OEE REA'!A:AO,13,FALSE)</f>
        <v>#N/A</v>
      </c>
      <c r="F156" s="110" t="e">
        <f>VLOOKUP(A156,'OEE REA'!A:AO,11,FALSE)</f>
        <v>#N/A</v>
      </c>
      <c r="G156" s="111" t="str">
        <f t="shared" si="18"/>
        <v/>
      </c>
      <c r="H156" s="110" t="e">
        <f>VLOOKUP(A156,'OEE REA'!A:AO,14,FALSE)</f>
        <v>#N/A</v>
      </c>
      <c r="I156" s="106"/>
      <c r="J156" s="99"/>
      <c r="K156" s="99"/>
      <c r="L156" s="107"/>
      <c r="M156" s="112" t="str">
        <f t="shared" si="14"/>
        <v/>
      </c>
      <c r="N156" s="103" t="str">
        <f t="shared" si="15"/>
        <v/>
      </c>
      <c r="O156" s="103">
        <f>IFERROR('OEE REA'!J667*'SPEED FACTOR REA'!L156,"")</f>
        <v>0</v>
      </c>
      <c r="P156" s="250" t="str">
        <f t="shared" si="16"/>
        <v/>
      </c>
      <c r="R156" s="70" t="e">
        <f t="shared" si="19"/>
        <v>#VALUE!</v>
      </c>
    </row>
    <row r="157" spans="1:18" ht="20.25" x14ac:dyDescent="0.25">
      <c r="A157" s="246">
        <f>+'OEE REA'!A668</f>
        <v>0</v>
      </c>
      <c r="B157" s="99">
        <f t="shared" si="17"/>
        <v>0</v>
      </c>
      <c r="C157" s="113">
        <f>+'OEE REA'!D668</f>
        <v>0</v>
      </c>
      <c r="D157" s="242" t="s">
        <v>1959</v>
      </c>
      <c r="E157" s="109" t="e">
        <f>VLOOKUP(A157,'OEE REA'!A:AO,13,FALSE)</f>
        <v>#N/A</v>
      </c>
      <c r="F157" s="110" t="e">
        <f>VLOOKUP(A157,'OEE REA'!A:AO,11,FALSE)</f>
        <v>#N/A</v>
      </c>
      <c r="G157" s="111" t="str">
        <f t="shared" si="18"/>
        <v/>
      </c>
      <c r="H157" s="110" t="e">
        <f>VLOOKUP(A157,'OEE REA'!A:AO,14,FALSE)</f>
        <v>#N/A</v>
      </c>
      <c r="I157" s="106"/>
      <c r="J157" s="99"/>
      <c r="K157" s="99"/>
      <c r="L157" s="107"/>
      <c r="M157" s="112" t="str">
        <f t="shared" si="14"/>
        <v/>
      </c>
      <c r="N157" s="103" t="str">
        <f t="shared" si="15"/>
        <v/>
      </c>
      <c r="O157" s="103">
        <f>IFERROR('OEE REA'!J668*'SPEED FACTOR REA'!L157,"")</f>
        <v>0</v>
      </c>
      <c r="P157" s="250" t="str">
        <f t="shared" si="16"/>
        <v/>
      </c>
      <c r="R157" s="70" t="e">
        <f t="shared" si="19"/>
        <v>#VALUE!</v>
      </c>
    </row>
    <row r="158" spans="1:18" ht="20.25" x14ac:dyDescent="0.25">
      <c r="A158" s="246">
        <f>+'OEE REA'!A669</f>
        <v>0</v>
      </c>
      <c r="B158" s="99">
        <f t="shared" si="17"/>
        <v>0</v>
      </c>
      <c r="C158" s="113">
        <f>+'OEE REA'!D669</f>
        <v>0</v>
      </c>
      <c r="D158" s="242" t="s">
        <v>1960</v>
      </c>
      <c r="E158" s="109" t="e">
        <f>VLOOKUP(A158,'OEE REA'!A:AO,13,FALSE)</f>
        <v>#N/A</v>
      </c>
      <c r="F158" s="110" t="e">
        <f>VLOOKUP(A158,'OEE REA'!A:AO,11,FALSE)</f>
        <v>#N/A</v>
      </c>
      <c r="G158" s="111" t="str">
        <f t="shared" si="18"/>
        <v/>
      </c>
      <c r="H158" s="110" t="e">
        <f>VLOOKUP(A158,'OEE REA'!A:AO,14,FALSE)</f>
        <v>#N/A</v>
      </c>
      <c r="I158" s="106"/>
      <c r="J158" s="99"/>
      <c r="K158" s="99"/>
      <c r="L158" s="107"/>
      <c r="M158" s="112" t="str">
        <f t="shared" si="14"/>
        <v/>
      </c>
      <c r="N158" s="103" t="str">
        <f t="shared" si="15"/>
        <v/>
      </c>
      <c r="O158" s="103">
        <f>IFERROR('OEE REA'!J669*'SPEED FACTOR REA'!L158,"")</f>
        <v>0</v>
      </c>
      <c r="P158" s="250" t="str">
        <f t="shared" si="16"/>
        <v/>
      </c>
      <c r="R158" s="70" t="e">
        <f t="shared" si="19"/>
        <v>#VALUE!</v>
      </c>
    </row>
    <row r="159" spans="1:18" ht="20.25" x14ac:dyDescent="0.25">
      <c r="A159" s="246">
        <f>+'OEE REA'!A670</f>
        <v>0</v>
      </c>
      <c r="B159" s="99">
        <f t="shared" si="17"/>
        <v>0</v>
      </c>
      <c r="C159" s="113">
        <f>+'OEE REA'!D670</f>
        <v>0</v>
      </c>
      <c r="D159" s="242" t="s">
        <v>1961</v>
      </c>
      <c r="E159" s="109" t="e">
        <f>VLOOKUP(A159,'OEE REA'!A:AO,13,FALSE)</f>
        <v>#N/A</v>
      </c>
      <c r="F159" s="110" t="e">
        <f>VLOOKUP(A159,'OEE REA'!A:AO,11,FALSE)</f>
        <v>#N/A</v>
      </c>
      <c r="G159" s="111" t="str">
        <f t="shared" si="18"/>
        <v/>
      </c>
      <c r="H159" s="110" t="e">
        <f>VLOOKUP(A159,'OEE REA'!A:AO,14,FALSE)</f>
        <v>#N/A</v>
      </c>
      <c r="I159" s="106"/>
      <c r="J159" s="99"/>
      <c r="K159" s="99"/>
      <c r="L159" s="107"/>
      <c r="M159" s="112" t="str">
        <f t="shared" si="14"/>
        <v/>
      </c>
      <c r="N159" s="103" t="str">
        <f t="shared" si="15"/>
        <v/>
      </c>
      <c r="O159" s="103">
        <f>IFERROR('OEE REA'!J670*'SPEED FACTOR REA'!L159,"")</f>
        <v>0</v>
      </c>
      <c r="P159" s="250" t="str">
        <f t="shared" si="16"/>
        <v/>
      </c>
      <c r="R159" s="70" t="e">
        <f t="shared" si="19"/>
        <v>#VALUE!</v>
      </c>
    </row>
    <row r="160" spans="1:18" ht="20.25" x14ac:dyDescent="0.25">
      <c r="A160" s="246">
        <f>+'OEE REA'!A671</f>
        <v>0</v>
      </c>
      <c r="B160" s="99">
        <f t="shared" si="17"/>
        <v>0</v>
      </c>
      <c r="C160" s="113">
        <f>+'OEE REA'!D671</f>
        <v>0</v>
      </c>
      <c r="D160" s="242" t="s">
        <v>1962</v>
      </c>
      <c r="E160" s="109" t="e">
        <f>VLOOKUP(A160,'OEE REA'!A:AO,13,FALSE)</f>
        <v>#N/A</v>
      </c>
      <c r="F160" s="110" t="e">
        <f>VLOOKUP(A160,'OEE REA'!A:AO,11,FALSE)</f>
        <v>#N/A</v>
      </c>
      <c r="G160" s="111" t="str">
        <f t="shared" si="18"/>
        <v/>
      </c>
      <c r="H160" s="110" t="e">
        <f>VLOOKUP(A160,'OEE REA'!A:AO,14,FALSE)</f>
        <v>#N/A</v>
      </c>
      <c r="I160" s="106"/>
      <c r="J160" s="99"/>
      <c r="K160" s="99"/>
      <c r="L160" s="107"/>
      <c r="M160" s="112" t="str">
        <f t="shared" si="14"/>
        <v/>
      </c>
      <c r="N160" s="103" t="str">
        <f t="shared" si="15"/>
        <v/>
      </c>
      <c r="O160" s="103">
        <f>IFERROR('OEE REA'!J671*'SPEED FACTOR REA'!L160,"")</f>
        <v>0</v>
      </c>
      <c r="P160" s="250" t="str">
        <f t="shared" si="16"/>
        <v/>
      </c>
      <c r="R160" s="70" t="e">
        <f t="shared" si="19"/>
        <v>#VALUE!</v>
      </c>
    </row>
    <row r="161" spans="1:18" ht="20.25" x14ac:dyDescent="0.25">
      <c r="A161" s="246">
        <f>+'OEE REA'!A672</f>
        <v>0</v>
      </c>
      <c r="B161" s="99">
        <f t="shared" si="17"/>
        <v>0</v>
      </c>
      <c r="C161" s="113">
        <f>+'OEE REA'!D672</f>
        <v>0</v>
      </c>
      <c r="D161" s="242" t="s">
        <v>1963</v>
      </c>
      <c r="E161" s="109" t="e">
        <f>VLOOKUP(A161,'OEE REA'!A:AO,13,FALSE)</f>
        <v>#N/A</v>
      </c>
      <c r="F161" s="110" t="e">
        <f>VLOOKUP(A161,'OEE REA'!A:AO,11,FALSE)</f>
        <v>#N/A</v>
      </c>
      <c r="G161" s="111" t="str">
        <f t="shared" si="18"/>
        <v/>
      </c>
      <c r="H161" s="110" t="e">
        <f>VLOOKUP(A161,'OEE REA'!A:AO,14,FALSE)</f>
        <v>#N/A</v>
      </c>
      <c r="I161" s="106"/>
      <c r="J161" s="99"/>
      <c r="K161" s="99"/>
      <c r="L161" s="107"/>
      <c r="M161" s="112" t="str">
        <f t="shared" si="14"/>
        <v/>
      </c>
      <c r="N161" s="103" t="str">
        <f t="shared" si="15"/>
        <v/>
      </c>
      <c r="O161" s="103">
        <f>IFERROR('OEE REA'!J672*'SPEED FACTOR REA'!L161,"")</f>
        <v>0</v>
      </c>
      <c r="P161" s="250" t="str">
        <f t="shared" si="16"/>
        <v/>
      </c>
      <c r="R161" s="70" t="e">
        <f t="shared" si="19"/>
        <v>#VALUE!</v>
      </c>
    </row>
    <row r="162" spans="1:18" ht="20.25" x14ac:dyDescent="0.25">
      <c r="A162" s="246">
        <f>+'OEE REA'!A673</f>
        <v>0</v>
      </c>
      <c r="B162" s="99">
        <f t="shared" si="17"/>
        <v>0</v>
      </c>
      <c r="C162" s="113">
        <f>+'OEE REA'!D673</f>
        <v>0</v>
      </c>
      <c r="D162" s="242" t="s">
        <v>1964</v>
      </c>
      <c r="E162" s="109" t="e">
        <f>VLOOKUP(A162,'OEE REA'!A:AO,13,FALSE)</f>
        <v>#N/A</v>
      </c>
      <c r="F162" s="110" t="e">
        <f>VLOOKUP(A162,'OEE REA'!A:AO,11,FALSE)</f>
        <v>#N/A</v>
      </c>
      <c r="G162" s="111" t="str">
        <f t="shared" si="18"/>
        <v/>
      </c>
      <c r="H162" s="110" t="e">
        <f>VLOOKUP(A162,'OEE REA'!A:AO,14,FALSE)</f>
        <v>#N/A</v>
      </c>
      <c r="I162" s="106"/>
      <c r="J162" s="99"/>
      <c r="K162" s="99"/>
      <c r="L162" s="107"/>
      <c r="M162" s="112" t="str">
        <f t="shared" si="14"/>
        <v/>
      </c>
      <c r="N162" s="103" t="str">
        <f t="shared" si="15"/>
        <v/>
      </c>
      <c r="O162" s="103">
        <f>IFERROR('OEE REA'!J673*'SPEED FACTOR REA'!L162,"")</f>
        <v>0</v>
      </c>
      <c r="P162" s="250" t="str">
        <f t="shared" si="16"/>
        <v/>
      </c>
      <c r="R162" s="70" t="e">
        <f t="shared" si="19"/>
        <v>#VALUE!</v>
      </c>
    </row>
    <row r="163" spans="1:18" ht="20.25" x14ac:dyDescent="0.25">
      <c r="A163" s="246">
        <f>+'OEE REA'!A674</f>
        <v>0</v>
      </c>
      <c r="B163" s="99">
        <f t="shared" si="17"/>
        <v>0</v>
      </c>
      <c r="C163" s="113">
        <f>+'OEE REA'!D674</f>
        <v>0</v>
      </c>
      <c r="D163" s="242" t="s">
        <v>1965</v>
      </c>
      <c r="E163" s="109" t="e">
        <f>VLOOKUP(A163,'OEE REA'!A:AO,13,FALSE)</f>
        <v>#N/A</v>
      </c>
      <c r="F163" s="110" t="e">
        <f>VLOOKUP(A163,'OEE REA'!A:AO,11,FALSE)</f>
        <v>#N/A</v>
      </c>
      <c r="G163" s="111" t="str">
        <f t="shared" si="18"/>
        <v/>
      </c>
      <c r="H163" s="110" t="e">
        <f>VLOOKUP(A163,'OEE REA'!A:AO,14,FALSE)</f>
        <v>#N/A</v>
      </c>
      <c r="I163" s="106"/>
      <c r="J163" s="99"/>
      <c r="K163" s="99"/>
      <c r="L163" s="107"/>
      <c r="M163" s="112" t="str">
        <f t="shared" si="14"/>
        <v/>
      </c>
      <c r="N163" s="103" t="str">
        <f t="shared" si="15"/>
        <v/>
      </c>
      <c r="O163" s="103">
        <f>IFERROR('OEE REA'!J674*'SPEED FACTOR REA'!L163,"")</f>
        <v>0</v>
      </c>
      <c r="P163" s="250" t="str">
        <f t="shared" si="16"/>
        <v/>
      </c>
      <c r="R163" s="70" t="e">
        <f t="shared" si="19"/>
        <v>#VALUE!</v>
      </c>
    </row>
    <row r="164" spans="1:18" ht="20.25" x14ac:dyDescent="0.25">
      <c r="A164" s="246">
        <f>+'OEE REA'!A675</f>
        <v>0</v>
      </c>
      <c r="B164" s="99">
        <f t="shared" si="17"/>
        <v>0</v>
      </c>
      <c r="C164" s="113">
        <f>+'OEE REA'!D675</f>
        <v>0</v>
      </c>
      <c r="D164" s="242" t="s">
        <v>1966</v>
      </c>
      <c r="E164" s="109" t="e">
        <f>VLOOKUP(A164,'OEE REA'!A:AO,13,FALSE)</f>
        <v>#N/A</v>
      </c>
      <c r="F164" s="110" t="e">
        <f>VLOOKUP(A164,'OEE REA'!A:AO,11,FALSE)</f>
        <v>#N/A</v>
      </c>
      <c r="G164" s="111" t="str">
        <f t="shared" si="18"/>
        <v/>
      </c>
      <c r="H164" s="110" t="e">
        <f>VLOOKUP(A164,'OEE REA'!A:AO,14,FALSE)</f>
        <v>#N/A</v>
      </c>
      <c r="I164" s="106"/>
      <c r="J164" s="99"/>
      <c r="K164" s="99"/>
      <c r="L164" s="107"/>
      <c r="M164" s="112" t="str">
        <f t="shared" si="14"/>
        <v/>
      </c>
      <c r="N164" s="103" t="str">
        <f t="shared" si="15"/>
        <v/>
      </c>
      <c r="O164" s="103">
        <f>IFERROR('OEE REA'!J675*'SPEED FACTOR REA'!L164,"")</f>
        <v>0</v>
      </c>
      <c r="P164" s="250" t="str">
        <f t="shared" si="16"/>
        <v/>
      </c>
      <c r="R164" s="70" t="e">
        <f t="shared" si="19"/>
        <v>#VALUE!</v>
      </c>
    </row>
    <row r="165" spans="1:18" ht="20.25" x14ac:dyDescent="0.25">
      <c r="A165" s="246">
        <f>+'OEE REA'!A676</f>
        <v>0</v>
      </c>
      <c r="B165" s="99">
        <f t="shared" ref="B165:B178" si="20">WEEKNUM(C165)</f>
        <v>0</v>
      </c>
      <c r="C165" s="113">
        <f>+'OEE REA'!D676</f>
        <v>0</v>
      </c>
      <c r="D165" s="242" t="s">
        <v>1967</v>
      </c>
      <c r="E165" s="109" t="e">
        <f>VLOOKUP(A165,'OEE REA'!A:AO,13,FALSE)</f>
        <v>#N/A</v>
      </c>
      <c r="F165" s="110" t="e">
        <f>VLOOKUP(A165,'OEE REA'!A:AO,11,FALSE)</f>
        <v>#N/A</v>
      </c>
      <c r="G165" s="111" t="str">
        <f t="shared" si="18"/>
        <v/>
      </c>
      <c r="H165" s="110" t="e">
        <f>VLOOKUP(A165,'OEE REA'!A:AO,14,FALSE)</f>
        <v>#N/A</v>
      </c>
      <c r="I165" s="106"/>
      <c r="J165" s="99"/>
      <c r="K165" s="99"/>
      <c r="L165" s="107"/>
      <c r="M165" s="112" t="str">
        <f t="shared" si="14"/>
        <v/>
      </c>
      <c r="N165" s="103" t="str">
        <f t="shared" si="15"/>
        <v/>
      </c>
      <c r="O165" s="103">
        <f>IFERROR('OEE REA'!J676*'SPEED FACTOR REA'!L165,"")</f>
        <v>0</v>
      </c>
      <c r="P165" s="250" t="str">
        <f t="shared" si="16"/>
        <v/>
      </c>
      <c r="R165" s="70" t="e">
        <f t="shared" si="19"/>
        <v>#VALUE!</v>
      </c>
    </row>
    <row r="166" spans="1:18" ht="20.25" x14ac:dyDescent="0.25">
      <c r="A166" s="246">
        <f>+'OEE REA'!A677</f>
        <v>0</v>
      </c>
      <c r="B166" s="99">
        <f t="shared" si="20"/>
        <v>0</v>
      </c>
      <c r="C166" s="113">
        <f>+'OEE REA'!D677</f>
        <v>0</v>
      </c>
      <c r="D166" s="242" t="s">
        <v>1968</v>
      </c>
      <c r="E166" s="109" t="e">
        <f>VLOOKUP(A166,'OEE REA'!A:AO,13,FALSE)</f>
        <v>#N/A</v>
      </c>
      <c r="F166" s="110" t="e">
        <f>VLOOKUP(A166,'OEE REA'!A:AO,11,FALSE)</f>
        <v>#N/A</v>
      </c>
      <c r="G166" s="111" t="str">
        <f t="shared" si="18"/>
        <v/>
      </c>
      <c r="H166" s="110" t="e">
        <f>VLOOKUP(A166,'OEE REA'!A:AO,14,FALSE)</f>
        <v>#N/A</v>
      </c>
      <c r="I166" s="106"/>
      <c r="J166" s="99"/>
      <c r="K166" s="99"/>
      <c r="L166" s="107"/>
      <c r="M166" s="112" t="str">
        <f t="shared" si="14"/>
        <v/>
      </c>
      <c r="N166" s="103" t="str">
        <f t="shared" si="15"/>
        <v/>
      </c>
      <c r="O166" s="103">
        <f>IFERROR('OEE REA'!J677*'SPEED FACTOR REA'!L166,"")</f>
        <v>0</v>
      </c>
      <c r="P166" s="250" t="str">
        <f t="shared" si="16"/>
        <v/>
      </c>
      <c r="R166" s="70" t="e">
        <f t="shared" si="19"/>
        <v>#VALUE!</v>
      </c>
    </row>
    <row r="167" spans="1:18" ht="20.25" x14ac:dyDescent="0.25">
      <c r="A167" s="246">
        <f>+'OEE REA'!A678</f>
        <v>0</v>
      </c>
      <c r="B167" s="99">
        <f t="shared" si="20"/>
        <v>0</v>
      </c>
      <c r="C167" s="113">
        <f>+'OEE REA'!D678</f>
        <v>0</v>
      </c>
      <c r="D167" s="242" t="s">
        <v>1969</v>
      </c>
      <c r="E167" s="109" t="e">
        <f>VLOOKUP(A167,'OEE REA'!A:AO,13,FALSE)</f>
        <v>#N/A</v>
      </c>
      <c r="F167" s="110" t="e">
        <f>VLOOKUP(A167,'OEE REA'!A:AO,11,FALSE)</f>
        <v>#N/A</v>
      </c>
      <c r="G167" s="111" t="str">
        <f t="shared" si="18"/>
        <v/>
      </c>
      <c r="H167" s="110" t="e">
        <f>VLOOKUP(A167,'OEE REA'!A:AO,14,FALSE)</f>
        <v>#N/A</v>
      </c>
      <c r="I167" s="106"/>
      <c r="J167" s="99"/>
      <c r="K167" s="99"/>
      <c r="L167" s="107"/>
      <c r="M167" s="112" t="str">
        <f t="shared" ref="M167:M204" si="21">IFERROR(G167*L167,"")</f>
        <v/>
      </c>
      <c r="N167" s="103" t="str">
        <f t="shared" ref="N167:N204" si="22">IFERROR(F167*L167,"")</f>
        <v/>
      </c>
      <c r="O167" s="103">
        <f>IFERROR('OEE REA'!J678*'SPEED FACTOR REA'!L167,"")</f>
        <v>0</v>
      </c>
      <c r="P167" s="250" t="str">
        <f t="shared" ref="P167:P204" si="23">IFERROR(N167/M167,"")</f>
        <v/>
      </c>
      <c r="R167" s="70" t="e">
        <f t="shared" si="19"/>
        <v>#VALUE!</v>
      </c>
    </row>
    <row r="168" spans="1:18" ht="20.25" x14ac:dyDescent="0.25">
      <c r="A168" s="246">
        <f>+'OEE REA'!A679</f>
        <v>0</v>
      </c>
      <c r="B168" s="99">
        <f t="shared" si="20"/>
        <v>0</v>
      </c>
      <c r="C168" s="113">
        <f>+'OEE REA'!D679</f>
        <v>0</v>
      </c>
      <c r="D168" s="242" t="s">
        <v>1970</v>
      </c>
      <c r="E168" s="109" t="e">
        <f>VLOOKUP(A168,'OEE REA'!A:AO,13,FALSE)</f>
        <v>#N/A</v>
      </c>
      <c r="F168" s="110" t="e">
        <f>VLOOKUP(A168,'OEE REA'!A:AO,11,FALSE)</f>
        <v>#N/A</v>
      </c>
      <c r="G168" s="111" t="str">
        <f t="shared" si="18"/>
        <v/>
      </c>
      <c r="H168" s="110" t="e">
        <f>VLOOKUP(A168,'OEE REA'!A:AO,14,FALSE)</f>
        <v>#N/A</v>
      </c>
      <c r="I168" s="106"/>
      <c r="J168" s="99"/>
      <c r="K168" s="99"/>
      <c r="L168" s="107"/>
      <c r="M168" s="112" t="str">
        <f t="shared" si="21"/>
        <v/>
      </c>
      <c r="N168" s="103" t="str">
        <f t="shared" si="22"/>
        <v/>
      </c>
      <c r="O168" s="103">
        <f>IFERROR('OEE REA'!J679*'SPEED FACTOR REA'!L168,"")</f>
        <v>0</v>
      </c>
      <c r="P168" s="250" t="str">
        <f t="shared" si="23"/>
        <v/>
      </c>
      <c r="R168" s="70" t="e">
        <f t="shared" si="19"/>
        <v>#VALUE!</v>
      </c>
    </row>
    <row r="169" spans="1:18" ht="20.25" x14ac:dyDescent="0.25">
      <c r="A169" s="246">
        <f>+'OEE REA'!A680</f>
        <v>0</v>
      </c>
      <c r="B169" s="99">
        <f t="shared" si="20"/>
        <v>0</v>
      </c>
      <c r="C169" s="113">
        <f>+'OEE REA'!D680</f>
        <v>0</v>
      </c>
      <c r="D169" s="242" t="s">
        <v>1971</v>
      </c>
      <c r="E169" s="109" t="e">
        <f>VLOOKUP(A169,'OEE REA'!A:AO,13,FALSE)</f>
        <v>#N/A</v>
      </c>
      <c r="F169" s="110" t="e">
        <f>VLOOKUP(A169,'OEE REA'!A:AO,11,FALSE)</f>
        <v>#N/A</v>
      </c>
      <c r="G169" s="111" t="str">
        <f t="shared" si="18"/>
        <v/>
      </c>
      <c r="H169" s="110" t="e">
        <f>VLOOKUP(A169,'OEE REA'!A:AO,14,FALSE)</f>
        <v>#N/A</v>
      </c>
      <c r="I169" s="106"/>
      <c r="J169" s="99"/>
      <c r="K169" s="99"/>
      <c r="L169" s="107"/>
      <c r="M169" s="112" t="str">
        <f t="shared" si="21"/>
        <v/>
      </c>
      <c r="N169" s="103" t="str">
        <f t="shared" si="22"/>
        <v/>
      </c>
      <c r="O169" s="103">
        <f>IFERROR('OEE REA'!J680*'SPEED FACTOR REA'!L169,"")</f>
        <v>0</v>
      </c>
      <c r="P169" s="250" t="str">
        <f t="shared" si="23"/>
        <v/>
      </c>
      <c r="R169" s="70" t="e">
        <f t="shared" si="19"/>
        <v>#VALUE!</v>
      </c>
    </row>
    <row r="170" spans="1:18" ht="20.25" x14ac:dyDescent="0.25">
      <c r="A170" s="246">
        <f>+'OEE REA'!A681</f>
        <v>0</v>
      </c>
      <c r="B170" s="99">
        <f t="shared" si="20"/>
        <v>0</v>
      </c>
      <c r="C170" s="113">
        <f>+'OEE REA'!D681</f>
        <v>0</v>
      </c>
      <c r="D170" s="242" t="s">
        <v>1972</v>
      </c>
      <c r="E170" s="109" t="e">
        <f>VLOOKUP(A170,'OEE REA'!A:AO,13,FALSE)</f>
        <v>#N/A</v>
      </c>
      <c r="F170" s="110" t="e">
        <f>VLOOKUP(A170,'OEE REA'!A:AO,11,FALSE)</f>
        <v>#N/A</v>
      </c>
      <c r="G170" s="111" t="str">
        <f t="shared" si="18"/>
        <v/>
      </c>
      <c r="H170" s="110" t="e">
        <f>VLOOKUP(A170,'OEE REA'!A:AO,14,FALSE)</f>
        <v>#N/A</v>
      </c>
      <c r="I170" s="106"/>
      <c r="J170" s="99"/>
      <c r="K170" s="99"/>
      <c r="L170" s="107"/>
      <c r="M170" s="112" t="str">
        <f t="shared" si="21"/>
        <v/>
      </c>
      <c r="N170" s="103" t="str">
        <f t="shared" si="22"/>
        <v/>
      </c>
      <c r="O170" s="103">
        <f>IFERROR('OEE REA'!J681*'SPEED FACTOR REA'!L170,"")</f>
        <v>0</v>
      </c>
      <c r="P170" s="250" t="str">
        <f t="shared" si="23"/>
        <v/>
      </c>
      <c r="R170" s="70" t="e">
        <f t="shared" si="19"/>
        <v>#VALUE!</v>
      </c>
    </row>
    <row r="171" spans="1:18" ht="20.25" x14ac:dyDescent="0.25">
      <c r="A171" s="246">
        <f>+'OEE REA'!A682</f>
        <v>0</v>
      </c>
      <c r="B171" s="99">
        <f t="shared" si="20"/>
        <v>0</v>
      </c>
      <c r="C171" s="113">
        <f>+'OEE REA'!D682</f>
        <v>0</v>
      </c>
      <c r="D171" s="242" t="s">
        <v>1973</v>
      </c>
      <c r="E171" s="109" t="e">
        <f>VLOOKUP(A171,'OEE REA'!A:AO,13,FALSE)</f>
        <v>#N/A</v>
      </c>
      <c r="F171" s="110" t="e">
        <f>VLOOKUP(A171,'OEE REA'!A:AO,11,FALSE)</f>
        <v>#N/A</v>
      </c>
      <c r="G171" s="111" t="str">
        <f t="shared" si="18"/>
        <v/>
      </c>
      <c r="H171" s="110" t="e">
        <f>VLOOKUP(A171,'OEE REA'!A:AO,14,FALSE)</f>
        <v>#N/A</v>
      </c>
      <c r="I171" s="106"/>
      <c r="J171" s="99"/>
      <c r="K171" s="99"/>
      <c r="L171" s="107"/>
      <c r="M171" s="112" t="str">
        <f t="shared" si="21"/>
        <v/>
      </c>
      <c r="N171" s="103" t="str">
        <f t="shared" si="22"/>
        <v/>
      </c>
      <c r="O171" s="103">
        <f>IFERROR('OEE REA'!J682*'SPEED FACTOR REA'!L171,"")</f>
        <v>0</v>
      </c>
      <c r="P171" s="250" t="str">
        <f t="shared" si="23"/>
        <v/>
      </c>
      <c r="R171" s="70" t="e">
        <f t="shared" si="19"/>
        <v>#VALUE!</v>
      </c>
    </row>
    <row r="172" spans="1:18" ht="20.25" x14ac:dyDescent="0.25">
      <c r="A172" s="246">
        <f>+'OEE REA'!A683</f>
        <v>0</v>
      </c>
      <c r="B172" s="99">
        <f t="shared" si="20"/>
        <v>0</v>
      </c>
      <c r="C172" s="113">
        <f>+'OEE REA'!D683</f>
        <v>0</v>
      </c>
      <c r="D172" s="242" t="s">
        <v>1974</v>
      </c>
      <c r="E172" s="109" t="e">
        <f>VLOOKUP(A172,'OEE REA'!A:AO,13,FALSE)</f>
        <v>#N/A</v>
      </c>
      <c r="F172" s="110" t="e">
        <f>VLOOKUP(A172,'OEE REA'!A:AO,11,FALSE)</f>
        <v>#N/A</v>
      </c>
      <c r="G172" s="111" t="str">
        <f t="shared" si="18"/>
        <v/>
      </c>
      <c r="H172" s="110" t="e">
        <f>VLOOKUP(A172,'OEE REA'!A:AO,14,FALSE)</f>
        <v>#N/A</v>
      </c>
      <c r="I172" s="106"/>
      <c r="J172" s="99"/>
      <c r="K172" s="99"/>
      <c r="L172" s="107"/>
      <c r="M172" s="112" t="str">
        <f t="shared" si="21"/>
        <v/>
      </c>
      <c r="N172" s="103" t="str">
        <f t="shared" si="22"/>
        <v/>
      </c>
      <c r="O172" s="103">
        <f>IFERROR('OEE REA'!J683*'SPEED FACTOR REA'!L172,"")</f>
        <v>0</v>
      </c>
      <c r="P172" s="250" t="str">
        <f t="shared" si="23"/>
        <v/>
      </c>
      <c r="R172" s="70" t="e">
        <f t="shared" si="19"/>
        <v>#VALUE!</v>
      </c>
    </row>
    <row r="173" spans="1:18" ht="20.25" x14ac:dyDescent="0.25">
      <c r="A173" s="246">
        <f>+'OEE REA'!A684</f>
        <v>0</v>
      </c>
      <c r="B173" s="99">
        <f t="shared" si="20"/>
        <v>0</v>
      </c>
      <c r="C173" s="113">
        <f>+'OEE REA'!D684</f>
        <v>0</v>
      </c>
      <c r="D173" s="242" t="s">
        <v>1975</v>
      </c>
      <c r="E173" s="109" t="e">
        <f>VLOOKUP(A173,'OEE REA'!A:AO,13,FALSE)</f>
        <v>#N/A</v>
      </c>
      <c r="F173" s="110" t="e">
        <f>VLOOKUP(A173,'OEE REA'!A:AO,11,FALSE)</f>
        <v>#N/A</v>
      </c>
      <c r="G173" s="111" t="str">
        <f t="shared" si="18"/>
        <v/>
      </c>
      <c r="H173" s="110" t="e">
        <f>VLOOKUP(A173,'OEE REA'!A:AO,14,FALSE)</f>
        <v>#N/A</v>
      </c>
      <c r="I173" s="106"/>
      <c r="J173" s="99"/>
      <c r="K173" s="99"/>
      <c r="L173" s="107"/>
      <c r="M173" s="112" t="str">
        <f t="shared" si="21"/>
        <v/>
      </c>
      <c r="N173" s="103" t="str">
        <f t="shared" si="22"/>
        <v/>
      </c>
      <c r="O173" s="103">
        <f>IFERROR('OEE REA'!J684*'SPEED FACTOR REA'!L173,"")</f>
        <v>0</v>
      </c>
      <c r="P173" s="250" t="str">
        <f t="shared" si="23"/>
        <v/>
      </c>
      <c r="R173" s="70" t="e">
        <f t="shared" si="19"/>
        <v>#VALUE!</v>
      </c>
    </row>
    <row r="174" spans="1:18" ht="20.25" x14ac:dyDescent="0.25">
      <c r="A174" s="246">
        <f>+'OEE REA'!A685</f>
        <v>0</v>
      </c>
      <c r="B174" s="99">
        <f t="shared" si="20"/>
        <v>0</v>
      </c>
      <c r="C174" s="113">
        <f>+'OEE REA'!D685</f>
        <v>0</v>
      </c>
      <c r="D174" s="242" t="s">
        <v>1976</v>
      </c>
      <c r="E174" s="109" t="e">
        <f>VLOOKUP(A174,'OEE REA'!A:AO,13,FALSE)</f>
        <v>#N/A</v>
      </c>
      <c r="F174" s="110" t="e">
        <f>VLOOKUP(A174,'OEE REA'!A:AO,11,FALSE)</f>
        <v>#N/A</v>
      </c>
      <c r="G174" s="111" t="str">
        <f t="shared" si="18"/>
        <v/>
      </c>
      <c r="H174" s="110" t="e">
        <f>VLOOKUP(A174,'OEE REA'!A:AO,14,FALSE)</f>
        <v>#N/A</v>
      </c>
      <c r="I174" s="106"/>
      <c r="J174" s="99"/>
      <c r="K174" s="99"/>
      <c r="L174" s="107"/>
      <c r="M174" s="112" t="str">
        <f t="shared" si="21"/>
        <v/>
      </c>
      <c r="N174" s="103" t="str">
        <f t="shared" si="22"/>
        <v/>
      </c>
      <c r="O174" s="103">
        <f>IFERROR('OEE REA'!J685*'SPEED FACTOR REA'!L174,"")</f>
        <v>0</v>
      </c>
      <c r="P174" s="250" t="str">
        <f t="shared" si="23"/>
        <v/>
      </c>
      <c r="R174" s="70" t="e">
        <f t="shared" si="19"/>
        <v>#VALUE!</v>
      </c>
    </row>
    <row r="175" spans="1:18" ht="20.25" x14ac:dyDescent="0.25">
      <c r="A175" s="246">
        <f>+'OEE REA'!A686</f>
        <v>0</v>
      </c>
      <c r="B175" s="99">
        <f t="shared" si="20"/>
        <v>0</v>
      </c>
      <c r="C175" s="113">
        <f>+'OEE REA'!D686</f>
        <v>0</v>
      </c>
      <c r="D175" s="242" t="s">
        <v>1977</v>
      </c>
      <c r="E175" s="109" t="e">
        <f>VLOOKUP(A175,'OEE REA'!A:AO,13,FALSE)</f>
        <v>#N/A</v>
      </c>
      <c r="F175" s="110" t="e">
        <f>VLOOKUP(A175,'OEE REA'!A:AO,11,FALSE)</f>
        <v>#N/A</v>
      </c>
      <c r="G175" s="111" t="str">
        <f t="shared" si="18"/>
        <v/>
      </c>
      <c r="H175" s="110" t="e">
        <f>VLOOKUP(A175,'OEE REA'!A:AO,14,FALSE)</f>
        <v>#N/A</v>
      </c>
      <c r="I175" s="106"/>
      <c r="J175" s="99"/>
      <c r="K175" s="99"/>
      <c r="L175" s="107"/>
      <c r="M175" s="112" t="str">
        <f t="shared" si="21"/>
        <v/>
      </c>
      <c r="N175" s="103" t="str">
        <f t="shared" si="22"/>
        <v/>
      </c>
      <c r="O175" s="103">
        <f>IFERROR('OEE REA'!J686*'SPEED FACTOR REA'!L175,"")</f>
        <v>0</v>
      </c>
      <c r="P175" s="250" t="str">
        <f t="shared" si="23"/>
        <v/>
      </c>
      <c r="R175" s="70" t="e">
        <f t="shared" si="19"/>
        <v>#VALUE!</v>
      </c>
    </row>
    <row r="176" spans="1:18" ht="20.25" x14ac:dyDescent="0.25">
      <c r="A176" s="246">
        <f>+'OEE REA'!A687</f>
        <v>0</v>
      </c>
      <c r="B176" s="99">
        <f t="shared" si="20"/>
        <v>0</v>
      </c>
      <c r="C176" s="113">
        <f>+'OEE REA'!D687</f>
        <v>0</v>
      </c>
      <c r="D176" s="242" t="s">
        <v>1978</v>
      </c>
      <c r="E176" s="109" t="e">
        <f>VLOOKUP(A176,'OEE REA'!A:AO,13,FALSE)</f>
        <v>#N/A</v>
      </c>
      <c r="F176" s="110" t="e">
        <f>VLOOKUP(A176,'OEE REA'!A:AO,11,FALSE)</f>
        <v>#N/A</v>
      </c>
      <c r="G176" s="111" t="str">
        <f t="shared" si="18"/>
        <v/>
      </c>
      <c r="H176" s="110" t="e">
        <f>VLOOKUP(A176,'OEE REA'!A:AO,14,FALSE)</f>
        <v>#N/A</v>
      </c>
      <c r="I176" s="106"/>
      <c r="J176" s="99"/>
      <c r="K176" s="99"/>
      <c r="L176" s="107"/>
      <c r="M176" s="112" t="str">
        <f t="shared" si="21"/>
        <v/>
      </c>
      <c r="N176" s="103" t="str">
        <f t="shared" si="22"/>
        <v/>
      </c>
      <c r="O176" s="103">
        <f>IFERROR('OEE REA'!J687*'SPEED FACTOR REA'!L176,"")</f>
        <v>0</v>
      </c>
      <c r="P176" s="250" t="str">
        <f t="shared" si="23"/>
        <v/>
      </c>
      <c r="R176" s="70" t="e">
        <f t="shared" si="19"/>
        <v>#VALUE!</v>
      </c>
    </row>
    <row r="177" spans="1:18" ht="20.25" x14ac:dyDescent="0.25">
      <c r="A177" s="246">
        <f>+'OEE REA'!A688</f>
        <v>0</v>
      </c>
      <c r="B177" s="99">
        <f t="shared" si="20"/>
        <v>0</v>
      </c>
      <c r="C177" s="113">
        <f>+'OEE REA'!D688</f>
        <v>0</v>
      </c>
      <c r="D177" s="242" t="s">
        <v>1979</v>
      </c>
      <c r="E177" s="109" t="e">
        <f>VLOOKUP(A177,'OEE REA'!A:AO,13,FALSE)</f>
        <v>#N/A</v>
      </c>
      <c r="F177" s="110" t="e">
        <f>VLOOKUP(A177,'OEE REA'!A:AO,11,FALSE)</f>
        <v>#N/A</v>
      </c>
      <c r="G177" s="111" t="str">
        <f t="shared" si="18"/>
        <v/>
      </c>
      <c r="H177" s="110" t="e">
        <f>VLOOKUP(A177,'OEE REA'!A:AO,14,FALSE)</f>
        <v>#N/A</v>
      </c>
      <c r="I177" s="106"/>
      <c r="J177" s="99"/>
      <c r="K177" s="99"/>
      <c r="L177" s="107"/>
      <c r="M177" s="112" t="str">
        <f t="shared" si="21"/>
        <v/>
      </c>
      <c r="N177" s="103" t="str">
        <f t="shared" si="22"/>
        <v/>
      </c>
      <c r="O177" s="103">
        <f>IFERROR('OEE REA'!J688*'SPEED FACTOR REA'!L177,"")</f>
        <v>0</v>
      </c>
      <c r="P177" s="250" t="str">
        <f t="shared" si="23"/>
        <v/>
      </c>
      <c r="R177" s="70" t="e">
        <f t="shared" si="19"/>
        <v>#VALUE!</v>
      </c>
    </row>
    <row r="178" spans="1:18" ht="20.25" x14ac:dyDescent="0.25">
      <c r="A178" s="246">
        <f>+'OEE REA'!A689</f>
        <v>0</v>
      </c>
      <c r="B178" s="99">
        <f t="shared" si="20"/>
        <v>0</v>
      </c>
      <c r="C178" s="113">
        <f>+'OEE REA'!D689</f>
        <v>0</v>
      </c>
      <c r="D178" s="242" t="s">
        <v>1980</v>
      </c>
      <c r="E178" s="109" t="e">
        <f>VLOOKUP(A178,'OEE REA'!A:AO,13,FALSE)</f>
        <v>#N/A</v>
      </c>
      <c r="F178" s="110" t="e">
        <f>VLOOKUP(A178,'OEE REA'!A:AO,11,FALSE)</f>
        <v>#N/A</v>
      </c>
      <c r="G178" s="111" t="str">
        <f t="shared" si="18"/>
        <v/>
      </c>
      <c r="H178" s="110" t="e">
        <f>VLOOKUP(A178,'OEE REA'!A:AO,14,FALSE)</f>
        <v>#N/A</v>
      </c>
      <c r="I178" s="106"/>
      <c r="J178" s="99"/>
      <c r="K178" s="99"/>
      <c r="L178" s="107"/>
      <c r="M178" s="112" t="str">
        <f t="shared" si="21"/>
        <v/>
      </c>
      <c r="N178" s="103" t="str">
        <f t="shared" si="22"/>
        <v/>
      </c>
      <c r="O178" s="103">
        <f>IFERROR('OEE REA'!J689*'SPEED FACTOR REA'!L178,"")</f>
        <v>0</v>
      </c>
      <c r="P178" s="250" t="str">
        <f t="shared" si="23"/>
        <v/>
      </c>
      <c r="R178" s="70" t="e">
        <f t="shared" si="19"/>
        <v>#VALUE!</v>
      </c>
    </row>
    <row r="179" spans="1:18" ht="20.25" x14ac:dyDescent="0.25">
      <c r="A179" s="246">
        <f>+'OEE REA'!A690</f>
        <v>0</v>
      </c>
      <c r="B179" s="99">
        <f t="shared" ref="B179:B189" si="24">WEEKNUM(C179)</f>
        <v>0</v>
      </c>
      <c r="C179" s="113">
        <f>+'OEE REA'!D690</f>
        <v>0</v>
      </c>
      <c r="D179" s="242" t="s">
        <v>1981</v>
      </c>
      <c r="E179" s="109" t="e">
        <f>VLOOKUP(A179,'OEE REA'!A:AO,13,FALSE)</f>
        <v>#N/A</v>
      </c>
      <c r="F179" s="110" t="e">
        <f>VLOOKUP(A179,'OEE REA'!A:AO,11,FALSE)</f>
        <v>#N/A</v>
      </c>
      <c r="G179" s="111" t="str">
        <f t="shared" si="18"/>
        <v/>
      </c>
      <c r="H179" s="110" t="e">
        <f>VLOOKUP(A179,'OEE REA'!A:AO,14,FALSE)</f>
        <v>#N/A</v>
      </c>
      <c r="I179" s="106"/>
      <c r="J179" s="99"/>
      <c r="K179" s="99"/>
      <c r="L179" s="107"/>
      <c r="M179" s="112" t="str">
        <f t="shared" si="21"/>
        <v/>
      </c>
      <c r="N179" s="103" t="str">
        <f t="shared" si="22"/>
        <v/>
      </c>
      <c r="O179" s="103">
        <f>IFERROR('OEE REA'!J690*'SPEED FACTOR REA'!L179,"")</f>
        <v>0</v>
      </c>
      <c r="P179" s="250" t="str">
        <f t="shared" si="23"/>
        <v/>
      </c>
      <c r="R179" s="70" t="e">
        <f t="shared" si="19"/>
        <v>#VALUE!</v>
      </c>
    </row>
    <row r="180" spans="1:18" ht="20.25" x14ac:dyDescent="0.25">
      <c r="A180" s="246">
        <f>+'OEE REA'!A691</f>
        <v>0</v>
      </c>
      <c r="B180" s="99">
        <f t="shared" si="24"/>
        <v>0</v>
      </c>
      <c r="C180" s="113">
        <f>+'OEE REA'!D691</f>
        <v>0</v>
      </c>
      <c r="D180" s="242" t="s">
        <v>1982</v>
      </c>
      <c r="E180" s="109" t="e">
        <f>VLOOKUP(A180,'OEE REA'!A:AO,13,FALSE)</f>
        <v>#N/A</v>
      </c>
      <c r="F180" s="110" t="e">
        <f>VLOOKUP(A180,'OEE REA'!A:AO,11,FALSE)</f>
        <v>#N/A</v>
      </c>
      <c r="G180" s="111" t="str">
        <f t="shared" si="18"/>
        <v/>
      </c>
      <c r="H180" s="110" t="e">
        <f>VLOOKUP(A180,'OEE REA'!A:AO,14,FALSE)</f>
        <v>#N/A</v>
      </c>
      <c r="I180" s="106"/>
      <c r="J180" s="99"/>
      <c r="K180" s="99"/>
      <c r="L180" s="107"/>
      <c r="M180" s="112" t="str">
        <f t="shared" si="21"/>
        <v/>
      </c>
      <c r="N180" s="103" t="str">
        <f t="shared" si="22"/>
        <v/>
      </c>
      <c r="O180" s="103">
        <f>IFERROR('OEE REA'!J691*'SPEED FACTOR REA'!L180,"")</f>
        <v>0</v>
      </c>
      <c r="P180" s="250" t="str">
        <f t="shared" si="23"/>
        <v/>
      </c>
      <c r="R180" s="70" t="e">
        <f t="shared" si="19"/>
        <v>#VALUE!</v>
      </c>
    </row>
    <row r="181" spans="1:18" ht="20.25" x14ac:dyDescent="0.25">
      <c r="A181" s="246">
        <f>+'OEE REA'!A692</f>
        <v>0</v>
      </c>
      <c r="B181" s="99">
        <f t="shared" si="24"/>
        <v>0</v>
      </c>
      <c r="C181" s="113">
        <f>+'OEE REA'!D692</f>
        <v>0</v>
      </c>
      <c r="D181" s="242" t="s">
        <v>1983</v>
      </c>
      <c r="E181" s="109" t="e">
        <f>VLOOKUP(A181,'OEE REA'!A:AO,13,FALSE)</f>
        <v>#N/A</v>
      </c>
      <c r="F181" s="110" t="e">
        <f>VLOOKUP(A181,'OEE REA'!A:AO,11,FALSE)</f>
        <v>#N/A</v>
      </c>
      <c r="G181" s="111" t="str">
        <f t="shared" si="18"/>
        <v/>
      </c>
      <c r="H181" s="110" t="e">
        <f>VLOOKUP(A181,'OEE REA'!A:AO,14,FALSE)</f>
        <v>#N/A</v>
      </c>
      <c r="I181" s="106"/>
      <c r="J181" s="99"/>
      <c r="K181" s="99"/>
      <c r="L181" s="107"/>
      <c r="M181" s="112" t="str">
        <f t="shared" si="21"/>
        <v/>
      </c>
      <c r="N181" s="103" t="str">
        <f t="shared" si="22"/>
        <v/>
      </c>
      <c r="O181" s="103">
        <f>IFERROR('OEE REA'!J692*'SPEED FACTOR REA'!L181,"")</f>
        <v>0</v>
      </c>
      <c r="P181" s="250" t="str">
        <f t="shared" si="23"/>
        <v/>
      </c>
      <c r="R181" s="70" t="e">
        <f t="shared" si="19"/>
        <v>#VALUE!</v>
      </c>
    </row>
    <row r="182" spans="1:18" ht="20.25" x14ac:dyDescent="0.25">
      <c r="A182" s="246">
        <f>+'OEE REA'!A693</f>
        <v>0</v>
      </c>
      <c r="B182" s="99">
        <f t="shared" si="24"/>
        <v>0</v>
      </c>
      <c r="C182" s="113">
        <f>+'OEE REA'!D693</f>
        <v>0</v>
      </c>
      <c r="D182" s="242" t="s">
        <v>1984</v>
      </c>
      <c r="E182" s="109" t="e">
        <f>VLOOKUP(A182,'OEE REA'!A:AO,13,FALSE)</f>
        <v>#N/A</v>
      </c>
      <c r="F182" s="110" t="e">
        <f>VLOOKUP(A182,'OEE REA'!A:AO,11,FALSE)</f>
        <v>#N/A</v>
      </c>
      <c r="G182" s="111" t="str">
        <f t="shared" si="18"/>
        <v/>
      </c>
      <c r="H182" s="110" t="e">
        <f>VLOOKUP(A182,'OEE REA'!A:AO,14,FALSE)</f>
        <v>#N/A</v>
      </c>
      <c r="I182" s="106"/>
      <c r="J182" s="99"/>
      <c r="K182" s="99"/>
      <c r="L182" s="107"/>
      <c r="M182" s="112" t="str">
        <f t="shared" si="21"/>
        <v/>
      </c>
      <c r="N182" s="103" t="str">
        <f t="shared" si="22"/>
        <v/>
      </c>
      <c r="O182" s="103">
        <f>IFERROR('OEE REA'!J693*'SPEED FACTOR REA'!L182,"")</f>
        <v>0</v>
      </c>
      <c r="P182" s="250" t="str">
        <f t="shared" si="23"/>
        <v/>
      </c>
      <c r="R182" s="70" t="e">
        <f t="shared" si="19"/>
        <v>#VALUE!</v>
      </c>
    </row>
    <row r="183" spans="1:18" ht="20.25" x14ac:dyDescent="0.25">
      <c r="A183" s="246">
        <f>+'OEE REA'!A694</f>
        <v>0</v>
      </c>
      <c r="B183" s="99">
        <f t="shared" si="24"/>
        <v>0</v>
      </c>
      <c r="C183" s="113">
        <f>+'OEE REA'!D694</f>
        <v>0</v>
      </c>
      <c r="D183" s="242" t="s">
        <v>1985</v>
      </c>
      <c r="E183" s="109" t="e">
        <f>VLOOKUP(A183,'OEE REA'!A:AO,13,FALSE)</f>
        <v>#N/A</v>
      </c>
      <c r="F183" s="110" t="e">
        <f>VLOOKUP(A183,'OEE REA'!A:AO,11,FALSE)</f>
        <v>#N/A</v>
      </c>
      <c r="G183" s="111" t="str">
        <f t="shared" si="18"/>
        <v/>
      </c>
      <c r="H183" s="110" t="e">
        <f>VLOOKUP(A183,'OEE REA'!A:AO,14,FALSE)</f>
        <v>#N/A</v>
      </c>
      <c r="I183" s="106"/>
      <c r="J183" s="99"/>
      <c r="K183" s="99"/>
      <c r="L183" s="107"/>
      <c r="M183" s="112" t="str">
        <f t="shared" si="21"/>
        <v/>
      </c>
      <c r="N183" s="103" t="str">
        <f t="shared" si="22"/>
        <v/>
      </c>
      <c r="O183" s="103">
        <f>IFERROR('OEE REA'!J694*'SPEED FACTOR REA'!L183,"")</f>
        <v>0</v>
      </c>
      <c r="P183" s="250" t="str">
        <f t="shared" si="23"/>
        <v/>
      </c>
      <c r="R183" s="70" t="e">
        <f t="shared" si="19"/>
        <v>#VALUE!</v>
      </c>
    </row>
    <row r="184" spans="1:18" ht="20.25" x14ac:dyDescent="0.25">
      <c r="A184" s="246">
        <f>+'OEE REA'!A695</f>
        <v>0</v>
      </c>
      <c r="B184" s="99">
        <f t="shared" si="24"/>
        <v>0</v>
      </c>
      <c r="C184" s="113">
        <f>+'OEE REA'!D695</f>
        <v>0</v>
      </c>
      <c r="D184" s="242" t="s">
        <v>1986</v>
      </c>
      <c r="E184" s="109" t="e">
        <f>VLOOKUP(A184,'OEE REA'!A:AO,13,FALSE)</f>
        <v>#N/A</v>
      </c>
      <c r="F184" s="110" t="e">
        <f>VLOOKUP(A184,'OEE REA'!A:AO,11,FALSE)</f>
        <v>#N/A</v>
      </c>
      <c r="G184" s="111" t="str">
        <f t="shared" si="18"/>
        <v/>
      </c>
      <c r="H184" s="110" t="e">
        <f>VLOOKUP(A184,'OEE REA'!A:AO,14,FALSE)</f>
        <v>#N/A</v>
      </c>
      <c r="I184" s="106"/>
      <c r="J184" s="99"/>
      <c r="K184" s="99"/>
      <c r="L184" s="107"/>
      <c r="M184" s="112" t="str">
        <f t="shared" si="21"/>
        <v/>
      </c>
      <c r="N184" s="103" t="str">
        <f t="shared" si="22"/>
        <v/>
      </c>
      <c r="O184" s="103">
        <f>IFERROR('OEE REA'!J695*'SPEED FACTOR REA'!L184,"")</f>
        <v>0</v>
      </c>
      <c r="P184" s="250" t="str">
        <f t="shared" si="23"/>
        <v/>
      </c>
      <c r="R184" s="70" t="e">
        <f t="shared" si="19"/>
        <v>#VALUE!</v>
      </c>
    </row>
    <row r="185" spans="1:18" ht="20.25" x14ac:dyDescent="0.25">
      <c r="A185" s="246">
        <f>+'OEE REA'!A696</f>
        <v>0</v>
      </c>
      <c r="B185" s="99">
        <f t="shared" si="24"/>
        <v>0</v>
      </c>
      <c r="C185" s="113">
        <f>+'OEE REA'!D696</f>
        <v>0</v>
      </c>
      <c r="D185" s="242" t="s">
        <v>1987</v>
      </c>
      <c r="E185" s="109" t="e">
        <f>VLOOKUP(A185,'OEE REA'!A:AO,13,FALSE)</f>
        <v>#N/A</v>
      </c>
      <c r="F185" s="110" t="e">
        <f>VLOOKUP(A185,'OEE REA'!A:AO,11,FALSE)</f>
        <v>#N/A</v>
      </c>
      <c r="G185" s="111" t="str">
        <f t="shared" si="18"/>
        <v/>
      </c>
      <c r="H185" s="110" t="e">
        <f>VLOOKUP(A185,'OEE REA'!A:AO,14,FALSE)</f>
        <v>#N/A</v>
      </c>
      <c r="I185" s="106"/>
      <c r="J185" s="99"/>
      <c r="K185" s="99"/>
      <c r="L185" s="107"/>
      <c r="M185" s="112" t="str">
        <f t="shared" si="21"/>
        <v/>
      </c>
      <c r="N185" s="103" t="str">
        <f t="shared" si="22"/>
        <v/>
      </c>
      <c r="O185" s="103">
        <f>IFERROR('OEE REA'!J696*'SPEED FACTOR REA'!L185,"")</f>
        <v>0</v>
      </c>
      <c r="P185" s="250" t="str">
        <f t="shared" si="23"/>
        <v/>
      </c>
      <c r="R185" s="70" t="e">
        <f t="shared" si="19"/>
        <v>#VALUE!</v>
      </c>
    </row>
    <row r="186" spans="1:18" ht="20.25" x14ac:dyDescent="0.25">
      <c r="A186" s="246">
        <f>+'OEE REA'!A697</f>
        <v>0</v>
      </c>
      <c r="B186" s="99">
        <f t="shared" ref="B186:B187" si="25">WEEKNUM(C186)</f>
        <v>0</v>
      </c>
      <c r="C186" s="113">
        <f>+'OEE REA'!D697</f>
        <v>0</v>
      </c>
      <c r="D186" s="242" t="s">
        <v>1988</v>
      </c>
      <c r="E186" s="109" t="e">
        <f>VLOOKUP(A186,'OEE REA'!A:AO,13,FALSE)</f>
        <v>#N/A</v>
      </c>
      <c r="F186" s="110" t="e">
        <f>VLOOKUP(A186,'OEE REA'!A:AO,11,FALSE)</f>
        <v>#N/A</v>
      </c>
      <c r="G186" s="111" t="str">
        <f t="shared" si="18"/>
        <v/>
      </c>
      <c r="H186" s="110" t="e">
        <f>VLOOKUP(A186,'OEE REA'!A:AO,14,FALSE)</f>
        <v>#N/A</v>
      </c>
      <c r="I186" s="106"/>
      <c r="J186" s="99"/>
      <c r="K186" s="99"/>
      <c r="L186" s="107"/>
      <c r="M186" s="112" t="str">
        <f t="shared" si="21"/>
        <v/>
      </c>
      <c r="N186" s="103" t="str">
        <f t="shared" si="22"/>
        <v/>
      </c>
      <c r="O186" s="103">
        <f>IFERROR('OEE REA'!J697*'SPEED FACTOR REA'!L186,"")</f>
        <v>0</v>
      </c>
      <c r="P186" s="250" t="str">
        <f t="shared" si="23"/>
        <v/>
      </c>
      <c r="R186" s="70" t="e">
        <f t="shared" si="19"/>
        <v>#VALUE!</v>
      </c>
    </row>
    <row r="187" spans="1:18" ht="20.25" x14ac:dyDescent="0.25">
      <c r="A187" s="246">
        <f>+'OEE REA'!A698</f>
        <v>0</v>
      </c>
      <c r="B187" s="99">
        <f t="shared" si="25"/>
        <v>0</v>
      </c>
      <c r="C187" s="113">
        <f>+'OEE REA'!D698</f>
        <v>0</v>
      </c>
      <c r="D187" s="242" t="s">
        <v>1989</v>
      </c>
      <c r="E187" s="109" t="e">
        <f>VLOOKUP(A187,'OEE REA'!A:AO,13,FALSE)</f>
        <v>#N/A</v>
      </c>
      <c r="F187" s="110" t="e">
        <f>VLOOKUP(A187,'OEE REA'!A:AO,11,FALSE)</f>
        <v>#N/A</v>
      </c>
      <c r="G187" s="111" t="str">
        <f t="shared" si="18"/>
        <v/>
      </c>
      <c r="H187" s="110" t="e">
        <f>VLOOKUP(A187,'OEE REA'!A:AO,14,FALSE)</f>
        <v>#N/A</v>
      </c>
      <c r="I187" s="106"/>
      <c r="J187" s="99"/>
      <c r="K187" s="99"/>
      <c r="L187" s="107"/>
      <c r="M187" s="112" t="str">
        <f t="shared" si="21"/>
        <v/>
      </c>
      <c r="N187" s="103" t="str">
        <f t="shared" si="22"/>
        <v/>
      </c>
      <c r="O187" s="103">
        <f>IFERROR('OEE REA'!J698*'SPEED FACTOR REA'!L187,"")</f>
        <v>0</v>
      </c>
      <c r="P187" s="250" t="str">
        <f t="shared" si="23"/>
        <v/>
      </c>
      <c r="R187" s="70" t="e">
        <f t="shared" si="19"/>
        <v>#VALUE!</v>
      </c>
    </row>
    <row r="188" spans="1:18" ht="20.25" x14ac:dyDescent="0.25">
      <c r="A188" s="246">
        <f>+'OEE REA'!A699</f>
        <v>0</v>
      </c>
      <c r="B188" s="99">
        <f t="shared" si="24"/>
        <v>0</v>
      </c>
      <c r="C188" s="113">
        <f>+'OEE REA'!D699</f>
        <v>0</v>
      </c>
      <c r="D188" s="242" t="s">
        <v>1990</v>
      </c>
      <c r="E188" s="109" t="e">
        <f>VLOOKUP(A188,'OEE REA'!A:AO,13,FALSE)</f>
        <v>#N/A</v>
      </c>
      <c r="F188" s="110" t="e">
        <f>VLOOKUP(A188,'OEE REA'!A:AO,11,FALSE)</f>
        <v>#N/A</v>
      </c>
      <c r="G188" s="111" t="str">
        <f>IFERROR(E188/H188*60,"")</f>
        <v/>
      </c>
      <c r="H188" s="110" t="e">
        <f>VLOOKUP(A188,'OEE REA'!A:AO,14,FALSE)</f>
        <v>#N/A</v>
      </c>
      <c r="I188" s="106"/>
      <c r="J188" s="99"/>
      <c r="K188" s="99"/>
      <c r="L188" s="107"/>
      <c r="M188" s="112" t="str">
        <f t="shared" si="21"/>
        <v/>
      </c>
      <c r="N188" s="103" t="str">
        <f>IFERROR(F188*L188,"")</f>
        <v/>
      </c>
      <c r="O188" s="103">
        <f>IFERROR('OEE REA'!J699*'SPEED FACTOR REA'!L188,"")</f>
        <v>0</v>
      </c>
      <c r="P188" s="250" t="str">
        <f t="shared" si="23"/>
        <v/>
      </c>
      <c r="R188" s="70" t="e">
        <f t="shared" si="19"/>
        <v>#VALUE!</v>
      </c>
    </row>
    <row r="189" spans="1:18" ht="20.25" x14ac:dyDescent="0.25">
      <c r="A189" s="246">
        <f>+'OEE REA'!A700</f>
        <v>0</v>
      </c>
      <c r="B189" s="99">
        <f t="shared" si="24"/>
        <v>0</v>
      </c>
      <c r="C189" s="113">
        <f>+'OEE REA'!D700</f>
        <v>0</v>
      </c>
      <c r="D189" s="242" t="s">
        <v>1991</v>
      </c>
      <c r="E189" s="109" t="e">
        <f>VLOOKUP(A189,'OEE REA'!A:AO,13,FALSE)</f>
        <v>#N/A</v>
      </c>
      <c r="F189" s="110" t="e">
        <f>VLOOKUP(A189,'OEE REA'!A:AO,11,FALSE)</f>
        <v>#N/A</v>
      </c>
      <c r="G189" s="111" t="str">
        <f t="shared" si="18"/>
        <v/>
      </c>
      <c r="H189" s="110" t="e">
        <f>VLOOKUP(A189,'OEE REA'!A:AO,14,FALSE)</f>
        <v>#N/A</v>
      </c>
      <c r="I189" s="106"/>
      <c r="J189" s="99"/>
      <c r="K189" s="99"/>
      <c r="L189" s="107"/>
      <c r="M189" s="112" t="str">
        <f t="shared" si="21"/>
        <v/>
      </c>
      <c r="N189" s="103" t="str">
        <f t="shared" si="22"/>
        <v/>
      </c>
      <c r="O189" s="103">
        <f>IFERROR('OEE REA'!J700*'SPEED FACTOR REA'!L189,"")</f>
        <v>0</v>
      </c>
      <c r="P189" s="250" t="str">
        <f t="shared" si="23"/>
        <v/>
      </c>
      <c r="R189" s="70" t="e">
        <f t="shared" si="19"/>
        <v>#VALUE!</v>
      </c>
    </row>
    <row r="190" spans="1:18" ht="20.25" x14ac:dyDescent="0.25">
      <c r="A190" s="246">
        <f>+'OEE REA'!A701</f>
        <v>0</v>
      </c>
      <c r="B190" s="99">
        <f t="shared" ref="B190:B192" si="26">WEEKNUM(C190)</f>
        <v>0</v>
      </c>
      <c r="C190" s="113">
        <f>+'OEE REA'!D701</f>
        <v>0</v>
      </c>
      <c r="D190" s="242" t="s">
        <v>1992</v>
      </c>
      <c r="E190" s="109" t="e">
        <f>VLOOKUP(A190,'OEE REA'!A:AO,13,FALSE)</f>
        <v>#N/A</v>
      </c>
      <c r="F190" s="110" t="e">
        <f>VLOOKUP(A190,'OEE REA'!A:AO,11,FALSE)</f>
        <v>#N/A</v>
      </c>
      <c r="G190" s="111" t="str">
        <f t="shared" si="18"/>
        <v/>
      </c>
      <c r="H190" s="110" t="e">
        <f>VLOOKUP(A190,'OEE REA'!A:AO,14,FALSE)</f>
        <v>#N/A</v>
      </c>
      <c r="I190" s="106"/>
      <c r="J190" s="99"/>
      <c r="K190" s="99"/>
      <c r="L190" s="107"/>
      <c r="M190" s="112" t="str">
        <f t="shared" si="21"/>
        <v/>
      </c>
      <c r="N190" s="103" t="str">
        <f t="shared" si="22"/>
        <v/>
      </c>
      <c r="O190" s="103">
        <f>IFERROR('OEE REA'!J701*'SPEED FACTOR REA'!L190,"")</f>
        <v>0</v>
      </c>
      <c r="P190" s="250" t="str">
        <f t="shared" si="23"/>
        <v/>
      </c>
      <c r="R190" s="70" t="e">
        <f t="shared" si="19"/>
        <v>#VALUE!</v>
      </c>
    </row>
    <row r="191" spans="1:18" ht="20.25" x14ac:dyDescent="0.25">
      <c r="A191" s="246">
        <f>+'OEE REA'!A702</f>
        <v>0</v>
      </c>
      <c r="B191" s="99">
        <f t="shared" si="26"/>
        <v>0</v>
      </c>
      <c r="C191" s="113">
        <f>+'OEE REA'!D702</f>
        <v>0</v>
      </c>
      <c r="D191" s="242" t="s">
        <v>1993</v>
      </c>
      <c r="E191" s="109" t="e">
        <f>VLOOKUP(A191,'OEE REA'!A:AO,13,FALSE)</f>
        <v>#N/A</v>
      </c>
      <c r="F191" s="110" t="e">
        <f>VLOOKUP(A191,'OEE REA'!A:AO,11,FALSE)/60</f>
        <v>#N/A</v>
      </c>
      <c r="G191" s="111" t="e">
        <f t="shared" ref="G191:G196" si="27">IFERROR(E191/H191*60,"")/60</f>
        <v>#VALUE!</v>
      </c>
      <c r="H191" s="110" t="e">
        <f>VLOOKUP(A191,'OEE REA'!A:AO,14,FALSE)</f>
        <v>#N/A</v>
      </c>
      <c r="I191" s="106"/>
      <c r="J191" s="99"/>
      <c r="K191" s="99"/>
      <c r="L191" s="107"/>
      <c r="M191" s="112" t="str">
        <f>IFERROR(G191*L191,"")</f>
        <v/>
      </c>
      <c r="N191" s="103" t="str">
        <f t="shared" si="22"/>
        <v/>
      </c>
      <c r="O191" s="103">
        <f>IFERROR('OEE REA'!J702*'SPEED FACTOR REA'!L191,"")</f>
        <v>0</v>
      </c>
      <c r="P191" s="250" t="str">
        <f t="shared" si="23"/>
        <v/>
      </c>
      <c r="R191" s="70" t="e">
        <f>G191/O191</f>
        <v>#VALUE!</v>
      </c>
    </row>
    <row r="192" spans="1:18" ht="20.25" x14ac:dyDescent="0.25">
      <c r="A192" s="246">
        <f>+'OEE REA'!A703</f>
        <v>0</v>
      </c>
      <c r="B192" s="99">
        <f t="shared" si="26"/>
        <v>0</v>
      </c>
      <c r="C192" s="113">
        <f>+'OEE REA'!D703</f>
        <v>0</v>
      </c>
      <c r="D192" s="242" t="s">
        <v>1994</v>
      </c>
      <c r="E192" s="109" t="e">
        <f>VLOOKUP(A192,'OEE REA'!A:AO,13,FALSE)</f>
        <v>#N/A</v>
      </c>
      <c r="F192" s="110" t="e">
        <f>VLOOKUP(A192,'OEE REA'!A:AO,11,FALSE)/60</f>
        <v>#N/A</v>
      </c>
      <c r="G192" s="111" t="e">
        <f t="shared" si="27"/>
        <v>#VALUE!</v>
      </c>
      <c r="H192" s="110" t="e">
        <f>VLOOKUP(A192,'OEE REA'!A:AO,14,FALSE)</f>
        <v>#N/A</v>
      </c>
      <c r="I192" s="106"/>
      <c r="J192" s="99"/>
      <c r="K192" s="99"/>
      <c r="L192" s="107"/>
      <c r="M192" s="112" t="str">
        <f t="shared" si="21"/>
        <v/>
      </c>
      <c r="N192" s="103" t="str">
        <f t="shared" si="22"/>
        <v/>
      </c>
      <c r="O192" s="103">
        <f>IFERROR('OEE REA'!J703*'SPEED FACTOR REA'!L192,"")</f>
        <v>0</v>
      </c>
      <c r="P192" s="250" t="str">
        <f t="shared" si="23"/>
        <v/>
      </c>
      <c r="R192" s="70" t="e">
        <f>G192/O192</f>
        <v>#VALUE!</v>
      </c>
    </row>
    <row r="193" spans="1:19" ht="20.25" x14ac:dyDescent="0.25">
      <c r="A193" s="246">
        <f>+'OEE REA'!A704</f>
        <v>0</v>
      </c>
      <c r="B193" s="99">
        <f t="shared" ref="B193:B204" si="28">WEEKNUM(C193)</f>
        <v>0</v>
      </c>
      <c r="C193" s="113">
        <f>+'OEE REA'!D704</f>
        <v>0</v>
      </c>
      <c r="D193" s="242" t="s">
        <v>1995</v>
      </c>
      <c r="E193" s="109" t="e">
        <f>VLOOKUP(A193,'OEE REA'!A:AO,13,FALSE)</f>
        <v>#N/A</v>
      </c>
      <c r="F193" s="110" t="e">
        <f>VLOOKUP(A193,'OEE REA'!A:AO,11,FALSE)/60</f>
        <v>#N/A</v>
      </c>
      <c r="G193" s="111" t="e">
        <f t="shared" si="27"/>
        <v>#VALUE!</v>
      </c>
      <c r="H193" s="110" t="e">
        <f>VLOOKUP(A193,'OEE REA'!A:AO,14,FALSE)</f>
        <v>#N/A</v>
      </c>
      <c r="I193" s="106"/>
      <c r="J193" s="99"/>
      <c r="K193" s="99"/>
      <c r="L193" s="107"/>
      <c r="M193" s="112" t="str">
        <f t="shared" si="21"/>
        <v/>
      </c>
      <c r="N193" s="103" t="str">
        <f t="shared" si="22"/>
        <v/>
      </c>
      <c r="O193" s="103">
        <f>IFERROR('OEE REA'!J704*'SPEED FACTOR REA'!L193,"")</f>
        <v>0</v>
      </c>
      <c r="P193" s="250" t="str">
        <f t="shared" si="23"/>
        <v/>
      </c>
      <c r="R193" s="70" t="e">
        <f>G193/O193</f>
        <v>#VALUE!</v>
      </c>
    </row>
    <row r="194" spans="1:19" ht="20.25" x14ac:dyDescent="0.25">
      <c r="A194" s="246">
        <f>+'OEE REA'!A705</f>
        <v>0</v>
      </c>
      <c r="B194" s="99">
        <f t="shared" si="28"/>
        <v>0</v>
      </c>
      <c r="C194" s="113">
        <f>+'OEE REA'!D705</f>
        <v>0</v>
      </c>
      <c r="D194" s="242" t="s">
        <v>1996</v>
      </c>
      <c r="E194" s="109" t="e">
        <f>VLOOKUP(A194,'OEE REA'!A:AO,13,FALSE)</f>
        <v>#N/A</v>
      </c>
      <c r="F194" s="110" t="e">
        <f>VLOOKUP(A194,'OEE REA'!A:AO,11,FALSE)/60</f>
        <v>#N/A</v>
      </c>
      <c r="G194" s="111" t="e">
        <f t="shared" si="27"/>
        <v>#VALUE!</v>
      </c>
      <c r="H194" s="110" t="e">
        <f>VLOOKUP(A194,'OEE REA'!A:AO,14,FALSE)</f>
        <v>#N/A</v>
      </c>
      <c r="I194" s="106"/>
      <c r="J194" s="99"/>
      <c r="K194" s="99"/>
      <c r="L194" s="107"/>
      <c r="M194" s="112" t="str">
        <f t="shared" si="21"/>
        <v/>
      </c>
      <c r="N194" s="103" t="str">
        <f t="shared" si="22"/>
        <v/>
      </c>
      <c r="O194" s="103">
        <f>IFERROR('OEE REA'!J705*'SPEED FACTOR REA'!L194,"")</f>
        <v>0</v>
      </c>
      <c r="P194" s="250" t="str">
        <f t="shared" si="23"/>
        <v/>
      </c>
      <c r="R194" s="70" t="e">
        <f t="shared" si="19"/>
        <v>#VALUE!</v>
      </c>
      <c r="S194" t="s">
        <v>1683</v>
      </c>
    </row>
    <row r="195" spans="1:19" ht="20.25" x14ac:dyDescent="0.25">
      <c r="A195" s="246">
        <f>+'OEE REA'!A706</f>
        <v>0</v>
      </c>
      <c r="B195" s="99">
        <f t="shared" si="28"/>
        <v>0</v>
      </c>
      <c r="C195" s="113">
        <f>+'OEE REA'!D706</f>
        <v>0</v>
      </c>
      <c r="D195" s="242" t="s">
        <v>1997</v>
      </c>
      <c r="E195" s="109" t="e">
        <f>VLOOKUP(A195,'OEE REA'!A:AO,13,FALSE)</f>
        <v>#N/A</v>
      </c>
      <c r="F195" s="110" t="e">
        <f>VLOOKUP(A195,'OEE REA'!A:AO,11,FALSE)/60</f>
        <v>#N/A</v>
      </c>
      <c r="G195" s="111" t="e">
        <f t="shared" si="27"/>
        <v>#VALUE!</v>
      </c>
      <c r="H195" s="110" t="e">
        <f>VLOOKUP(A195,'OEE REA'!A:AO,14,FALSE)</f>
        <v>#N/A</v>
      </c>
      <c r="I195" s="106"/>
      <c r="J195" s="99"/>
      <c r="K195" s="99"/>
      <c r="L195" s="107"/>
      <c r="M195" s="112" t="str">
        <f t="shared" si="21"/>
        <v/>
      </c>
      <c r="N195" s="103" t="str">
        <f t="shared" si="22"/>
        <v/>
      </c>
      <c r="O195" s="103">
        <f>IFERROR('OEE REA'!J706*'SPEED FACTOR REA'!L195,"")</f>
        <v>0</v>
      </c>
      <c r="P195" s="250" t="str">
        <f t="shared" si="23"/>
        <v/>
      </c>
      <c r="R195" s="70" t="e">
        <f>G195/O195</f>
        <v>#VALUE!</v>
      </c>
    </row>
    <row r="196" spans="1:19" ht="20.25" x14ac:dyDescent="0.25">
      <c r="A196" s="246">
        <f>+'OEE REA'!A707</f>
        <v>0</v>
      </c>
      <c r="B196" s="99">
        <f t="shared" si="28"/>
        <v>0</v>
      </c>
      <c r="C196" s="113">
        <f>+'OEE REA'!D707</f>
        <v>0</v>
      </c>
      <c r="D196" s="242" t="s">
        <v>1998</v>
      </c>
      <c r="E196" s="109" t="e">
        <f>VLOOKUP(A196,'OEE REA'!A:AO,13,FALSE)</f>
        <v>#N/A</v>
      </c>
      <c r="F196" s="110" t="e">
        <f>VLOOKUP(A196,'OEE REA'!A:AO,11,FALSE)/60</f>
        <v>#N/A</v>
      </c>
      <c r="G196" s="111" t="e">
        <f t="shared" si="27"/>
        <v>#VALUE!</v>
      </c>
      <c r="H196" s="110" t="e">
        <f>VLOOKUP(A196,'OEE REA'!A:AO,14,FALSE)</f>
        <v>#N/A</v>
      </c>
      <c r="I196" s="106"/>
      <c r="J196" s="99"/>
      <c r="K196" s="99"/>
      <c r="L196" s="107"/>
      <c r="M196" s="112" t="str">
        <f t="shared" si="21"/>
        <v/>
      </c>
      <c r="N196" s="103" t="str">
        <f t="shared" si="22"/>
        <v/>
      </c>
      <c r="O196" s="103">
        <f>IFERROR('OEE REA'!J707*'SPEED FACTOR REA'!L196,"")</f>
        <v>0</v>
      </c>
      <c r="P196" s="250" t="str">
        <f t="shared" si="23"/>
        <v/>
      </c>
      <c r="R196" s="70" t="e">
        <f t="shared" ref="R196:R256" si="29">G196/O196</f>
        <v>#VALUE!</v>
      </c>
    </row>
    <row r="197" spans="1:19" ht="20.25" x14ac:dyDescent="0.25">
      <c r="A197" s="246">
        <f>+'OEE REA'!A708</f>
        <v>0</v>
      </c>
      <c r="B197" s="99">
        <f t="shared" si="28"/>
        <v>0</v>
      </c>
      <c r="C197" s="113">
        <f>+'OEE REA'!D708</f>
        <v>0</v>
      </c>
      <c r="D197" s="242" t="s">
        <v>1999</v>
      </c>
      <c r="E197" s="109" t="e">
        <f>VLOOKUP(A197,'OEE REA'!A:AO,13,FALSE)</f>
        <v>#N/A</v>
      </c>
      <c r="F197" s="110" t="e">
        <f>VLOOKUP(A197,'OEE REA'!A:AO,11,FALSE)</f>
        <v>#N/A</v>
      </c>
      <c r="G197" s="111" t="str">
        <f t="shared" ref="G197:G204" si="30">IFERROR(E197/H197*60,"")</f>
        <v/>
      </c>
      <c r="H197" s="110" t="e">
        <f>VLOOKUP(A197,'OEE REA'!A:AO,14,FALSE)</f>
        <v>#N/A</v>
      </c>
      <c r="I197" s="106"/>
      <c r="J197" s="99"/>
      <c r="K197" s="99"/>
      <c r="L197" s="107"/>
      <c r="M197" s="112" t="str">
        <f t="shared" si="21"/>
        <v/>
      </c>
      <c r="N197" s="103" t="str">
        <f t="shared" si="22"/>
        <v/>
      </c>
      <c r="O197" s="103">
        <f>IFERROR('OEE REA'!J708*'SPEED FACTOR REA'!L197,"")</f>
        <v>0</v>
      </c>
      <c r="P197" s="250" t="str">
        <f t="shared" si="23"/>
        <v/>
      </c>
      <c r="R197" s="70" t="e">
        <f t="shared" si="29"/>
        <v>#VALUE!</v>
      </c>
    </row>
    <row r="198" spans="1:19" ht="20.25" x14ac:dyDescent="0.25">
      <c r="A198" s="246">
        <f>+'OEE REA'!A709</f>
        <v>0</v>
      </c>
      <c r="B198" s="99">
        <f t="shared" si="28"/>
        <v>0</v>
      </c>
      <c r="C198" s="113">
        <f>+'OEE REA'!D709</f>
        <v>0</v>
      </c>
      <c r="D198" s="242" t="s">
        <v>2000</v>
      </c>
      <c r="E198" s="109" t="e">
        <f>VLOOKUP(A198,'OEE REA'!A:AO,13,FALSE)</f>
        <v>#N/A</v>
      </c>
      <c r="F198" s="110" t="e">
        <f>VLOOKUP(A198,'OEE REA'!A:AO,11,FALSE)</f>
        <v>#N/A</v>
      </c>
      <c r="G198" s="111" t="str">
        <f t="shared" si="30"/>
        <v/>
      </c>
      <c r="H198" s="110" t="e">
        <f>VLOOKUP(A198,'OEE REA'!A:AO,14,FALSE)</f>
        <v>#N/A</v>
      </c>
      <c r="I198" s="106"/>
      <c r="J198" s="99"/>
      <c r="K198" s="99"/>
      <c r="L198" s="107"/>
      <c r="M198" s="112" t="str">
        <f t="shared" si="21"/>
        <v/>
      </c>
      <c r="N198" s="103" t="str">
        <f t="shared" si="22"/>
        <v/>
      </c>
      <c r="O198" s="103">
        <f>IFERROR('OEE REA'!J709*'SPEED FACTOR REA'!L198,"")</f>
        <v>0</v>
      </c>
      <c r="P198" s="250" t="str">
        <f t="shared" si="23"/>
        <v/>
      </c>
      <c r="R198" s="70" t="e">
        <f t="shared" si="29"/>
        <v>#VALUE!</v>
      </c>
    </row>
    <row r="199" spans="1:19" ht="20.25" x14ac:dyDescent="0.25">
      <c r="A199" s="246">
        <f>+'OEE REA'!A710</f>
        <v>0</v>
      </c>
      <c r="B199" s="99">
        <f t="shared" si="28"/>
        <v>0</v>
      </c>
      <c r="C199" s="113">
        <f>+'OEE REA'!D710</f>
        <v>0</v>
      </c>
      <c r="D199" s="242" t="s">
        <v>2001</v>
      </c>
      <c r="E199" s="109" t="e">
        <f>VLOOKUP(A199,'OEE REA'!A:AO,13,FALSE)</f>
        <v>#N/A</v>
      </c>
      <c r="F199" s="110" t="e">
        <f>VLOOKUP(A199,'OEE REA'!A:AO,11,FALSE)</f>
        <v>#N/A</v>
      </c>
      <c r="G199" s="111" t="str">
        <f t="shared" si="30"/>
        <v/>
      </c>
      <c r="H199" s="110" t="e">
        <f>VLOOKUP(A199,'OEE REA'!A:AO,14,FALSE)</f>
        <v>#N/A</v>
      </c>
      <c r="I199" s="106"/>
      <c r="J199" s="99"/>
      <c r="K199" s="99"/>
      <c r="L199" s="107"/>
      <c r="M199" s="112" t="str">
        <f t="shared" si="21"/>
        <v/>
      </c>
      <c r="N199" s="103" t="str">
        <f t="shared" si="22"/>
        <v/>
      </c>
      <c r="O199" s="103">
        <f>IFERROR('OEE REA'!J710*'SPEED FACTOR REA'!L199,"")</f>
        <v>0</v>
      </c>
      <c r="P199" s="250" t="str">
        <f t="shared" si="23"/>
        <v/>
      </c>
      <c r="R199" s="70" t="e">
        <f t="shared" si="29"/>
        <v>#VALUE!</v>
      </c>
    </row>
    <row r="200" spans="1:19" ht="20.25" x14ac:dyDescent="0.25">
      <c r="A200" s="246">
        <f>+'OEE REA'!A711</f>
        <v>0</v>
      </c>
      <c r="B200" s="99">
        <f t="shared" si="28"/>
        <v>0</v>
      </c>
      <c r="C200" s="113">
        <f>+'OEE REA'!D711</f>
        <v>0</v>
      </c>
      <c r="D200" s="242" t="s">
        <v>2002</v>
      </c>
      <c r="E200" s="109" t="e">
        <f>VLOOKUP(A200,'OEE REA'!A:AO,13,FALSE)</f>
        <v>#N/A</v>
      </c>
      <c r="F200" s="110" t="e">
        <f>VLOOKUP(A200,'OEE REA'!A:AO,11,FALSE)</f>
        <v>#N/A</v>
      </c>
      <c r="G200" s="111" t="str">
        <f t="shared" si="30"/>
        <v/>
      </c>
      <c r="H200" s="110" t="e">
        <f>VLOOKUP(A200,'OEE REA'!A:AO,14,FALSE)</f>
        <v>#N/A</v>
      </c>
      <c r="I200" s="106"/>
      <c r="J200" s="99"/>
      <c r="K200" s="99"/>
      <c r="L200" s="107"/>
      <c r="M200" s="112" t="str">
        <f t="shared" si="21"/>
        <v/>
      </c>
      <c r="N200" s="103" t="str">
        <f t="shared" si="22"/>
        <v/>
      </c>
      <c r="O200" s="103">
        <f>IFERROR('OEE REA'!J711*'SPEED FACTOR REA'!L200,"")</f>
        <v>0</v>
      </c>
      <c r="P200" s="250" t="str">
        <f t="shared" si="23"/>
        <v/>
      </c>
      <c r="R200" s="70" t="e">
        <f t="shared" si="29"/>
        <v>#VALUE!</v>
      </c>
    </row>
    <row r="201" spans="1:19" ht="20.25" x14ac:dyDescent="0.25">
      <c r="A201" s="246">
        <f>+'OEE REA'!A712</f>
        <v>0</v>
      </c>
      <c r="B201" s="99">
        <f t="shared" si="28"/>
        <v>0</v>
      </c>
      <c r="C201" s="113">
        <f>+'OEE REA'!D712</f>
        <v>0</v>
      </c>
      <c r="D201" s="242" t="s">
        <v>2003</v>
      </c>
      <c r="E201" s="109" t="e">
        <f>VLOOKUP(A201,'OEE REA'!A:AO,13,FALSE)</f>
        <v>#N/A</v>
      </c>
      <c r="F201" s="110" t="e">
        <f>VLOOKUP(A201,'OEE REA'!A:AO,11,FALSE)</f>
        <v>#N/A</v>
      </c>
      <c r="G201" s="111" t="str">
        <f t="shared" si="30"/>
        <v/>
      </c>
      <c r="H201" s="110" t="e">
        <f>VLOOKUP(A201,'OEE REA'!A:AO,14,FALSE)</f>
        <v>#N/A</v>
      </c>
      <c r="I201" s="106"/>
      <c r="J201" s="99"/>
      <c r="K201" s="99"/>
      <c r="L201" s="107"/>
      <c r="M201" s="112" t="str">
        <f t="shared" si="21"/>
        <v/>
      </c>
      <c r="N201" s="103" t="str">
        <f t="shared" si="22"/>
        <v/>
      </c>
      <c r="O201" s="103">
        <f>IFERROR('OEE REA'!J712*'SPEED FACTOR REA'!L201,"")</f>
        <v>0</v>
      </c>
      <c r="P201" s="250" t="str">
        <f t="shared" si="23"/>
        <v/>
      </c>
      <c r="R201" s="70" t="e">
        <f t="shared" si="29"/>
        <v>#VALUE!</v>
      </c>
    </row>
    <row r="202" spans="1:19" ht="20.25" x14ac:dyDescent="0.25">
      <c r="A202" s="246">
        <f>+'OEE REA'!A713</f>
        <v>0</v>
      </c>
      <c r="B202" s="99">
        <f t="shared" si="28"/>
        <v>0</v>
      </c>
      <c r="C202" s="113">
        <f>+'OEE REA'!D713</f>
        <v>0</v>
      </c>
      <c r="D202" s="242" t="s">
        <v>2004</v>
      </c>
      <c r="E202" s="109" t="e">
        <f>VLOOKUP(A202,'OEE REA'!A:AO,13,FALSE)</f>
        <v>#N/A</v>
      </c>
      <c r="F202" s="110" t="e">
        <f>VLOOKUP(A202,'OEE REA'!A:AO,11,FALSE)</f>
        <v>#N/A</v>
      </c>
      <c r="G202" s="111" t="str">
        <f t="shared" si="30"/>
        <v/>
      </c>
      <c r="H202" s="110" t="e">
        <f>VLOOKUP(A202,'OEE REA'!A:AO,14,FALSE)</f>
        <v>#N/A</v>
      </c>
      <c r="I202" s="106"/>
      <c r="J202" s="99"/>
      <c r="K202" s="99"/>
      <c r="L202" s="107"/>
      <c r="M202" s="112" t="str">
        <f t="shared" si="21"/>
        <v/>
      </c>
      <c r="N202" s="103" t="str">
        <f t="shared" si="22"/>
        <v/>
      </c>
      <c r="O202" s="103">
        <f>IFERROR('OEE REA'!J713*'SPEED FACTOR REA'!L202,"")</f>
        <v>0</v>
      </c>
      <c r="P202" s="250" t="str">
        <f t="shared" si="23"/>
        <v/>
      </c>
      <c r="R202" s="70" t="e">
        <f t="shared" si="29"/>
        <v>#VALUE!</v>
      </c>
    </row>
    <row r="203" spans="1:19" ht="20.25" x14ac:dyDescent="0.25">
      <c r="A203" s="246">
        <f>+'OEE REA'!A714</f>
        <v>0</v>
      </c>
      <c r="B203" s="99">
        <f t="shared" si="28"/>
        <v>0</v>
      </c>
      <c r="C203" s="113">
        <f>+'OEE REA'!D714</f>
        <v>0</v>
      </c>
      <c r="D203" s="242" t="s">
        <v>2005</v>
      </c>
      <c r="E203" s="109" t="e">
        <f>VLOOKUP(A203,'OEE REA'!A:AO,13,FALSE)</f>
        <v>#N/A</v>
      </c>
      <c r="F203" s="110" t="e">
        <f>VLOOKUP(A203,'OEE REA'!A:AO,11,FALSE)</f>
        <v>#N/A</v>
      </c>
      <c r="G203" s="111" t="str">
        <f t="shared" si="30"/>
        <v/>
      </c>
      <c r="H203" s="110" t="e">
        <f>VLOOKUP(A203,'OEE REA'!A:AO,14,FALSE)</f>
        <v>#N/A</v>
      </c>
      <c r="I203" s="106"/>
      <c r="J203" s="99"/>
      <c r="K203" s="99"/>
      <c r="L203" s="107"/>
      <c r="M203" s="112" t="str">
        <f t="shared" si="21"/>
        <v/>
      </c>
      <c r="N203" s="103" t="str">
        <f t="shared" si="22"/>
        <v/>
      </c>
      <c r="O203" s="103">
        <f>IFERROR('OEE REA'!J714*'SPEED FACTOR REA'!L203,"")</f>
        <v>0</v>
      </c>
      <c r="P203" s="250" t="str">
        <f t="shared" si="23"/>
        <v/>
      </c>
      <c r="R203" s="70" t="e">
        <f t="shared" si="29"/>
        <v>#VALUE!</v>
      </c>
    </row>
    <row r="204" spans="1:19" ht="20.25" x14ac:dyDescent="0.25">
      <c r="A204" s="246">
        <f>+'OEE REA'!A715</f>
        <v>0</v>
      </c>
      <c r="B204" s="99">
        <f t="shared" si="28"/>
        <v>0</v>
      </c>
      <c r="C204" s="113">
        <f>+'OEE REA'!D715</f>
        <v>0</v>
      </c>
      <c r="D204" s="242" t="s">
        <v>2006</v>
      </c>
      <c r="E204" s="109" t="e">
        <f>VLOOKUP(A204,'OEE REA'!A:AO,13,FALSE)</f>
        <v>#N/A</v>
      </c>
      <c r="F204" s="110" t="e">
        <f>VLOOKUP(A204,'OEE REA'!A:AO,11,FALSE)</f>
        <v>#N/A</v>
      </c>
      <c r="G204" s="111" t="str">
        <f t="shared" si="30"/>
        <v/>
      </c>
      <c r="H204" s="110" t="e">
        <f>VLOOKUP(A204,'OEE REA'!A:AO,14,FALSE)</f>
        <v>#N/A</v>
      </c>
      <c r="I204" s="106"/>
      <c r="J204" s="99"/>
      <c r="K204" s="99"/>
      <c r="L204" s="107"/>
      <c r="M204" s="112" t="str">
        <f t="shared" si="21"/>
        <v/>
      </c>
      <c r="N204" s="103" t="str">
        <f t="shared" si="22"/>
        <v/>
      </c>
      <c r="O204" s="103">
        <f>IFERROR('OEE REA'!J715*'SPEED FACTOR REA'!L204,"")</f>
        <v>0</v>
      </c>
      <c r="P204" s="250" t="str">
        <f t="shared" si="23"/>
        <v/>
      </c>
      <c r="R204" s="70" t="e">
        <f t="shared" si="29"/>
        <v>#VALUE!</v>
      </c>
    </row>
    <row r="205" spans="1:19" ht="20.25" x14ac:dyDescent="0.25">
      <c r="A205" s="246">
        <f>+'OEE REA'!A716</f>
        <v>0</v>
      </c>
      <c r="B205" s="99">
        <f t="shared" ref="B205:B268" si="31">WEEKNUM(C205)</f>
        <v>0</v>
      </c>
      <c r="C205" s="113">
        <f>+'OEE REA'!D716</f>
        <v>0</v>
      </c>
      <c r="D205" s="242" t="s">
        <v>2007</v>
      </c>
      <c r="E205" s="109" t="e">
        <f>VLOOKUP(A205,'OEE REA'!A:AO,13,FALSE)</f>
        <v>#N/A</v>
      </c>
      <c r="F205" s="110" t="e">
        <f>VLOOKUP(A205,'OEE REA'!A:AO,11,FALSE)</f>
        <v>#N/A</v>
      </c>
      <c r="G205" s="111" t="str">
        <f t="shared" ref="G205:G268" si="32">IFERROR(E205/H205*60,"")</f>
        <v/>
      </c>
      <c r="H205" s="110" t="e">
        <f>VLOOKUP(A205,'OEE REA'!A:AO,14,FALSE)</f>
        <v>#N/A</v>
      </c>
      <c r="I205" s="106"/>
      <c r="J205" s="99"/>
      <c r="K205" s="99"/>
      <c r="L205" s="107"/>
      <c r="M205" s="112" t="str">
        <f t="shared" ref="M205:M268" si="33">IFERROR(G205*L205,"")</f>
        <v/>
      </c>
      <c r="N205" s="103" t="str">
        <f t="shared" ref="N205:N268" si="34">IFERROR(F205*L205,"")</f>
        <v/>
      </c>
      <c r="O205" s="103">
        <f>IFERROR('OEE REA'!J716*'SPEED FACTOR REA'!L205,"")</f>
        <v>0</v>
      </c>
      <c r="P205" s="250" t="str">
        <f t="shared" ref="P205:P268" si="35">IFERROR(N205/M205,"")</f>
        <v/>
      </c>
      <c r="R205" s="70" t="e">
        <f t="shared" si="29"/>
        <v>#VALUE!</v>
      </c>
    </row>
    <row r="206" spans="1:19" ht="20.25" x14ac:dyDescent="0.25">
      <c r="A206" s="246">
        <f>+'OEE REA'!A717</f>
        <v>0</v>
      </c>
      <c r="B206" s="99">
        <f t="shared" si="31"/>
        <v>0</v>
      </c>
      <c r="C206" s="113">
        <f>+'OEE REA'!D717</f>
        <v>0</v>
      </c>
      <c r="D206" s="242" t="s">
        <v>2008</v>
      </c>
      <c r="E206" s="109" t="e">
        <f>VLOOKUP(A206,'OEE REA'!A:AO,13,FALSE)</f>
        <v>#N/A</v>
      </c>
      <c r="F206" s="110" t="e">
        <f>VLOOKUP(A206,'OEE REA'!A:AO,11,FALSE)</f>
        <v>#N/A</v>
      </c>
      <c r="G206" s="111" t="str">
        <f t="shared" si="32"/>
        <v/>
      </c>
      <c r="H206" s="110" t="e">
        <f>VLOOKUP(A206,'OEE REA'!A:AO,14,FALSE)</f>
        <v>#N/A</v>
      </c>
      <c r="I206" s="106"/>
      <c r="J206" s="99"/>
      <c r="K206" s="99"/>
      <c r="L206" s="107"/>
      <c r="M206" s="112" t="str">
        <f t="shared" si="33"/>
        <v/>
      </c>
      <c r="N206" s="103" t="str">
        <f t="shared" si="34"/>
        <v/>
      </c>
      <c r="O206" s="103">
        <f>IFERROR('OEE REA'!J717*'SPEED FACTOR REA'!L206,"")</f>
        <v>0</v>
      </c>
      <c r="P206" s="250" t="str">
        <f t="shared" si="35"/>
        <v/>
      </c>
      <c r="R206" s="70" t="e">
        <f t="shared" si="29"/>
        <v>#VALUE!</v>
      </c>
    </row>
    <row r="207" spans="1:19" ht="20.25" x14ac:dyDescent="0.25">
      <c r="A207" s="246">
        <f>+'OEE REA'!A718</f>
        <v>0</v>
      </c>
      <c r="B207" s="99">
        <f t="shared" si="31"/>
        <v>0</v>
      </c>
      <c r="C207" s="113">
        <f>+'OEE REA'!D718</f>
        <v>0</v>
      </c>
      <c r="D207" s="242" t="s">
        <v>2009</v>
      </c>
      <c r="E207" s="109" t="e">
        <f>VLOOKUP(A207,'OEE REA'!A:AO,13,FALSE)</f>
        <v>#N/A</v>
      </c>
      <c r="F207" s="110" t="e">
        <f>VLOOKUP(A207,'OEE REA'!A:AO,11,FALSE)</f>
        <v>#N/A</v>
      </c>
      <c r="G207" s="111" t="str">
        <f t="shared" si="32"/>
        <v/>
      </c>
      <c r="H207" s="110" t="e">
        <f>VLOOKUP(A207,'OEE REA'!A:AO,14,FALSE)</f>
        <v>#N/A</v>
      </c>
      <c r="I207" s="106"/>
      <c r="J207" s="99"/>
      <c r="K207" s="99"/>
      <c r="L207" s="107"/>
      <c r="M207" s="112" t="str">
        <f t="shared" si="33"/>
        <v/>
      </c>
      <c r="N207" s="103" t="str">
        <f t="shared" si="34"/>
        <v/>
      </c>
      <c r="O207" s="103">
        <f>IFERROR('OEE REA'!J718*'SPEED FACTOR REA'!L207,"")</f>
        <v>0</v>
      </c>
      <c r="P207" s="250" t="str">
        <f t="shared" si="35"/>
        <v/>
      </c>
      <c r="R207" s="70" t="e">
        <f t="shared" si="29"/>
        <v>#VALUE!</v>
      </c>
    </row>
    <row r="208" spans="1:19" ht="20.25" x14ac:dyDescent="0.25">
      <c r="A208" s="246">
        <f>+'OEE REA'!A719</f>
        <v>0</v>
      </c>
      <c r="B208" s="99">
        <f t="shared" si="31"/>
        <v>0</v>
      </c>
      <c r="C208" s="113">
        <f>+'OEE REA'!D719</f>
        <v>0</v>
      </c>
      <c r="D208" s="242" t="s">
        <v>2010</v>
      </c>
      <c r="E208" s="109" t="e">
        <f>VLOOKUP(A208,'OEE REA'!A:AO,13,FALSE)</f>
        <v>#N/A</v>
      </c>
      <c r="F208" s="110" t="e">
        <f>VLOOKUP(A208,'OEE REA'!A:AO,11,FALSE)</f>
        <v>#N/A</v>
      </c>
      <c r="G208" s="111" t="str">
        <f t="shared" si="32"/>
        <v/>
      </c>
      <c r="H208" s="110" t="e">
        <f>VLOOKUP(A208,'OEE REA'!A:AO,14,FALSE)</f>
        <v>#N/A</v>
      </c>
      <c r="I208" s="106"/>
      <c r="J208" s="99"/>
      <c r="K208" s="99"/>
      <c r="L208" s="107"/>
      <c r="M208" s="112" t="str">
        <f t="shared" si="33"/>
        <v/>
      </c>
      <c r="N208" s="103" t="str">
        <f t="shared" si="34"/>
        <v/>
      </c>
      <c r="O208" s="103">
        <f>IFERROR('OEE REA'!J719*'SPEED FACTOR REA'!L208,"")</f>
        <v>0</v>
      </c>
      <c r="P208" s="250" t="str">
        <f t="shared" si="35"/>
        <v/>
      </c>
      <c r="R208" s="70" t="e">
        <f t="shared" si="29"/>
        <v>#VALUE!</v>
      </c>
    </row>
    <row r="209" spans="1:18" ht="20.25" x14ac:dyDescent="0.25">
      <c r="A209" s="246">
        <f>+'OEE REA'!A720</f>
        <v>0</v>
      </c>
      <c r="B209" s="99">
        <f t="shared" si="31"/>
        <v>0</v>
      </c>
      <c r="C209" s="113">
        <f>+'OEE REA'!D720</f>
        <v>0</v>
      </c>
      <c r="D209" s="242" t="s">
        <v>2011</v>
      </c>
      <c r="E209" s="109" t="e">
        <f>VLOOKUP(A209,'OEE REA'!A:AO,13,FALSE)</f>
        <v>#N/A</v>
      </c>
      <c r="F209" s="110" t="e">
        <f>VLOOKUP(A209,'OEE REA'!A:AO,11,FALSE)</f>
        <v>#N/A</v>
      </c>
      <c r="G209" s="111" t="str">
        <f t="shared" si="32"/>
        <v/>
      </c>
      <c r="H209" s="110" t="e">
        <f>VLOOKUP(A209,'OEE REA'!A:AO,14,FALSE)</f>
        <v>#N/A</v>
      </c>
      <c r="I209" s="106"/>
      <c r="J209" s="99"/>
      <c r="K209" s="99"/>
      <c r="L209" s="107"/>
      <c r="M209" s="112" t="str">
        <f t="shared" si="33"/>
        <v/>
      </c>
      <c r="N209" s="103" t="str">
        <f t="shared" si="34"/>
        <v/>
      </c>
      <c r="O209" s="103">
        <f>IFERROR('OEE REA'!J720*'SPEED FACTOR REA'!L209,"")</f>
        <v>0</v>
      </c>
      <c r="P209" s="250" t="str">
        <f t="shared" si="35"/>
        <v/>
      </c>
      <c r="R209" s="70" t="e">
        <f t="shared" si="29"/>
        <v>#VALUE!</v>
      </c>
    </row>
    <row r="210" spans="1:18" ht="20.25" x14ac:dyDescent="0.25">
      <c r="A210" s="246">
        <f>+'OEE REA'!A721</f>
        <v>0</v>
      </c>
      <c r="B210" s="99">
        <f t="shared" si="31"/>
        <v>0</v>
      </c>
      <c r="C210" s="113">
        <f>+'OEE REA'!D721</f>
        <v>0</v>
      </c>
      <c r="D210" s="242" t="s">
        <v>2012</v>
      </c>
      <c r="E210" s="109" t="e">
        <f>VLOOKUP(A210,'OEE REA'!A:AO,13,FALSE)</f>
        <v>#N/A</v>
      </c>
      <c r="F210" s="110" t="e">
        <f>VLOOKUP(A210,'OEE REA'!A:AO,11,FALSE)</f>
        <v>#N/A</v>
      </c>
      <c r="G210" s="111" t="str">
        <f t="shared" si="32"/>
        <v/>
      </c>
      <c r="H210" s="110" t="e">
        <f>VLOOKUP(A210,'OEE REA'!A:AO,14,FALSE)</f>
        <v>#N/A</v>
      </c>
      <c r="I210" s="106"/>
      <c r="J210" s="99"/>
      <c r="K210" s="99"/>
      <c r="L210" s="107"/>
      <c r="M210" s="112" t="str">
        <f t="shared" si="33"/>
        <v/>
      </c>
      <c r="N210" s="103" t="str">
        <f t="shared" si="34"/>
        <v/>
      </c>
      <c r="O210" s="103">
        <f>IFERROR('OEE REA'!J721*'SPEED FACTOR REA'!L210,"")</f>
        <v>0</v>
      </c>
      <c r="P210" s="250" t="str">
        <f t="shared" si="35"/>
        <v/>
      </c>
      <c r="R210" s="70" t="e">
        <f t="shared" si="29"/>
        <v>#VALUE!</v>
      </c>
    </row>
    <row r="211" spans="1:18" ht="20.25" x14ac:dyDescent="0.25">
      <c r="A211" s="246">
        <f>+'OEE REA'!A722</f>
        <v>0</v>
      </c>
      <c r="B211" s="99">
        <f t="shared" si="31"/>
        <v>0</v>
      </c>
      <c r="C211" s="113">
        <f>+'OEE REA'!D722</f>
        <v>0</v>
      </c>
      <c r="D211" s="242" t="s">
        <v>2013</v>
      </c>
      <c r="E211" s="109" t="e">
        <f>VLOOKUP(A211,'OEE REA'!A:AO,13,FALSE)</f>
        <v>#N/A</v>
      </c>
      <c r="F211" s="110" t="e">
        <f>VLOOKUP(A211,'OEE REA'!A:AO,11,FALSE)</f>
        <v>#N/A</v>
      </c>
      <c r="G211" s="111" t="str">
        <f t="shared" si="32"/>
        <v/>
      </c>
      <c r="H211" s="110" t="e">
        <f>VLOOKUP(A211,'OEE REA'!A:AO,14,FALSE)</f>
        <v>#N/A</v>
      </c>
      <c r="I211" s="106"/>
      <c r="J211" s="99"/>
      <c r="K211" s="99"/>
      <c r="L211" s="107"/>
      <c r="M211" s="112" t="str">
        <f t="shared" si="33"/>
        <v/>
      </c>
      <c r="N211" s="103" t="str">
        <f t="shared" si="34"/>
        <v/>
      </c>
      <c r="O211" s="103">
        <f>IFERROR('OEE REA'!J722*'SPEED FACTOR REA'!L211,"")</f>
        <v>0</v>
      </c>
      <c r="P211" s="250" t="str">
        <f t="shared" si="35"/>
        <v/>
      </c>
      <c r="R211" s="70" t="e">
        <f t="shared" si="29"/>
        <v>#VALUE!</v>
      </c>
    </row>
    <row r="212" spans="1:18" ht="20.25" x14ac:dyDescent="0.25">
      <c r="A212" s="246">
        <f>+'OEE REA'!A723</f>
        <v>0</v>
      </c>
      <c r="B212" s="99">
        <f t="shared" si="31"/>
        <v>0</v>
      </c>
      <c r="C212" s="113">
        <f>+'OEE REA'!D723</f>
        <v>0</v>
      </c>
      <c r="D212" s="242" t="s">
        <v>2014</v>
      </c>
      <c r="E212" s="109" t="e">
        <f>VLOOKUP(A212,'OEE REA'!A:AO,13,FALSE)</f>
        <v>#N/A</v>
      </c>
      <c r="F212" s="110" t="e">
        <f>VLOOKUP(A212,'OEE REA'!A:AO,11,FALSE)</f>
        <v>#N/A</v>
      </c>
      <c r="G212" s="111" t="str">
        <f t="shared" si="32"/>
        <v/>
      </c>
      <c r="H212" s="110" t="e">
        <f>VLOOKUP(A212,'OEE REA'!A:AO,14,FALSE)</f>
        <v>#N/A</v>
      </c>
      <c r="I212" s="106"/>
      <c r="J212" s="99"/>
      <c r="K212" s="99"/>
      <c r="L212" s="107"/>
      <c r="M212" s="112" t="str">
        <f t="shared" si="33"/>
        <v/>
      </c>
      <c r="N212" s="103" t="str">
        <f t="shared" si="34"/>
        <v/>
      </c>
      <c r="O212" s="103">
        <f>IFERROR('OEE REA'!J723*'SPEED FACTOR REA'!L212,"")</f>
        <v>0</v>
      </c>
      <c r="P212" s="250" t="str">
        <f t="shared" si="35"/>
        <v/>
      </c>
      <c r="R212" s="70" t="e">
        <f t="shared" si="29"/>
        <v>#VALUE!</v>
      </c>
    </row>
    <row r="213" spans="1:18" ht="20.25" x14ac:dyDescent="0.25">
      <c r="A213" s="246">
        <f>+'OEE REA'!A724</f>
        <v>0</v>
      </c>
      <c r="B213" s="99">
        <f t="shared" si="31"/>
        <v>0</v>
      </c>
      <c r="C213" s="113">
        <f>+'OEE REA'!D724</f>
        <v>0</v>
      </c>
      <c r="D213" s="242" t="s">
        <v>2015</v>
      </c>
      <c r="E213" s="109" t="e">
        <f>VLOOKUP(A213,'OEE REA'!A:AO,13,FALSE)</f>
        <v>#N/A</v>
      </c>
      <c r="F213" s="110" t="e">
        <f>VLOOKUP(A213,'OEE REA'!A:AO,11,FALSE)</f>
        <v>#N/A</v>
      </c>
      <c r="G213" s="111" t="str">
        <f t="shared" si="32"/>
        <v/>
      </c>
      <c r="H213" s="110" t="e">
        <f>VLOOKUP(A213,'OEE REA'!A:AO,14,FALSE)</f>
        <v>#N/A</v>
      </c>
      <c r="I213" s="106"/>
      <c r="J213" s="99"/>
      <c r="K213" s="99"/>
      <c r="L213" s="107"/>
      <c r="M213" s="112" t="str">
        <f t="shared" si="33"/>
        <v/>
      </c>
      <c r="N213" s="103" t="str">
        <f t="shared" si="34"/>
        <v/>
      </c>
      <c r="O213" s="103">
        <f>IFERROR('OEE REA'!J724*'SPEED FACTOR REA'!L213,"")</f>
        <v>0</v>
      </c>
      <c r="P213" s="250" t="str">
        <f t="shared" si="35"/>
        <v/>
      </c>
      <c r="R213" s="70" t="e">
        <f t="shared" si="29"/>
        <v>#VALUE!</v>
      </c>
    </row>
    <row r="214" spans="1:18" ht="20.25" x14ac:dyDescent="0.25">
      <c r="A214" s="246">
        <f>+'OEE REA'!A725</f>
        <v>0</v>
      </c>
      <c r="B214" s="99">
        <f t="shared" si="31"/>
        <v>0</v>
      </c>
      <c r="C214" s="113">
        <f>+'OEE REA'!D725</f>
        <v>0</v>
      </c>
      <c r="D214" s="242" t="s">
        <v>2016</v>
      </c>
      <c r="E214" s="109" t="e">
        <f>VLOOKUP(A214,'OEE REA'!A:AO,13,FALSE)</f>
        <v>#N/A</v>
      </c>
      <c r="F214" s="110" t="e">
        <f>VLOOKUP(A214,'OEE REA'!A:AO,11,FALSE)</f>
        <v>#N/A</v>
      </c>
      <c r="G214" s="111" t="str">
        <f t="shared" si="32"/>
        <v/>
      </c>
      <c r="H214" s="110" t="e">
        <f>VLOOKUP(A214,'OEE REA'!A:AO,14,FALSE)</f>
        <v>#N/A</v>
      </c>
      <c r="I214" s="106"/>
      <c r="J214" s="99"/>
      <c r="K214" s="99"/>
      <c r="L214" s="107"/>
      <c r="M214" s="112" t="str">
        <f t="shared" si="33"/>
        <v/>
      </c>
      <c r="N214" s="103" t="str">
        <f t="shared" si="34"/>
        <v/>
      </c>
      <c r="O214" s="103">
        <f>IFERROR('OEE REA'!J725*'SPEED FACTOR REA'!L214,"")</f>
        <v>0</v>
      </c>
      <c r="P214" s="250" t="str">
        <f t="shared" si="35"/>
        <v/>
      </c>
      <c r="R214" s="70" t="e">
        <f t="shared" si="29"/>
        <v>#VALUE!</v>
      </c>
    </row>
    <row r="215" spans="1:18" ht="20.25" x14ac:dyDescent="0.25">
      <c r="A215" s="246">
        <f>+'OEE REA'!A726</f>
        <v>0</v>
      </c>
      <c r="B215" s="99">
        <f t="shared" si="31"/>
        <v>0</v>
      </c>
      <c r="C215" s="113">
        <f>+'OEE REA'!D726</f>
        <v>0</v>
      </c>
      <c r="D215" s="242" t="s">
        <v>2017</v>
      </c>
      <c r="E215" s="109" t="e">
        <f>VLOOKUP(A215,'OEE REA'!A:AO,13,FALSE)</f>
        <v>#N/A</v>
      </c>
      <c r="F215" s="110" t="e">
        <f>VLOOKUP(A215,'OEE REA'!A:AO,11,FALSE)</f>
        <v>#N/A</v>
      </c>
      <c r="G215" s="111" t="str">
        <f t="shared" si="32"/>
        <v/>
      </c>
      <c r="H215" s="110" t="e">
        <f>VLOOKUP(A215,'OEE REA'!A:AO,14,FALSE)</f>
        <v>#N/A</v>
      </c>
      <c r="I215" s="106"/>
      <c r="J215" s="99"/>
      <c r="K215" s="99"/>
      <c r="L215" s="107"/>
      <c r="M215" s="112" t="str">
        <f t="shared" si="33"/>
        <v/>
      </c>
      <c r="N215" s="103" t="str">
        <f t="shared" si="34"/>
        <v/>
      </c>
      <c r="O215" s="103">
        <f>IFERROR('OEE REA'!J726*'SPEED FACTOR REA'!L215,"")</f>
        <v>0</v>
      </c>
      <c r="P215" s="250" t="str">
        <f t="shared" si="35"/>
        <v/>
      </c>
      <c r="R215" s="70" t="e">
        <f t="shared" si="29"/>
        <v>#VALUE!</v>
      </c>
    </row>
    <row r="216" spans="1:18" ht="20.25" x14ac:dyDescent="0.25">
      <c r="A216" s="246">
        <f>+'OEE REA'!A727</f>
        <v>0</v>
      </c>
      <c r="B216" s="99">
        <f t="shared" si="31"/>
        <v>0</v>
      </c>
      <c r="C216" s="113">
        <f>+'OEE REA'!D727</f>
        <v>0</v>
      </c>
      <c r="D216" s="242" t="s">
        <v>2018</v>
      </c>
      <c r="E216" s="109" t="e">
        <f>VLOOKUP(A216,'OEE REA'!A:AO,13,FALSE)</f>
        <v>#N/A</v>
      </c>
      <c r="F216" s="110" t="e">
        <f>VLOOKUP(A216,'OEE REA'!A:AO,11,FALSE)</f>
        <v>#N/A</v>
      </c>
      <c r="G216" s="111" t="str">
        <f t="shared" si="32"/>
        <v/>
      </c>
      <c r="H216" s="110" t="e">
        <f>VLOOKUP(A216,'OEE REA'!A:AO,14,FALSE)</f>
        <v>#N/A</v>
      </c>
      <c r="I216" s="106"/>
      <c r="J216" s="99"/>
      <c r="K216" s="99"/>
      <c r="L216" s="107"/>
      <c r="M216" s="112" t="str">
        <f t="shared" si="33"/>
        <v/>
      </c>
      <c r="N216" s="103" t="str">
        <f t="shared" si="34"/>
        <v/>
      </c>
      <c r="O216" s="103">
        <f>IFERROR('OEE REA'!J727*'SPEED FACTOR REA'!L216,"")</f>
        <v>0</v>
      </c>
      <c r="P216" s="250" t="str">
        <f t="shared" si="35"/>
        <v/>
      </c>
      <c r="R216" s="70" t="e">
        <f t="shared" si="29"/>
        <v>#VALUE!</v>
      </c>
    </row>
    <row r="217" spans="1:18" ht="20.25" x14ac:dyDescent="0.25">
      <c r="A217" s="246">
        <f>+'OEE REA'!A728</f>
        <v>0</v>
      </c>
      <c r="B217" s="99">
        <f t="shared" si="31"/>
        <v>0</v>
      </c>
      <c r="C217" s="113">
        <f>+'OEE REA'!D728</f>
        <v>0</v>
      </c>
      <c r="D217" s="242" t="s">
        <v>2019</v>
      </c>
      <c r="E217" s="109" t="e">
        <f>VLOOKUP(A217,'OEE REA'!A:AO,13,FALSE)</f>
        <v>#N/A</v>
      </c>
      <c r="F217" s="110" t="e">
        <f>VLOOKUP(A217,'OEE REA'!A:AO,11,FALSE)</f>
        <v>#N/A</v>
      </c>
      <c r="G217" s="111" t="str">
        <f t="shared" si="32"/>
        <v/>
      </c>
      <c r="H217" s="110" t="e">
        <f>VLOOKUP(A217,'OEE REA'!A:AO,14,FALSE)</f>
        <v>#N/A</v>
      </c>
      <c r="I217" s="106"/>
      <c r="J217" s="99"/>
      <c r="K217" s="99"/>
      <c r="L217" s="107"/>
      <c r="M217" s="112" t="str">
        <f t="shared" si="33"/>
        <v/>
      </c>
      <c r="N217" s="103" t="str">
        <f t="shared" si="34"/>
        <v/>
      </c>
      <c r="O217" s="103">
        <f>IFERROR('OEE REA'!J728*'SPEED FACTOR REA'!L217,"")</f>
        <v>0</v>
      </c>
      <c r="P217" s="250" t="str">
        <f t="shared" si="35"/>
        <v/>
      </c>
      <c r="R217" s="70" t="e">
        <f t="shared" si="29"/>
        <v>#VALUE!</v>
      </c>
    </row>
    <row r="218" spans="1:18" ht="20.25" x14ac:dyDescent="0.25">
      <c r="A218" s="246">
        <f>+'OEE REA'!A729</f>
        <v>0</v>
      </c>
      <c r="B218" s="99">
        <f t="shared" si="31"/>
        <v>0</v>
      </c>
      <c r="C218" s="113">
        <f>+'OEE REA'!D729</f>
        <v>0</v>
      </c>
      <c r="D218" s="242" t="s">
        <v>2020</v>
      </c>
      <c r="E218" s="109" t="e">
        <f>VLOOKUP(A218,'OEE REA'!A:AO,13,FALSE)</f>
        <v>#N/A</v>
      </c>
      <c r="F218" s="110" t="e">
        <f>VLOOKUP(A218,'OEE REA'!A:AO,11,FALSE)</f>
        <v>#N/A</v>
      </c>
      <c r="G218" s="111" t="str">
        <f t="shared" si="32"/>
        <v/>
      </c>
      <c r="H218" s="110" t="e">
        <f>VLOOKUP(A218,'OEE REA'!A:AO,14,FALSE)</f>
        <v>#N/A</v>
      </c>
      <c r="I218" s="106"/>
      <c r="J218" s="99"/>
      <c r="K218" s="99"/>
      <c r="L218" s="107"/>
      <c r="M218" s="112" t="str">
        <f t="shared" si="33"/>
        <v/>
      </c>
      <c r="N218" s="103" t="str">
        <f t="shared" si="34"/>
        <v/>
      </c>
      <c r="O218" s="103">
        <f>IFERROR('OEE REA'!J729*'SPEED FACTOR REA'!L218,"")</f>
        <v>0</v>
      </c>
      <c r="P218" s="250" t="str">
        <f t="shared" si="35"/>
        <v/>
      </c>
      <c r="R218" s="70" t="e">
        <f t="shared" si="29"/>
        <v>#VALUE!</v>
      </c>
    </row>
    <row r="219" spans="1:18" ht="20.25" x14ac:dyDescent="0.25">
      <c r="A219" s="246">
        <f>+'OEE REA'!A730</f>
        <v>0</v>
      </c>
      <c r="B219" s="99">
        <f t="shared" si="31"/>
        <v>0</v>
      </c>
      <c r="C219" s="113">
        <f>+'OEE REA'!D730</f>
        <v>0</v>
      </c>
      <c r="D219" s="242" t="s">
        <v>2021</v>
      </c>
      <c r="E219" s="109" t="e">
        <f>VLOOKUP(A219,'OEE REA'!A:AO,13,FALSE)</f>
        <v>#N/A</v>
      </c>
      <c r="F219" s="110" t="e">
        <f>VLOOKUP(A219,'OEE REA'!A:AO,11,FALSE)</f>
        <v>#N/A</v>
      </c>
      <c r="G219" s="111" t="str">
        <f t="shared" si="32"/>
        <v/>
      </c>
      <c r="H219" s="110" t="e">
        <f>VLOOKUP(A219,'OEE REA'!A:AO,14,FALSE)</f>
        <v>#N/A</v>
      </c>
      <c r="I219" s="106"/>
      <c r="J219" s="99"/>
      <c r="K219" s="99"/>
      <c r="L219" s="107"/>
      <c r="M219" s="112" t="str">
        <f t="shared" si="33"/>
        <v/>
      </c>
      <c r="N219" s="103" t="str">
        <f t="shared" si="34"/>
        <v/>
      </c>
      <c r="O219" s="103">
        <f>IFERROR('OEE REA'!J730*'SPEED FACTOR REA'!L219,"")</f>
        <v>0</v>
      </c>
      <c r="P219" s="250" t="str">
        <f t="shared" si="35"/>
        <v/>
      </c>
      <c r="R219" s="70" t="e">
        <f t="shared" si="29"/>
        <v>#VALUE!</v>
      </c>
    </row>
    <row r="220" spans="1:18" ht="20.25" x14ac:dyDescent="0.25">
      <c r="A220" s="246">
        <f>+'OEE REA'!A731</f>
        <v>0</v>
      </c>
      <c r="B220" s="99">
        <f t="shared" si="31"/>
        <v>0</v>
      </c>
      <c r="C220" s="113">
        <f>+'OEE REA'!D731</f>
        <v>0</v>
      </c>
      <c r="D220" s="242" t="s">
        <v>2022</v>
      </c>
      <c r="E220" s="109" t="e">
        <f>VLOOKUP(A220,'OEE REA'!A:AO,13,FALSE)</f>
        <v>#N/A</v>
      </c>
      <c r="F220" s="110" t="e">
        <f>VLOOKUP(A220,'OEE REA'!A:AO,11,FALSE)</f>
        <v>#N/A</v>
      </c>
      <c r="G220" s="111" t="str">
        <f t="shared" si="32"/>
        <v/>
      </c>
      <c r="H220" s="110" t="e">
        <f>VLOOKUP(A220,'OEE REA'!A:AO,14,FALSE)</f>
        <v>#N/A</v>
      </c>
      <c r="I220" s="106"/>
      <c r="J220" s="99"/>
      <c r="K220" s="99"/>
      <c r="L220" s="107"/>
      <c r="M220" s="112" t="str">
        <f t="shared" si="33"/>
        <v/>
      </c>
      <c r="N220" s="103" t="str">
        <f t="shared" si="34"/>
        <v/>
      </c>
      <c r="O220" s="103">
        <f>IFERROR('OEE REA'!J731*'SPEED FACTOR REA'!L220,"")</f>
        <v>0</v>
      </c>
      <c r="P220" s="250" t="str">
        <f t="shared" si="35"/>
        <v/>
      </c>
      <c r="R220" s="70" t="e">
        <f t="shared" si="29"/>
        <v>#VALUE!</v>
      </c>
    </row>
    <row r="221" spans="1:18" ht="20.25" x14ac:dyDescent="0.25">
      <c r="A221" s="246">
        <f>+'OEE REA'!A732</f>
        <v>0</v>
      </c>
      <c r="B221" s="99">
        <f t="shared" si="31"/>
        <v>0</v>
      </c>
      <c r="C221" s="113">
        <f>+'OEE REA'!D732</f>
        <v>0</v>
      </c>
      <c r="D221" s="242" t="s">
        <v>2023</v>
      </c>
      <c r="E221" s="109" t="e">
        <f>VLOOKUP(A221,'OEE REA'!A:AO,13,FALSE)</f>
        <v>#N/A</v>
      </c>
      <c r="F221" s="110" t="e">
        <f>VLOOKUP(A221,'OEE REA'!A:AO,11,FALSE)</f>
        <v>#N/A</v>
      </c>
      <c r="G221" s="111" t="str">
        <f t="shared" si="32"/>
        <v/>
      </c>
      <c r="H221" s="110" t="e">
        <f>VLOOKUP(A221,'OEE REA'!A:AO,14,FALSE)</f>
        <v>#N/A</v>
      </c>
      <c r="I221" s="106"/>
      <c r="J221" s="99"/>
      <c r="K221" s="99"/>
      <c r="L221" s="107"/>
      <c r="M221" s="112" t="str">
        <f t="shared" si="33"/>
        <v/>
      </c>
      <c r="N221" s="103" t="str">
        <f t="shared" si="34"/>
        <v/>
      </c>
      <c r="O221" s="103">
        <f>IFERROR('OEE REA'!J732*'SPEED FACTOR REA'!L221,"")</f>
        <v>0</v>
      </c>
      <c r="P221" s="250" t="str">
        <f t="shared" si="35"/>
        <v/>
      </c>
      <c r="R221" s="70" t="e">
        <f t="shared" si="29"/>
        <v>#VALUE!</v>
      </c>
    </row>
    <row r="222" spans="1:18" ht="20.25" x14ac:dyDescent="0.25">
      <c r="A222" s="246">
        <f>+'OEE REA'!A733</f>
        <v>0</v>
      </c>
      <c r="B222" s="99">
        <f t="shared" si="31"/>
        <v>0</v>
      </c>
      <c r="C222" s="113">
        <f>+'OEE REA'!D733</f>
        <v>0</v>
      </c>
      <c r="D222" s="242" t="s">
        <v>2024</v>
      </c>
      <c r="E222" s="109" t="e">
        <f>VLOOKUP(A222,'OEE REA'!A:AO,13,FALSE)</f>
        <v>#N/A</v>
      </c>
      <c r="F222" s="110" t="e">
        <f>VLOOKUP(A222,'OEE REA'!A:AO,11,FALSE)</f>
        <v>#N/A</v>
      </c>
      <c r="G222" s="111" t="str">
        <f t="shared" si="32"/>
        <v/>
      </c>
      <c r="H222" s="110" t="e">
        <f>VLOOKUP(A222,'OEE REA'!A:AO,14,FALSE)</f>
        <v>#N/A</v>
      </c>
      <c r="I222" s="106"/>
      <c r="J222" s="99"/>
      <c r="K222" s="99"/>
      <c r="L222" s="107"/>
      <c r="M222" s="112" t="str">
        <f t="shared" si="33"/>
        <v/>
      </c>
      <c r="N222" s="103" t="str">
        <f t="shared" si="34"/>
        <v/>
      </c>
      <c r="O222" s="103">
        <f>IFERROR('OEE REA'!J733*'SPEED FACTOR REA'!L222,"")</f>
        <v>0</v>
      </c>
      <c r="P222" s="250" t="str">
        <f t="shared" si="35"/>
        <v/>
      </c>
      <c r="R222" s="70" t="e">
        <f t="shared" si="29"/>
        <v>#VALUE!</v>
      </c>
    </row>
    <row r="223" spans="1:18" ht="20.25" x14ac:dyDescent="0.25">
      <c r="A223" s="246">
        <f>+'OEE REA'!A734</f>
        <v>0</v>
      </c>
      <c r="B223" s="99">
        <f t="shared" si="31"/>
        <v>0</v>
      </c>
      <c r="C223" s="113">
        <f>+'OEE REA'!D734</f>
        <v>0</v>
      </c>
      <c r="D223" s="242" t="s">
        <v>2025</v>
      </c>
      <c r="E223" s="109" t="e">
        <f>VLOOKUP(A223,'OEE REA'!A:AO,13,FALSE)</f>
        <v>#N/A</v>
      </c>
      <c r="F223" s="110" t="e">
        <f>VLOOKUP(A223,'OEE REA'!A:AO,11,FALSE)</f>
        <v>#N/A</v>
      </c>
      <c r="G223" s="111" t="str">
        <f t="shared" si="32"/>
        <v/>
      </c>
      <c r="H223" s="110" t="e">
        <f>VLOOKUP(A223,'OEE REA'!A:AO,14,FALSE)</f>
        <v>#N/A</v>
      </c>
      <c r="I223" s="106"/>
      <c r="J223" s="99"/>
      <c r="K223" s="99"/>
      <c r="L223" s="107"/>
      <c r="M223" s="112" t="str">
        <f t="shared" si="33"/>
        <v/>
      </c>
      <c r="N223" s="103" t="str">
        <f t="shared" si="34"/>
        <v/>
      </c>
      <c r="O223" s="103">
        <f>IFERROR('OEE REA'!J734*'SPEED FACTOR REA'!L223,"")</f>
        <v>0</v>
      </c>
      <c r="P223" s="250" t="str">
        <f t="shared" si="35"/>
        <v/>
      </c>
      <c r="R223" s="70" t="e">
        <f t="shared" si="29"/>
        <v>#VALUE!</v>
      </c>
    </row>
    <row r="224" spans="1:18" ht="20.25" x14ac:dyDescent="0.25">
      <c r="A224" s="246">
        <f>+'OEE REA'!A735</f>
        <v>0</v>
      </c>
      <c r="B224" s="99">
        <f t="shared" si="31"/>
        <v>0</v>
      </c>
      <c r="C224" s="113">
        <f>+'OEE REA'!D735</f>
        <v>0</v>
      </c>
      <c r="D224" s="242" t="s">
        <v>2026</v>
      </c>
      <c r="E224" s="109" t="e">
        <f>VLOOKUP(A224,'OEE REA'!A:AO,13,FALSE)</f>
        <v>#N/A</v>
      </c>
      <c r="F224" s="110" t="e">
        <f>VLOOKUP(A224,'OEE REA'!A:AO,11,FALSE)</f>
        <v>#N/A</v>
      </c>
      <c r="G224" s="111" t="str">
        <f t="shared" si="32"/>
        <v/>
      </c>
      <c r="H224" s="110" t="e">
        <f>VLOOKUP(A224,'OEE REA'!A:AO,14,FALSE)</f>
        <v>#N/A</v>
      </c>
      <c r="I224" s="106"/>
      <c r="J224" s="99"/>
      <c r="K224" s="99"/>
      <c r="L224" s="107"/>
      <c r="M224" s="112" t="str">
        <f t="shared" si="33"/>
        <v/>
      </c>
      <c r="N224" s="103" t="str">
        <f t="shared" si="34"/>
        <v/>
      </c>
      <c r="O224" s="103">
        <f>IFERROR('OEE REA'!J735*'SPEED FACTOR REA'!L224,"")</f>
        <v>0</v>
      </c>
      <c r="P224" s="250" t="str">
        <f t="shared" si="35"/>
        <v/>
      </c>
      <c r="R224" s="70" t="e">
        <f t="shared" si="29"/>
        <v>#VALUE!</v>
      </c>
    </row>
    <row r="225" spans="1:18" ht="20.25" x14ac:dyDescent="0.25">
      <c r="A225" s="246">
        <f>+'OEE REA'!A736</f>
        <v>0</v>
      </c>
      <c r="B225" s="99">
        <f t="shared" si="31"/>
        <v>0</v>
      </c>
      <c r="C225" s="113">
        <f>+'OEE REA'!D736</f>
        <v>0</v>
      </c>
      <c r="D225" s="242" t="s">
        <v>2027</v>
      </c>
      <c r="E225" s="109" t="e">
        <f>VLOOKUP(A225,'OEE REA'!A:AO,13,FALSE)</f>
        <v>#N/A</v>
      </c>
      <c r="F225" s="110" t="e">
        <f>VLOOKUP(A225,'OEE REA'!A:AO,11,FALSE)</f>
        <v>#N/A</v>
      </c>
      <c r="G225" s="111" t="str">
        <f t="shared" si="32"/>
        <v/>
      </c>
      <c r="H225" s="110" t="e">
        <f>VLOOKUP(A225,'OEE REA'!A:AO,14,FALSE)</f>
        <v>#N/A</v>
      </c>
      <c r="I225" s="106"/>
      <c r="J225" s="99"/>
      <c r="K225" s="99"/>
      <c r="L225" s="107"/>
      <c r="M225" s="112" t="str">
        <f t="shared" si="33"/>
        <v/>
      </c>
      <c r="N225" s="103" t="str">
        <f t="shared" si="34"/>
        <v/>
      </c>
      <c r="O225" s="103">
        <f>IFERROR('OEE REA'!J736*'SPEED FACTOR REA'!L225,"")</f>
        <v>0</v>
      </c>
      <c r="P225" s="250" t="str">
        <f t="shared" si="35"/>
        <v/>
      </c>
      <c r="R225" s="70" t="e">
        <f t="shared" si="29"/>
        <v>#VALUE!</v>
      </c>
    </row>
    <row r="226" spans="1:18" ht="20.25" x14ac:dyDescent="0.25">
      <c r="A226" s="246">
        <f>+'OEE REA'!A737</f>
        <v>0</v>
      </c>
      <c r="B226" s="99">
        <f t="shared" si="31"/>
        <v>0</v>
      </c>
      <c r="C226" s="113">
        <f>+'OEE REA'!D737</f>
        <v>0</v>
      </c>
      <c r="D226" s="242" t="s">
        <v>2028</v>
      </c>
      <c r="E226" s="109" t="e">
        <f>VLOOKUP(A226,'OEE REA'!A:AO,13,FALSE)</f>
        <v>#N/A</v>
      </c>
      <c r="F226" s="110" t="e">
        <f>VLOOKUP(A226,'OEE REA'!A:AO,11,FALSE)</f>
        <v>#N/A</v>
      </c>
      <c r="G226" s="111" t="str">
        <f t="shared" si="32"/>
        <v/>
      </c>
      <c r="H226" s="110" t="e">
        <f>VLOOKUP(A226,'OEE REA'!A:AO,14,FALSE)</f>
        <v>#N/A</v>
      </c>
      <c r="I226" s="106"/>
      <c r="J226" s="99"/>
      <c r="K226" s="99"/>
      <c r="L226" s="107"/>
      <c r="M226" s="112" t="str">
        <f t="shared" si="33"/>
        <v/>
      </c>
      <c r="N226" s="103" t="str">
        <f t="shared" si="34"/>
        <v/>
      </c>
      <c r="O226" s="103">
        <f>IFERROR('OEE REA'!J737*'SPEED FACTOR REA'!L226,"")</f>
        <v>0</v>
      </c>
      <c r="P226" s="250" t="str">
        <f t="shared" si="35"/>
        <v/>
      </c>
      <c r="R226" s="70" t="e">
        <f t="shared" si="29"/>
        <v>#VALUE!</v>
      </c>
    </row>
    <row r="227" spans="1:18" ht="20.25" x14ac:dyDescent="0.25">
      <c r="A227" s="246">
        <f>+'OEE REA'!A738</f>
        <v>0</v>
      </c>
      <c r="B227" s="99">
        <f t="shared" si="31"/>
        <v>0</v>
      </c>
      <c r="C227" s="113">
        <f>+'OEE REA'!D738</f>
        <v>0</v>
      </c>
      <c r="D227" s="242" t="s">
        <v>2029</v>
      </c>
      <c r="E227" s="109" t="e">
        <f>VLOOKUP(A227,'OEE REA'!A:AO,13,FALSE)</f>
        <v>#N/A</v>
      </c>
      <c r="F227" s="110" t="e">
        <f>VLOOKUP(A227,'OEE REA'!A:AO,11,FALSE)</f>
        <v>#N/A</v>
      </c>
      <c r="G227" s="111" t="str">
        <f t="shared" si="32"/>
        <v/>
      </c>
      <c r="H227" s="110" t="e">
        <f>VLOOKUP(A227,'OEE REA'!A:AO,14,FALSE)</f>
        <v>#N/A</v>
      </c>
      <c r="I227" s="106"/>
      <c r="J227" s="99"/>
      <c r="K227" s="99"/>
      <c r="L227" s="107"/>
      <c r="M227" s="112" t="str">
        <f t="shared" si="33"/>
        <v/>
      </c>
      <c r="N227" s="103" t="str">
        <f t="shared" si="34"/>
        <v/>
      </c>
      <c r="O227" s="103">
        <f>IFERROR('OEE REA'!J738*'SPEED FACTOR REA'!L227,"")</f>
        <v>0</v>
      </c>
      <c r="P227" s="250" t="str">
        <f t="shared" si="35"/>
        <v/>
      </c>
      <c r="R227" s="70" t="e">
        <f t="shared" si="29"/>
        <v>#VALUE!</v>
      </c>
    </row>
    <row r="228" spans="1:18" ht="20.25" x14ac:dyDescent="0.25">
      <c r="A228" s="246">
        <f>+'OEE REA'!A739</f>
        <v>0</v>
      </c>
      <c r="B228" s="99">
        <f t="shared" si="31"/>
        <v>0</v>
      </c>
      <c r="C228" s="113">
        <f>+'OEE REA'!D739</f>
        <v>0</v>
      </c>
      <c r="D228" s="242" t="s">
        <v>2030</v>
      </c>
      <c r="E228" s="109" t="e">
        <f>VLOOKUP(A228,'OEE REA'!A:AO,13,FALSE)</f>
        <v>#N/A</v>
      </c>
      <c r="F228" s="110" t="e">
        <f>VLOOKUP(A228,'OEE REA'!A:AO,11,FALSE)</f>
        <v>#N/A</v>
      </c>
      <c r="G228" s="111" t="str">
        <f t="shared" si="32"/>
        <v/>
      </c>
      <c r="H228" s="110" t="e">
        <f>VLOOKUP(A228,'OEE REA'!A:AO,14,FALSE)</f>
        <v>#N/A</v>
      </c>
      <c r="I228" s="106"/>
      <c r="J228" s="99"/>
      <c r="K228" s="99"/>
      <c r="L228" s="107"/>
      <c r="M228" s="112" t="str">
        <f t="shared" si="33"/>
        <v/>
      </c>
      <c r="N228" s="103" t="str">
        <f t="shared" si="34"/>
        <v/>
      </c>
      <c r="O228" s="103">
        <f>IFERROR('OEE REA'!J739*'SPEED FACTOR REA'!L228,"")</f>
        <v>0</v>
      </c>
      <c r="P228" s="250" t="str">
        <f t="shared" si="35"/>
        <v/>
      </c>
      <c r="R228" s="70" t="e">
        <f t="shared" si="29"/>
        <v>#VALUE!</v>
      </c>
    </row>
    <row r="229" spans="1:18" ht="20.25" x14ac:dyDescent="0.25">
      <c r="A229" s="246">
        <f>+'OEE REA'!A740</f>
        <v>0</v>
      </c>
      <c r="B229" s="99">
        <f t="shared" si="31"/>
        <v>0</v>
      </c>
      <c r="C229" s="113">
        <f>+'OEE REA'!D740</f>
        <v>0</v>
      </c>
      <c r="D229" s="242" t="s">
        <v>2031</v>
      </c>
      <c r="E229" s="109" t="e">
        <f>VLOOKUP(A229,'OEE REA'!A:AO,13,FALSE)</f>
        <v>#N/A</v>
      </c>
      <c r="F229" s="110" t="e">
        <f>VLOOKUP(A229,'OEE REA'!A:AO,11,FALSE)</f>
        <v>#N/A</v>
      </c>
      <c r="G229" s="111" t="str">
        <f t="shared" si="32"/>
        <v/>
      </c>
      <c r="H229" s="110" t="e">
        <f>VLOOKUP(A229,'OEE REA'!A:AO,14,FALSE)</f>
        <v>#N/A</v>
      </c>
      <c r="I229" s="106"/>
      <c r="J229" s="99"/>
      <c r="K229" s="99"/>
      <c r="L229" s="107"/>
      <c r="M229" s="112" t="str">
        <f t="shared" si="33"/>
        <v/>
      </c>
      <c r="N229" s="103" t="str">
        <f t="shared" si="34"/>
        <v/>
      </c>
      <c r="O229" s="103">
        <f>IFERROR('OEE REA'!J740*'SPEED FACTOR REA'!L229,"")</f>
        <v>0</v>
      </c>
      <c r="P229" s="250" t="str">
        <f t="shared" si="35"/>
        <v/>
      </c>
      <c r="R229" s="70" t="e">
        <f t="shared" si="29"/>
        <v>#VALUE!</v>
      </c>
    </row>
    <row r="230" spans="1:18" ht="20.25" x14ac:dyDescent="0.25">
      <c r="A230" s="246">
        <f>+'OEE REA'!A741</f>
        <v>0</v>
      </c>
      <c r="B230" s="99">
        <f t="shared" si="31"/>
        <v>0</v>
      </c>
      <c r="C230" s="113">
        <f>+'OEE REA'!D741</f>
        <v>0</v>
      </c>
      <c r="D230" s="242" t="s">
        <v>2032</v>
      </c>
      <c r="E230" s="109" t="e">
        <f>VLOOKUP(A230,'OEE REA'!A:AO,13,FALSE)</f>
        <v>#N/A</v>
      </c>
      <c r="F230" s="110" t="e">
        <f>VLOOKUP(A230,'OEE REA'!A:AO,11,FALSE)</f>
        <v>#N/A</v>
      </c>
      <c r="G230" s="111" t="str">
        <f t="shared" si="32"/>
        <v/>
      </c>
      <c r="H230" s="110" t="e">
        <f>VLOOKUP(A230,'OEE REA'!A:AO,14,FALSE)</f>
        <v>#N/A</v>
      </c>
      <c r="I230" s="106"/>
      <c r="J230" s="99"/>
      <c r="K230" s="99"/>
      <c r="L230" s="107"/>
      <c r="M230" s="112" t="str">
        <f t="shared" si="33"/>
        <v/>
      </c>
      <c r="N230" s="103" t="str">
        <f t="shared" si="34"/>
        <v/>
      </c>
      <c r="O230" s="103">
        <f>IFERROR('OEE REA'!J741*'SPEED FACTOR REA'!L230,"")</f>
        <v>0</v>
      </c>
      <c r="P230" s="250" t="str">
        <f t="shared" si="35"/>
        <v/>
      </c>
      <c r="R230" s="70" t="e">
        <f t="shared" si="29"/>
        <v>#VALUE!</v>
      </c>
    </row>
    <row r="231" spans="1:18" ht="20.25" x14ac:dyDescent="0.25">
      <c r="A231" s="246">
        <f>+'OEE REA'!A742</f>
        <v>0</v>
      </c>
      <c r="B231" s="99">
        <f t="shared" si="31"/>
        <v>0</v>
      </c>
      <c r="C231" s="113">
        <f>+'OEE REA'!D742</f>
        <v>0</v>
      </c>
      <c r="D231" s="242" t="s">
        <v>2033</v>
      </c>
      <c r="E231" s="109" t="e">
        <f>VLOOKUP(A231,'OEE REA'!A:AO,13,FALSE)</f>
        <v>#N/A</v>
      </c>
      <c r="F231" s="110" t="e">
        <f>VLOOKUP(A231,'OEE REA'!A:AO,11,FALSE)</f>
        <v>#N/A</v>
      </c>
      <c r="G231" s="111" t="str">
        <f t="shared" si="32"/>
        <v/>
      </c>
      <c r="H231" s="110" t="e">
        <f>VLOOKUP(A231,'OEE REA'!A:AO,14,FALSE)</f>
        <v>#N/A</v>
      </c>
      <c r="I231" s="106"/>
      <c r="J231" s="99"/>
      <c r="K231" s="99"/>
      <c r="L231" s="107"/>
      <c r="M231" s="112" t="str">
        <f t="shared" si="33"/>
        <v/>
      </c>
      <c r="N231" s="103" t="str">
        <f t="shared" si="34"/>
        <v/>
      </c>
      <c r="O231" s="103">
        <f>IFERROR('OEE REA'!J742*'SPEED FACTOR REA'!L231,"")</f>
        <v>0</v>
      </c>
      <c r="P231" s="250" t="str">
        <f t="shared" si="35"/>
        <v/>
      </c>
      <c r="R231" s="70" t="e">
        <f t="shared" si="29"/>
        <v>#VALUE!</v>
      </c>
    </row>
    <row r="232" spans="1:18" ht="20.25" x14ac:dyDescent="0.25">
      <c r="A232" s="246">
        <f>+'OEE REA'!A743</f>
        <v>0</v>
      </c>
      <c r="B232" s="99">
        <f t="shared" si="31"/>
        <v>0</v>
      </c>
      <c r="C232" s="113">
        <f>+'OEE REA'!D743</f>
        <v>0</v>
      </c>
      <c r="D232" s="242" t="s">
        <v>2034</v>
      </c>
      <c r="E232" s="109" t="e">
        <f>VLOOKUP(A232,'OEE REA'!A:AO,13,FALSE)</f>
        <v>#N/A</v>
      </c>
      <c r="F232" s="110" t="e">
        <f>VLOOKUP(A232,'OEE REA'!A:AO,11,FALSE)</f>
        <v>#N/A</v>
      </c>
      <c r="G232" s="111" t="str">
        <f t="shared" si="32"/>
        <v/>
      </c>
      <c r="H232" s="110" t="e">
        <f>VLOOKUP(A232,'OEE REA'!A:AO,14,FALSE)</f>
        <v>#N/A</v>
      </c>
      <c r="I232" s="106"/>
      <c r="J232" s="99"/>
      <c r="K232" s="99"/>
      <c r="L232" s="107"/>
      <c r="M232" s="112" t="str">
        <f t="shared" si="33"/>
        <v/>
      </c>
      <c r="N232" s="103" t="str">
        <f t="shared" si="34"/>
        <v/>
      </c>
      <c r="O232" s="103">
        <f>IFERROR('OEE REA'!J743*'SPEED FACTOR REA'!L232,"")</f>
        <v>0</v>
      </c>
      <c r="P232" s="250" t="str">
        <f t="shared" si="35"/>
        <v/>
      </c>
      <c r="R232" s="70" t="e">
        <f t="shared" si="29"/>
        <v>#VALUE!</v>
      </c>
    </row>
    <row r="233" spans="1:18" ht="20.25" x14ac:dyDescent="0.25">
      <c r="A233" s="246">
        <f>+'OEE REA'!A744</f>
        <v>0</v>
      </c>
      <c r="B233" s="99">
        <f t="shared" si="31"/>
        <v>0</v>
      </c>
      <c r="C233" s="113">
        <f>+'OEE REA'!D744</f>
        <v>0</v>
      </c>
      <c r="D233" s="242" t="s">
        <v>2035</v>
      </c>
      <c r="E233" s="109" t="e">
        <f>VLOOKUP(A233,'OEE REA'!A:AO,13,FALSE)</f>
        <v>#N/A</v>
      </c>
      <c r="F233" s="110" t="e">
        <f>VLOOKUP(A233,'OEE REA'!A:AO,11,FALSE)</f>
        <v>#N/A</v>
      </c>
      <c r="G233" s="111" t="str">
        <f t="shared" si="32"/>
        <v/>
      </c>
      <c r="H233" s="110" t="e">
        <f>VLOOKUP(A233,'OEE REA'!A:AO,14,FALSE)</f>
        <v>#N/A</v>
      </c>
      <c r="I233" s="106"/>
      <c r="J233" s="99"/>
      <c r="K233" s="99"/>
      <c r="L233" s="107"/>
      <c r="M233" s="112" t="str">
        <f t="shared" si="33"/>
        <v/>
      </c>
      <c r="N233" s="103" t="str">
        <f t="shared" si="34"/>
        <v/>
      </c>
      <c r="O233" s="103">
        <f>IFERROR('OEE REA'!J744*'SPEED FACTOR REA'!L233,"")</f>
        <v>0</v>
      </c>
      <c r="P233" s="250" t="str">
        <f t="shared" si="35"/>
        <v/>
      </c>
      <c r="R233" s="70" t="e">
        <f t="shared" si="29"/>
        <v>#VALUE!</v>
      </c>
    </row>
    <row r="234" spans="1:18" ht="20.25" x14ac:dyDescent="0.25">
      <c r="A234" s="246">
        <f>+'OEE REA'!A745</f>
        <v>0</v>
      </c>
      <c r="B234" s="99">
        <f t="shared" si="31"/>
        <v>0</v>
      </c>
      <c r="C234" s="113">
        <f>+'OEE REA'!D745</f>
        <v>0</v>
      </c>
      <c r="D234" s="242" t="s">
        <v>2036</v>
      </c>
      <c r="E234" s="109" t="e">
        <f>VLOOKUP(A234,'OEE REA'!A:AO,13,FALSE)</f>
        <v>#N/A</v>
      </c>
      <c r="F234" s="110" t="e">
        <f>VLOOKUP(A234,'OEE REA'!A:AO,11,FALSE)</f>
        <v>#N/A</v>
      </c>
      <c r="G234" s="111" t="str">
        <f t="shared" si="32"/>
        <v/>
      </c>
      <c r="H234" s="110" t="e">
        <f>VLOOKUP(A234,'OEE REA'!A:AO,14,FALSE)</f>
        <v>#N/A</v>
      </c>
      <c r="I234" s="106"/>
      <c r="J234" s="99"/>
      <c r="K234" s="99"/>
      <c r="L234" s="107"/>
      <c r="M234" s="112" t="str">
        <f t="shared" si="33"/>
        <v/>
      </c>
      <c r="N234" s="103" t="str">
        <f t="shared" si="34"/>
        <v/>
      </c>
      <c r="O234" s="103">
        <f>IFERROR('OEE REA'!J745*'SPEED FACTOR REA'!L234,"")</f>
        <v>0</v>
      </c>
      <c r="P234" s="250" t="str">
        <f t="shared" si="35"/>
        <v/>
      </c>
      <c r="R234" s="70" t="e">
        <f t="shared" si="29"/>
        <v>#VALUE!</v>
      </c>
    </row>
    <row r="235" spans="1:18" ht="20.25" x14ac:dyDescent="0.25">
      <c r="A235" s="246">
        <f>+'OEE REA'!A746</f>
        <v>0</v>
      </c>
      <c r="B235" s="99">
        <f t="shared" si="31"/>
        <v>0</v>
      </c>
      <c r="C235" s="113">
        <f>+'OEE REA'!D746</f>
        <v>0</v>
      </c>
      <c r="D235" s="242" t="s">
        <v>2037</v>
      </c>
      <c r="E235" s="109" t="e">
        <f>VLOOKUP(A235,'OEE REA'!A:AO,13,FALSE)</f>
        <v>#N/A</v>
      </c>
      <c r="F235" s="110" t="e">
        <f>VLOOKUP(A235,'OEE REA'!A:AO,11,FALSE)</f>
        <v>#N/A</v>
      </c>
      <c r="G235" s="111" t="str">
        <f t="shared" si="32"/>
        <v/>
      </c>
      <c r="H235" s="110" t="e">
        <f>VLOOKUP(A235,'OEE REA'!A:AO,14,FALSE)</f>
        <v>#N/A</v>
      </c>
      <c r="I235" s="106"/>
      <c r="J235" s="99"/>
      <c r="K235" s="99"/>
      <c r="L235" s="107"/>
      <c r="M235" s="112" t="str">
        <f t="shared" si="33"/>
        <v/>
      </c>
      <c r="N235" s="103" t="str">
        <f t="shared" si="34"/>
        <v/>
      </c>
      <c r="O235" s="103">
        <f>IFERROR('OEE REA'!J746*'SPEED FACTOR REA'!L235,"")</f>
        <v>0</v>
      </c>
      <c r="P235" s="250" t="str">
        <f t="shared" si="35"/>
        <v/>
      </c>
      <c r="R235" s="70" t="e">
        <f t="shared" si="29"/>
        <v>#VALUE!</v>
      </c>
    </row>
    <row r="236" spans="1:18" ht="20.25" x14ac:dyDescent="0.25">
      <c r="A236" s="246">
        <f>+'OEE REA'!A747</f>
        <v>0</v>
      </c>
      <c r="B236" s="99">
        <f t="shared" si="31"/>
        <v>0</v>
      </c>
      <c r="C236" s="113">
        <f>+'OEE REA'!D747</f>
        <v>0</v>
      </c>
      <c r="D236" s="242" t="s">
        <v>2038</v>
      </c>
      <c r="E236" s="109" t="e">
        <f>VLOOKUP(A236,'OEE REA'!A:AO,13,FALSE)</f>
        <v>#N/A</v>
      </c>
      <c r="F236" s="110" t="e">
        <f>VLOOKUP(A236,'OEE REA'!A:AO,11,FALSE)</f>
        <v>#N/A</v>
      </c>
      <c r="G236" s="111" t="str">
        <f t="shared" si="32"/>
        <v/>
      </c>
      <c r="H236" s="110" t="e">
        <f>VLOOKUP(A236,'OEE REA'!A:AO,14,FALSE)</f>
        <v>#N/A</v>
      </c>
      <c r="I236" s="106"/>
      <c r="J236" s="99"/>
      <c r="K236" s="99"/>
      <c r="L236" s="107"/>
      <c r="M236" s="112" t="str">
        <f t="shared" si="33"/>
        <v/>
      </c>
      <c r="N236" s="103" t="str">
        <f t="shared" si="34"/>
        <v/>
      </c>
      <c r="O236" s="103">
        <f>IFERROR('OEE REA'!J747*'SPEED FACTOR REA'!L236,"")</f>
        <v>0</v>
      </c>
      <c r="P236" s="250" t="str">
        <f t="shared" si="35"/>
        <v/>
      </c>
      <c r="R236" s="70" t="e">
        <f t="shared" si="29"/>
        <v>#VALUE!</v>
      </c>
    </row>
    <row r="237" spans="1:18" ht="20.25" x14ac:dyDescent="0.25">
      <c r="A237" s="246">
        <f>+'OEE REA'!A748</f>
        <v>0</v>
      </c>
      <c r="B237" s="99">
        <f t="shared" si="31"/>
        <v>0</v>
      </c>
      <c r="C237" s="113">
        <f>+'OEE REA'!D748</f>
        <v>0</v>
      </c>
      <c r="D237" s="242" t="s">
        <v>2039</v>
      </c>
      <c r="E237" s="109" t="e">
        <f>VLOOKUP(A237,'OEE REA'!A:AO,13,FALSE)</f>
        <v>#N/A</v>
      </c>
      <c r="F237" s="110" t="e">
        <f>VLOOKUP(A237,'OEE REA'!A:AO,11,FALSE)</f>
        <v>#N/A</v>
      </c>
      <c r="G237" s="111" t="str">
        <f t="shared" si="32"/>
        <v/>
      </c>
      <c r="H237" s="110" t="e">
        <f>VLOOKUP(A237,'OEE REA'!A:AO,14,FALSE)</f>
        <v>#N/A</v>
      </c>
      <c r="I237" s="106"/>
      <c r="J237" s="99"/>
      <c r="K237" s="99"/>
      <c r="L237" s="107"/>
      <c r="M237" s="112" t="str">
        <f t="shared" si="33"/>
        <v/>
      </c>
      <c r="N237" s="103" t="str">
        <f t="shared" si="34"/>
        <v/>
      </c>
      <c r="O237" s="103">
        <f>IFERROR('OEE REA'!J748*'SPEED FACTOR REA'!L237,"")</f>
        <v>0</v>
      </c>
      <c r="P237" s="250" t="str">
        <f t="shared" si="35"/>
        <v/>
      </c>
      <c r="R237" s="70" t="e">
        <f t="shared" si="29"/>
        <v>#VALUE!</v>
      </c>
    </row>
    <row r="238" spans="1:18" ht="20.25" x14ac:dyDescent="0.25">
      <c r="A238" s="246">
        <f>+'OEE REA'!A749</f>
        <v>0</v>
      </c>
      <c r="B238" s="99">
        <f t="shared" si="31"/>
        <v>0</v>
      </c>
      <c r="C238" s="113">
        <f>+'OEE REA'!D749</f>
        <v>0</v>
      </c>
      <c r="D238" s="242" t="s">
        <v>2040</v>
      </c>
      <c r="E238" s="109" t="e">
        <f>VLOOKUP(A238,'OEE REA'!A:AO,13,FALSE)</f>
        <v>#N/A</v>
      </c>
      <c r="F238" s="110" t="e">
        <f>VLOOKUP(A238,'OEE REA'!A:AO,11,FALSE)</f>
        <v>#N/A</v>
      </c>
      <c r="G238" s="111" t="str">
        <f t="shared" si="32"/>
        <v/>
      </c>
      <c r="H238" s="110" t="e">
        <f>VLOOKUP(A238,'OEE REA'!A:AO,14,FALSE)</f>
        <v>#N/A</v>
      </c>
      <c r="I238" s="106"/>
      <c r="J238" s="99"/>
      <c r="K238" s="99"/>
      <c r="L238" s="107"/>
      <c r="M238" s="112" t="str">
        <f t="shared" si="33"/>
        <v/>
      </c>
      <c r="N238" s="103" t="str">
        <f t="shared" si="34"/>
        <v/>
      </c>
      <c r="O238" s="103">
        <f>IFERROR('OEE REA'!J749*'SPEED FACTOR REA'!L238,"")</f>
        <v>0</v>
      </c>
      <c r="P238" s="250" t="str">
        <f t="shared" si="35"/>
        <v/>
      </c>
      <c r="R238" s="70" t="e">
        <f t="shared" si="29"/>
        <v>#VALUE!</v>
      </c>
    </row>
    <row r="239" spans="1:18" ht="20.25" x14ac:dyDescent="0.25">
      <c r="A239" s="246">
        <f>+'OEE REA'!A750</f>
        <v>0</v>
      </c>
      <c r="B239" s="99">
        <f t="shared" si="31"/>
        <v>0</v>
      </c>
      <c r="C239" s="113">
        <f>+'OEE REA'!D750</f>
        <v>0</v>
      </c>
      <c r="D239" s="242" t="s">
        <v>2041</v>
      </c>
      <c r="E239" s="109" t="e">
        <f>VLOOKUP(A239,'OEE REA'!A:AO,13,FALSE)</f>
        <v>#N/A</v>
      </c>
      <c r="F239" s="110" t="e">
        <f>VLOOKUP(A239,'OEE REA'!A:AO,11,FALSE)</f>
        <v>#N/A</v>
      </c>
      <c r="G239" s="111" t="str">
        <f t="shared" si="32"/>
        <v/>
      </c>
      <c r="H239" s="110" t="e">
        <f>VLOOKUP(A239,'OEE REA'!A:AO,14,FALSE)</f>
        <v>#N/A</v>
      </c>
      <c r="I239" s="106"/>
      <c r="J239" s="99"/>
      <c r="K239" s="99"/>
      <c r="L239" s="107"/>
      <c r="M239" s="112" t="str">
        <f t="shared" si="33"/>
        <v/>
      </c>
      <c r="N239" s="103" t="str">
        <f t="shared" si="34"/>
        <v/>
      </c>
      <c r="O239" s="103">
        <f>IFERROR('OEE REA'!J750*'SPEED FACTOR REA'!L239,"")</f>
        <v>0</v>
      </c>
      <c r="P239" s="250" t="str">
        <f t="shared" si="35"/>
        <v/>
      </c>
      <c r="R239" s="70" t="e">
        <f t="shared" si="29"/>
        <v>#VALUE!</v>
      </c>
    </row>
    <row r="240" spans="1:18" ht="20.25" x14ac:dyDescent="0.25">
      <c r="A240" s="246">
        <f>+'OEE REA'!A751</f>
        <v>0</v>
      </c>
      <c r="B240" s="99">
        <f t="shared" si="31"/>
        <v>0</v>
      </c>
      <c r="C240" s="113">
        <f>+'OEE REA'!D751</f>
        <v>0</v>
      </c>
      <c r="D240" s="242" t="s">
        <v>2042</v>
      </c>
      <c r="E240" s="109" t="e">
        <f>VLOOKUP(A240,'OEE REA'!A:AO,13,FALSE)</f>
        <v>#N/A</v>
      </c>
      <c r="F240" s="110" t="e">
        <f>VLOOKUP(A240,'OEE REA'!A:AO,11,FALSE)</f>
        <v>#N/A</v>
      </c>
      <c r="G240" s="111" t="str">
        <f t="shared" si="32"/>
        <v/>
      </c>
      <c r="H240" s="110" t="e">
        <f>VLOOKUP(A240,'OEE REA'!A:AO,14,FALSE)</f>
        <v>#N/A</v>
      </c>
      <c r="I240" s="106"/>
      <c r="J240" s="99"/>
      <c r="K240" s="99"/>
      <c r="L240" s="107"/>
      <c r="M240" s="112" t="str">
        <f t="shared" si="33"/>
        <v/>
      </c>
      <c r="N240" s="103" t="str">
        <f t="shared" si="34"/>
        <v/>
      </c>
      <c r="O240" s="103">
        <f>IFERROR('OEE REA'!J751*'SPEED FACTOR REA'!L240,"")</f>
        <v>0</v>
      </c>
      <c r="P240" s="250" t="str">
        <f t="shared" si="35"/>
        <v/>
      </c>
      <c r="R240" s="70" t="e">
        <f t="shared" si="29"/>
        <v>#VALUE!</v>
      </c>
    </row>
    <row r="241" spans="1:18" ht="20.25" x14ac:dyDescent="0.25">
      <c r="A241" s="246">
        <f>+'OEE REA'!A752</f>
        <v>0</v>
      </c>
      <c r="B241" s="99">
        <f t="shared" si="31"/>
        <v>0</v>
      </c>
      <c r="C241" s="113">
        <f>+'OEE REA'!D752</f>
        <v>0</v>
      </c>
      <c r="D241" s="242" t="s">
        <v>2043</v>
      </c>
      <c r="E241" s="109" t="e">
        <f>VLOOKUP(A241,'OEE REA'!A:AO,13,FALSE)</f>
        <v>#N/A</v>
      </c>
      <c r="F241" s="110" t="e">
        <f>VLOOKUP(A241,'OEE REA'!A:AO,11,FALSE)</f>
        <v>#N/A</v>
      </c>
      <c r="G241" s="111" t="str">
        <f t="shared" si="32"/>
        <v/>
      </c>
      <c r="H241" s="110" t="e">
        <f>VLOOKUP(A241,'OEE REA'!A:AO,14,FALSE)</f>
        <v>#N/A</v>
      </c>
      <c r="I241" s="106"/>
      <c r="J241" s="99"/>
      <c r="K241" s="99"/>
      <c r="L241" s="107"/>
      <c r="M241" s="112" t="str">
        <f t="shared" si="33"/>
        <v/>
      </c>
      <c r="N241" s="103" t="str">
        <f t="shared" si="34"/>
        <v/>
      </c>
      <c r="O241" s="103">
        <f>IFERROR('OEE REA'!J752*'SPEED FACTOR REA'!L241,"")</f>
        <v>0</v>
      </c>
      <c r="P241" s="250" t="str">
        <f t="shared" si="35"/>
        <v/>
      </c>
      <c r="R241" s="70" t="e">
        <f t="shared" si="29"/>
        <v>#VALUE!</v>
      </c>
    </row>
    <row r="242" spans="1:18" ht="20.25" x14ac:dyDescent="0.25">
      <c r="A242" s="246">
        <f>+'OEE REA'!A753</f>
        <v>0</v>
      </c>
      <c r="B242" s="99">
        <f t="shared" si="31"/>
        <v>0</v>
      </c>
      <c r="C242" s="113">
        <f>+'OEE REA'!D753</f>
        <v>0</v>
      </c>
      <c r="D242" s="242" t="s">
        <v>2044</v>
      </c>
      <c r="E242" s="109" t="e">
        <f>VLOOKUP(A242,'OEE REA'!A:AO,13,FALSE)</f>
        <v>#N/A</v>
      </c>
      <c r="F242" s="110" t="e">
        <f>VLOOKUP(A242,'OEE REA'!A:AO,11,FALSE)</f>
        <v>#N/A</v>
      </c>
      <c r="G242" s="111" t="str">
        <f t="shared" si="32"/>
        <v/>
      </c>
      <c r="H242" s="110" t="e">
        <f>VLOOKUP(A242,'OEE REA'!A:AO,14,FALSE)</f>
        <v>#N/A</v>
      </c>
      <c r="I242" s="106"/>
      <c r="J242" s="99"/>
      <c r="K242" s="99"/>
      <c r="L242" s="107"/>
      <c r="M242" s="112" t="str">
        <f t="shared" si="33"/>
        <v/>
      </c>
      <c r="N242" s="103" t="str">
        <f t="shared" si="34"/>
        <v/>
      </c>
      <c r="O242" s="103">
        <f>IFERROR('OEE REA'!J753*'SPEED FACTOR REA'!L242,"")</f>
        <v>0</v>
      </c>
      <c r="P242" s="250" t="str">
        <f t="shared" si="35"/>
        <v/>
      </c>
      <c r="R242" s="70" t="e">
        <f t="shared" si="29"/>
        <v>#VALUE!</v>
      </c>
    </row>
    <row r="243" spans="1:18" ht="20.25" x14ac:dyDescent="0.25">
      <c r="A243" s="246">
        <f>+'OEE REA'!A754</f>
        <v>0</v>
      </c>
      <c r="B243" s="99">
        <f t="shared" si="31"/>
        <v>0</v>
      </c>
      <c r="C243" s="113">
        <f>+'OEE REA'!D754</f>
        <v>0</v>
      </c>
      <c r="D243" s="242" t="s">
        <v>2045</v>
      </c>
      <c r="E243" s="109" t="e">
        <f>VLOOKUP(A243,'OEE REA'!A:AO,13,FALSE)</f>
        <v>#N/A</v>
      </c>
      <c r="F243" s="110" t="e">
        <f>VLOOKUP(A243,'OEE REA'!A:AO,11,FALSE)</f>
        <v>#N/A</v>
      </c>
      <c r="G243" s="111" t="str">
        <f t="shared" si="32"/>
        <v/>
      </c>
      <c r="H243" s="110" t="e">
        <f>VLOOKUP(A243,'OEE REA'!A:AO,14,FALSE)</f>
        <v>#N/A</v>
      </c>
      <c r="I243" s="106"/>
      <c r="J243" s="99"/>
      <c r="K243" s="99"/>
      <c r="L243" s="107"/>
      <c r="M243" s="112" t="str">
        <f t="shared" si="33"/>
        <v/>
      </c>
      <c r="N243" s="103" t="str">
        <f t="shared" si="34"/>
        <v/>
      </c>
      <c r="O243" s="103">
        <f>IFERROR('OEE REA'!J754*'SPEED FACTOR REA'!L243,"")</f>
        <v>0</v>
      </c>
      <c r="P243" s="250" t="str">
        <f t="shared" si="35"/>
        <v/>
      </c>
      <c r="R243" s="70" t="e">
        <f t="shared" si="29"/>
        <v>#VALUE!</v>
      </c>
    </row>
    <row r="244" spans="1:18" ht="20.25" x14ac:dyDescent="0.25">
      <c r="A244" s="246">
        <f>+'OEE REA'!A755</f>
        <v>0</v>
      </c>
      <c r="B244" s="99">
        <f t="shared" si="31"/>
        <v>0</v>
      </c>
      <c r="C244" s="113">
        <f>+'OEE REA'!D755</f>
        <v>0</v>
      </c>
      <c r="D244" s="242" t="s">
        <v>2046</v>
      </c>
      <c r="E244" s="109" t="e">
        <f>VLOOKUP(A244,'OEE REA'!A:AO,13,FALSE)</f>
        <v>#N/A</v>
      </c>
      <c r="F244" s="110" t="e">
        <f>VLOOKUP(A244,'OEE REA'!A:AO,11,FALSE)</f>
        <v>#N/A</v>
      </c>
      <c r="G244" s="111" t="str">
        <f t="shared" si="32"/>
        <v/>
      </c>
      <c r="H244" s="110" t="e">
        <f>VLOOKUP(A244,'OEE REA'!A:AO,14,FALSE)</f>
        <v>#N/A</v>
      </c>
      <c r="I244" s="106"/>
      <c r="J244" s="99"/>
      <c r="K244" s="99"/>
      <c r="L244" s="107"/>
      <c r="M244" s="112" t="str">
        <f t="shared" si="33"/>
        <v/>
      </c>
      <c r="N244" s="103" t="str">
        <f t="shared" si="34"/>
        <v/>
      </c>
      <c r="O244" s="103">
        <f>IFERROR('OEE REA'!J755*'SPEED FACTOR REA'!L244,"")</f>
        <v>0</v>
      </c>
      <c r="P244" s="250" t="str">
        <f t="shared" si="35"/>
        <v/>
      </c>
      <c r="R244" s="70" t="e">
        <f t="shared" si="29"/>
        <v>#VALUE!</v>
      </c>
    </row>
    <row r="245" spans="1:18" ht="20.25" x14ac:dyDescent="0.25">
      <c r="A245" s="246">
        <f>+'OEE REA'!A756</f>
        <v>0</v>
      </c>
      <c r="B245" s="99">
        <f t="shared" si="31"/>
        <v>0</v>
      </c>
      <c r="C245" s="113">
        <f>+'OEE REA'!D756</f>
        <v>0</v>
      </c>
      <c r="D245" s="242" t="s">
        <v>2047</v>
      </c>
      <c r="E245" s="109" t="e">
        <f>VLOOKUP(A245,'OEE REA'!A:AO,13,FALSE)</f>
        <v>#N/A</v>
      </c>
      <c r="F245" s="110" t="e">
        <f>VLOOKUP(A245,'OEE REA'!A:AO,11,FALSE)</f>
        <v>#N/A</v>
      </c>
      <c r="G245" s="111" t="str">
        <f t="shared" si="32"/>
        <v/>
      </c>
      <c r="H245" s="110" t="e">
        <f>VLOOKUP(A245,'OEE REA'!A:AO,14,FALSE)</f>
        <v>#N/A</v>
      </c>
      <c r="I245" s="106"/>
      <c r="J245" s="99"/>
      <c r="K245" s="99"/>
      <c r="L245" s="107"/>
      <c r="M245" s="112" t="str">
        <f t="shared" si="33"/>
        <v/>
      </c>
      <c r="N245" s="103" t="str">
        <f t="shared" si="34"/>
        <v/>
      </c>
      <c r="O245" s="103">
        <f>IFERROR('OEE REA'!J756*'SPEED FACTOR REA'!L245,"")</f>
        <v>0</v>
      </c>
      <c r="P245" s="250" t="str">
        <f t="shared" si="35"/>
        <v/>
      </c>
      <c r="R245" s="70" t="e">
        <f t="shared" si="29"/>
        <v>#VALUE!</v>
      </c>
    </row>
    <row r="246" spans="1:18" ht="20.25" x14ac:dyDescent="0.25">
      <c r="A246" s="246">
        <f>+'OEE REA'!A757</f>
        <v>0</v>
      </c>
      <c r="B246" s="99">
        <f t="shared" si="31"/>
        <v>0</v>
      </c>
      <c r="C246" s="113">
        <f>+'OEE REA'!D757</f>
        <v>0</v>
      </c>
      <c r="D246" s="242" t="s">
        <v>2048</v>
      </c>
      <c r="E246" s="109" t="e">
        <f>VLOOKUP(A246,'OEE REA'!A:AO,13,FALSE)</f>
        <v>#N/A</v>
      </c>
      <c r="F246" s="110" t="e">
        <f>VLOOKUP(A246,'OEE REA'!A:AO,11,FALSE)</f>
        <v>#N/A</v>
      </c>
      <c r="G246" s="111" t="str">
        <f t="shared" si="32"/>
        <v/>
      </c>
      <c r="H246" s="110" t="e">
        <f>VLOOKUP(A246,'OEE REA'!A:AO,14,FALSE)</f>
        <v>#N/A</v>
      </c>
      <c r="I246" s="106"/>
      <c r="J246" s="99"/>
      <c r="K246" s="99"/>
      <c r="L246" s="107"/>
      <c r="M246" s="112" t="str">
        <f t="shared" si="33"/>
        <v/>
      </c>
      <c r="N246" s="103" t="str">
        <f t="shared" si="34"/>
        <v/>
      </c>
      <c r="O246" s="103">
        <f>IFERROR('OEE REA'!J757*'SPEED FACTOR REA'!L246,"")</f>
        <v>0</v>
      </c>
      <c r="P246" s="250" t="str">
        <f t="shared" si="35"/>
        <v/>
      </c>
      <c r="R246" s="70" t="e">
        <f t="shared" si="29"/>
        <v>#VALUE!</v>
      </c>
    </row>
    <row r="247" spans="1:18" ht="20.25" x14ac:dyDescent="0.25">
      <c r="A247" s="246">
        <f>+'OEE REA'!A758</f>
        <v>0</v>
      </c>
      <c r="B247" s="99">
        <f t="shared" si="31"/>
        <v>0</v>
      </c>
      <c r="C247" s="113">
        <f>+'OEE REA'!D758</f>
        <v>0</v>
      </c>
      <c r="D247" s="242" t="s">
        <v>2049</v>
      </c>
      <c r="E247" s="109" t="e">
        <f>VLOOKUP(A247,'OEE REA'!A:AO,13,FALSE)</f>
        <v>#N/A</v>
      </c>
      <c r="F247" s="110" t="e">
        <f>VLOOKUP(A247,'OEE REA'!A:AO,11,FALSE)</f>
        <v>#N/A</v>
      </c>
      <c r="G247" s="111" t="str">
        <f t="shared" si="32"/>
        <v/>
      </c>
      <c r="H247" s="110" t="e">
        <f>VLOOKUP(A247,'OEE REA'!A:AO,14,FALSE)</f>
        <v>#N/A</v>
      </c>
      <c r="I247" s="106"/>
      <c r="J247" s="99"/>
      <c r="K247" s="99"/>
      <c r="L247" s="107"/>
      <c r="M247" s="112" t="str">
        <f t="shared" si="33"/>
        <v/>
      </c>
      <c r="N247" s="103" t="str">
        <f t="shared" si="34"/>
        <v/>
      </c>
      <c r="O247" s="103">
        <f>IFERROR('OEE REA'!J758*'SPEED FACTOR REA'!L247,"")</f>
        <v>0</v>
      </c>
      <c r="P247" s="250" t="str">
        <f t="shared" si="35"/>
        <v/>
      </c>
      <c r="R247" s="70" t="e">
        <f t="shared" si="29"/>
        <v>#VALUE!</v>
      </c>
    </row>
    <row r="248" spans="1:18" ht="20.25" x14ac:dyDescent="0.25">
      <c r="A248" s="246">
        <f>+'OEE REA'!A759</f>
        <v>0</v>
      </c>
      <c r="B248" s="99">
        <f t="shared" si="31"/>
        <v>0</v>
      </c>
      <c r="C248" s="113">
        <f>+'OEE REA'!D759</f>
        <v>0</v>
      </c>
      <c r="D248" s="242" t="s">
        <v>2050</v>
      </c>
      <c r="E248" s="109" t="e">
        <f>VLOOKUP(A248,'OEE REA'!A:AO,13,FALSE)</f>
        <v>#N/A</v>
      </c>
      <c r="F248" s="110" t="e">
        <f>VLOOKUP(A248,'OEE REA'!A:AO,11,FALSE)</f>
        <v>#N/A</v>
      </c>
      <c r="G248" s="111" t="str">
        <f t="shared" si="32"/>
        <v/>
      </c>
      <c r="H248" s="110" t="e">
        <f>VLOOKUP(A248,'OEE REA'!A:AO,14,FALSE)</f>
        <v>#N/A</v>
      </c>
      <c r="I248" s="106"/>
      <c r="J248" s="99"/>
      <c r="K248" s="99"/>
      <c r="L248" s="107"/>
      <c r="M248" s="112" t="str">
        <f t="shared" si="33"/>
        <v/>
      </c>
      <c r="N248" s="103" t="str">
        <f t="shared" si="34"/>
        <v/>
      </c>
      <c r="O248" s="103">
        <f>IFERROR('OEE REA'!J759*'SPEED FACTOR REA'!L248,"")</f>
        <v>0</v>
      </c>
      <c r="P248" s="250" t="str">
        <f t="shared" si="35"/>
        <v/>
      </c>
      <c r="R248" s="70" t="e">
        <f t="shared" si="29"/>
        <v>#VALUE!</v>
      </c>
    </row>
    <row r="249" spans="1:18" ht="20.25" x14ac:dyDescent="0.25">
      <c r="A249" s="246">
        <f>+'OEE REA'!A760</f>
        <v>0</v>
      </c>
      <c r="B249" s="99">
        <f t="shared" si="31"/>
        <v>0</v>
      </c>
      <c r="C249" s="113">
        <f>+'OEE REA'!D760</f>
        <v>0</v>
      </c>
      <c r="D249" s="242" t="s">
        <v>2051</v>
      </c>
      <c r="E249" s="109" t="e">
        <f>VLOOKUP(A249,'OEE REA'!A:AO,13,FALSE)</f>
        <v>#N/A</v>
      </c>
      <c r="F249" s="110" t="e">
        <f>VLOOKUP(A249,'OEE REA'!A:AO,11,FALSE)</f>
        <v>#N/A</v>
      </c>
      <c r="G249" s="111" t="str">
        <f t="shared" si="32"/>
        <v/>
      </c>
      <c r="H249" s="110" t="e">
        <f>VLOOKUP(A249,'OEE REA'!A:AO,14,FALSE)</f>
        <v>#N/A</v>
      </c>
      <c r="I249" s="106"/>
      <c r="J249" s="99"/>
      <c r="K249" s="99"/>
      <c r="L249" s="107"/>
      <c r="M249" s="112" t="str">
        <f t="shared" si="33"/>
        <v/>
      </c>
      <c r="N249" s="103" t="str">
        <f t="shared" si="34"/>
        <v/>
      </c>
      <c r="O249" s="103">
        <f>IFERROR('OEE REA'!J760*'SPEED FACTOR REA'!L249,"")</f>
        <v>0</v>
      </c>
      <c r="P249" s="250" t="str">
        <f t="shared" si="35"/>
        <v/>
      </c>
      <c r="R249" s="70" t="e">
        <f t="shared" si="29"/>
        <v>#VALUE!</v>
      </c>
    </row>
    <row r="250" spans="1:18" ht="20.25" x14ac:dyDescent="0.25">
      <c r="A250" s="246">
        <f>+'OEE REA'!A761</f>
        <v>0</v>
      </c>
      <c r="B250" s="99">
        <f t="shared" si="31"/>
        <v>0</v>
      </c>
      <c r="C250" s="113">
        <f>+'OEE REA'!D761</f>
        <v>0</v>
      </c>
      <c r="D250" s="242" t="s">
        <v>2052</v>
      </c>
      <c r="E250" s="109" t="e">
        <f>VLOOKUP(A250,'OEE REA'!A:AO,13,FALSE)</f>
        <v>#N/A</v>
      </c>
      <c r="F250" s="110" t="e">
        <f>VLOOKUP(A250,'OEE REA'!A:AO,11,FALSE)</f>
        <v>#N/A</v>
      </c>
      <c r="G250" s="111" t="str">
        <f t="shared" si="32"/>
        <v/>
      </c>
      <c r="H250" s="110" t="e">
        <f>VLOOKUP(A250,'OEE REA'!A:AO,14,FALSE)</f>
        <v>#N/A</v>
      </c>
      <c r="I250" s="106"/>
      <c r="J250" s="99"/>
      <c r="K250" s="99"/>
      <c r="L250" s="107"/>
      <c r="M250" s="112" t="str">
        <f t="shared" si="33"/>
        <v/>
      </c>
      <c r="N250" s="103" t="str">
        <f t="shared" si="34"/>
        <v/>
      </c>
      <c r="O250" s="103">
        <f>IFERROR('OEE REA'!J761*'SPEED FACTOR REA'!L250,"")</f>
        <v>0</v>
      </c>
      <c r="P250" s="250" t="str">
        <f t="shared" si="35"/>
        <v/>
      </c>
      <c r="R250" s="70" t="e">
        <f t="shared" si="29"/>
        <v>#VALUE!</v>
      </c>
    </row>
    <row r="251" spans="1:18" ht="20.25" x14ac:dyDescent="0.25">
      <c r="A251" s="246">
        <f>+'OEE REA'!A762</f>
        <v>0</v>
      </c>
      <c r="B251" s="99">
        <f t="shared" si="31"/>
        <v>0</v>
      </c>
      <c r="C251" s="113">
        <f>+'OEE REA'!D762</f>
        <v>0</v>
      </c>
      <c r="D251" s="242" t="s">
        <v>2053</v>
      </c>
      <c r="E251" s="109" t="e">
        <f>VLOOKUP(A251,'OEE REA'!A:AO,13,FALSE)</f>
        <v>#N/A</v>
      </c>
      <c r="F251" s="110" t="e">
        <f>VLOOKUP(A251,'OEE REA'!A:AO,11,FALSE)</f>
        <v>#N/A</v>
      </c>
      <c r="G251" s="111" t="str">
        <f t="shared" si="32"/>
        <v/>
      </c>
      <c r="H251" s="110" t="e">
        <f>VLOOKUP(A251,'OEE REA'!A:AO,14,FALSE)</f>
        <v>#N/A</v>
      </c>
      <c r="I251" s="106"/>
      <c r="J251" s="99"/>
      <c r="K251" s="99"/>
      <c r="L251" s="107"/>
      <c r="M251" s="112" t="str">
        <f t="shared" si="33"/>
        <v/>
      </c>
      <c r="N251" s="103" t="str">
        <f t="shared" si="34"/>
        <v/>
      </c>
      <c r="O251" s="103">
        <f>IFERROR('OEE REA'!J762*'SPEED FACTOR REA'!L251,"")</f>
        <v>0</v>
      </c>
      <c r="P251" s="250" t="str">
        <f t="shared" si="35"/>
        <v/>
      </c>
      <c r="R251" s="70" t="e">
        <f t="shared" si="29"/>
        <v>#VALUE!</v>
      </c>
    </row>
    <row r="252" spans="1:18" ht="20.25" x14ac:dyDescent="0.25">
      <c r="A252" s="246">
        <f>+'OEE REA'!A763</f>
        <v>0</v>
      </c>
      <c r="B252" s="99">
        <f t="shared" si="31"/>
        <v>0</v>
      </c>
      <c r="C252" s="113">
        <f>+'OEE REA'!D763</f>
        <v>0</v>
      </c>
      <c r="D252" s="242" t="s">
        <v>2054</v>
      </c>
      <c r="E252" s="109" t="e">
        <f>VLOOKUP(A252,'OEE REA'!A:AO,13,FALSE)</f>
        <v>#N/A</v>
      </c>
      <c r="F252" s="110" t="e">
        <f>VLOOKUP(A252,'OEE REA'!A:AO,11,FALSE)</f>
        <v>#N/A</v>
      </c>
      <c r="G252" s="111" t="str">
        <f t="shared" si="32"/>
        <v/>
      </c>
      <c r="H252" s="110" t="e">
        <f>VLOOKUP(A252,'OEE REA'!A:AO,14,FALSE)</f>
        <v>#N/A</v>
      </c>
      <c r="I252" s="106"/>
      <c r="J252" s="99"/>
      <c r="K252" s="99"/>
      <c r="L252" s="107"/>
      <c r="M252" s="112" t="str">
        <f t="shared" si="33"/>
        <v/>
      </c>
      <c r="N252" s="103" t="str">
        <f t="shared" si="34"/>
        <v/>
      </c>
      <c r="O252" s="103">
        <f>IFERROR('OEE REA'!J763*'SPEED FACTOR REA'!L252,"")</f>
        <v>0</v>
      </c>
      <c r="P252" s="250" t="str">
        <f t="shared" si="35"/>
        <v/>
      </c>
      <c r="R252" s="70" t="e">
        <f t="shared" si="29"/>
        <v>#VALUE!</v>
      </c>
    </row>
    <row r="253" spans="1:18" ht="20.25" x14ac:dyDescent="0.25">
      <c r="A253" s="246">
        <f>+'OEE REA'!A764</f>
        <v>0</v>
      </c>
      <c r="B253" s="99">
        <f t="shared" si="31"/>
        <v>0</v>
      </c>
      <c r="C253" s="113">
        <f>+'OEE REA'!D764</f>
        <v>0</v>
      </c>
      <c r="D253" s="242" t="s">
        <v>2055</v>
      </c>
      <c r="E253" s="109" t="e">
        <f>VLOOKUP(A253,'OEE REA'!A:AO,13,FALSE)</f>
        <v>#N/A</v>
      </c>
      <c r="F253" s="110" t="e">
        <f>VLOOKUP(A253,'OEE REA'!A:AO,11,FALSE)</f>
        <v>#N/A</v>
      </c>
      <c r="G253" s="111" t="str">
        <f t="shared" si="32"/>
        <v/>
      </c>
      <c r="H253" s="110" t="e">
        <f>VLOOKUP(A253,'OEE REA'!A:AO,14,FALSE)</f>
        <v>#N/A</v>
      </c>
      <c r="I253" s="106"/>
      <c r="J253" s="99"/>
      <c r="K253" s="99"/>
      <c r="L253" s="107"/>
      <c r="M253" s="112" t="str">
        <f t="shared" si="33"/>
        <v/>
      </c>
      <c r="N253" s="103" t="str">
        <f t="shared" si="34"/>
        <v/>
      </c>
      <c r="O253" s="103">
        <f>IFERROR('OEE REA'!J764*'SPEED FACTOR REA'!L253,"")</f>
        <v>0</v>
      </c>
      <c r="P253" s="250" t="str">
        <f t="shared" si="35"/>
        <v/>
      </c>
      <c r="R253" s="70" t="e">
        <f t="shared" si="29"/>
        <v>#VALUE!</v>
      </c>
    </row>
    <row r="254" spans="1:18" ht="20.25" x14ac:dyDescent="0.25">
      <c r="A254" s="246">
        <f>+'OEE REA'!A765</f>
        <v>0</v>
      </c>
      <c r="B254" s="99">
        <f t="shared" si="31"/>
        <v>0</v>
      </c>
      <c r="C254" s="113">
        <f>+'OEE REA'!D765</f>
        <v>0</v>
      </c>
      <c r="D254" s="242" t="s">
        <v>2056</v>
      </c>
      <c r="E254" s="109" t="e">
        <f>VLOOKUP(A254,'OEE REA'!A:AO,13,FALSE)</f>
        <v>#N/A</v>
      </c>
      <c r="F254" s="110" t="e">
        <f>VLOOKUP(A254,'OEE REA'!A:AO,11,FALSE)</f>
        <v>#N/A</v>
      </c>
      <c r="G254" s="111" t="str">
        <f t="shared" si="32"/>
        <v/>
      </c>
      <c r="H254" s="110" t="e">
        <f>VLOOKUP(A254,'OEE REA'!A:AO,14,FALSE)</f>
        <v>#N/A</v>
      </c>
      <c r="I254" s="106"/>
      <c r="J254" s="99"/>
      <c r="K254" s="99"/>
      <c r="L254" s="107"/>
      <c r="M254" s="112" t="str">
        <f t="shared" si="33"/>
        <v/>
      </c>
      <c r="N254" s="103" t="str">
        <f t="shared" si="34"/>
        <v/>
      </c>
      <c r="O254" s="103">
        <f>IFERROR('OEE REA'!J765*'SPEED FACTOR REA'!L254,"")</f>
        <v>0</v>
      </c>
      <c r="P254" s="250" t="str">
        <f t="shared" si="35"/>
        <v/>
      </c>
      <c r="R254" s="70" t="e">
        <f t="shared" si="29"/>
        <v>#VALUE!</v>
      </c>
    </row>
    <row r="255" spans="1:18" ht="20.25" x14ac:dyDescent="0.25">
      <c r="A255" s="246">
        <f>+'OEE REA'!A766</f>
        <v>0</v>
      </c>
      <c r="B255" s="99">
        <f t="shared" si="31"/>
        <v>0</v>
      </c>
      <c r="C255" s="113">
        <f>+'OEE REA'!D766</f>
        <v>0</v>
      </c>
      <c r="D255" s="242" t="s">
        <v>2057</v>
      </c>
      <c r="E255" s="109" t="e">
        <f>VLOOKUP(A255,'OEE REA'!A:AO,13,FALSE)</f>
        <v>#N/A</v>
      </c>
      <c r="F255" s="110" t="e">
        <f>VLOOKUP(A255,'OEE REA'!A:AO,11,FALSE)</f>
        <v>#N/A</v>
      </c>
      <c r="G255" s="111" t="str">
        <f t="shared" si="32"/>
        <v/>
      </c>
      <c r="H255" s="110" t="e">
        <f>VLOOKUP(A255,'OEE REA'!A:AO,14,FALSE)</f>
        <v>#N/A</v>
      </c>
      <c r="I255" s="106"/>
      <c r="J255" s="99"/>
      <c r="K255" s="99"/>
      <c r="L255" s="107"/>
      <c r="M255" s="112" t="str">
        <f t="shared" si="33"/>
        <v/>
      </c>
      <c r="N255" s="103" t="str">
        <f t="shared" si="34"/>
        <v/>
      </c>
      <c r="O255" s="103">
        <f>IFERROR('OEE REA'!J766*'SPEED FACTOR REA'!L255,"")</f>
        <v>0</v>
      </c>
      <c r="P255" s="250" t="str">
        <f t="shared" si="35"/>
        <v/>
      </c>
      <c r="R255" s="70" t="e">
        <f t="shared" si="29"/>
        <v>#VALUE!</v>
      </c>
    </row>
    <row r="256" spans="1:18" ht="20.25" x14ac:dyDescent="0.25">
      <c r="A256" s="246">
        <f>+'OEE REA'!A767</f>
        <v>0</v>
      </c>
      <c r="B256" s="99">
        <f t="shared" si="31"/>
        <v>0</v>
      </c>
      <c r="C256" s="113">
        <f>+'OEE REA'!D767</f>
        <v>0</v>
      </c>
      <c r="D256" s="242" t="s">
        <v>2058</v>
      </c>
      <c r="E256" s="109" t="e">
        <f>VLOOKUP(A256,'OEE REA'!A:AO,13,FALSE)</f>
        <v>#N/A</v>
      </c>
      <c r="F256" s="110" t="e">
        <f>VLOOKUP(A256,'OEE REA'!A:AO,11,FALSE)</f>
        <v>#N/A</v>
      </c>
      <c r="G256" s="111" t="str">
        <f t="shared" si="32"/>
        <v/>
      </c>
      <c r="H256" s="110" t="e">
        <f>VLOOKUP(A256,'OEE REA'!A:AO,14,FALSE)</f>
        <v>#N/A</v>
      </c>
      <c r="I256" s="106"/>
      <c r="J256" s="99"/>
      <c r="K256" s="99"/>
      <c r="L256" s="107"/>
      <c r="M256" s="112" t="str">
        <f t="shared" si="33"/>
        <v/>
      </c>
      <c r="N256" s="103" t="str">
        <f t="shared" si="34"/>
        <v/>
      </c>
      <c r="O256" s="103">
        <f>IFERROR('OEE REA'!J767*'SPEED FACTOR REA'!L256,"")</f>
        <v>0</v>
      </c>
      <c r="P256" s="250" t="str">
        <f t="shared" si="35"/>
        <v/>
      </c>
      <c r="R256" s="70" t="e">
        <f t="shared" si="29"/>
        <v>#VALUE!</v>
      </c>
    </row>
    <row r="257" spans="1:18" ht="20.25" x14ac:dyDescent="0.25">
      <c r="A257" s="246">
        <f>+'OEE REA'!A768</f>
        <v>0</v>
      </c>
      <c r="B257" s="99">
        <f t="shared" si="31"/>
        <v>0</v>
      </c>
      <c r="C257" s="113">
        <f>+'OEE REA'!D768</f>
        <v>0</v>
      </c>
      <c r="D257" s="242" t="s">
        <v>2059</v>
      </c>
      <c r="E257" s="109" t="e">
        <f>VLOOKUP(A257,'OEE REA'!A:AO,13,FALSE)</f>
        <v>#N/A</v>
      </c>
      <c r="F257" s="110" t="e">
        <f>VLOOKUP(A257,'OEE REA'!A:AO,11,FALSE)</f>
        <v>#N/A</v>
      </c>
      <c r="G257" s="111" t="str">
        <f t="shared" si="32"/>
        <v/>
      </c>
      <c r="H257" s="110" t="e">
        <f>VLOOKUP(A257,'OEE REA'!A:AO,14,FALSE)</f>
        <v>#N/A</v>
      </c>
      <c r="I257" s="106"/>
      <c r="J257" s="99"/>
      <c r="K257" s="99"/>
      <c r="L257" s="107"/>
      <c r="M257" s="112" t="str">
        <f t="shared" si="33"/>
        <v/>
      </c>
      <c r="N257" s="103" t="str">
        <f t="shared" si="34"/>
        <v/>
      </c>
      <c r="O257" s="103">
        <f>IFERROR('OEE REA'!J768*'SPEED FACTOR REA'!L257,"")</f>
        <v>0</v>
      </c>
      <c r="P257" s="250" t="str">
        <f t="shared" si="35"/>
        <v/>
      </c>
      <c r="R257" s="70" t="e">
        <f>G257/O257</f>
        <v>#VALUE!</v>
      </c>
    </row>
    <row r="258" spans="1:18" ht="20.25" x14ac:dyDescent="0.25">
      <c r="A258" s="246">
        <f>+'OEE REA'!A769</f>
        <v>0</v>
      </c>
      <c r="B258" s="99">
        <f t="shared" si="31"/>
        <v>0</v>
      </c>
      <c r="C258" s="113">
        <f>+'OEE REA'!D769</f>
        <v>0</v>
      </c>
      <c r="D258" s="242" t="s">
        <v>2060</v>
      </c>
      <c r="E258" s="109" t="e">
        <f>VLOOKUP(A258,'OEE REA'!A:AO,13,FALSE)</f>
        <v>#N/A</v>
      </c>
      <c r="F258" s="110" t="e">
        <f>VLOOKUP(A258,'OEE REA'!A:AO,11,FALSE)</f>
        <v>#N/A</v>
      </c>
      <c r="G258" s="111" t="str">
        <f t="shared" si="32"/>
        <v/>
      </c>
      <c r="H258" s="110" t="e">
        <f>VLOOKUP(A258,'OEE REA'!A:AO,14,FALSE)</f>
        <v>#N/A</v>
      </c>
      <c r="I258" s="106"/>
      <c r="J258" s="99"/>
      <c r="K258" s="99"/>
      <c r="L258" s="107"/>
      <c r="M258" s="112" t="str">
        <f t="shared" si="33"/>
        <v/>
      </c>
      <c r="N258" s="103" t="str">
        <f t="shared" si="34"/>
        <v/>
      </c>
      <c r="O258" s="103">
        <f>IFERROR('OEE REA'!J769*'SPEED FACTOR REA'!L258,"")</f>
        <v>0</v>
      </c>
      <c r="P258" s="250" t="str">
        <f t="shared" si="35"/>
        <v/>
      </c>
      <c r="R258" s="70" t="e">
        <f t="shared" ref="R258:R302" si="36">G258/O258</f>
        <v>#VALUE!</v>
      </c>
    </row>
    <row r="259" spans="1:18" ht="20.25" x14ac:dyDescent="0.25">
      <c r="A259" s="246">
        <f>+'OEE REA'!A770</f>
        <v>0</v>
      </c>
      <c r="B259" s="99">
        <f t="shared" si="31"/>
        <v>0</v>
      </c>
      <c r="C259" s="113">
        <f>+'OEE REA'!D770</f>
        <v>0</v>
      </c>
      <c r="D259" s="242" t="s">
        <v>2061</v>
      </c>
      <c r="E259" s="109" t="e">
        <f>VLOOKUP(A259,'OEE REA'!A:AO,13,FALSE)</f>
        <v>#N/A</v>
      </c>
      <c r="F259" s="110" t="e">
        <f>VLOOKUP(A259,'OEE REA'!A:AO,11,FALSE)</f>
        <v>#N/A</v>
      </c>
      <c r="G259" s="111" t="str">
        <f t="shared" si="32"/>
        <v/>
      </c>
      <c r="H259" s="110" t="e">
        <f>VLOOKUP(A259,'OEE REA'!A:AO,14,FALSE)</f>
        <v>#N/A</v>
      </c>
      <c r="I259" s="106"/>
      <c r="J259" s="99"/>
      <c r="K259" s="99"/>
      <c r="L259" s="107"/>
      <c r="M259" s="112" t="str">
        <f t="shared" si="33"/>
        <v/>
      </c>
      <c r="N259" s="103" t="str">
        <f t="shared" si="34"/>
        <v/>
      </c>
      <c r="O259" s="103">
        <f>IFERROR('OEE REA'!J770*'SPEED FACTOR REA'!L259,"")</f>
        <v>0</v>
      </c>
      <c r="P259" s="250" t="str">
        <f t="shared" si="35"/>
        <v/>
      </c>
      <c r="R259" s="70" t="e">
        <f t="shared" si="36"/>
        <v>#VALUE!</v>
      </c>
    </row>
    <row r="260" spans="1:18" ht="20.25" x14ac:dyDescent="0.25">
      <c r="A260" s="246">
        <f>+'OEE REA'!A771</f>
        <v>0</v>
      </c>
      <c r="B260" s="99">
        <f t="shared" si="31"/>
        <v>0</v>
      </c>
      <c r="C260" s="113">
        <f>+'OEE REA'!D771</f>
        <v>0</v>
      </c>
      <c r="D260" s="242" t="s">
        <v>2062</v>
      </c>
      <c r="E260" s="109" t="e">
        <f>VLOOKUP(A260,'OEE REA'!A:AO,13,FALSE)</f>
        <v>#N/A</v>
      </c>
      <c r="F260" s="110" t="e">
        <f>VLOOKUP(A260,'OEE REA'!A:AO,11,FALSE)</f>
        <v>#N/A</v>
      </c>
      <c r="G260" s="111" t="str">
        <f t="shared" si="32"/>
        <v/>
      </c>
      <c r="H260" s="110" t="e">
        <f>VLOOKUP(A260,'OEE REA'!A:AO,14,FALSE)</f>
        <v>#N/A</v>
      </c>
      <c r="I260" s="106"/>
      <c r="J260" s="99"/>
      <c r="K260" s="99"/>
      <c r="L260" s="107"/>
      <c r="M260" s="112" t="str">
        <f t="shared" si="33"/>
        <v/>
      </c>
      <c r="N260" s="103" t="str">
        <f t="shared" si="34"/>
        <v/>
      </c>
      <c r="O260" s="103">
        <f>IFERROR('OEE REA'!J771*'SPEED FACTOR REA'!L260,"")</f>
        <v>0</v>
      </c>
      <c r="P260" s="250" t="str">
        <f t="shared" si="35"/>
        <v/>
      </c>
      <c r="R260" s="70" t="e">
        <f t="shared" si="36"/>
        <v>#VALUE!</v>
      </c>
    </row>
    <row r="261" spans="1:18" ht="20.25" x14ac:dyDescent="0.25">
      <c r="A261" s="246">
        <f>+'OEE REA'!A772</f>
        <v>0</v>
      </c>
      <c r="B261" s="99">
        <f t="shared" si="31"/>
        <v>0</v>
      </c>
      <c r="C261" s="113">
        <f>+'OEE REA'!D772</f>
        <v>0</v>
      </c>
      <c r="D261" s="242" t="s">
        <v>2063</v>
      </c>
      <c r="E261" s="109" t="e">
        <f>VLOOKUP(A261,'OEE REA'!A:AO,13,FALSE)</f>
        <v>#N/A</v>
      </c>
      <c r="F261" s="110" t="e">
        <f>VLOOKUP(A261,'OEE REA'!A:AO,11,FALSE)</f>
        <v>#N/A</v>
      </c>
      <c r="G261" s="111" t="str">
        <f t="shared" si="32"/>
        <v/>
      </c>
      <c r="H261" s="110" t="e">
        <f>VLOOKUP(A261,'OEE REA'!A:AO,14,FALSE)</f>
        <v>#N/A</v>
      </c>
      <c r="I261" s="106"/>
      <c r="J261" s="99"/>
      <c r="K261" s="99"/>
      <c r="L261" s="107"/>
      <c r="M261" s="112" t="str">
        <f t="shared" si="33"/>
        <v/>
      </c>
      <c r="N261" s="103" t="str">
        <f t="shared" si="34"/>
        <v/>
      </c>
      <c r="O261" s="103">
        <f>IFERROR('OEE REA'!J772*'SPEED FACTOR REA'!L261,"")</f>
        <v>0</v>
      </c>
      <c r="P261" s="250" t="str">
        <f t="shared" si="35"/>
        <v/>
      </c>
      <c r="R261" s="70" t="e">
        <f t="shared" si="36"/>
        <v>#VALUE!</v>
      </c>
    </row>
    <row r="262" spans="1:18" ht="20.25" x14ac:dyDescent="0.25">
      <c r="A262" s="246">
        <f>+'OEE REA'!A773</f>
        <v>0</v>
      </c>
      <c r="B262" s="99">
        <f t="shared" si="31"/>
        <v>0</v>
      </c>
      <c r="C262" s="113">
        <f>+'OEE REA'!D773</f>
        <v>0</v>
      </c>
      <c r="D262" s="242" t="s">
        <v>2064</v>
      </c>
      <c r="E262" s="109" t="e">
        <f>VLOOKUP(A262,'OEE REA'!A:AO,13,FALSE)</f>
        <v>#N/A</v>
      </c>
      <c r="F262" s="110" t="e">
        <f>VLOOKUP(A262,'OEE REA'!A:AO,11,FALSE)</f>
        <v>#N/A</v>
      </c>
      <c r="G262" s="111" t="str">
        <f t="shared" si="32"/>
        <v/>
      </c>
      <c r="H262" s="110" t="e">
        <f>VLOOKUP(A262,'OEE REA'!A:AO,14,FALSE)</f>
        <v>#N/A</v>
      </c>
      <c r="I262" s="106"/>
      <c r="J262" s="99"/>
      <c r="K262" s="99"/>
      <c r="L262" s="107"/>
      <c r="M262" s="112" t="str">
        <f t="shared" si="33"/>
        <v/>
      </c>
      <c r="N262" s="103" t="str">
        <f t="shared" si="34"/>
        <v/>
      </c>
      <c r="O262" s="103">
        <f>IFERROR('OEE REA'!J773*'SPEED FACTOR REA'!L262,"")</f>
        <v>0</v>
      </c>
      <c r="P262" s="250" t="str">
        <f t="shared" si="35"/>
        <v/>
      </c>
      <c r="R262" s="70" t="e">
        <f t="shared" si="36"/>
        <v>#VALUE!</v>
      </c>
    </row>
    <row r="263" spans="1:18" ht="20.25" x14ac:dyDescent="0.25">
      <c r="A263" s="246">
        <f>+'OEE REA'!A774</f>
        <v>0</v>
      </c>
      <c r="B263" s="99">
        <f t="shared" si="31"/>
        <v>0</v>
      </c>
      <c r="C263" s="113">
        <f>+'OEE REA'!D774</f>
        <v>0</v>
      </c>
      <c r="D263" s="242" t="s">
        <v>2065</v>
      </c>
      <c r="E263" s="109" t="e">
        <f>VLOOKUP(A263,'OEE REA'!A:AO,13,FALSE)</f>
        <v>#N/A</v>
      </c>
      <c r="F263" s="110" t="e">
        <f>VLOOKUP(A263,'OEE REA'!A:AO,11,FALSE)</f>
        <v>#N/A</v>
      </c>
      <c r="G263" s="111" t="str">
        <f t="shared" si="32"/>
        <v/>
      </c>
      <c r="H263" s="110" t="e">
        <f>VLOOKUP(A263,'OEE REA'!A:AO,14,FALSE)</f>
        <v>#N/A</v>
      </c>
      <c r="I263" s="106"/>
      <c r="J263" s="99"/>
      <c r="K263" s="99"/>
      <c r="L263" s="107"/>
      <c r="M263" s="112" t="str">
        <f t="shared" si="33"/>
        <v/>
      </c>
      <c r="N263" s="103" t="str">
        <f t="shared" si="34"/>
        <v/>
      </c>
      <c r="O263" s="103">
        <f>IFERROR('OEE REA'!J774*'SPEED FACTOR REA'!L263,"")</f>
        <v>0</v>
      </c>
      <c r="P263" s="250" t="str">
        <f t="shared" si="35"/>
        <v/>
      </c>
      <c r="R263" s="70" t="e">
        <f t="shared" si="36"/>
        <v>#VALUE!</v>
      </c>
    </row>
    <row r="264" spans="1:18" ht="20.25" x14ac:dyDescent="0.25">
      <c r="A264" s="246">
        <f>+'OEE REA'!A775</f>
        <v>0</v>
      </c>
      <c r="B264" s="99">
        <f t="shared" si="31"/>
        <v>0</v>
      </c>
      <c r="C264" s="113">
        <f>+'OEE REA'!D775</f>
        <v>0</v>
      </c>
      <c r="D264" s="242" t="s">
        <v>2066</v>
      </c>
      <c r="E264" s="109" t="e">
        <f>VLOOKUP(A264,'OEE REA'!A:AO,13,FALSE)</f>
        <v>#N/A</v>
      </c>
      <c r="F264" s="110" t="e">
        <f>VLOOKUP(A264,'OEE REA'!A:AO,11,FALSE)</f>
        <v>#N/A</v>
      </c>
      <c r="G264" s="111" t="str">
        <f t="shared" si="32"/>
        <v/>
      </c>
      <c r="H264" s="110" t="e">
        <f>VLOOKUP(A264,'OEE REA'!A:AO,14,FALSE)</f>
        <v>#N/A</v>
      </c>
      <c r="I264" s="106"/>
      <c r="J264" s="99"/>
      <c r="K264" s="99"/>
      <c r="L264" s="107"/>
      <c r="M264" s="112" t="str">
        <f t="shared" si="33"/>
        <v/>
      </c>
      <c r="N264" s="103" t="str">
        <f t="shared" si="34"/>
        <v/>
      </c>
      <c r="O264" s="103">
        <f>IFERROR('OEE REA'!J775*'SPEED FACTOR REA'!L264,"")</f>
        <v>0</v>
      </c>
      <c r="P264" s="250" t="str">
        <f t="shared" si="35"/>
        <v/>
      </c>
      <c r="R264" s="70" t="e">
        <f t="shared" si="36"/>
        <v>#VALUE!</v>
      </c>
    </row>
    <row r="265" spans="1:18" ht="20.25" x14ac:dyDescent="0.25">
      <c r="A265" s="246">
        <f>+'OEE REA'!A776</f>
        <v>0</v>
      </c>
      <c r="B265" s="99">
        <f t="shared" si="31"/>
        <v>0</v>
      </c>
      <c r="C265" s="113">
        <f>+'OEE REA'!D776</f>
        <v>0</v>
      </c>
      <c r="D265" s="242" t="s">
        <v>2067</v>
      </c>
      <c r="E265" s="109" t="e">
        <f>VLOOKUP(A265,'OEE REA'!A:AO,13,FALSE)</f>
        <v>#N/A</v>
      </c>
      <c r="F265" s="110" t="e">
        <f>VLOOKUP(A265,'OEE REA'!A:AO,11,FALSE)</f>
        <v>#N/A</v>
      </c>
      <c r="G265" s="111" t="str">
        <f t="shared" si="32"/>
        <v/>
      </c>
      <c r="H265" s="110" t="e">
        <f>VLOOKUP(A265,'OEE REA'!A:AO,14,FALSE)</f>
        <v>#N/A</v>
      </c>
      <c r="I265" s="106"/>
      <c r="J265" s="99"/>
      <c r="K265" s="99"/>
      <c r="L265" s="107"/>
      <c r="M265" s="112" t="str">
        <f t="shared" si="33"/>
        <v/>
      </c>
      <c r="N265" s="103" t="str">
        <f t="shared" si="34"/>
        <v/>
      </c>
      <c r="O265" s="103">
        <f>IFERROR('OEE REA'!J776*'SPEED FACTOR REA'!L265,"")</f>
        <v>0</v>
      </c>
      <c r="P265" s="250" t="str">
        <f t="shared" si="35"/>
        <v/>
      </c>
      <c r="R265" s="70" t="e">
        <f t="shared" si="36"/>
        <v>#VALUE!</v>
      </c>
    </row>
    <row r="266" spans="1:18" ht="20.25" x14ac:dyDescent="0.25">
      <c r="A266" s="246">
        <f>+'OEE REA'!A777</f>
        <v>0</v>
      </c>
      <c r="B266" s="99">
        <f t="shared" si="31"/>
        <v>0</v>
      </c>
      <c r="C266" s="113">
        <f>+'OEE REA'!D777</f>
        <v>0</v>
      </c>
      <c r="D266" s="242" t="s">
        <v>2068</v>
      </c>
      <c r="E266" s="109" t="e">
        <f>VLOOKUP(A266,'OEE REA'!A:AO,13,FALSE)</f>
        <v>#N/A</v>
      </c>
      <c r="F266" s="110" t="e">
        <f>VLOOKUP(A266,'OEE REA'!A:AO,11,FALSE)</f>
        <v>#N/A</v>
      </c>
      <c r="G266" s="111" t="str">
        <f t="shared" si="32"/>
        <v/>
      </c>
      <c r="H266" s="110" t="e">
        <f>VLOOKUP(A266,'OEE REA'!A:AO,14,FALSE)</f>
        <v>#N/A</v>
      </c>
      <c r="I266" s="106"/>
      <c r="J266" s="99"/>
      <c r="K266" s="99"/>
      <c r="L266" s="107"/>
      <c r="M266" s="112" t="str">
        <f t="shared" si="33"/>
        <v/>
      </c>
      <c r="N266" s="103" t="str">
        <f t="shared" si="34"/>
        <v/>
      </c>
      <c r="O266" s="103">
        <f>IFERROR('OEE REA'!J777*'SPEED FACTOR REA'!L266,"")</f>
        <v>0</v>
      </c>
      <c r="P266" s="250" t="str">
        <f t="shared" si="35"/>
        <v/>
      </c>
      <c r="R266" s="70" t="e">
        <f t="shared" si="36"/>
        <v>#VALUE!</v>
      </c>
    </row>
    <row r="267" spans="1:18" ht="20.25" x14ac:dyDescent="0.25">
      <c r="A267" s="246">
        <f>+'OEE REA'!A778</f>
        <v>0</v>
      </c>
      <c r="B267" s="99">
        <f t="shared" si="31"/>
        <v>0</v>
      </c>
      <c r="C267" s="113">
        <f>+'OEE REA'!D778</f>
        <v>0</v>
      </c>
      <c r="D267" s="242" t="s">
        <v>2069</v>
      </c>
      <c r="E267" s="109" t="e">
        <f>VLOOKUP(A267,'OEE REA'!A:AO,13,FALSE)</f>
        <v>#N/A</v>
      </c>
      <c r="F267" s="110" t="e">
        <f>VLOOKUP(A267,'OEE REA'!A:AO,11,FALSE)</f>
        <v>#N/A</v>
      </c>
      <c r="G267" s="111" t="str">
        <f t="shared" si="32"/>
        <v/>
      </c>
      <c r="H267" s="110" t="e">
        <f>VLOOKUP(A267,'OEE REA'!A:AO,14,FALSE)</f>
        <v>#N/A</v>
      </c>
      <c r="I267" s="106"/>
      <c r="J267" s="99"/>
      <c r="K267" s="99"/>
      <c r="L267" s="107"/>
      <c r="M267" s="112" t="str">
        <f t="shared" si="33"/>
        <v/>
      </c>
      <c r="N267" s="103" t="str">
        <f t="shared" si="34"/>
        <v/>
      </c>
      <c r="O267" s="103">
        <f>IFERROR('OEE REA'!J778*'SPEED FACTOR REA'!L267,"")</f>
        <v>0</v>
      </c>
      <c r="P267" s="250" t="str">
        <f t="shared" si="35"/>
        <v/>
      </c>
      <c r="R267" s="70" t="e">
        <f t="shared" si="36"/>
        <v>#VALUE!</v>
      </c>
    </row>
    <row r="268" spans="1:18" ht="20.25" x14ac:dyDescent="0.25">
      <c r="A268" s="246">
        <f>+'OEE REA'!A779</f>
        <v>0</v>
      </c>
      <c r="B268" s="99">
        <f t="shared" si="31"/>
        <v>0</v>
      </c>
      <c r="C268" s="113">
        <f>+'OEE REA'!D779</f>
        <v>0</v>
      </c>
      <c r="D268" s="242" t="s">
        <v>2070</v>
      </c>
      <c r="E268" s="109" t="e">
        <f>VLOOKUP(A268,'OEE REA'!A:AO,13,FALSE)</f>
        <v>#N/A</v>
      </c>
      <c r="F268" s="110" t="e">
        <f>VLOOKUP(A268,'OEE REA'!A:AO,11,FALSE)</f>
        <v>#N/A</v>
      </c>
      <c r="G268" s="111" t="str">
        <f t="shared" si="32"/>
        <v/>
      </c>
      <c r="H268" s="110" t="e">
        <f>VLOOKUP(A268,'OEE REA'!A:AO,14,FALSE)</f>
        <v>#N/A</v>
      </c>
      <c r="I268" s="106"/>
      <c r="J268" s="99"/>
      <c r="K268" s="99"/>
      <c r="L268" s="107"/>
      <c r="M268" s="112" t="str">
        <f t="shared" si="33"/>
        <v/>
      </c>
      <c r="N268" s="103" t="str">
        <f t="shared" si="34"/>
        <v/>
      </c>
      <c r="O268" s="103">
        <f>IFERROR('OEE REA'!J779*'SPEED FACTOR REA'!L268,"")</f>
        <v>0</v>
      </c>
      <c r="P268" s="250" t="str">
        <f t="shared" si="35"/>
        <v/>
      </c>
      <c r="R268" s="70" t="e">
        <f t="shared" si="36"/>
        <v>#VALUE!</v>
      </c>
    </row>
    <row r="269" spans="1:18" ht="20.25" x14ac:dyDescent="0.25">
      <c r="A269" s="246">
        <f>+'OEE REA'!A780</f>
        <v>0</v>
      </c>
      <c r="B269" s="99">
        <f t="shared" ref="B269:B274" si="37">WEEKNUM(C269)</f>
        <v>0</v>
      </c>
      <c r="C269" s="113">
        <f>+'OEE REA'!D780</f>
        <v>0</v>
      </c>
      <c r="D269" s="242" t="s">
        <v>2071</v>
      </c>
      <c r="E269" s="109" t="e">
        <f>VLOOKUP(A269,'OEE REA'!A:AO,13,FALSE)</f>
        <v>#N/A</v>
      </c>
      <c r="F269" s="110" t="e">
        <f>VLOOKUP(A269,'OEE REA'!A:AO,11,FALSE)</f>
        <v>#N/A</v>
      </c>
      <c r="G269" s="111" t="str">
        <f t="shared" ref="G269:G274" si="38">IFERROR(E269/H269*60,"")</f>
        <v/>
      </c>
      <c r="H269" s="110" t="e">
        <f>VLOOKUP(A269,'OEE REA'!A:AO,14,FALSE)</f>
        <v>#N/A</v>
      </c>
      <c r="I269" s="106"/>
      <c r="J269" s="99"/>
      <c r="K269" s="99"/>
      <c r="L269" s="107"/>
      <c r="M269" s="112" t="str">
        <f t="shared" ref="M269:M274" si="39">IFERROR(G269*L269,"")</f>
        <v/>
      </c>
      <c r="N269" s="103" t="str">
        <f t="shared" ref="N269:N274" si="40">IFERROR(F269*L269,"")</f>
        <v/>
      </c>
      <c r="O269" s="103">
        <f>IFERROR('OEE REA'!J780*'SPEED FACTOR REA'!L269,"")</f>
        <v>0</v>
      </c>
      <c r="P269" s="250" t="str">
        <f t="shared" ref="P269:P274" si="41">IFERROR(N269/M269,"")</f>
        <v/>
      </c>
      <c r="R269" s="70" t="e">
        <f t="shared" si="36"/>
        <v>#VALUE!</v>
      </c>
    </row>
    <row r="270" spans="1:18" ht="20.25" x14ac:dyDescent="0.25">
      <c r="A270" s="246">
        <f>+'OEE REA'!A781</f>
        <v>0</v>
      </c>
      <c r="B270" s="99">
        <f t="shared" si="37"/>
        <v>0</v>
      </c>
      <c r="C270" s="113">
        <f>+'OEE REA'!D781</f>
        <v>0</v>
      </c>
      <c r="D270" s="242" t="s">
        <v>2072</v>
      </c>
      <c r="E270" s="109" t="e">
        <f>VLOOKUP(A270,'OEE REA'!A:AO,13,FALSE)</f>
        <v>#N/A</v>
      </c>
      <c r="F270" s="110" t="e">
        <f>VLOOKUP(A270,'OEE REA'!A:AO,11,FALSE)</f>
        <v>#N/A</v>
      </c>
      <c r="G270" s="111" t="str">
        <f t="shared" si="38"/>
        <v/>
      </c>
      <c r="H270" s="110" t="e">
        <f>VLOOKUP(A270,'OEE REA'!A:AO,14,FALSE)</f>
        <v>#N/A</v>
      </c>
      <c r="I270" s="106"/>
      <c r="J270" s="99"/>
      <c r="K270" s="99"/>
      <c r="L270" s="107"/>
      <c r="M270" s="112" t="str">
        <f t="shared" si="39"/>
        <v/>
      </c>
      <c r="N270" s="103" t="str">
        <f t="shared" si="40"/>
        <v/>
      </c>
      <c r="O270" s="103">
        <f>IFERROR('OEE REA'!J781*'SPEED FACTOR REA'!L270,"")</f>
        <v>0</v>
      </c>
      <c r="P270" s="250" t="str">
        <f t="shared" si="41"/>
        <v/>
      </c>
      <c r="R270" s="70" t="e">
        <f t="shared" si="36"/>
        <v>#VALUE!</v>
      </c>
    </row>
    <row r="271" spans="1:18" ht="20.25" x14ac:dyDescent="0.25">
      <c r="A271" s="246">
        <f>+'OEE REA'!A782</f>
        <v>0</v>
      </c>
      <c r="B271" s="99">
        <f t="shared" si="37"/>
        <v>0</v>
      </c>
      <c r="C271" s="113">
        <f>+'OEE REA'!D782</f>
        <v>0</v>
      </c>
      <c r="D271" s="242" t="s">
        <v>2073</v>
      </c>
      <c r="E271" s="109" t="e">
        <f>VLOOKUP(A271,'OEE REA'!A:AO,13,FALSE)</f>
        <v>#N/A</v>
      </c>
      <c r="F271" s="110" t="e">
        <f>VLOOKUP(A271,'OEE REA'!A:AO,11,FALSE)</f>
        <v>#N/A</v>
      </c>
      <c r="G271" s="111" t="str">
        <f t="shared" si="38"/>
        <v/>
      </c>
      <c r="H271" s="110" t="e">
        <f>VLOOKUP(A271,'OEE REA'!A:AO,14,FALSE)</f>
        <v>#N/A</v>
      </c>
      <c r="I271" s="106"/>
      <c r="J271" s="99"/>
      <c r="K271" s="99"/>
      <c r="L271" s="107"/>
      <c r="M271" s="112" t="str">
        <f t="shared" si="39"/>
        <v/>
      </c>
      <c r="N271" s="103" t="str">
        <f t="shared" si="40"/>
        <v/>
      </c>
      <c r="O271" s="103">
        <f>IFERROR('OEE REA'!J782*'SPEED FACTOR REA'!L271,"")</f>
        <v>0</v>
      </c>
      <c r="P271" s="250" t="str">
        <f t="shared" si="41"/>
        <v/>
      </c>
      <c r="R271" s="70" t="e">
        <f t="shared" si="36"/>
        <v>#VALUE!</v>
      </c>
    </row>
    <row r="272" spans="1:18" ht="20.25" x14ac:dyDescent="0.25">
      <c r="A272" s="246">
        <f>+'OEE REA'!A783</f>
        <v>0</v>
      </c>
      <c r="B272" s="99">
        <f t="shared" si="37"/>
        <v>0</v>
      </c>
      <c r="C272" s="113">
        <f>+'OEE REA'!D783</f>
        <v>0</v>
      </c>
      <c r="D272" s="242" t="s">
        <v>2074</v>
      </c>
      <c r="E272" s="109" t="e">
        <f>VLOOKUP(A272,'OEE REA'!A:AO,13,FALSE)</f>
        <v>#N/A</v>
      </c>
      <c r="F272" s="110" t="e">
        <f>VLOOKUP(A272,'OEE REA'!A:AO,11,FALSE)</f>
        <v>#N/A</v>
      </c>
      <c r="G272" s="111" t="str">
        <f t="shared" si="38"/>
        <v/>
      </c>
      <c r="H272" s="110" t="e">
        <f>VLOOKUP(A272,'OEE REA'!A:AO,14,FALSE)</f>
        <v>#N/A</v>
      </c>
      <c r="I272" s="106"/>
      <c r="J272" s="99"/>
      <c r="K272" s="99"/>
      <c r="L272" s="107"/>
      <c r="M272" s="112" t="str">
        <f t="shared" si="39"/>
        <v/>
      </c>
      <c r="N272" s="103" t="str">
        <f t="shared" si="40"/>
        <v/>
      </c>
      <c r="O272" s="103">
        <f>IFERROR('OEE REA'!J783*'SPEED FACTOR REA'!L272,"")</f>
        <v>0</v>
      </c>
      <c r="P272" s="250" t="str">
        <f t="shared" si="41"/>
        <v/>
      </c>
      <c r="R272" s="70" t="e">
        <f t="shared" si="36"/>
        <v>#VALUE!</v>
      </c>
    </row>
    <row r="273" spans="1:18" ht="20.25" x14ac:dyDescent="0.25">
      <c r="A273" s="246">
        <f>+'OEE REA'!A784</f>
        <v>0</v>
      </c>
      <c r="B273" s="99">
        <f t="shared" si="37"/>
        <v>0</v>
      </c>
      <c r="C273" s="113">
        <f>+'OEE REA'!D784</f>
        <v>0</v>
      </c>
      <c r="D273" s="242" t="s">
        <v>2075</v>
      </c>
      <c r="E273" s="109" t="e">
        <f>VLOOKUP(A273,'OEE REA'!A:AO,13,FALSE)</f>
        <v>#N/A</v>
      </c>
      <c r="F273" s="110" t="e">
        <f>VLOOKUP(A273,'OEE REA'!A:AO,11,FALSE)</f>
        <v>#N/A</v>
      </c>
      <c r="G273" s="111" t="str">
        <f t="shared" si="38"/>
        <v/>
      </c>
      <c r="H273" s="110" t="e">
        <f>VLOOKUP(A273,'OEE REA'!A:AO,14,FALSE)</f>
        <v>#N/A</v>
      </c>
      <c r="I273" s="106"/>
      <c r="J273" s="99"/>
      <c r="K273" s="99"/>
      <c r="L273" s="107"/>
      <c r="M273" s="112" t="str">
        <f t="shared" si="39"/>
        <v/>
      </c>
      <c r="N273" s="103" t="str">
        <f t="shared" si="40"/>
        <v/>
      </c>
      <c r="O273" s="103">
        <f>IFERROR('OEE REA'!J784*'SPEED FACTOR REA'!L273,"")</f>
        <v>0</v>
      </c>
      <c r="P273" s="250" t="str">
        <f t="shared" si="41"/>
        <v/>
      </c>
      <c r="R273" s="70" t="e">
        <f t="shared" si="36"/>
        <v>#VALUE!</v>
      </c>
    </row>
    <row r="274" spans="1:18" ht="20.25" x14ac:dyDescent="0.25">
      <c r="A274" s="246">
        <f>+'OEE REA'!A785</f>
        <v>0</v>
      </c>
      <c r="B274" s="99">
        <f t="shared" si="37"/>
        <v>0</v>
      </c>
      <c r="C274" s="113">
        <f>+'OEE REA'!D785</f>
        <v>0</v>
      </c>
      <c r="D274" s="242" t="s">
        <v>2076</v>
      </c>
      <c r="E274" s="109" t="e">
        <f>VLOOKUP(A274,'OEE REA'!A:AO,13,FALSE)</f>
        <v>#N/A</v>
      </c>
      <c r="F274" s="110" t="e">
        <f>VLOOKUP(A274,'OEE REA'!A:AO,11,FALSE)</f>
        <v>#N/A</v>
      </c>
      <c r="G274" s="111" t="str">
        <f t="shared" si="38"/>
        <v/>
      </c>
      <c r="H274" s="110" t="e">
        <f>VLOOKUP(A274,'OEE REA'!A:AO,14,FALSE)</f>
        <v>#N/A</v>
      </c>
      <c r="I274" s="106"/>
      <c r="J274" s="99"/>
      <c r="K274" s="99"/>
      <c r="L274" s="107"/>
      <c r="M274" s="112" t="str">
        <f t="shared" si="39"/>
        <v/>
      </c>
      <c r="N274" s="103" t="str">
        <f t="shared" si="40"/>
        <v/>
      </c>
      <c r="O274" s="103">
        <f>IFERROR('OEE REA'!J785*'SPEED FACTOR REA'!L274,"")</f>
        <v>0</v>
      </c>
      <c r="P274" s="250" t="str">
        <f t="shared" si="41"/>
        <v/>
      </c>
      <c r="R274" s="70" t="e">
        <f t="shared" si="36"/>
        <v>#VALUE!</v>
      </c>
    </row>
    <row r="275" spans="1:18" ht="20.25" x14ac:dyDescent="0.25">
      <c r="A275" s="246">
        <f>+'OEE REA'!A786</f>
        <v>0</v>
      </c>
      <c r="B275" s="99">
        <f t="shared" ref="B275:B339" si="42">WEEKNUM(C275)</f>
        <v>0</v>
      </c>
      <c r="C275" s="113">
        <f>+'OEE REA'!D786</f>
        <v>0</v>
      </c>
      <c r="D275" s="242" t="s">
        <v>2077</v>
      </c>
      <c r="E275" s="109" t="e">
        <f>VLOOKUP(A275,'OEE REA'!A:AO,13,FALSE)</f>
        <v>#N/A</v>
      </c>
      <c r="F275" s="110" t="e">
        <f>VLOOKUP(A275,'OEE REA'!A:AO,11,FALSE)</f>
        <v>#N/A</v>
      </c>
      <c r="G275" s="111" t="str">
        <f t="shared" ref="G275:G289" si="43">IFERROR(E275/H275*60,"")</f>
        <v/>
      </c>
      <c r="H275" s="110" t="e">
        <f>VLOOKUP(A275,'OEE REA'!A:AO,14,FALSE)</f>
        <v>#N/A</v>
      </c>
      <c r="I275" s="106"/>
      <c r="J275" s="99"/>
      <c r="K275" s="99"/>
      <c r="L275" s="107"/>
      <c r="M275" s="112" t="str">
        <f t="shared" ref="M275:M289" si="44">IFERROR(G275*L275,"")</f>
        <v/>
      </c>
      <c r="N275" s="103" t="str">
        <f t="shared" ref="N275:N289" si="45">IFERROR(F275*L275,"")</f>
        <v/>
      </c>
      <c r="O275" s="103">
        <f>IFERROR('OEE REA'!J786*'SPEED FACTOR REA'!L275,"")</f>
        <v>0</v>
      </c>
      <c r="P275" s="250" t="str">
        <f t="shared" ref="P275:P289" si="46">IFERROR(N275/M275,"")</f>
        <v/>
      </c>
      <c r="R275" s="70" t="e">
        <f t="shared" si="36"/>
        <v>#VALUE!</v>
      </c>
    </row>
    <row r="276" spans="1:18" ht="20.25" x14ac:dyDescent="0.25">
      <c r="A276" s="246">
        <f>+'OEE REA'!A787</f>
        <v>0</v>
      </c>
      <c r="B276" s="99">
        <f t="shared" si="42"/>
        <v>0</v>
      </c>
      <c r="C276" s="113">
        <f>+'OEE REA'!D787</f>
        <v>0</v>
      </c>
      <c r="D276" s="242" t="s">
        <v>2078</v>
      </c>
      <c r="E276" s="109" t="e">
        <f>VLOOKUP(A276,'OEE REA'!A:AO,13,FALSE)</f>
        <v>#N/A</v>
      </c>
      <c r="F276" s="110" t="e">
        <f>VLOOKUP(A276,'OEE REA'!A:AO,11,FALSE)</f>
        <v>#N/A</v>
      </c>
      <c r="G276" s="111" t="str">
        <f t="shared" si="43"/>
        <v/>
      </c>
      <c r="H276" s="110" t="e">
        <f>VLOOKUP(A276,'OEE REA'!A:AO,14,FALSE)</f>
        <v>#N/A</v>
      </c>
      <c r="I276" s="106"/>
      <c r="J276" s="99"/>
      <c r="K276" s="99"/>
      <c r="L276" s="107"/>
      <c r="M276" s="112" t="str">
        <f t="shared" si="44"/>
        <v/>
      </c>
      <c r="N276" s="103" t="str">
        <f t="shared" si="45"/>
        <v/>
      </c>
      <c r="O276" s="103">
        <f>IFERROR('OEE REA'!J787*'SPEED FACTOR REA'!L276,"")</f>
        <v>0</v>
      </c>
      <c r="P276" s="250" t="str">
        <f t="shared" si="46"/>
        <v/>
      </c>
      <c r="R276" s="70" t="e">
        <f t="shared" si="36"/>
        <v>#VALUE!</v>
      </c>
    </row>
    <row r="277" spans="1:18" ht="20.25" x14ac:dyDescent="0.25">
      <c r="A277" s="246">
        <f>+'OEE REA'!A788</f>
        <v>0</v>
      </c>
      <c r="B277" s="99">
        <f t="shared" si="42"/>
        <v>0</v>
      </c>
      <c r="C277" s="113">
        <f>+'OEE REA'!D788</f>
        <v>0</v>
      </c>
      <c r="D277" s="242" t="s">
        <v>2079</v>
      </c>
      <c r="E277" s="109" t="e">
        <f>VLOOKUP(A277,'OEE REA'!A:AO,13,FALSE)</f>
        <v>#N/A</v>
      </c>
      <c r="F277" s="110" t="e">
        <f>VLOOKUP(A277,'OEE REA'!A:AO,11,FALSE)</f>
        <v>#N/A</v>
      </c>
      <c r="G277" s="111" t="str">
        <f t="shared" si="43"/>
        <v/>
      </c>
      <c r="H277" s="110" t="e">
        <f>VLOOKUP(A277,'OEE REA'!A:AO,14,FALSE)</f>
        <v>#N/A</v>
      </c>
      <c r="I277" s="106"/>
      <c r="J277" s="99"/>
      <c r="K277" s="99"/>
      <c r="L277" s="107"/>
      <c r="M277" s="112" t="str">
        <f t="shared" si="44"/>
        <v/>
      </c>
      <c r="N277" s="103" t="str">
        <f t="shared" si="45"/>
        <v/>
      </c>
      <c r="O277" s="103">
        <f>IFERROR('OEE REA'!J788*'SPEED FACTOR REA'!L277,"")</f>
        <v>0</v>
      </c>
      <c r="P277" s="250" t="str">
        <f t="shared" si="46"/>
        <v/>
      </c>
      <c r="R277" s="70" t="e">
        <f t="shared" si="36"/>
        <v>#VALUE!</v>
      </c>
    </row>
    <row r="278" spans="1:18" ht="20.25" x14ac:dyDescent="0.25">
      <c r="A278" s="246">
        <f>+'OEE REA'!A789</f>
        <v>0</v>
      </c>
      <c r="B278" s="99">
        <f t="shared" si="42"/>
        <v>0</v>
      </c>
      <c r="C278" s="113">
        <f>+'OEE REA'!D789</f>
        <v>0</v>
      </c>
      <c r="D278" s="242" t="s">
        <v>2080</v>
      </c>
      <c r="E278" s="109" t="e">
        <f>VLOOKUP(A278,'OEE REA'!A:AO,13,FALSE)</f>
        <v>#N/A</v>
      </c>
      <c r="F278" s="110" t="e">
        <f>VLOOKUP(A278,'OEE REA'!A:AO,11,FALSE)</f>
        <v>#N/A</v>
      </c>
      <c r="G278" s="111" t="str">
        <f t="shared" si="43"/>
        <v/>
      </c>
      <c r="H278" s="110" t="e">
        <f>VLOOKUP(A278,'OEE REA'!A:AO,14,FALSE)</f>
        <v>#N/A</v>
      </c>
      <c r="I278" s="106"/>
      <c r="J278" s="99"/>
      <c r="K278" s="99"/>
      <c r="L278" s="107"/>
      <c r="M278" s="112" t="str">
        <f t="shared" si="44"/>
        <v/>
      </c>
      <c r="N278" s="103" t="str">
        <f t="shared" si="45"/>
        <v/>
      </c>
      <c r="O278" s="103">
        <f>IFERROR('OEE REA'!J789*'SPEED FACTOR REA'!L278,"")</f>
        <v>0</v>
      </c>
      <c r="P278" s="250" t="str">
        <f t="shared" si="46"/>
        <v/>
      </c>
      <c r="R278" s="70" t="e">
        <f t="shared" si="36"/>
        <v>#VALUE!</v>
      </c>
    </row>
    <row r="279" spans="1:18" ht="20.25" x14ac:dyDescent="0.25">
      <c r="A279" s="246">
        <f>+'OEE REA'!A790</f>
        <v>0</v>
      </c>
      <c r="B279" s="99">
        <f t="shared" si="42"/>
        <v>0</v>
      </c>
      <c r="C279" s="113">
        <f>+'OEE REA'!D790</f>
        <v>0</v>
      </c>
      <c r="D279" s="242" t="s">
        <v>2081</v>
      </c>
      <c r="E279" s="109" t="e">
        <f>VLOOKUP(A279,'OEE REA'!A:AO,13,FALSE)</f>
        <v>#N/A</v>
      </c>
      <c r="F279" s="110" t="e">
        <f>VLOOKUP(A279,'OEE REA'!A:AO,11,FALSE)</f>
        <v>#N/A</v>
      </c>
      <c r="G279" s="111" t="str">
        <f t="shared" si="43"/>
        <v/>
      </c>
      <c r="H279" s="110" t="e">
        <f>VLOOKUP(A279,'OEE REA'!A:AO,14,FALSE)</f>
        <v>#N/A</v>
      </c>
      <c r="I279" s="106"/>
      <c r="J279" s="99"/>
      <c r="K279" s="99"/>
      <c r="L279" s="107"/>
      <c r="M279" s="112" t="str">
        <f t="shared" si="44"/>
        <v/>
      </c>
      <c r="N279" s="103" t="str">
        <f t="shared" si="45"/>
        <v/>
      </c>
      <c r="O279" s="103">
        <f>IFERROR('OEE REA'!J790*'SPEED FACTOR REA'!L279,"")</f>
        <v>0</v>
      </c>
      <c r="P279" s="250" t="str">
        <f t="shared" si="46"/>
        <v/>
      </c>
      <c r="R279" s="70" t="e">
        <f t="shared" si="36"/>
        <v>#VALUE!</v>
      </c>
    </row>
    <row r="280" spans="1:18" ht="20.25" x14ac:dyDescent="0.25">
      <c r="A280" s="246">
        <f>+'OEE REA'!A791</f>
        <v>0</v>
      </c>
      <c r="B280" s="99">
        <f t="shared" si="42"/>
        <v>0</v>
      </c>
      <c r="C280" s="113">
        <f>+'OEE REA'!D791</f>
        <v>0</v>
      </c>
      <c r="D280" s="242" t="s">
        <v>2082</v>
      </c>
      <c r="E280" s="109" t="e">
        <f>VLOOKUP(A280,'OEE REA'!A:AO,13,FALSE)</f>
        <v>#N/A</v>
      </c>
      <c r="F280" s="110" t="e">
        <f>VLOOKUP(A280,'OEE REA'!A:AO,11,FALSE)</f>
        <v>#N/A</v>
      </c>
      <c r="G280" s="111" t="str">
        <f t="shared" si="43"/>
        <v/>
      </c>
      <c r="H280" s="110" t="e">
        <f>VLOOKUP(A280,'OEE REA'!A:AO,14,FALSE)</f>
        <v>#N/A</v>
      </c>
      <c r="I280" s="106"/>
      <c r="J280" s="99"/>
      <c r="K280" s="99"/>
      <c r="L280" s="107"/>
      <c r="M280" s="112" t="str">
        <f t="shared" si="44"/>
        <v/>
      </c>
      <c r="N280" s="103" t="str">
        <f t="shared" si="45"/>
        <v/>
      </c>
      <c r="O280" s="103">
        <f>IFERROR('OEE REA'!J791*'SPEED FACTOR REA'!L280,"")</f>
        <v>0</v>
      </c>
      <c r="P280" s="250" t="str">
        <f t="shared" si="46"/>
        <v/>
      </c>
      <c r="R280" s="70" t="e">
        <f t="shared" si="36"/>
        <v>#VALUE!</v>
      </c>
    </row>
    <row r="281" spans="1:18" ht="20.25" x14ac:dyDescent="0.25">
      <c r="A281" s="246">
        <f>+'OEE REA'!A792</f>
        <v>0</v>
      </c>
      <c r="B281" s="99">
        <f t="shared" si="42"/>
        <v>0</v>
      </c>
      <c r="C281" s="113">
        <f>+'OEE REA'!D792</f>
        <v>0</v>
      </c>
      <c r="D281" s="242" t="s">
        <v>2083</v>
      </c>
      <c r="E281" s="109" t="e">
        <f>VLOOKUP(A281,'OEE REA'!A:AO,13,FALSE)</f>
        <v>#N/A</v>
      </c>
      <c r="F281" s="110" t="e">
        <f>VLOOKUP(A281,'OEE REA'!A:AO,11,FALSE)</f>
        <v>#N/A</v>
      </c>
      <c r="G281" s="111" t="str">
        <f t="shared" si="43"/>
        <v/>
      </c>
      <c r="H281" s="110" t="e">
        <f>VLOOKUP(A281,'OEE REA'!A:AO,14,FALSE)</f>
        <v>#N/A</v>
      </c>
      <c r="I281" s="106"/>
      <c r="J281" s="99"/>
      <c r="K281" s="99"/>
      <c r="L281" s="107"/>
      <c r="M281" s="112" t="str">
        <f t="shared" si="44"/>
        <v/>
      </c>
      <c r="N281" s="103" t="str">
        <f t="shared" si="45"/>
        <v/>
      </c>
      <c r="O281" s="103">
        <f>IFERROR('OEE REA'!J792*'SPEED FACTOR REA'!L281,"")</f>
        <v>0</v>
      </c>
      <c r="P281" s="250" t="str">
        <f t="shared" si="46"/>
        <v/>
      </c>
      <c r="R281" s="70" t="e">
        <f t="shared" si="36"/>
        <v>#VALUE!</v>
      </c>
    </row>
    <row r="282" spans="1:18" ht="20.25" x14ac:dyDescent="0.25">
      <c r="A282" s="246">
        <f>+'OEE REA'!A793</f>
        <v>0</v>
      </c>
      <c r="B282" s="99">
        <f t="shared" si="42"/>
        <v>0</v>
      </c>
      <c r="C282" s="113">
        <f>+'OEE REA'!D793</f>
        <v>0</v>
      </c>
      <c r="D282" s="242" t="s">
        <v>2084</v>
      </c>
      <c r="E282" s="109" t="e">
        <f>VLOOKUP(A282,'OEE REA'!A:AO,13,FALSE)</f>
        <v>#N/A</v>
      </c>
      <c r="F282" s="110" t="e">
        <f>VLOOKUP(A282,'OEE REA'!A:AO,11,FALSE)</f>
        <v>#N/A</v>
      </c>
      <c r="G282" s="111" t="str">
        <f t="shared" si="43"/>
        <v/>
      </c>
      <c r="H282" s="110" t="e">
        <f>VLOOKUP(A282,'OEE REA'!A:AO,14,FALSE)</f>
        <v>#N/A</v>
      </c>
      <c r="I282" s="106"/>
      <c r="J282" s="99"/>
      <c r="K282" s="99"/>
      <c r="L282" s="107"/>
      <c r="M282" s="112" t="str">
        <f t="shared" si="44"/>
        <v/>
      </c>
      <c r="N282" s="103" t="str">
        <f t="shared" si="45"/>
        <v/>
      </c>
      <c r="O282" s="103">
        <f>IFERROR('OEE REA'!J793*'SPEED FACTOR REA'!L282,"")</f>
        <v>0</v>
      </c>
      <c r="P282" s="250" t="str">
        <f t="shared" si="46"/>
        <v/>
      </c>
      <c r="R282" s="70" t="e">
        <f t="shared" si="36"/>
        <v>#VALUE!</v>
      </c>
    </row>
    <row r="283" spans="1:18" ht="20.25" x14ac:dyDescent="0.25">
      <c r="A283" s="246">
        <f>+'OEE REA'!A794</f>
        <v>0</v>
      </c>
      <c r="B283" s="99">
        <f t="shared" si="42"/>
        <v>0</v>
      </c>
      <c r="C283" s="113">
        <f>+'OEE REA'!D794</f>
        <v>0</v>
      </c>
      <c r="D283" s="242" t="s">
        <v>2085</v>
      </c>
      <c r="E283" s="109" t="e">
        <f>VLOOKUP(A283,'OEE REA'!A:AO,13,FALSE)</f>
        <v>#N/A</v>
      </c>
      <c r="F283" s="110" t="e">
        <f>VLOOKUP(A283,'OEE REA'!A:AO,11,FALSE)</f>
        <v>#N/A</v>
      </c>
      <c r="G283" s="111" t="str">
        <f t="shared" si="43"/>
        <v/>
      </c>
      <c r="H283" s="110" t="e">
        <f>VLOOKUP(A283,'OEE REA'!A:AO,14,FALSE)</f>
        <v>#N/A</v>
      </c>
      <c r="I283" s="106"/>
      <c r="J283" s="99"/>
      <c r="K283" s="99"/>
      <c r="L283" s="107"/>
      <c r="M283" s="112" t="str">
        <f t="shared" si="44"/>
        <v/>
      </c>
      <c r="N283" s="103" t="str">
        <f t="shared" si="45"/>
        <v/>
      </c>
      <c r="O283" s="103">
        <f>IFERROR('OEE REA'!J794*'SPEED FACTOR REA'!L283,"")</f>
        <v>0</v>
      </c>
      <c r="P283" s="250" t="str">
        <f t="shared" si="46"/>
        <v/>
      </c>
      <c r="R283" s="70" t="e">
        <f t="shared" si="36"/>
        <v>#VALUE!</v>
      </c>
    </row>
    <row r="284" spans="1:18" ht="20.25" x14ac:dyDescent="0.25">
      <c r="A284" s="246">
        <f>+'OEE REA'!A795</f>
        <v>0</v>
      </c>
      <c r="B284" s="99">
        <f t="shared" si="42"/>
        <v>0</v>
      </c>
      <c r="C284" s="113">
        <f>+'OEE REA'!D795</f>
        <v>0</v>
      </c>
      <c r="D284" s="242" t="s">
        <v>2086</v>
      </c>
      <c r="E284" s="109" t="e">
        <f>VLOOKUP(A284,'OEE REA'!A:AO,13,FALSE)</f>
        <v>#N/A</v>
      </c>
      <c r="F284" s="110" t="e">
        <f>VLOOKUP(A284,'OEE REA'!A:AO,11,FALSE)</f>
        <v>#N/A</v>
      </c>
      <c r="G284" s="111" t="str">
        <f t="shared" si="43"/>
        <v/>
      </c>
      <c r="H284" s="110" t="e">
        <f>VLOOKUP(A284,'OEE REA'!A:AO,14,FALSE)</f>
        <v>#N/A</v>
      </c>
      <c r="I284" s="106"/>
      <c r="J284" s="99"/>
      <c r="K284" s="99"/>
      <c r="L284" s="107"/>
      <c r="M284" s="112" t="str">
        <f t="shared" si="44"/>
        <v/>
      </c>
      <c r="N284" s="103" t="str">
        <f t="shared" si="45"/>
        <v/>
      </c>
      <c r="O284" s="103">
        <f>IFERROR('OEE REA'!J795*'SPEED FACTOR REA'!L284,"")</f>
        <v>0</v>
      </c>
      <c r="P284" s="250" t="str">
        <f t="shared" si="46"/>
        <v/>
      </c>
      <c r="R284" s="70" t="e">
        <f t="shared" si="36"/>
        <v>#VALUE!</v>
      </c>
    </row>
    <row r="285" spans="1:18" ht="20.25" x14ac:dyDescent="0.25">
      <c r="A285" s="246">
        <f>+'OEE REA'!A796</f>
        <v>0</v>
      </c>
      <c r="B285" s="99">
        <f t="shared" si="42"/>
        <v>0</v>
      </c>
      <c r="C285" s="113">
        <f>+'OEE REA'!D796</f>
        <v>0</v>
      </c>
      <c r="D285" s="242" t="s">
        <v>2087</v>
      </c>
      <c r="E285" s="109" t="e">
        <f>VLOOKUP(A285,'OEE REA'!A:AO,13,FALSE)</f>
        <v>#N/A</v>
      </c>
      <c r="F285" s="110" t="e">
        <f>VLOOKUP(A285,'OEE REA'!A:AO,11,FALSE)</f>
        <v>#N/A</v>
      </c>
      <c r="G285" s="111" t="str">
        <f t="shared" si="43"/>
        <v/>
      </c>
      <c r="H285" s="110" t="e">
        <f>VLOOKUP(A285,'OEE REA'!A:AO,14,FALSE)</f>
        <v>#N/A</v>
      </c>
      <c r="I285" s="106"/>
      <c r="J285" s="99"/>
      <c r="K285" s="99"/>
      <c r="L285" s="107"/>
      <c r="M285" s="112" t="str">
        <f t="shared" si="44"/>
        <v/>
      </c>
      <c r="N285" s="103" t="str">
        <f t="shared" si="45"/>
        <v/>
      </c>
      <c r="O285" s="103">
        <f>IFERROR('OEE REA'!J796*'SPEED FACTOR REA'!L285,"")</f>
        <v>0</v>
      </c>
      <c r="P285" s="250" t="str">
        <f t="shared" si="46"/>
        <v/>
      </c>
      <c r="R285" s="70" t="e">
        <f t="shared" si="36"/>
        <v>#VALUE!</v>
      </c>
    </row>
    <row r="286" spans="1:18" ht="20.25" x14ac:dyDescent="0.25">
      <c r="A286" s="246">
        <f>+'OEE REA'!A797</f>
        <v>0</v>
      </c>
      <c r="B286" s="99">
        <f t="shared" si="42"/>
        <v>0</v>
      </c>
      <c r="C286" s="113">
        <f>+'OEE REA'!D797</f>
        <v>0</v>
      </c>
      <c r="D286" s="242" t="s">
        <v>2088</v>
      </c>
      <c r="E286" s="109" t="e">
        <f>VLOOKUP(A286,'OEE REA'!A:AO,13,FALSE)</f>
        <v>#N/A</v>
      </c>
      <c r="F286" s="110" t="e">
        <f>VLOOKUP(A286,'OEE REA'!A:AO,11,FALSE)</f>
        <v>#N/A</v>
      </c>
      <c r="G286" s="111" t="str">
        <f t="shared" si="43"/>
        <v/>
      </c>
      <c r="H286" s="110" t="e">
        <f>VLOOKUP(A286,'OEE REA'!A:AO,14,FALSE)</f>
        <v>#N/A</v>
      </c>
      <c r="I286" s="106"/>
      <c r="J286" s="99"/>
      <c r="K286" s="99"/>
      <c r="L286" s="107"/>
      <c r="M286" s="112" t="str">
        <f t="shared" si="44"/>
        <v/>
      </c>
      <c r="N286" s="103" t="str">
        <f t="shared" si="45"/>
        <v/>
      </c>
      <c r="O286" s="103">
        <f>IFERROR('OEE REA'!J797*'SPEED FACTOR REA'!L286,"")</f>
        <v>0</v>
      </c>
      <c r="P286" s="250" t="str">
        <f t="shared" si="46"/>
        <v/>
      </c>
      <c r="R286" s="70" t="e">
        <f>G286/O286</f>
        <v>#VALUE!</v>
      </c>
    </row>
    <row r="287" spans="1:18" ht="20.25" x14ac:dyDescent="0.25">
      <c r="A287" s="246">
        <f>+'OEE REA'!A798</f>
        <v>0</v>
      </c>
      <c r="B287" s="99">
        <f t="shared" si="42"/>
        <v>0</v>
      </c>
      <c r="C287" s="113">
        <f>+'OEE REA'!D798</f>
        <v>0</v>
      </c>
      <c r="D287" s="242" t="s">
        <v>2089</v>
      </c>
      <c r="E287" s="109" t="e">
        <f>VLOOKUP(A287,'OEE REA'!A:AO,13,FALSE)</f>
        <v>#N/A</v>
      </c>
      <c r="F287" s="110" t="e">
        <f>VLOOKUP(A287,'OEE REA'!A:AO,11,FALSE)</f>
        <v>#N/A</v>
      </c>
      <c r="G287" s="111" t="str">
        <f t="shared" si="43"/>
        <v/>
      </c>
      <c r="H287" s="110" t="e">
        <f>VLOOKUP(A287,'OEE REA'!A:AO,14,FALSE)</f>
        <v>#N/A</v>
      </c>
      <c r="I287" s="106"/>
      <c r="J287" s="99"/>
      <c r="K287" s="99"/>
      <c r="L287" s="107"/>
      <c r="M287" s="112" t="str">
        <f t="shared" si="44"/>
        <v/>
      </c>
      <c r="N287" s="103" t="str">
        <f t="shared" si="45"/>
        <v/>
      </c>
      <c r="O287" s="103">
        <f>IFERROR('OEE REA'!J798*'SPEED FACTOR REA'!L287,"")</f>
        <v>0</v>
      </c>
      <c r="P287" s="250" t="str">
        <f t="shared" si="46"/>
        <v/>
      </c>
      <c r="R287" s="70" t="e">
        <f t="shared" si="36"/>
        <v>#VALUE!</v>
      </c>
    </row>
    <row r="288" spans="1:18" ht="20.25" x14ac:dyDescent="0.25">
      <c r="A288" s="246">
        <f>+'OEE REA'!A799</f>
        <v>0</v>
      </c>
      <c r="B288" s="99">
        <f t="shared" si="42"/>
        <v>0</v>
      </c>
      <c r="C288" s="113">
        <f>+'OEE REA'!D799</f>
        <v>0</v>
      </c>
      <c r="D288" s="242" t="s">
        <v>2090</v>
      </c>
      <c r="E288" s="109" t="e">
        <f>VLOOKUP(A288,'OEE REA'!A:AO,13,FALSE)</f>
        <v>#N/A</v>
      </c>
      <c r="F288" s="110" t="e">
        <f>VLOOKUP(A288,'OEE REA'!A:AO,11,FALSE)</f>
        <v>#N/A</v>
      </c>
      <c r="G288" s="111" t="str">
        <f t="shared" si="43"/>
        <v/>
      </c>
      <c r="H288" s="110" t="e">
        <f>VLOOKUP(A288,'OEE REA'!A:AO,14,FALSE)</f>
        <v>#N/A</v>
      </c>
      <c r="I288" s="106"/>
      <c r="J288" s="99"/>
      <c r="K288" s="99"/>
      <c r="L288" s="107"/>
      <c r="M288" s="112" t="str">
        <f t="shared" si="44"/>
        <v/>
      </c>
      <c r="N288" s="103" t="str">
        <f t="shared" si="45"/>
        <v/>
      </c>
      <c r="O288" s="103">
        <f>IFERROR('OEE REA'!J799*'SPEED FACTOR REA'!L288,"")</f>
        <v>0</v>
      </c>
      <c r="P288" s="250" t="str">
        <f t="shared" si="46"/>
        <v/>
      </c>
      <c r="R288" s="70" t="e">
        <f t="shared" si="36"/>
        <v>#VALUE!</v>
      </c>
    </row>
    <row r="289" spans="1:18" ht="20.25" x14ac:dyDescent="0.25">
      <c r="A289" s="246">
        <f>+'OEE REA'!A800</f>
        <v>0</v>
      </c>
      <c r="B289" s="99">
        <f t="shared" si="42"/>
        <v>0</v>
      </c>
      <c r="C289" s="113">
        <f>+'OEE REA'!D800</f>
        <v>0</v>
      </c>
      <c r="D289" s="242" t="s">
        <v>2091</v>
      </c>
      <c r="E289" s="109" t="e">
        <f>VLOOKUP(A289,'OEE REA'!A:AO,13,FALSE)</f>
        <v>#N/A</v>
      </c>
      <c r="F289" s="110" t="e">
        <f>VLOOKUP(A289,'OEE REA'!A:AO,11,FALSE)</f>
        <v>#N/A</v>
      </c>
      <c r="G289" s="111" t="str">
        <f t="shared" si="43"/>
        <v/>
      </c>
      <c r="H289" s="110" t="e">
        <f>VLOOKUP(A289,'OEE REA'!A:AO,14,FALSE)</f>
        <v>#N/A</v>
      </c>
      <c r="I289" s="106"/>
      <c r="J289" s="99"/>
      <c r="K289" s="99"/>
      <c r="L289" s="107"/>
      <c r="M289" s="112" t="str">
        <f t="shared" si="44"/>
        <v/>
      </c>
      <c r="N289" s="103" t="str">
        <f t="shared" si="45"/>
        <v/>
      </c>
      <c r="O289" s="103">
        <f>IFERROR('OEE REA'!J800*'SPEED FACTOR REA'!L289,"")</f>
        <v>0</v>
      </c>
      <c r="P289" s="250" t="str">
        <f t="shared" si="46"/>
        <v/>
      </c>
      <c r="R289" s="70" t="e">
        <f t="shared" si="36"/>
        <v>#VALUE!</v>
      </c>
    </row>
    <row r="290" spans="1:18" ht="20.25" x14ac:dyDescent="0.25">
      <c r="A290" s="246">
        <f>+'OEE REA'!A801</f>
        <v>0</v>
      </c>
      <c r="B290" s="99">
        <f t="shared" si="42"/>
        <v>0</v>
      </c>
      <c r="C290" s="113">
        <f>+'OEE REA'!D801</f>
        <v>0</v>
      </c>
      <c r="D290" s="242" t="s">
        <v>2092</v>
      </c>
      <c r="E290" s="109" t="e">
        <f>VLOOKUP(A290,'OEE REA'!A:AO,13,FALSE)</f>
        <v>#N/A</v>
      </c>
      <c r="F290" s="110" t="e">
        <f>VLOOKUP(A290,'OEE REA'!A:AO,11,FALSE)</f>
        <v>#N/A</v>
      </c>
      <c r="G290" s="111" t="str">
        <f t="shared" ref="G290:G303" si="47">IFERROR(E290/H290*60,"")</f>
        <v/>
      </c>
      <c r="H290" s="110" t="e">
        <f>VLOOKUP(A290,'OEE REA'!A:AO,14,FALSE)</f>
        <v>#N/A</v>
      </c>
      <c r="I290" s="106"/>
      <c r="J290" s="99"/>
      <c r="K290" s="99"/>
      <c r="L290" s="107"/>
      <c r="M290" s="112" t="str">
        <f t="shared" ref="M290:M301" si="48">IFERROR(G290*L290,"")</f>
        <v/>
      </c>
      <c r="N290" s="103" t="str">
        <f t="shared" ref="N290:N302" si="49">IFERROR(F290*L290,"")</f>
        <v/>
      </c>
      <c r="O290" s="103">
        <f>IFERROR('OEE REA'!J801*'SPEED FACTOR REA'!L290,"")</f>
        <v>0</v>
      </c>
      <c r="P290" s="250" t="str">
        <f t="shared" ref="P290:P302" si="50">IFERROR(N290/M290,"")</f>
        <v/>
      </c>
      <c r="R290" s="70" t="e">
        <f t="shared" si="36"/>
        <v>#VALUE!</v>
      </c>
    </row>
    <row r="291" spans="1:18" ht="20.25" x14ac:dyDescent="0.25">
      <c r="A291" s="246">
        <f>+'OEE REA'!A802</f>
        <v>0</v>
      </c>
      <c r="B291" s="99">
        <f t="shared" si="42"/>
        <v>0</v>
      </c>
      <c r="C291" s="113">
        <f>+'OEE REA'!D802</f>
        <v>0</v>
      </c>
      <c r="D291" s="242" t="s">
        <v>2093</v>
      </c>
      <c r="E291" s="109" t="e">
        <f>VLOOKUP(A291,'OEE REA'!A:AO,13,FALSE)</f>
        <v>#N/A</v>
      </c>
      <c r="F291" s="110" t="e">
        <f>VLOOKUP(A291,'OEE REA'!A:AO,11,FALSE)</f>
        <v>#N/A</v>
      </c>
      <c r="G291" s="111" t="str">
        <f t="shared" si="47"/>
        <v/>
      </c>
      <c r="H291" s="110" t="e">
        <f>VLOOKUP(A291,'OEE REA'!A:AO,14,FALSE)</f>
        <v>#N/A</v>
      </c>
      <c r="I291" s="106"/>
      <c r="J291" s="99"/>
      <c r="K291" s="99"/>
      <c r="L291" s="107"/>
      <c r="M291" s="112" t="str">
        <f t="shared" si="48"/>
        <v/>
      </c>
      <c r="N291" s="103" t="str">
        <f t="shared" si="49"/>
        <v/>
      </c>
      <c r="O291" s="103">
        <f>IFERROR('OEE REA'!J802*'SPEED FACTOR REA'!L291,"")</f>
        <v>0</v>
      </c>
      <c r="P291" s="250" t="str">
        <f t="shared" si="50"/>
        <v/>
      </c>
      <c r="R291" s="70" t="e">
        <f t="shared" si="36"/>
        <v>#VALUE!</v>
      </c>
    </row>
    <row r="292" spans="1:18" ht="20.25" x14ac:dyDescent="0.25">
      <c r="A292" s="246">
        <f>+'OEE REA'!A803</f>
        <v>0</v>
      </c>
      <c r="B292" s="99">
        <f t="shared" si="42"/>
        <v>0</v>
      </c>
      <c r="C292" s="113">
        <f>+'OEE REA'!D803</f>
        <v>0</v>
      </c>
      <c r="D292" s="242" t="s">
        <v>2094</v>
      </c>
      <c r="E292" s="109" t="e">
        <f>VLOOKUP(A292,'OEE REA'!A:AO,13,FALSE)</f>
        <v>#N/A</v>
      </c>
      <c r="F292" s="110" t="e">
        <f>VLOOKUP(A292,'OEE REA'!A:AO,11,FALSE)</f>
        <v>#N/A</v>
      </c>
      <c r="G292" s="111" t="str">
        <f t="shared" si="47"/>
        <v/>
      </c>
      <c r="H292" s="110" t="e">
        <f>VLOOKUP(A292,'OEE REA'!A:AO,14,FALSE)</f>
        <v>#N/A</v>
      </c>
      <c r="I292" s="106"/>
      <c r="J292" s="99"/>
      <c r="K292" s="99"/>
      <c r="L292" s="107"/>
      <c r="M292" s="112" t="str">
        <f t="shared" si="48"/>
        <v/>
      </c>
      <c r="N292" s="103" t="str">
        <f t="shared" si="49"/>
        <v/>
      </c>
      <c r="O292" s="103">
        <f>IFERROR('OEE REA'!J803*'SPEED FACTOR REA'!L292,"")</f>
        <v>0</v>
      </c>
      <c r="P292" s="250" t="str">
        <f t="shared" si="50"/>
        <v/>
      </c>
      <c r="R292" s="70" t="e">
        <f t="shared" si="36"/>
        <v>#VALUE!</v>
      </c>
    </row>
    <row r="293" spans="1:18" ht="20.25" x14ac:dyDescent="0.25">
      <c r="A293" s="246">
        <f>+'OEE REA'!A804</f>
        <v>0</v>
      </c>
      <c r="B293" s="99">
        <f t="shared" si="42"/>
        <v>0</v>
      </c>
      <c r="C293" s="113">
        <f>+'OEE REA'!D804</f>
        <v>0</v>
      </c>
      <c r="D293" s="242" t="s">
        <v>2095</v>
      </c>
      <c r="E293" s="109" t="e">
        <f>VLOOKUP(A293,'OEE REA'!A:AO,13,FALSE)</f>
        <v>#N/A</v>
      </c>
      <c r="F293" s="110" t="e">
        <f>VLOOKUP(A293,'OEE REA'!A:AO,11,FALSE)</f>
        <v>#N/A</v>
      </c>
      <c r="G293" s="111" t="str">
        <f t="shared" si="47"/>
        <v/>
      </c>
      <c r="H293" s="110" t="e">
        <f>VLOOKUP(A293,'OEE REA'!A:AO,14,FALSE)</f>
        <v>#N/A</v>
      </c>
      <c r="I293" s="106"/>
      <c r="J293" s="99"/>
      <c r="K293" s="99"/>
      <c r="L293" s="107"/>
      <c r="M293" s="112" t="str">
        <f t="shared" si="48"/>
        <v/>
      </c>
      <c r="N293" s="103" t="str">
        <f t="shared" si="49"/>
        <v/>
      </c>
      <c r="O293" s="103">
        <f>IFERROR('OEE REA'!J804*'SPEED FACTOR REA'!L293,"")</f>
        <v>0</v>
      </c>
      <c r="P293" s="250" t="str">
        <f t="shared" si="50"/>
        <v/>
      </c>
      <c r="R293" s="70" t="e">
        <f t="shared" si="36"/>
        <v>#VALUE!</v>
      </c>
    </row>
    <row r="294" spans="1:18" ht="20.25" x14ac:dyDescent="0.25">
      <c r="A294" s="246">
        <f>+'OEE REA'!A805</f>
        <v>0</v>
      </c>
      <c r="B294" s="99">
        <f t="shared" si="42"/>
        <v>0</v>
      </c>
      <c r="C294" s="113">
        <f>+'OEE REA'!D805</f>
        <v>0</v>
      </c>
      <c r="D294" s="242" t="s">
        <v>2096</v>
      </c>
      <c r="E294" s="109" t="e">
        <f>VLOOKUP(A294,'OEE REA'!A:AO,13,FALSE)</f>
        <v>#N/A</v>
      </c>
      <c r="F294" s="110" t="e">
        <f>VLOOKUP(A294,'OEE REA'!A:AO,11,FALSE)</f>
        <v>#N/A</v>
      </c>
      <c r="G294" s="111" t="str">
        <f t="shared" si="47"/>
        <v/>
      </c>
      <c r="H294" s="110" t="e">
        <f>VLOOKUP(A294,'OEE REA'!A:AO,14,FALSE)</f>
        <v>#N/A</v>
      </c>
      <c r="I294" s="106"/>
      <c r="J294" s="99"/>
      <c r="K294" s="99"/>
      <c r="L294" s="107"/>
      <c r="M294" s="112" t="str">
        <f t="shared" si="48"/>
        <v/>
      </c>
      <c r="N294" s="103" t="str">
        <f t="shared" si="49"/>
        <v/>
      </c>
      <c r="O294" s="103">
        <f>IFERROR('OEE REA'!J805*'SPEED FACTOR REA'!L294,"")</f>
        <v>0</v>
      </c>
      <c r="P294" s="250" t="str">
        <f t="shared" si="50"/>
        <v/>
      </c>
      <c r="R294" s="70" t="e">
        <f t="shared" si="36"/>
        <v>#VALUE!</v>
      </c>
    </row>
    <row r="295" spans="1:18" ht="20.25" x14ac:dyDescent="0.25">
      <c r="A295" s="246">
        <f>+'OEE REA'!A806</f>
        <v>0</v>
      </c>
      <c r="B295" s="99">
        <f t="shared" si="42"/>
        <v>0</v>
      </c>
      <c r="C295" s="113">
        <f>+'OEE REA'!D806</f>
        <v>0</v>
      </c>
      <c r="D295" s="242" t="s">
        <v>2097</v>
      </c>
      <c r="E295" s="109" t="e">
        <f>VLOOKUP(A295,'OEE REA'!A:AO,13,FALSE)</f>
        <v>#N/A</v>
      </c>
      <c r="F295" s="110" t="e">
        <f>VLOOKUP(A295,'OEE REA'!A:AO,11,FALSE)</f>
        <v>#N/A</v>
      </c>
      <c r="G295" s="111" t="str">
        <f t="shared" si="47"/>
        <v/>
      </c>
      <c r="H295" s="110" t="e">
        <f>VLOOKUP(A295,'OEE REA'!A:AO,14,FALSE)</f>
        <v>#N/A</v>
      </c>
      <c r="I295" s="106"/>
      <c r="J295" s="99"/>
      <c r="K295" s="99"/>
      <c r="L295" s="107"/>
      <c r="M295" s="112" t="str">
        <f t="shared" si="48"/>
        <v/>
      </c>
      <c r="N295" s="103" t="str">
        <f t="shared" si="49"/>
        <v/>
      </c>
      <c r="O295" s="103">
        <f>IFERROR('OEE REA'!J806*'SPEED FACTOR REA'!L295,"")</f>
        <v>0</v>
      </c>
      <c r="P295" s="250" t="str">
        <f t="shared" si="50"/>
        <v/>
      </c>
      <c r="R295" s="70" t="e">
        <f t="shared" si="36"/>
        <v>#VALUE!</v>
      </c>
    </row>
    <row r="296" spans="1:18" ht="20.25" x14ac:dyDescent="0.25">
      <c r="A296" s="246">
        <f>+'OEE REA'!A807</f>
        <v>0</v>
      </c>
      <c r="B296" s="99">
        <f t="shared" si="42"/>
        <v>0</v>
      </c>
      <c r="C296" s="113">
        <f>+'OEE REA'!D807</f>
        <v>0</v>
      </c>
      <c r="D296" s="242" t="s">
        <v>2098</v>
      </c>
      <c r="E296" s="109" t="e">
        <f>VLOOKUP(A296,'OEE REA'!A:AO,13,FALSE)</f>
        <v>#N/A</v>
      </c>
      <c r="F296" s="110" t="e">
        <f>VLOOKUP(A296,'OEE REA'!A:AO,11,FALSE)</f>
        <v>#N/A</v>
      </c>
      <c r="G296" s="111" t="str">
        <f t="shared" si="47"/>
        <v/>
      </c>
      <c r="H296" s="110" t="e">
        <f>VLOOKUP(A296,'OEE REA'!A:AO,14,FALSE)</f>
        <v>#N/A</v>
      </c>
      <c r="I296" s="106"/>
      <c r="J296" s="99"/>
      <c r="K296" s="99"/>
      <c r="L296" s="107"/>
      <c r="M296" s="112" t="str">
        <f t="shared" si="48"/>
        <v/>
      </c>
      <c r="N296" s="103" t="str">
        <f t="shared" si="49"/>
        <v/>
      </c>
      <c r="O296" s="103">
        <f>IFERROR('OEE REA'!J807*'SPEED FACTOR REA'!L296,"")</f>
        <v>0</v>
      </c>
      <c r="P296" s="250" t="str">
        <f t="shared" si="50"/>
        <v/>
      </c>
      <c r="R296" s="70" t="e">
        <f t="shared" si="36"/>
        <v>#VALUE!</v>
      </c>
    </row>
    <row r="297" spans="1:18" ht="20.25" x14ac:dyDescent="0.25">
      <c r="A297" s="246">
        <f>+'OEE REA'!A808</f>
        <v>0</v>
      </c>
      <c r="B297" s="99">
        <f t="shared" si="42"/>
        <v>0</v>
      </c>
      <c r="C297" s="113">
        <f>+'OEE REA'!D808</f>
        <v>0</v>
      </c>
      <c r="D297" s="242" t="s">
        <v>2099</v>
      </c>
      <c r="E297" s="109" t="e">
        <f>VLOOKUP(A297,'OEE REA'!A:AO,13,FALSE)</f>
        <v>#N/A</v>
      </c>
      <c r="F297" s="110" t="e">
        <f>VLOOKUP(A297,'OEE REA'!A:AO,11,FALSE)</f>
        <v>#N/A</v>
      </c>
      <c r="G297" s="111" t="str">
        <f t="shared" si="47"/>
        <v/>
      </c>
      <c r="H297" s="110" t="e">
        <f>VLOOKUP(A297,'OEE REA'!A:AO,14,FALSE)</f>
        <v>#N/A</v>
      </c>
      <c r="I297" s="106"/>
      <c r="J297" s="99"/>
      <c r="K297" s="99"/>
      <c r="L297" s="107"/>
      <c r="M297" s="112" t="str">
        <f t="shared" si="48"/>
        <v/>
      </c>
      <c r="N297" s="103" t="str">
        <f t="shared" si="49"/>
        <v/>
      </c>
      <c r="O297" s="103">
        <f>IFERROR('OEE REA'!J808*'SPEED FACTOR REA'!L297,"")</f>
        <v>0</v>
      </c>
      <c r="P297" s="250" t="str">
        <f t="shared" si="50"/>
        <v/>
      </c>
      <c r="R297" s="70" t="e">
        <f t="shared" si="36"/>
        <v>#VALUE!</v>
      </c>
    </row>
    <row r="298" spans="1:18" ht="20.25" x14ac:dyDescent="0.25">
      <c r="A298" s="246">
        <f>+'OEE REA'!A809</f>
        <v>0</v>
      </c>
      <c r="B298" s="99">
        <f t="shared" si="42"/>
        <v>0</v>
      </c>
      <c r="C298" s="113">
        <f>+'OEE REA'!D809</f>
        <v>0</v>
      </c>
      <c r="D298" s="242" t="s">
        <v>2100</v>
      </c>
      <c r="E298" s="109" t="e">
        <f>VLOOKUP(A298,'OEE REA'!A:AO,13,FALSE)</f>
        <v>#N/A</v>
      </c>
      <c r="F298" s="110" t="e">
        <f>VLOOKUP(A298,'OEE REA'!A:AO,11,FALSE)</f>
        <v>#N/A</v>
      </c>
      <c r="G298" s="111" t="str">
        <f t="shared" si="47"/>
        <v/>
      </c>
      <c r="H298" s="110" t="e">
        <f>VLOOKUP(A298,'OEE REA'!A:AO,14,FALSE)</f>
        <v>#N/A</v>
      </c>
      <c r="I298" s="106"/>
      <c r="J298" s="99"/>
      <c r="K298" s="99"/>
      <c r="L298" s="107"/>
      <c r="M298" s="112" t="str">
        <f t="shared" si="48"/>
        <v/>
      </c>
      <c r="N298" s="103" t="str">
        <f t="shared" si="49"/>
        <v/>
      </c>
      <c r="O298" s="103">
        <f>IFERROR('OEE REA'!J809*'SPEED FACTOR REA'!L298,"")</f>
        <v>0</v>
      </c>
      <c r="P298" s="250" t="str">
        <f t="shared" si="50"/>
        <v/>
      </c>
      <c r="R298" s="70" t="e">
        <f t="shared" si="36"/>
        <v>#VALUE!</v>
      </c>
    </row>
    <row r="299" spans="1:18" ht="20.25" x14ac:dyDescent="0.25">
      <c r="A299" s="246">
        <f>+'OEE REA'!A810</f>
        <v>0</v>
      </c>
      <c r="B299" s="99">
        <f t="shared" si="42"/>
        <v>0</v>
      </c>
      <c r="C299" s="113">
        <f>+'OEE REA'!D810</f>
        <v>0</v>
      </c>
      <c r="D299" s="242" t="s">
        <v>2101</v>
      </c>
      <c r="E299" s="109" t="e">
        <f>VLOOKUP(A299,'OEE REA'!A:AO,13,FALSE)</f>
        <v>#N/A</v>
      </c>
      <c r="F299" s="110" t="e">
        <f>VLOOKUP(A299,'OEE REA'!A:AO,11,FALSE)</f>
        <v>#N/A</v>
      </c>
      <c r="G299" s="111" t="str">
        <f t="shared" si="47"/>
        <v/>
      </c>
      <c r="H299" s="110" t="e">
        <f>VLOOKUP(A299,'OEE REA'!A:AO,14,FALSE)</f>
        <v>#N/A</v>
      </c>
      <c r="I299" s="106"/>
      <c r="J299" s="99"/>
      <c r="K299" s="99"/>
      <c r="L299" s="107"/>
      <c r="M299" s="112" t="str">
        <f t="shared" si="48"/>
        <v/>
      </c>
      <c r="N299" s="103" t="str">
        <f t="shared" si="49"/>
        <v/>
      </c>
      <c r="O299" s="103">
        <f>IFERROR('OEE REA'!J810*'SPEED FACTOR REA'!L299,"")</f>
        <v>0</v>
      </c>
      <c r="P299" s="250" t="str">
        <f t="shared" si="50"/>
        <v/>
      </c>
      <c r="R299" s="70" t="e">
        <f t="shared" si="36"/>
        <v>#VALUE!</v>
      </c>
    </row>
    <row r="300" spans="1:18" ht="20.25" x14ac:dyDescent="0.25">
      <c r="A300" s="246">
        <f>+'OEE REA'!A811</f>
        <v>0</v>
      </c>
      <c r="B300" s="99">
        <f t="shared" si="42"/>
        <v>0</v>
      </c>
      <c r="C300" s="113">
        <f>+'OEE REA'!D811</f>
        <v>0</v>
      </c>
      <c r="D300" s="242" t="s">
        <v>2102</v>
      </c>
      <c r="E300" s="109" t="e">
        <f>VLOOKUP(A300,'OEE REA'!A:AO,13,FALSE)</f>
        <v>#N/A</v>
      </c>
      <c r="F300" s="110" t="e">
        <f>VLOOKUP(A300,'OEE REA'!A:AO,11,FALSE)</f>
        <v>#N/A</v>
      </c>
      <c r="G300" s="111" t="str">
        <f t="shared" si="47"/>
        <v/>
      </c>
      <c r="H300" s="110" t="e">
        <f>VLOOKUP(A300,'OEE REA'!A:AO,14,FALSE)</f>
        <v>#N/A</v>
      </c>
      <c r="I300" s="106"/>
      <c r="J300" s="99"/>
      <c r="K300" s="99"/>
      <c r="L300" s="107"/>
      <c r="M300" s="112" t="str">
        <f t="shared" si="48"/>
        <v/>
      </c>
      <c r="N300" s="103" t="str">
        <f t="shared" si="49"/>
        <v/>
      </c>
      <c r="O300" s="103">
        <f>IFERROR('OEE REA'!J811*'SPEED FACTOR REA'!L300,"")</f>
        <v>0</v>
      </c>
      <c r="P300" s="250" t="str">
        <f t="shared" si="50"/>
        <v/>
      </c>
      <c r="R300" s="70" t="e">
        <f t="shared" si="36"/>
        <v>#VALUE!</v>
      </c>
    </row>
    <row r="301" spans="1:18" ht="20.25" x14ac:dyDescent="0.25">
      <c r="A301" s="246">
        <f>+'OEE REA'!A812</f>
        <v>0</v>
      </c>
      <c r="B301" s="99">
        <f t="shared" si="42"/>
        <v>0</v>
      </c>
      <c r="C301" s="113">
        <f>+'OEE REA'!D812</f>
        <v>0</v>
      </c>
      <c r="D301" s="242" t="s">
        <v>2103</v>
      </c>
      <c r="E301" s="109" t="e">
        <f>VLOOKUP(A301,'OEE REA'!A:AO,13,FALSE)</f>
        <v>#N/A</v>
      </c>
      <c r="F301" s="110" t="e">
        <f>VLOOKUP(A301,'OEE REA'!A:AO,11,FALSE)</f>
        <v>#N/A</v>
      </c>
      <c r="G301" s="111" t="str">
        <f t="shared" si="47"/>
        <v/>
      </c>
      <c r="H301" s="110" t="e">
        <f>VLOOKUP(A301,'OEE REA'!A:AO,14,FALSE)</f>
        <v>#N/A</v>
      </c>
      <c r="I301" s="106"/>
      <c r="J301" s="99"/>
      <c r="K301" s="99"/>
      <c r="L301" s="107"/>
      <c r="M301" s="112" t="str">
        <f t="shared" si="48"/>
        <v/>
      </c>
      <c r="N301" s="103" t="str">
        <f t="shared" si="49"/>
        <v/>
      </c>
      <c r="O301" s="103">
        <f>IFERROR('OEE REA'!J812*'SPEED FACTOR REA'!L301,"")</f>
        <v>0</v>
      </c>
      <c r="P301" s="250" t="str">
        <f t="shared" si="50"/>
        <v/>
      </c>
      <c r="R301" s="70" t="e">
        <f t="shared" si="36"/>
        <v>#VALUE!</v>
      </c>
    </row>
    <row r="302" spans="1:18" ht="20.25" x14ac:dyDescent="0.25">
      <c r="A302" s="246">
        <f>+'OEE REA'!A813</f>
        <v>0</v>
      </c>
      <c r="B302" s="99">
        <f t="shared" si="42"/>
        <v>0</v>
      </c>
      <c r="C302" s="113">
        <f>+'OEE REA'!D813</f>
        <v>0</v>
      </c>
      <c r="D302" s="242" t="s">
        <v>2104</v>
      </c>
      <c r="E302" s="109" t="e">
        <f>VLOOKUP(A302,'OEE REA'!A:AO,13,FALSE)</f>
        <v>#N/A</v>
      </c>
      <c r="F302" s="110" t="e">
        <f>VLOOKUP(A302,'OEE REA'!A:AO,11,FALSE)</f>
        <v>#N/A</v>
      </c>
      <c r="G302" s="111" t="str">
        <f t="shared" si="47"/>
        <v/>
      </c>
      <c r="H302" s="110" t="e">
        <f>VLOOKUP(A302,'OEE REA'!A:AO,14,FALSE)</f>
        <v>#N/A</v>
      </c>
      <c r="I302" s="106"/>
      <c r="J302" s="99"/>
      <c r="K302" s="99"/>
      <c r="L302" s="107"/>
      <c r="M302" s="112" t="str">
        <f>IFERROR(G302*L302,"")</f>
        <v/>
      </c>
      <c r="N302" s="103" t="str">
        <f t="shared" si="49"/>
        <v/>
      </c>
      <c r="O302" s="103">
        <f>IFERROR('OEE REA'!J813*'SPEED FACTOR REA'!L302,"")</f>
        <v>0</v>
      </c>
      <c r="P302" s="250" t="str">
        <f t="shared" si="50"/>
        <v/>
      </c>
      <c r="R302" s="70" t="e">
        <f t="shared" si="36"/>
        <v>#VALUE!</v>
      </c>
    </row>
    <row r="303" spans="1:18" ht="20.25" x14ac:dyDescent="0.25">
      <c r="A303" s="246">
        <f>+'OEE REA'!A814</f>
        <v>0</v>
      </c>
      <c r="B303" s="99">
        <f t="shared" si="42"/>
        <v>0</v>
      </c>
      <c r="C303" s="113">
        <f>+'OEE REA'!D814</f>
        <v>0</v>
      </c>
      <c r="D303" s="242" t="s">
        <v>2105</v>
      </c>
      <c r="E303" s="109" t="e">
        <f>VLOOKUP(A303,'OEE REA'!A:AO,13,FALSE)</f>
        <v>#N/A</v>
      </c>
      <c r="F303" s="110" t="e">
        <f>VLOOKUP(A303,'OEE REA'!A:AO,11,FALSE)</f>
        <v>#N/A</v>
      </c>
      <c r="G303" s="111" t="str">
        <f t="shared" si="47"/>
        <v/>
      </c>
      <c r="H303" s="110" t="e">
        <f>VLOOKUP(A303,'OEE REA'!A:AO,14,FALSE)</f>
        <v>#N/A</v>
      </c>
      <c r="I303" s="106"/>
      <c r="J303" s="99"/>
      <c r="K303" s="99"/>
      <c r="L303" s="107"/>
      <c r="M303" s="112" t="str">
        <f t="shared" ref="M303:M338" si="51">IFERROR(G303*L303,"")</f>
        <v/>
      </c>
      <c r="N303" s="103" t="str">
        <f t="shared" ref="N303:N338" si="52">IFERROR(F303*L303,"")</f>
        <v/>
      </c>
      <c r="O303" s="103">
        <f>IFERROR('OEE REA'!J814*'SPEED FACTOR REA'!L303,"")</f>
        <v>0</v>
      </c>
      <c r="P303" s="250" t="str">
        <f t="shared" ref="P303:P338" si="53">IFERROR(N303/M303,"")</f>
        <v/>
      </c>
      <c r="R303" s="70" t="e">
        <f t="shared" ref="R303:R352" si="54">G303/O303</f>
        <v>#VALUE!</v>
      </c>
    </row>
    <row r="304" spans="1:18" ht="20.25" x14ac:dyDescent="0.25">
      <c r="A304" s="246">
        <f>+'OEE REA'!A815</f>
        <v>0</v>
      </c>
      <c r="B304" s="99">
        <f t="shared" si="42"/>
        <v>0</v>
      </c>
      <c r="C304" s="113">
        <f>+'OEE REA'!D815</f>
        <v>0</v>
      </c>
      <c r="D304" s="242" t="s">
        <v>2106</v>
      </c>
      <c r="E304" s="109" t="e">
        <f>VLOOKUP(A304,'OEE REA'!A:AO,13,FALSE)</f>
        <v>#N/A</v>
      </c>
      <c r="F304" s="110" t="e">
        <f>VLOOKUP(A304,'OEE REA'!A:AO,11,FALSE)</f>
        <v>#N/A</v>
      </c>
      <c r="G304" s="111" t="str">
        <f t="shared" ref="G304:G338" si="55">IFERROR(E304/H304*60,"")</f>
        <v/>
      </c>
      <c r="H304" s="110" t="e">
        <f>VLOOKUP(A304,'OEE REA'!A:AO,14,FALSE)</f>
        <v>#N/A</v>
      </c>
      <c r="I304" s="106"/>
      <c r="J304" s="99"/>
      <c r="K304" s="99"/>
      <c r="L304" s="107"/>
      <c r="M304" s="112" t="str">
        <f t="shared" si="51"/>
        <v/>
      </c>
      <c r="N304" s="103" t="str">
        <f t="shared" si="52"/>
        <v/>
      </c>
      <c r="O304" s="103">
        <f>IFERROR('OEE REA'!J815*'SPEED FACTOR REA'!L304,"")</f>
        <v>0</v>
      </c>
      <c r="P304" s="250" t="str">
        <f t="shared" si="53"/>
        <v/>
      </c>
      <c r="R304" s="70" t="e">
        <f t="shared" si="54"/>
        <v>#VALUE!</v>
      </c>
    </row>
    <row r="305" spans="1:18" ht="20.25" x14ac:dyDescent="0.25">
      <c r="A305" s="246">
        <f>+'OEE REA'!A816</f>
        <v>0</v>
      </c>
      <c r="B305" s="99">
        <f t="shared" si="42"/>
        <v>0</v>
      </c>
      <c r="C305" s="113">
        <f>+'OEE REA'!D816</f>
        <v>0</v>
      </c>
      <c r="D305" s="242" t="s">
        <v>2107</v>
      </c>
      <c r="E305" s="109" t="e">
        <f>VLOOKUP(A305,'OEE REA'!A:AO,13,FALSE)</f>
        <v>#N/A</v>
      </c>
      <c r="F305" s="110" t="e">
        <f>VLOOKUP(A305,'OEE REA'!A:AO,11,FALSE)</f>
        <v>#N/A</v>
      </c>
      <c r="G305" s="111" t="str">
        <f t="shared" si="55"/>
        <v/>
      </c>
      <c r="H305" s="110" t="e">
        <f>VLOOKUP(A305,'OEE REA'!A:AO,14,FALSE)</f>
        <v>#N/A</v>
      </c>
      <c r="I305" s="106"/>
      <c r="J305" s="99"/>
      <c r="K305" s="99"/>
      <c r="L305" s="107"/>
      <c r="M305" s="112" t="str">
        <f t="shared" si="51"/>
        <v/>
      </c>
      <c r="N305" s="103" t="str">
        <f t="shared" si="52"/>
        <v/>
      </c>
      <c r="O305" s="103">
        <f>IFERROR('OEE REA'!J816*'SPEED FACTOR REA'!L305,"")</f>
        <v>0</v>
      </c>
      <c r="P305" s="250" t="str">
        <f t="shared" si="53"/>
        <v/>
      </c>
      <c r="R305" s="70" t="e">
        <f t="shared" si="54"/>
        <v>#VALUE!</v>
      </c>
    </row>
    <row r="306" spans="1:18" ht="20.25" x14ac:dyDescent="0.25">
      <c r="A306" s="246">
        <f>+'OEE REA'!A817</f>
        <v>0</v>
      </c>
      <c r="B306" s="99">
        <f t="shared" si="42"/>
        <v>0</v>
      </c>
      <c r="C306" s="113">
        <f>+'OEE REA'!D817</f>
        <v>0</v>
      </c>
      <c r="D306" s="242" t="s">
        <v>2108</v>
      </c>
      <c r="E306" s="109" t="e">
        <f>VLOOKUP(A306,'OEE REA'!A:AO,13,FALSE)</f>
        <v>#N/A</v>
      </c>
      <c r="F306" s="110" t="e">
        <f>VLOOKUP(A306,'OEE REA'!A:AO,11,FALSE)</f>
        <v>#N/A</v>
      </c>
      <c r="G306" s="111" t="str">
        <f t="shared" si="55"/>
        <v/>
      </c>
      <c r="H306" s="110" t="e">
        <f>VLOOKUP(A306,'OEE REA'!A:AO,14,FALSE)</f>
        <v>#N/A</v>
      </c>
      <c r="I306" s="106"/>
      <c r="J306" s="99"/>
      <c r="K306" s="99"/>
      <c r="L306" s="107"/>
      <c r="M306" s="112" t="str">
        <f t="shared" si="51"/>
        <v/>
      </c>
      <c r="N306" s="103" t="str">
        <f t="shared" si="52"/>
        <v/>
      </c>
      <c r="O306" s="103">
        <f>IFERROR('OEE REA'!J817*'SPEED FACTOR REA'!L306,"")</f>
        <v>0</v>
      </c>
      <c r="P306" s="250" t="str">
        <f t="shared" si="53"/>
        <v/>
      </c>
      <c r="R306" s="70" t="e">
        <f t="shared" si="54"/>
        <v>#VALUE!</v>
      </c>
    </row>
    <row r="307" spans="1:18" ht="20.25" x14ac:dyDescent="0.25">
      <c r="A307" s="246">
        <f>+'OEE REA'!A818</f>
        <v>0</v>
      </c>
      <c r="B307" s="99">
        <f t="shared" si="42"/>
        <v>0</v>
      </c>
      <c r="C307" s="113">
        <f>+'OEE REA'!D818</f>
        <v>0</v>
      </c>
      <c r="D307" s="242" t="s">
        <v>2109</v>
      </c>
      <c r="E307" s="109" t="e">
        <f>VLOOKUP(A307,'OEE REA'!A:AO,13,FALSE)</f>
        <v>#N/A</v>
      </c>
      <c r="F307" s="110" t="e">
        <f>VLOOKUP(A307,'OEE REA'!A:AO,11,FALSE)</f>
        <v>#N/A</v>
      </c>
      <c r="G307" s="111" t="str">
        <f t="shared" si="55"/>
        <v/>
      </c>
      <c r="H307" s="110" t="e">
        <f>VLOOKUP(A307,'OEE REA'!A:AO,14,FALSE)</f>
        <v>#N/A</v>
      </c>
      <c r="I307" s="106"/>
      <c r="J307" s="99"/>
      <c r="K307" s="99"/>
      <c r="L307" s="107"/>
      <c r="M307" s="112" t="str">
        <f t="shared" si="51"/>
        <v/>
      </c>
      <c r="N307" s="103" t="str">
        <f t="shared" si="52"/>
        <v/>
      </c>
      <c r="O307" s="103">
        <f>IFERROR('OEE REA'!J818*'SPEED FACTOR REA'!L307,"")</f>
        <v>0</v>
      </c>
      <c r="P307" s="250" t="str">
        <f t="shared" si="53"/>
        <v/>
      </c>
      <c r="R307" s="70" t="e">
        <f t="shared" si="54"/>
        <v>#VALUE!</v>
      </c>
    </row>
    <row r="308" spans="1:18" ht="20.25" x14ac:dyDescent="0.25">
      <c r="A308" s="246">
        <f>+'OEE REA'!A819</f>
        <v>0</v>
      </c>
      <c r="B308" s="99">
        <f t="shared" si="42"/>
        <v>0</v>
      </c>
      <c r="C308" s="113">
        <f>+'OEE REA'!D819</f>
        <v>0</v>
      </c>
      <c r="D308" s="242" t="s">
        <v>2110</v>
      </c>
      <c r="E308" s="109" t="e">
        <f>VLOOKUP(A308,'OEE REA'!A:AO,13,FALSE)</f>
        <v>#N/A</v>
      </c>
      <c r="F308" s="110" t="e">
        <f>VLOOKUP(A308,'OEE REA'!A:AO,11,FALSE)</f>
        <v>#N/A</v>
      </c>
      <c r="G308" s="111" t="str">
        <f t="shared" si="55"/>
        <v/>
      </c>
      <c r="H308" s="110" t="e">
        <f>VLOOKUP(A308,'OEE REA'!A:AO,14,FALSE)</f>
        <v>#N/A</v>
      </c>
      <c r="I308" s="106"/>
      <c r="J308" s="99"/>
      <c r="K308" s="99"/>
      <c r="L308" s="107"/>
      <c r="M308" s="112" t="str">
        <f t="shared" si="51"/>
        <v/>
      </c>
      <c r="N308" s="103" t="str">
        <f t="shared" si="52"/>
        <v/>
      </c>
      <c r="O308" s="103">
        <f>IFERROR('OEE REA'!J819*'SPEED FACTOR REA'!L308,"")</f>
        <v>0</v>
      </c>
      <c r="P308" s="250" t="str">
        <f t="shared" si="53"/>
        <v/>
      </c>
      <c r="R308" s="70" t="e">
        <f t="shared" si="54"/>
        <v>#VALUE!</v>
      </c>
    </row>
    <row r="309" spans="1:18" ht="20.25" x14ac:dyDescent="0.25">
      <c r="A309" s="246">
        <f>+'OEE REA'!A820</f>
        <v>0</v>
      </c>
      <c r="B309" s="99">
        <f t="shared" si="42"/>
        <v>0</v>
      </c>
      <c r="C309" s="113">
        <f>+'OEE REA'!D820</f>
        <v>0</v>
      </c>
      <c r="D309" s="242" t="s">
        <v>2111</v>
      </c>
      <c r="E309" s="109" t="e">
        <f>VLOOKUP(A309,'OEE REA'!A:AO,13,FALSE)</f>
        <v>#N/A</v>
      </c>
      <c r="F309" s="110" t="e">
        <f>VLOOKUP(A309,'OEE REA'!A:AO,11,FALSE)</f>
        <v>#N/A</v>
      </c>
      <c r="G309" s="111" t="str">
        <f t="shared" si="55"/>
        <v/>
      </c>
      <c r="H309" s="110" t="e">
        <f>VLOOKUP(A309,'OEE REA'!A:AO,14,FALSE)</f>
        <v>#N/A</v>
      </c>
      <c r="I309" s="106"/>
      <c r="J309" s="99"/>
      <c r="K309" s="99"/>
      <c r="L309" s="107"/>
      <c r="M309" s="112" t="str">
        <f t="shared" si="51"/>
        <v/>
      </c>
      <c r="N309" s="103" t="str">
        <f t="shared" si="52"/>
        <v/>
      </c>
      <c r="O309" s="103">
        <f>IFERROR('OEE REA'!J820*'SPEED FACTOR REA'!L309,"")</f>
        <v>0</v>
      </c>
      <c r="P309" s="250" t="str">
        <f t="shared" si="53"/>
        <v/>
      </c>
      <c r="R309" s="70" t="e">
        <f t="shared" si="54"/>
        <v>#VALUE!</v>
      </c>
    </row>
    <row r="310" spans="1:18" ht="20.25" x14ac:dyDescent="0.25">
      <c r="A310" s="246">
        <f>+'OEE REA'!A821</f>
        <v>0</v>
      </c>
      <c r="B310" s="99">
        <f t="shared" si="42"/>
        <v>0</v>
      </c>
      <c r="C310" s="113">
        <f>+'OEE REA'!D821</f>
        <v>0</v>
      </c>
      <c r="D310" s="242" t="s">
        <v>2112</v>
      </c>
      <c r="E310" s="109" t="e">
        <f>VLOOKUP(A310,'OEE REA'!A:AO,13,FALSE)</f>
        <v>#N/A</v>
      </c>
      <c r="F310" s="110" t="e">
        <f>VLOOKUP(A310,'OEE REA'!A:AO,11,FALSE)</f>
        <v>#N/A</v>
      </c>
      <c r="G310" s="111" t="str">
        <f t="shared" si="55"/>
        <v/>
      </c>
      <c r="H310" s="110" t="e">
        <f>VLOOKUP(A310,'OEE REA'!A:AO,14,FALSE)</f>
        <v>#N/A</v>
      </c>
      <c r="I310" s="106"/>
      <c r="J310" s="99"/>
      <c r="K310" s="99"/>
      <c r="L310" s="107"/>
      <c r="M310" s="112" t="str">
        <f t="shared" si="51"/>
        <v/>
      </c>
      <c r="N310" s="103" t="str">
        <f t="shared" si="52"/>
        <v/>
      </c>
      <c r="O310" s="103">
        <f>IFERROR('OEE REA'!J821*'SPEED FACTOR REA'!L310,"")</f>
        <v>0</v>
      </c>
      <c r="P310" s="250" t="str">
        <f t="shared" si="53"/>
        <v/>
      </c>
      <c r="R310" s="70" t="e">
        <f>G310/O310</f>
        <v>#VALUE!</v>
      </c>
    </row>
    <row r="311" spans="1:18" ht="20.25" x14ac:dyDescent="0.25">
      <c r="A311" s="246">
        <f>+'OEE REA'!A822</f>
        <v>0</v>
      </c>
      <c r="B311" s="99">
        <f t="shared" si="42"/>
        <v>0</v>
      </c>
      <c r="C311" s="113">
        <f>+'OEE REA'!D822</f>
        <v>0</v>
      </c>
      <c r="D311" s="242" t="s">
        <v>2113</v>
      </c>
      <c r="E311" s="109" t="e">
        <f>VLOOKUP(A311,'OEE REA'!A:AO,13,FALSE)</f>
        <v>#N/A</v>
      </c>
      <c r="F311" s="110" t="e">
        <f>VLOOKUP(A311,'OEE REA'!A:AO,11,FALSE)</f>
        <v>#N/A</v>
      </c>
      <c r="G311" s="111" t="str">
        <f t="shared" si="55"/>
        <v/>
      </c>
      <c r="H311" s="110" t="e">
        <f>VLOOKUP(A311,'OEE REA'!A:AO,14,FALSE)</f>
        <v>#N/A</v>
      </c>
      <c r="I311" s="106"/>
      <c r="J311" s="99"/>
      <c r="K311" s="99"/>
      <c r="L311" s="107"/>
      <c r="M311" s="112" t="str">
        <f t="shared" si="51"/>
        <v/>
      </c>
      <c r="N311" s="103" t="str">
        <f t="shared" si="52"/>
        <v/>
      </c>
      <c r="O311" s="103">
        <f>IFERROR('OEE REA'!J822*'SPEED FACTOR REA'!L311,"")</f>
        <v>0</v>
      </c>
      <c r="P311" s="250" t="str">
        <f t="shared" si="53"/>
        <v/>
      </c>
      <c r="R311" s="70" t="e">
        <f t="shared" si="54"/>
        <v>#VALUE!</v>
      </c>
    </row>
    <row r="312" spans="1:18" ht="20.25" x14ac:dyDescent="0.25">
      <c r="A312" s="246">
        <f>+'OEE REA'!A823</f>
        <v>0</v>
      </c>
      <c r="B312" s="99">
        <f t="shared" si="42"/>
        <v>0</v>
      </c>
      <c r="C312" s="113">
        <f>+'OEE REA'!D823</f>
        <v>0</v>
      </c>
      <c r="D312" s="242" t="s">
        <v>2114</v>
      </c>
      <c r="E312" s="109" t="e">
        <f>VLOOKUP(A312,'OEE REA'!A:AO,13,FALSE)</f>
        <v>#N/A</v>
      </c>
      <c r="F312" s="110" t="e">
        <f>VLOOKUP(A312,'OEE REA'!A:AO,11,FALSE)</f>
        <v>#N/A</v>
      </c>
      <c r="G312" s="111" t="str">
        <f t="shared" si="55"/>
        <v/>
      </c>
      <c r="H312" s="110" t="e">
        <f>VLOOKUP(A312,'OEE REA'!A:AO,14,FALSE)</f>
        <v>#N/A</v>
      </c>
      <c r="I312" s="106"/>
      <c r="J312" s="99"/>
      <c r="K312" s="99"/>
      <c r="L312" s="107"/>
      <c r="M312" s="112" t="str">
        <f t="shared" si="51"/>
        <v/>
      </c>
      <c r="N312" s="103" t="str">
        <f t="shared" si="52"/>
        <v/>
      </c>
      <c r="O312" s="103">
        <f>IFERROR('OEE REA'!J823*'SPEED FACTOR REA'!L312,"")</f>
        <v>0</v>
      </c>
      <c r="P312" s="250" t="str">
        <f t="shared" si="53"/>
        <v/>
      </c>
      <c r="R312" s="70" t="e">
        <f t="shared" si="54"/>
        <v>#VALUE!</v>
      </c>
    </row>
    <row r="313" spans="1:18" ht="20.25" x14ac:dyDescent="0.25">
      <c r="A313" s="246">
        <f>+'OEE REA'!A824</f>
        <v>0</v>
      </c>
      <c r="B313" s="99">
        <f t="shared" si="42"/>
        <v>0</v>
      </c>
      <c r="C313" s="113">
        <f>+'OEE REA'!D824</f>
        <v>0</v>
      </c>
      <c r="D313" s="242" t="s">
        <v>2115</v>
      </c>
      <c r="E313" s="109" t="e">
        <f>VLOOKUP(A313,'OEE REA'!A:AO,13,FALSE)</f>
        <v>#N/A</v>
      </c>
      <c r="F313" s="110" t="e">
        <f>VLOOKUP(A313,'OEE REA'!A:AO,11,FALSE)</f>
        <v>#N/A</v>
      </c>
      <c r="G313" s="111" t="str">
        <f t="shared" si="55"/>
        <v/>
      </c>
      <c r="H313" s="110" t="e">
        <f>VLOOKUP(A313,'OEE REA'!A:AO,14,FALSE)</f>
        <v>#N/A</v>
      </c>
      <c r="I313" s="106"/>
      <c r="J313" s="99"/>
      <c r="K313" s="99"/>
      <c r="L313" s="107"/>
      <c r="M313" s="112" t="str">
        <f t="shared" si="51"/>
        <v/>
      </c>
      <c r="N313" s="103" t="str">
        <f t="shared" si="52"/>
        <v/>
      </c>
      <c r="O313" s="103">
        <f>IFERROR('OEE REA'!J824*'SPEED FACTOR REA'!L313,"")</f>
        <v>0</v>
      </c>
      <c r="P313" s="250" t="str">
        <f t="shared" si="53"/>
        <v/>
      </c>
      <c r="R313" s="70" t="e">
        <f t="shared" si="54"/>
        <v>#VALUE!</v>
      </c>
    </row>
    <row r="314" spans="1:18" ht="20.25" x14ac:dyDescent="0.25">
      <c r="A314" s="246">
        <f>+'OEE REA'!A825</f>
        <v>0</v>
      </c>
      <c r="B314" s="99">
        <f t="shared" si="42"/>
        <v>0</v>
      </c>
      <c r="C314" s="113">
        <f>+'OEE REA'!D825</f>
        <v>0</v>
      </c>
      <c r="D314" s="242" t="s">
        <v>2116</v>
      </c>
      <c r="E314" s="109" t="e">
        <f>VLOOKUP(A314,'OEE REA'!A:AO,13,FALSE)</f>
        <v>#N/A</v>
      </c>
      <c r="F314" s="110" t="e">
        <f>VLOOKUP(A314,'OEE REA'!A:AO,11,FALSE)</f>
        <v>#N/A</v>
      </c>
      <c r="G314" s="111" t="str">
        <f t="shared" si="55"/>
        <v/>
      </c>
      <c r="H314" s="110" t="e">
        <f>VLOOKUP(A314,'OEE REA'!A:AO,14,FALSE)</f>
        <v>#N/A</v>
      </c>
      <c r="I314" s="106"/>
      <c r="J314" s="99"/>
      <c r="K314" s="99"/>
      <c r="L314" s="107"/>
      <c r="M314" s="112" t="str">
        <f t="shared" si="51"/>
        <v/>
      </c>
      <c r="N314" s="103" t="str">
        <f t="shared" si="52"/>
        <v/>
      </c>
      <c r="O314" s="103">
        <f>IFERROR('OEE REA'!J825*'SPEED FACTOR REA'!L314,"")</f>
        <v>0</v>
      </c>
      <c r="P314" s="250" t="str">
        <f t="shared" si="53"/>
        <v/>
      </c>
      <c r="R314" s="70" t="e">
        <f t="shared" si="54"/>
        <v>#VALUE!</v>
      </c>
    </row>
    <row r="315" spans="1:18" ht="20.25" x14ac:dyDescent="0.25">
      <c r="A315" s="246">
        <f>+'OEE REA'!A826</f>
        <v>0</v>
      </c>
      <c r="B315" s="99">
        <f t="shared" si="42"/>
        <v>0</v>
      </c>
      <c r="C315" s="113">
        <f>+'OEE REA'!D826</f>
        <v>0</v>
      </c>
      <c r="D315" s="242" t="s">
        <v>2117</v>
      </c>
      <c r="E315" s="109" t="e">
        <f>VLOOKUP(A315,'OEE REA'!A:AO,13,FALSE)</f>
        <v>#N/A</v>
      </c>
      <c r="F315" s="110" t="e">
        <f>VLOOKUP(A315,'OEE REA'!A:AO,11,FALSE)</f>
        <v>#N/A</v>
      </c>
      <c r="G315" s="111" t="str">
        <f t="shared" si="55"/>
        <v/>
      </c>
      <c r="H315" s="110" t="e">
        <f>VLOOKUP(A315,'OEE REA'!A:AO,14,FALSE)</f>
        <v>#N/A</v>
      </c>
      <c r="I315" s="106"/>
      <c r="J315" s="99"/>
      <c r="K315" s="99"/>
      <c r="L315" s="107"/>
      <c r="M315" s="112" t="str">
        <f t="shared" si="51"/>
        <v/>
      </c>
      <c r="N315" s="103" t="str">
        <f t="shared" si="52"/>
        <v/>
      </c>
      <c r="O315" s="103">
        <f>IFERROR('OEE REA'!J826*'SPEED FACTOR REA'!L315,"")</f>
        <v>0</v>
      </c>
      <c r="P315" s="250" t="str">
        <f t="shared" si="53"/>
        <v/>
      </c>
      <c r="R315" s="70" t="e">
        <f>G315/O315</f>
        <v>#VALUE!</v>
      </c>
    </row>
    <row r="316" spans="1:18" ht="20.25" x14ac:dyDescent="0.25">
      <c r="A316" s="246">
        <f>+'OEE REA'!A827</f>
        <v>0</v>
      </c>
      <c r="B316" s="99">
        <f t="shared" si="42"/>
        <v>0</v>
      </c>
      <c r="C316" s="113">
        <f>+'OEE REA'!D827</f>
        <v>0</v>
      </c>
      <c r="D316" s="242" t="s">
        <v>2118</v>
      </c>
      <c r="E316" s="109" t="e">
        <f>VLOOKUP(A316,'OEE REA'!A:AO,13,FALSE)</f>
        <v>#N/A</v>
      </c>
      <c r="F316" s="110" t="e">
        <f>VLOOKUP(A316,'OEE REA'!A:AO,11,FALSE)</f>
        <v>#N/A</v>
      </c>
      <c r="G316" s="111" t="str">
        <f t="shared" si="55"/>
        <v/>
      </c>
      <c r="H316" s="110" t="e">
        <f>VLOOKUP(A316,'OEE REA'!A:AO,14,FALSE)</f>
        <v>#N/A</v>
      </c>
      <c r="I316" s="106"/>
      <c r="J316" s="99"/>
      <c r="K316" s="99"/>
      <c r="L316" s="107"/>
      <c r="M316" s="112" t="str">
        <f t="shared" si="51"/>
        <v/>
      </c>
      <c r="N316" s="103" t="str">
        <f>IFERROR(F316*L316,"")</f>
        <v/>
      </c>
      <c r="O316" s="103">
        <f>IFERROR('OEE REA'!J827*'SPEED FACTOR REA'!L316,"")</f>
        <v>0</v>
      </c>
      <c r="P316" s="250" t="str">
        <f>IFERROR(N316/M316,"")</f>
        <v/>
      </c>
      <c r="R316" s="70" t="e">
        <f t="shared" si="54"/>
        <v>#VALUE!</v>
      </c>
    </row>
    <row r="317" spans="1:18" ht="20.25" x14ac:dyDescent="0.25">
      <c r="A317" s="246">
        <f>+'OEE REA'!A828</f>
        <v>0</v>
      </c>
      <c r="B317" s="99">
        <f t="shared" si="42"/>
        <v>0</v>
      </c>
      <c r="C317" s="113">
        <f>+'OEE REA'!D828</f>
        <v>0</v>
      </c>
      <c r="D317" s="242" t="s">
        <v>2119</v>
      </c>
      <c r="E317" s="109" t="e">
        <f>VLOOKUP(A317,'OEE REA'!A:AO,13,FALSE)</f>
        <v>#N/A</v>
      </c>
      <c r="F317" s="110" t="e">
        <f>VLOOKUP(A317,'OEE REA'!A:AO,11,FALSE)</f>
        <v>#N/A</v>
      </c>
      <c r="G317" s="111" t="str">
        <f t="shared" si="55"/>
        <v/>
      </c>
      <c r="H317" s="110" t="e">
        <f>VLOOKUP(A317,'OEE REA'!A:AO,14,FALSE)</f>
        <v>#N/A</v>
      </c>
      <c r="I317" s="106"/>
      <c r="J317" s="99"/>
      <c r="K317" s="99"/>
      <c r="L317" s="107"/>
      <c r="M317" s="112" t="str">
        <f t="shared" si="51"/>
        <v/>
      </c>
      <c r="N317" s="103" t="str">
        <f t="shared" si="52"/>
        <v/>
      </c>
      <c r="O317" s="103">
        <f>IFERROR('OEE REA'!J828*'SPEED FACTOR REA'!L317,"")</f>
        <v>0</v>
      </c>
      <c r="P317" s="250" t="str">
        <f t="shared" si="53"/>
        <v/>
      </c>
      <c r="R317" s="70" t="e">
        <f t="shared" si="54"/>
        <v>#VALUE!</v>
      </c>
    </row>
    <row r="318" spans="1:18" ht="20.25" x14ac:dyDescent="0.25">
      <c r="A318" s="246">
        <f>+'OEE REA'!A829</f>
        <v>0</v>
      </c>
      <c r="B318" s="99">
        <f t="shared" si="42"/>
        <v>0</v>
      </c>
      <c r="C318" s="113">
        <f>+'OEE REA'!D829</f>
        <v>0</v>
      </c>
      <c r="D318" s="242" t="s">
        <v>2120</v>
      </c>
      <c r="E318" s="109" t="e">
        <f>VLOOKUP(A318,'OEE REA'!A:AO,13,FALSE)</f>
        <v>#N/A</v>
      </c>
      <c r="F318" s="110" t="e">
        <f>VLOOKUP(A318,'OEE REA'!A:AO,11,FALSE)</f>
        <v>#N/A</v>
      </c>
      <c r="G318" s="111" t="str">
        <f t="shared" si="55"/>
        <v/>
      </c>
      <c r="H318" s="110" t="e">
        <f>VLOOKUP(A318,'OEE REA'!A:AO,14,FALSE)</f>
        <v>#N/A</v>
      </c>
      <c r="I318" s="106"/>
      <c r="J318" s="99"/>
      <c r="K318" s="99"/>
      <c r="L318" s="107"/>
      <c r="M318" s="112" t="str">
        <f t="shared" si="51"/>
        <v/>
      </c>
      <c r="N318" s="103" t="str">
        <f>IFERROR(F318*L318,"")</f>
        <v/>
      </c>
      <c r="O318" s="103">
        <f>IFERROR('OEE REA'!J829*'SPEED FACTOR REA'!L318,"")</f>
        <v>0</v>
      </c>
      <c r="P318" s="250" t="str">
        <f t="shared" si="53"/>
        <v/>
      </c>
      <c r="R318" s="70" t="e">
        <f t="shared" si="54"/>
        <v>#VALUE!</v>
      </c>
    </row>
    <row r="319" spans="1:18" ht="20.25" x14ac:dyDescent="0.25">
      <c r="A319" s="246">
        <f>+'OEE REA'!A830</f>
        <v>0</v>
      </c>
      <c r="B319" s="99">
        <f t="shared" si="42"/>
        <v>0</v>
      </c>
      <c r="C319" s="113">
        <f>+'OEE REA'!D830</f>
        <v>0</v>
      </c>
      <c r="D319" s="242" t="s">
        <v>2121</v>
      </c>
      <c r="E319" s="109" t="e">
        <f>VLOOKUP(A319,'OEE REA'!A:AO,13,FALSE)</f>
        <v>#N/A</v>
      </c>
      <c r="F319" s="110" t="e">
        <f>VLOOKUP(A319,'OEE REA'!A:AO,11,FALSE)</f>
        <v>#N/A</v>
      </c>
      <c r="G319" s="111" t="str">
        <f t="shared" si="55"/>
        <v/>
      </c>
      <c r="H319" s="110" t="e">
        <f>VLOOKUP(A319,'OEE REA'!A:AO,14,FALSE)</f>
        <v>#N/A</v>
      </c>
      <c r="I319" s="106"/>
      <c r="J319" s="99"/>
      <c r="K319" s="99"/>
      <c r="L319" s="107"/>
      <c r="M319" s="112" t="str">
        <f t="shared" si="51"/>
        <v/>
      </c>
      <c r="N319" s="103" t="str">
        <f t="shared" si="52"/>
        <v/>
      </c>
      <c r="O319" s="103">
        <f>IFERROR('OEE REA'!J830*'SPEED FACTOR REA'!L319,"")</f>
        <v>0</v>
      </c>
      <c r="P319" s="250" t="str">
        <f t="shared" si="53"/>
        <v/>
      </c>
      <c r="R319" s="70" t="e">
        <f t="shared" si="54"/>
        <v>#VALUE!</v>
      </c>
    </row>
    <row r="320" spans="1:18" ht="20.25" x14ac:dyDescent="0.25">
      <c r="A320" s="246">
        <f>+'OEE REA'!A831</f>
        <v>0</v>
      </c>
      <c r="B320" s="99">
        <f t="shared" si="42"/>
        <v>0</v>
      </c>
      <c r="C320" s="113">
        <f>+'OEE REA'!D831</f>
        <v>0</v>
      </c>
      <c r="D320" s="242" t="s">
        <v>2122</v>
      </c>
      <c r="E320" s="109" t="e">
        <f>VLOOKUP(A320,'OEE REA'!A:AO,13,FALSE)</f>
        <v>#N/A</v>
      </c>
      <c r="F320" s="110" t="e">
        <f>VLOOKUP(A320,'OEE REA'!A:AO,11,FALSE)</f>
        <v>#N/A</v>
      </c>
      <c r="G320" s="111" t="str">
        <f t="shared" si="55"/>
        <v/>
      </c>
      <c r="H320" s="110" t="e">
        <f>VLOOKUP(A320,'OEE REA'!A:AO,14,FALSE)</f>
        <v>#N/A</v>
      </c>
      <c r="I320" s="106"/>
      <c r="J320" s="99"/>
      <c r="K320" s="99"/>
      <c r="L320" s="107"/>
      <c r="M320" s="112" t="str">
        <f t="shared" si="51"/>
        <v/>
      </c>
      <c r="N320" s="103" t="str">
        <f t="shared" si="52"/>
        <v/>
      </c>
      <c r="O320" s="103">
        <f>IFERROR('OEE REA'!J831*'SPEED FACTOR REA'!L320,"")</f>
        <v>0</v>
      </c>
      <c r="P320" s="250" t="str">
        <f t="shared" si="53"/>
        <v/>
      </c>
      <c r="R320" s="70" t="e">
        <f t="shared" si="54"/>
        <v>#VALUE!</v>
      </c>
    </row>
    <row r="321" spans="1:18" ht="20.25" x14ac:dyDescent="0.25">
      <c r="A321" s="246">
        <f>+'OEE REA'!A832</f>
        <v>0</v>
      </c>
      <c r="B321" s="99">
        <f t="shared" si="42"/>
        <v>0</v>
      </c>
      <c r="C321" s="113">
        <f>+'OEE REA'!D832</f>
        <v>0</v>
      </c>
      <c r="D321" s="242" t="s">
        <v>2123</v>
      </c>
      <c r="E321" s="109" t="e">
        <f>VLOOKUP(A321,'OEE REA'!A:AO,13,FALSE)</f>
        <v>#N/A</v>
      </c>
      <c r="F321" s="110" t="e">
        <f>VLOOKUP(A321,'OEE REA'!A:AO,11,FALSE)</f>
        <v>#N/A</v>
      </c>
      <c r="G321" s="111" t="str">
        <f t="shared" si="55"/>
        <v/>
      </c>
      <c r="H321" s="110" t="e">
        <f>VLOOKUP(A321,'OEE REA'!A:AO,14,FALSE)</f>
        <v>#N/A</v>
      </c>
      <c r="I321" s="106"/>
      <c r="J321" s="99"/>
      <c r="K321" s="99"/>
      <c r="L321" s="107"/>
      <c r="M321" s="112" t="str">
        <f t="shared" si="51"/>
        <v/>
      </c>
      <c r="N321" s="103" t="str">
        <f t="shared" si="52"/>
        <v/>
      </c>
      <c r="O321" s="103">
        <f>IFERROR('OEE REA'!J832*'SPEED FACTOR REA'!L321,"")</f>
        <v>0</v>
      </c>
      <c r="P321" s="250" t="str">
        <f t="shared" si="53"/>
        <v/>
      </c>
      <c r="R321" s="70" t="e">
        <f t="shared" si="54"/>
        <v>#VALUE!</v>
      </c>
    </row>
    <row r="322" spans="1:18" ht="20.25" x14ac:dyDescent="0.25">
      <c r="A322" s="246">
        <f>+'OEE REA'!A833</f>
        <v>0</v>
      </c>
      <c r="B322" s="99">
        <f t="shared" si="42"/>
        <v>0</v>
      </c>
      <c r="C322" s="113">
        <f>+'OEE REA'!D833</f>
        <v>0</v>
      </c>
      <c r="D322" s="242" t="s">
        <v>2124</v>
      </c>
      <c r="E322" s="109" t="e">
        <f>VLOOKUP(A322,'OEE REA'!A:AO,13,FALSE)</f>
        <v>#N/A</v>
      </c>
      <c r="F322" s="110" t="e">
        <f>VLOOKUP(A322,'OEE REA'!A:AO,11,FALSE)</f>
        <v>#N/A</v>
      </c>
      <c r="G322" s="111" t="str">
        <f t="shared" si="55"/>
        <v/>
      </c>
      <c r="H322" s="110" t="e">
        <f>VLOOKUP(A322,'OEE REA'!A:AO,14,FALSE)</f>
        <v>#N/A</v>
      </c>
      <c r="I322" s="106"/>
      <c r="J322" s="99"/>
      <c r="K322" s="99"/>
      <c r="L322" s="107"/>
      <c r="M322" s="112" t="str">
        <f t="shared" si="51"/>
        <v/>
      </c>
      <c r="N322" s="103" t="str">
        <f t="shared" si="52"/>
        <v/>
      </c>
      <c r="O322" s="103">
        <f>IFERROR('OEE REA'!J833*'SPEED FACTOR REA'!L322,"")</f>
        <v>0</v>
      </c>
      <c r="P322" s="250" t="str">
        <f t="shared" si="53"/>
        <v/>
      </c>
      <c r="R322" s="70" t="e">
        <f t="shared" si="54"/>
        <v>#VALUE!</v>
      </c>
    </row>
    <row r="323" spans="1:18" ht="20.25" x14ac:dyDescent="0.25">
      <c r="A323" s="246">
        <f>+'OEE REA'!A834</f>
        <v>0</v>
      </c>
      <c r="B323" s="99">
        <f t="shared" si="42"/>
        <v>0</v>
      </c>
      <c r="C323" s="113">
        <f>+'OEE REA'!D834</f>
        <v>0</v>
      </c>
      <c r="D323" s="242" t="s">
        <v>2125</v>
      </c>
      <c r="E323" s="109" t="e">
        <f>VLOOKUP(A323,'OEE REA'!A:AO,13,FALSE)</f>
        <v>#N/A</v>
      </c>
      <c r="F323" s="110" t="e">
        <f>VLOOKUP(A323,'OEE REA'!A:AO,11,FALSE)</f>
        <v>#N/A</v>
      </c>
      <c r="G323" s="111" t="str">
        <f t="shared" si="55"/>
        <v/>
      </c>
      <c r="H323" s="110" t="e">
        <f>VLOOKUP(A323,'OEE REA'!A:AO,14,FALSE)</f>
        <v>#N/A</v>
      </c>
      <c r="I323" s="106"/>
      <c r="J323" s="99"/>
      <c r="K323" s="99"/>
      <c r="L323" s="107"/>
      <c r="M323" s="112" t="str">
        <f t="shared" si="51"/>
        <v/>
      </c>
      <c r="N323" s="103" t="str">
        <f t="shared" si="52"/>
        <v/>
      </c>
      <c r="O323" s="103">
        <f>IFERROR('OEE REA'!J834*'SPEED FACTOR REA'!L323,"")</f>
        <v>0</v>
      </c>
      <c r="P323" s="250" t="str">
        <f t="shared" si="53"/>
        <v/>
      </c>
      <c r="R323" s="70" t="e">
        <f t="shared" si="54"/>
        <v>#VALUE!</v>
      </c>
    </row>
    <row r="324" spans="1:18" ht="20.25" x14ac:dyDescent="0.25">
      <c r="A324" s="246">
        <f>+'OEE REA'!A835</f>
        <v>0</v>
      </c>
      <c r="B324" s="99">
        <f t="shared" si="42"/>
        <v>0</v>
      </c>
      <c r="C324" s="113">
        <f>+'OEE REA'!D835</f>
        <v>0</v>
      </c>
      <c r="D324" s="242" t="s">
        <v>2126</v>
      </c>
      <c r="E324" s="109" t="e">
        <f>VLOOKUP(A324,'OEE REA'!A:AO,13,FALSE)</f>
        <v>#N/A</v>
      </c>
      <c r="F324" s="110" t="e">
        <f>VLOOKUP(A324,'OEE REA'!A:AO,11,FALSE)</f>
        <v>#N/A</v>
      </c>
      <c r="G324" s="111" t="str">
        <f t="shared" si="55"/>
        <v/>
      </c>
      <c r="H324" s="110" t="e">
        <f>VLOOKUP(A324,'OEE REA'!A:AO,14,FALSE)</f>
        <v>#N/A</v>
      </c>
      <c r="I324" s="106"/>
      <c r="J324" s="99"/>
      <c r="K324" s="99"/>
      <c r="L324" s="107"/>
      <c r="M324" s="112" t="str">
        <f t="shared" si="51"/>
        <v/>
      </c>
      <c r="N324" s="103" t="str">
        <f t="shared" si="52"/>
        <v/>
      </c>
      <c r="O324" s="103">
        <f>IFERROR('OEE REA'!J835*'SPEED FACTOR REA'!L324,"")</f>
        <v>0</v>
      </c>
      <c r="P324" s="250" t="str">
        <f t="shared" si="53"/>
        <v/>
      </c>
      <c r="R324" s="70" t="e">
        <f t="shared" si="54"/>
        <v>#VALUE!</v>
      </c>
    </row>
    <row r="325" spans="1:18" ht="20.25" x14ac:dyDescent="0.25">
      <c r="A325" s="246">
        <f>+'OEE REA'!A836</f>
        <v>0</v>
      </c>
      <c r="B325" s="99">
        <f t="shared" si="42"/>
        <v>0</v>
      </c>
      <c r="C325" s="113">
        <f>+'OEE REA'!D836</f>
        <v>0</v>
      </c>
      <c r="D325" s="242" t="s">
        <v>2127</v>
      </c>
      <c r="E325" s="109" t="e">
        <f>VLOOKUP(A325,'OEE REA'!A:AO,13,FALSE)</f>
        <v>#N/A</v>
      </c>
      <c r="F325" s="110" t="e">
        <f>VLOOKUP(A325,'OEE REA'!A:AO,11,FALSE)</f>
        <v>#N/A</v>
      </c>
      <c r="G325" s="111" t="str">
        <f t="shared" si="55"/>
        <v/>
      </c>
      <c r="H325" s="110" t="e">
        <f>VLOOKUP(A325,'OEE REA'!A:AO,14,FALSE)</f>
        <v>#N/A</v>
      </c>
      <c r="I325" s="106"/>
      <c r="J325" s="99"/>
      <c r="K325" s="99"/>
      <c r="L325" s="107"/>
      <c r="M325" s="112" t="str">
        <f t="shared" si="51"/>
        <v/>
      </c>
      <c r="N325" s="103" t="str">
        <f t="shared" si="52"/>
        <v/>
      </c>
      <c r="O325" s="103">
        <f>IFERROR('OEE REA'!J836*'SPEED FACTOR REA'!L325,"")</f>
        <v>0</v>
      </c>
      <c r="P325" s="250" t="str">
        <f t="shared" si="53"/>
        <v/>
      </c>
      <c r="R325" s="70" t="e">
        <f t="shared" si="54"/>
        <v>#VALUE!</v>
      </c>
    </row>
    <row r="326" spans="1:18" ht="20.25" x14ac:dyDescent="0.25">
      <c r="A326" s="246">
        <f>+'OEE REA'!A837</f>
        <v>0</v>
      </c>
      <c r="B326" s="99">
        <f t="shared" si="42"/>
        <v>0</v>
      </c>
      <c r="C326" s="113">
        <f>+'OEE REA'!D837</f>
        <v>0</v>
      </c>
      <c r="D326" s="242" t="s">
        <v>2128</v>
      </c>
      <c r="E326" s="109" t="e">
        <f>VLOOKUP(A326,'OEE REA'!A:AO,13,FALSE)</f>
        <v>#N/A</v>
      </c>
      <c r="F326" s="110" t="e">
        <f>VLOOKUP(A326,'OEE REA'!A:AO,11,FALSE)</f>
        <v>#N/A</v>
      </c>
      <c r="G326" s="111" t="str">
        <f t="shared" si="55"/>
        <v/>
      </c>
      <c r="H326" s="110" t="e">
        <f>VLOOKUP(A326,'OEE REA'!A:AO,14,FALSE)</f>
        <v>#N/A</v>
      </c>
      <c r="I326" s="106"/>
      <c r="J326" s="99"/>
      <c r="K326" s="99"/>
      <c r="L326" s="107"/>
      <c r="M326" s="112" t="str">
        <f t="shared" si="51"/>
        <v/>
      </c>
      <c r="N326" s="103" t="str">
        <f t="shared" si="52"/>
        <v/>
      </c>
      <c r="O326" s="103">
        <f>IFERROR('OEE REA'!J837*'SPEED FACTOR REA'!L326,"")</f>
        <v>0</v>
      </c>
      <c r="P326" s="250" t="str">
        <f t="shared" si="53"/>
        <v/>
      </c>
      <c r="R326" s="70" t="e">
        <f t="shared" si="54"/>
        <v>#VALUE!</v>
      </c>
    </row>
    <row r="327" spans="1:18" ht="20.25" x14ac:dyDescent="0.25">
      <c r="A327" s="246">
        <f>+'OEE REA'!A838</f>
        <v>0</v>
      </c>
      <c r="B327" s="99">
        <f t="shared" si="42"/>
        <v>0</v>
      </c>
      <c r="C327" s="113">
        <f>+'OEE REA'!D838</f>
        <v>0</v>
      </c>
      <c r="D327" s="242" t="s">
        <v>2129</v>
      </c>
      <c r="E327" s="109" t="e">
        <f>VLOOKUP(A327,'OEE REA'!A:AO,13,FALSE)</f>
        <v>#N/A</v>
      </c>
      <c r="F327" s="110" t="e">
        <f>VLOOKUP(A327,'OEE REA'!A:AO,11,FALSE)</f>
        <v>#N/A</v>
      </c>
      <c r="G327" s="111" t="str">
        <f t="shared" si="55"/>
        <v/>
      </c>
      <c r="H327" s="110" t="e">
        <f>VLOOKUP(A327,'OEE REA'!A:AO,14,FALSE)</f>
        <v>#N/A</v>
      </c>
      <c r="I327" s="106"/>
      <c r="J327" s="99"/>
      <c r="K327" s="99"/>
      <c r="L327" s="107"/>
      <c r="M327" s="112" t="str">
        <f t="shared" si="51"/>
        <v/>
      </c>
      <c r="N327" s="103" t="str">
        <f t="shared" si="52"/>
        <v/>
      </c>
      <c r="O327" s="103">
        <f>IFERROR('OEE REA'!J838*'SPEED FACTOR REA'!L327,"")</f>
        <v>0</v>
      </c>
      <c r="P327" s="250" t="str">
        <f t="shared" si="53"/>
        <v/>
      </c>
      <c r="R327" s="70" t="e">
        <f t="shared" si="54"/>
        <v>#VALUE!</v>
      </c>
    </row>
    <row r="328" spans="1:18" ht="20.25" x14ac:dyDescent="0.25">
      <c r="A328" s="246">
        <f>+'OEE REA'!A839</f>
        <v>0</v>
      </c>
      <c r="B328" s="99">
        <f t="shared" si="42"/>
        <v>0</v>
      </c>
      <c r="C328" s="113">
        <f>+'OEE REA'!D839</f>
        <v>0</v>
      </c>
      <c r="D328" s="242" t="s">
        <v>2130</v>
      </c>
      <c r="E328" s="109" t="e">
        <f>VLOOKUP(A328,'OEE REA'!A:AO,13,FALSE)</f>
        <v>#N/A</v>
      </c>
      <c r="F328" s="110" t="e">
        <f>VLOOKUP(A328,'OEE REA'!A:AO,11,FALSE)</f>
        <v>#N/A</v>
      </c>
      <c r="G328" s="111" t="str">
        <f t="shared" si="55"/>
        <v/>
      </c>
      <c r="H328" s="110" t="e">
        <f>VLOOKUP(A328,'OEE REA'!A:AO,14,FALSE)</f>
        <v>#N/A</v>
      </c>
      <c r="I328" s="106"/>
      <c r="J328" s="99"/>
      <c r="K328" s="99"/>
      <c r="L328" s="107"/>
      <c r="M328" s="112" t="str">
        <f t="shared" si="51"/>
        <v/>
      </c>
      <c r="N328" s="103" t="str">
        <f t="shared" si="52"/>
        <v/>
      </c>
      <c r="O328" s="103">
        <f>IFERROR('OEE REA'!J839*'SPEED FACTOR REA'!L328,"")</f>
        <v>0</v>
      </c>
      <c r="P328" s="250" t="str">
        <f t="shared" si="53"/>
        <v/>
      </c>
      <c r="R328" s="70" t="e">
        <f t="shared" si="54"/>
        <v>#VALUE!</v>
      </c>
    </row>
    <row r="329" spans="1:18" ht="20.25" x14ac:dyDescent="0.25">
      <c r="A329" s="246">
        <f>+'OEE REA'!A840</f>
        <v>0</v>
      </c>
      <c r="B329" s="99">
        <f t="shared" si="42"/>
        <v>0</v>
      </c>
      <c r="C329" s="113">
        <f>+'OEE REA'!D840</f>
        <v>0</v>
      </c>
      <c r="D329" s="242" t="s">
        <v>2131</v>
      </c>
      <c r="E329" s="109" t="e">
        <f>VLOOKUP(A329,'OEE REA'!A:AO,13,FALSE)</f>
        <v>#N/A</v>
      </c>
      <c r="F329" s="110" t="e">
        <f>VLOOKUP(A329,'OEE REA'!A:AO,11,FALSE)</f>
        <v>#N/A</v>
      </c>
      <c r="G329" s="111" t="str">
        <f t="shared" si="55"/>
        <v/>
      </c>
      <c r="H329" s="110" t="e">
        <f>VLOOKUP(A329,'OEE REA'!A:AO,14,FALSE)</f>
        <v>#N/A</v>
      </c>
      <c r="I329" s="106"/>
      <c r="J329" s="99"/>
      <c r="K329" s="99"/>
      <c r="L329" s="107"/>
      <c r="M329" s="112" t="str">
        <f t="shared" si="51"/>
        <v/>
      </c>
      <c r="N329" s="103" t="str">
        <f t="shared" si="52"/>
        <v/>
      </c>
      <c r="O329" s="103">
        <f>IFERROR('OEE REA'!J840*'SPEED FACTOR REA'!L329,"")</f>
        <v>0</v>
      </c>
      <c r="P329" s="250" t="str">
        <f t="shared" si="53"/>
        <v/>
      </c>
      <c r="R329" s="70" t="e">
        <f t="shared" si="54"/>
        <v>#VALUE!</v>
      </c>
    </row>
    <row r="330" spans="1:18" ht="20.25" x14ac:dyDescent="0.25">
      <c r="A330" s="246">
        <f>+'OEE REA'!A841</f>
        <v>0</v>
      </c>
      <c r="B330" s="99">
        <f t="shared" si="42"/>
        <v>0</v>
      </c>
      <c r="C330" s="113">
        <f>+'OEE REA'!D841</f>
        <v>0</v>
      </c>
      <c r="D330" s="242" t="s">
        <v>2132</v>
      </c>
      <c r="E330" s="109" t="e">
        <f>VLOOKUP(A330,'OEE REA'!A:AO,13,FALSE)</f>
        <v>#N/A</v>
      </c>
      <c r="F330" s="110" t="e">
        <f>VLOOKUP(A330,'OEE REA'!A:AO,11,FALSE)</f>
        <v>#N/A</v>
      </c>
      <c r="G330" s="111" t="str">
        <f t="shared" si="55"/>
        <v/>
      </c>
      <c r="H330" s="110" t="e">
        <f>VLOOKUP(A330,'OEE REA'!A:AO,14,FALSE)</f>
        <v>#N/A</v>
      </c>
      <c r="I330" s="106"/>
      <c r="J330" s="99"/>
      <c r="K330" s="99"/>
      <c r="L330" s="107"/>
      <c r="M330" s="112" t="str">
        <f t="shared" si="51"/>
        <v/>
      </c>
      <c r="N330" s="103" t="str">
        <f t="shared" si="52"/>
        <v/>
      </c>
      <c r="O330" s="103">
        <f>IFERROR('OEE REA'!J841*'SPEED FACTOR REA'!L330,"")</f>
        <v>0</v>
      </c>
      <c r="P330" s="250" t="str">
        <f t="shared" si="53"/>
        <v/>
      </c>
      <c r="R330" s="70" t="e">
        <f t="shared" si="54"/>
        <v>#VALUE!</v>
      </c>
    </row>
    <row r="331" spans="1:18" ht="20.25" x14ac:dyDescent="0.25">
      <c r="A331" s="246">
        <f>+'OEE REA'!A842</f>
        <v>0</v>
      </c>
      <c r="B331" s="99">
        <f t="shared" si="42"/>
        <v>0</v>
      </c>
      <c r="C331" s="113">
        <f>+'OEE REA'!D842</f>
        <v>0</v>
      </c>
      <c r="D331" s="242" t="s">
        <v>2133</v>
      </c>
      <c r="E331" s="109" t="e">
        <f>VLOOKUP(A331,'OEE REA'!A:AO,13,FALSE)</f>
        <v>#N/A</v>
      </c>
      <c r="F331" s="110" t="e">
        <f>VLOOKUP(A331,'OEE REA'!A:AO,11,FALSE)</f>
        <v>#N/A</v>
      </c>
      <c r="G331" s="111" t="str">
        <f t="shared" si="55"/>
        <v/>
      </c>
      <c r="H331" s="110" t="e">
        <f>VLOOKUP(A331,'OEE REA'!A:AO,14,FALSE)</f>
        <v>#N/A</v>
      </c>
      <c r="I331" s="106"/>
      <c r="J331" s="99"/>
      <c r="K331" s="99"/>
      <c r="L331" s="107"/>
      <c r="M331" s="112" t="str">
        <f t="shared" si="51"/>
        <v/>
      </c>
      <c r="N331" s="103" t="str">
        <f t="shared" si="52"/>
        <v/>
      </c>
      <c r="O331" s="103">
        <f>IFERROR('OEE REA'!J842*'SPEED FACTOR REA'!L331,"")</f>
        <v>0</v>
      </c>
      <c r="P331" s="250" t="str">
        <f t="shared" si="53"/>
        <v/>
      </c>
      <c r="R331" s="70" t="e">
        <f t="shared" si="54"/>
        <v>#VALUE!</v>
      </c>
    </row>
    <row r="332" spans="1:18" ht="20.25" x14ac:dyDescent="0.25">
      <c r="A332" s="246">
        <f>+'OEE REA'!A843</f>
        <v>0</v>
      </c>
      <c r="B332" s="99">
        <f t="shared" si="42"/>
        <v>0</v>
      </c>
      <c r="C332" s="113">
        <f>+'OEE REA'!D843</f>
        <v>0</v>
      </c>
      <c r="D332" s="242" t="s">
        <v>2134</v>
      </c>
      <c r="E332" s="109" t="e">
        <f>VLOOKUP(A332,'OEE REA'!A:AO,13,FALSE)</f>
        <v>#N/A</v>
      </c>
      <c r="F332" s="110" t="e">
        <f>VLOOKUP(A332,'OEE REA'!A:AO,11,FALSE)</f>
        <v>#N/A</v>
      </c>
      <c r="G332" s="111" t="str">
        <f t="shared" si="55"/>
        <v/>
      </c>
      <c r="H332" s="110" t="e">
        <f>VLOOKUP(A332,'OEE REA'!A:AO,14,FALSE)</f>
        <v>#N/A</v>
      </c>
      <c r="I332" s="106"/>
      <c r="J332" s="99"/>
      <c r="K332" s="99"/>
      <c r="L332" s="107"/>
      <c r="M332" s="112" t="str">
        <f t="shared" si="51"/>
        <v/>
      </c>
      <c r="N332" s="103" t="str">
        <f t="shared" si="52"/>
        <v/>
      </c>
      <c r="O332" s="103">
        <f>IFERROR('OEE REA'!J843*'SPEED FACTOR REA'!L332,"")</f>
        <v>0</v>
      </c>
      <c r="P332" s="250" t="str">
        <f t="shared" si="53"/>
        <v/>
      </c>
      <c r="R332" s="70" t="e">
        <f t="shared" si="54"/>
        <v>#VALUE!</v>
      </c>
    </row>
    <row r="333" spans="1:18" ht="20.25" x14ac:dyDescent="0.25">
      <c r="A333" s="246">
        <f>+'OEE REA'!A844</f>
        <v>0</v>
      </c>
      <c r="B333" s="99">
        <f t="shared" si="42"/>
        <v>0</v>
      </c>
      <c r="C333" s="113">
        <f>+'OEE REA'!D844</f>
        <v>0</v>
      </c>
      <c r="D333" s="242" t="s">
        <v>2135</v>
      </c>
      <c r="E333" s="109" t="e">
        <f>VLOOKUP(A333,'OEE REA'!A:AO,13,FALSE)</f>
        <v>#N/A</v>
      </c>
      <c r="F333" s="110" t="e">
        <f>VLOOKUP(A333,'OEE REA'!A:AO,11,FALSE)</f>
        <v>#N/A</v>
      </c>
      <c r="G333" s="111" t="str">
        <f t="shared" si="55"/>
        <v/>
      </c>
      <c r="H333" s="110" t="e">
        <f>VLOOKUP(A333,'OEE REA'!A:AO,14,FALSE)</f>
        <v>#N/A</v>
      </c>
      <c r="I333" s="106"/>
      <c r="J333" s="99"/>
      <c r="K333" s="99"/>
      <c r="L333" s="107"/>
      <c r="M333" s="112" t="str">
        <f t="shared" si="51"/>
        <v/>
      </c>
      <c r="N333" s="103" t="str">
        <f t="shared" si="52"/>
        <v/>
      </c>
      <c r="O333" s="103">
        <f>IFERROR('OEE REA'!J844*'SPEED FACTOR REA'!L333,"")</f>
        <v>0</v>
      </c>
      <c r="P333" s="250" t="str">
        <f t="shared" si="53"/>
        <v/>
      </c>
      <c r="R333" s="70" t="e">
        <f t="shared" si="54"/>
        <v>#VALUE!</v>
      </c>
    </row>
    <row r="334" spans="1:18" ht="20.25" x14ac:dyDescent="0.25">
      <c r="A334" s="246">
        <f>+'OEE REA'!A845</f>
        <v>0</v>
      </c>
      <c r="B334" s="99">
        <f t="shared" si="42"/>
        <v>0</v>
      </c>
      <c r="C334" s="113">
        <f>+'OEE REA'!D845</f>
        <v>0</v>
      </c>
      <c r="D334" s="242" t="s">
        <v>2136</v>
      </c>
      <c r="E334" s="109" t="e">
        <f>VLOOKUP(A334,'OEE REA'!A:AO,13,FALSE)</f>
        <v>#N/A</v>
      </c>
      <c r="F334" s="110" t="e">
        <f>VLOOKUP(A334,'OEE REA'!A:AO,11,FALSE)</f>
        <v>#N/A</v>
      </c>
      <c r="G334" s="111" t="str">
        <f t="shared" si="55"/>
        <v/>
      </c>
      <c r="H334" s="110" t="e">
        <f>VLOOKUP(A334,'OEE REA'!A:AO,14,FALSE)</f>
        <v>#N/A</v>
      </c>
      <c r="I334" s="106"/>
      <c r="J334" s="99"/>
      <c r="K334" s="99"/>
      <c r="L334" s="107"/>
      <c r="M334" s="112" t="str">
        <f t="shared" si="51"/>
        <v/>
      </c>
      <c r="N334" s="103" t="str">
        <f t="shared" si="52"/>
        <v/>
      </c>
      <c r="O334" s="103">
        <f>IFERROR('OEE REA'!J845*'SPEED FACTOR REA'!L334,"")</f>
        <v>0</v>
      </c>
      <c r="P334" s="250" t="str">
        <f t="shared" si="53"/>
        <v/>
      </c>
      <c r="R334" s="70" t="e">
        <f t="shared" si="54"/>
        <v>#VALUE!</v>
      </c>
    </row>
    <row r="335" spans="1:18" ht="20.25" x14ac:dyDescent="0.25">
      <c r="A335" s="246">
        <f>+'OEE REA'!A846</f>
        <v>0</v>
      </c>
      <c r="B335" s="99">
        <f t="shared" si="42"/>
        <v>0</v>
      </c>
      <c r="C335" s="113">
        <f>+'OEE REA'!D846</f>
        <v>0</v>
      </c>
      <c r="D335" s="242" t="s">
        <v>2137</v>
      </c>
      <c r="E335" s="109" t="e">
        <f>VLOOKUP(A335,'OEE REA'!A:AO,13,FALSE)</f>
        <v>#N/A</v>
      </c>
      <c r="F335" s="110" t="e">
        <f>VLOOKUP(A335,'OEE REA'!A:AO,11,FALSE)</f>
        <v>#N/A</v>
      </c>
      <c r="G335" s="111" t="str">
        <f t="shared" si="55"/>
        <v/>
      </c>
      <c r="H335" s="110" t="e">
        <f>VLOOKUP(A335,'OEE REA'!A:AO,14,FALSE)</f>
        <v>#N/A</v>
      </c>
      <c r="I335" s="106"/>
      <c r="J335" s="99"/>
      <c r="K335" s="99"/>
      <c r="L335" s="107"/>
      <c r="M335" s="112" t="str">
        <f t="shared" si="51"/>
        <v/>
      </c>
      <c r="N335" s="103" t="str">
        <f t="shared" si="52"/>
        <v/>
      </c>
      <c r="O335" s="103">
        <f>IFERROR('OEE REA'!J846*'SPEED FACTOR REA'!L335,"")</f>
        <v>0</v>
      </c>
      <c r="P335" s="250" t="str">
        <f t="shared" si="53"/>
        <v/>
      </c>
      <c r="R335" s="70" t="e">
        <f t="shared" si="54"/>
        <v>#VALUE!</v>
      </c>
    </row>
    <row r="336" spans="1:18" ht="20.25" x14ac:dyDescent="0.25">
      <c r="A336" s="246">
        <f>+'OEE REA'!A847</f>
        <v>0</v>
      </c>
      <c r="B336" s="99">
        <f t="shared" si="42"/>
        <v>0</v>
      </c>
      <c r="C336" s="113">
        <f>+'OEE REA'!D847</f>
        <v>0</v>
      </c>
      <c r="D336" s="242" t="s">
        <v>2138</v>
      </c>
      <c r="E336" s="109" t="e">
        <f>VLOOKUP(A336,'OEE REA'!A:AO,13,FALSE)</f>
        <v>#N/A</v>
      </c>
      <c r="F336" s="110" t="e">
        <f>VLOOKUP(A336,'OEE REA'!A:AO,11,FALSE)</f>
        <v>#N/A</v>
      </c>
      <c r="G336" s="111" t="str">
        <f t="shared" si="55"/>
        <v/>
      </c>
      <c r="H336" s="110" t="e">
        <f>VLOOKUP(A336,'OEE REA'!A:AO,14,FALSE)</f>
        <v>#N/A</v>
      </c>
      <c r="I336" s="106"/>
      <c r="J336" s="99"/>
      <c r="K336" s="99"/>
      <c r="L336" s="107"/>
      <c r="M336" s="112" t="str">
        <f t="shared" si="51"/>
        <v/>
      </c>
      <c r="N336" s="103" t="str">
        <f t="shared" si="52"/>
        <v/>
      </c>
      <c r="O336" s="103">
        <f>IFERROR('OEE REA'!J847*'SPEED FACTOR REA'!L336,"")</f>
        <v>0</v>
      </c>
      <c r="P336" s="250" t="str">
        <f t="shared" si="53"/>
        <v/>
      </c>
      <c r="R336" s="70" t="e">
        <f t="shared" si="54"/>
        <v>#VALUE!</v>
      </c>
    </row>
    <row r="337" spans="1:18" ht="20.25" x14ac:dyDescent="0.25">
      <c r="A337" s="246">
        <f>+'OEE REA'!A848</f>
        <v>0</v>
      </c>
      <c r="B337" s="99">
        <f t="shared" si="42"/>
        <v>0</v>
      </c>
      <c r="C337" s="113">
        <f>+'OEE REA'!D848</f>
        <v>0</v>
      </c>
      <c r="D337" s="242" t="s">
        <v>2139</v>
      </c>
      <c r="E337" s="109" t="e">
        <f>VLOOKUP(A337,'OEE REA'!A:AO,13,FALSE)</f>
        <v>#N/A</v>
      </c>
      <c r="F337" s="110" t="e">
        <f>VLOOKUP(A337,'OEE REA'!A:AO,11,FALSE)</f>
        <v>#N/A</v>
      </c>
      <c r="G337" s="111" t="str">
        <f t="shared" si="55"/>
        <v/>
      </c>
      <c r="H337" s="110" t="e">
        <f>VLOOKUP(A337,'OEE REA'!A:AO,14,FALSE)</f>
        <v>#N/A</v>
      </c>
      <c r="I337" s="106"/>
      <c r="J337" s="99"/>
      <c r="K337" s="99"/>
      <c r="L337" s="107"/>
      <c r="M337" s="112" t="str">
        <f t="shared" si="51"/>
        <v/>
      </c>
      <c r="N337" s="103" t="str">
        <f t="shared" si="52"/>
        <v/>
      </c>
      <c r="O337" s="103">
        <f>IFERROR('OEE REA'!J848*'SPEED FACTOR REA'!L337,"")</f>
        <v>0</v>
      </c>
      <c r="P337" s="250" t="str">
        <f t="shared" si="53"/>
        <v/>
      </c>
      <c r="R337" s="70" t="e">
        <f t="shared" si="54"/>
        <v>#VALUE!</v>
      </c>
    </row>
    <row r="338" spans="1:18" ht="20.25" x14ac:dyDescent="0.25">
      <c r="A338" s="246">
        <f>+'OEE REA'!A849</f>
        <v>0</v>
      </c>
      <c r="B338" s="99">
        <f t="shared" si="42"/>
        <v>0</v>
      </c>
      <c r="C338" s="113">
        <f>+'OEE REA'!D849</f>
        <v>0</v>
      </c>
      <c r="D338" s="242" t="s">
        <v>2140</v>
      </c>
      <c r="E338" s="109" t="e">
        <f>VLOOKUP(A338,'OEE REA'!A:AO,13,FALSE)</f>
        <v>#N/A</v>
      </c>
      <c r="F338" s="110" t="e">
        <f>VLOOKUP(A338,'OEE REA'!A:AO,11,FALSE)</f>
        <v>#N/A</v>
      </c>
      <c r="G338" s="111" t="str">
        <f t="shared" si="55"/>
        <v/>
      </c>
      <c r="H338" s="110" t="e">
        <f>VLOOKUP(A338,'OEE REA'!A:AO,14,FALSE)</f>
        <v>#N/A</v>
      </c>
      <c r="I338" s="106"/>
      <c r="J338" s="99"/>
      <c r="K338" s="99"/>
      <c r="L338" s="107"/>
      <c r="M338" s="112" t="str">
        <f t="shared" si="51"/>
        <v/>
      </c>
      <c r="N338" s="103" t="str">
        <f t="shared" si="52"/>
        <v/>
      </c>
      <c r="O338" s="103">
        <f>IFERROR('OEE REA'!J849*'SPEED FACTOR REA'!L338,"")</f>
        <v>0</v>
      </c>
      <c r="P338" s="250" t="str">
        <f t="shared" si="53"/>
        <v/>
      </c>
      <c r="R338" s="70" t="e">
        <f t="shared" si="54"/>
        <v>#VALUE!</v>
      </c>
    </row>
    <row r="339" spans="1:18" ht="20.25" x14ac:dyDescent="0.25">
      <c r="A339" s="246">
        <f>+'OEE REA'!A850</f>
        <v>0</v>
      </c>
      <c r="B339" s="99">
        <f t="shared" si="42"/>
        <v>0</v>
      </c>
      <c r="C339" s="113">
        <f>+'OEE REA'!D850</f>
        <v>0</v>
      </c>
      <c r="D339" s="242" t="s">
        <v>2141</v>
      </c>
      <c r="E339" s="109" t="e">
        <f>VLOOKUP(A339,'OEE REA'!A:AO,13,FALSE)</f>
        <v>#N/A</v>
      </c>
      <c r="F339" s="110" t="e">
        <f>VLOOKUP(A339,'OEE REA'!A:AO,11,FALSE)</f>
        <v>#N/A</v>
      </c>
      <c r="G339" s="111" t="str">
        <f t="shared" ref="G339:G352" si="56">IFERROR(E339/H339*60,"")</f>
        <v/>
      </c>
      <c r="H339" s="110" t="e">
        <f>VLOOKUP(A339,'OEE REA'!A:AO,14,FALSE)</f>
        <v>#N/A</v>
      </c>
      <c r="I339" s="106"/>
      <c r="J339" s="99"/>
      <c r="K339" s="99"/>
      <c r="L339" s="107"/>
      <c r="M339" s="112" t="str">
        <f t="shared" ref="M339:M352" si="57">IFERROR(G339*L339,"")</f>
        <v/>
      </c>
      <c r="N339" s="103" t="str">
        <f t="shared" ref="N339:N352" si="58">IFERROR(F339*L339,"")</f>
        <v/>
      </c>
      <c r="O339" s="103">
        <f>IFERROR('OEE REA'!J850*'SPEED FACTOR REA'!L339,"")</f>
        <v>0</v>
      </c>
      <c r="P339" s="250" t="str">
        <f t="shared" ref="P339:P352" si="59">IFERROR(N339/M339,"")</f>
        <v/>
      </c>
      <c r="R339" s="70" t="e">
        <f t="shared" si="54"/>
        <v>#VALUE!</v>
      </c>
    </row>
    <row r="340" spans="1:18" ht="20.25" x14ac:dyDescent="0.25">
      <c r="A340" s="246">
        <f>+'OEE REA'!A851</f>
        <v>0</v>
      </c>
      <c r="B340" s="99">
        <f t="shared" ref="B340:B352" si="60">WEEKNUM(C340)</f>
        <v>0</v>
      </c>
      <c r="C340" s="113">
        <f>+'OEE REA'!D851</f>
        <v>0</v>
      </c>
      <c r="D340" s="242" t="s">
        <v>2142</v>
      </c>
      <c r="E340" s="109" t="e">
        <f>VLOOKUP(A340,'OEE REA'!A:AO,13,FALSE)</f>
        <v>#N/A</v>
      </c>
      <c r="F340" s="110" t="e">
        <f>VLOOKUP(A340,'OEE REA'!A:AO,11,FALSE)</f>
        <v>#N/A</v>
      </c>
      <c r="G340" s="111" t="str">
        <f t="shared" si="56"/>
        <v/>
      </c>
      <c r="H340" s="110" t="e">
        <f>VLOOKUP(A340,'OEE REA'!A:AO,14,FALSE)</f>
        <v>#N/A</v>
      </c>
      <c r="I340" s="106"/>
      <c r="J340" s="99"/>
      <c r="K340" s="99"/>
      <c r="L340" s="107"/>
      <c r="M340" s="112" t="str">
        <f t="shared" si="57"/>
        <v/>
      </c>
      <c r="N340" s="103" t="str">
        <f t="shared" si="58"/>
        <v/>
      </c>
      <c r="O340" s="103">
        <f>IFERROR('OEE REA'!J851*'SPEED FACTOR REA'!L340,"")</f>
        <v>0</v>
      </c>
      <c r="P340" s="250" t="str">
        <f t="shared" si="59"/>
        <v/>
      </c>
      <c r="R340" s="70" t="e">
        <f t="shared" si="54"/>
        <v>#VALUE!</v>
      </c>
    </row>
    <row r="341" spans="1:18" ht="20.25" x14ac:dyDescent="0.25">
      <c r="A341" s="246">
        <f>+'OEE REA'!A852</f>
        <v>0</v>
      </c>
      <c r="B341" s="99">
        <f t="shared" si="60"/>
        <v>0</v>
      </c>
      <c r="C341" s="113">
        <f>+'OEE REA'!D852</f>
        <v>0</v>
      </c>
      <c r="D341" s="242" t="s">
        <v>2143</v>
      </c>
      <c r="E341" s="109" t="e">
        <f>VLOOKUP(A341,'OEE REA'!A:AO,13,FALSE)</f>
        <v>#N/A</v>
      </c>
      <c r="F341" s="110" t="e">
        <f>VLOOKUP(A341,'OEE REA'!A:AO,11,FALSE)</f>
        <v>#N/A</v>
      </c>
      <c r="G341" s="111" t="str">
        <f t="shared" si="56"/>
        <v/>
      </c>
      <c r="H341" s="110" t="e">
        <f>VLOOKUP(A341,'OEE REA'!A:AO,14,FALSE)</f>
        <v>#N/A</v>
      </c>
      <c r="I341" s="106"/>
      <c r="J341" s="99"/>
      <c r="K341" s="99"/>
      <c r="L341" s="107"/>
      <c r="M341" s="112" t="str">
        <f t="shared" si="57"/>
        <v/>
      </c>
      <c r="N341" s="103" t="str">
        <f t="shared" si="58"/>
        <v/>
      </c>
      <c r="O341" s="103">
        <f>IFERROR('OEE REA'!J852*'SPEED FACTOR REA'!L341,"")</f>
        <v>0</v>
      </c>
      <c r="P341" s="250" t="str">
        <f t="shared" si="59"/>
        <v/>
      </c>
      <c r="R341" s="70" t="e">
        <f t="shared" si="54"/>
        <v>#VALUE!</v>
      </c>
    </row>
    <row r="342" spans="1:18" ht="20.25" x14ac:dyDescent="0.25">
      <c r="A342" s="246">
        <f>+'OEE REA'!A853</f>
        <v>0</v>
      </c>
      <c r="B342" s="99">
        <f t="shared" si="60"/>
        <v>0</v>
      </c>
      <c r="C342" s="113">
        <f>+'OEE REA'!D853</f>
        <v>0</v>
      </c>
      <c r="D342" s="242" t="s">
        <v>2144</v>
      </c>
      <c r="E342" s="109" t="e">
        <f>VLOOKUP(A342,'OEE REA'!A:AO,13,FALSE)</f>
        <v>#N/A</v>
      </c>
      <c r="F342" s="110" t="e">
        <f>VLOOKUP(A342,'OEE REA'!A:AO,11,FALSE)</f>
        <v>#N/A</v>
      </c>
      <c r="G342" s="111" t="str">
        <f t="shared" si="56"/>
        <v/>
      </c>
      <c r="H342" s="110" t="e">
        <f>VLOOKUP(A342,'OEE REA'!A:AO,14,FALSE)</f>
        <v>#N/A</v>
      </c>
      <c r="I342" s="106"/>
      <c r="J342" s="99"/>
      <c r="K342" s="99"/>
      <c r="L342" s="107"/>
      <c r="M342" s="112" t="str">
        <f t="shared" si="57"/>
        <v/>
      </c>
      <c r="N342" s="103" t="str">
        <f t="shared" si="58"/>
        <v/>
      </c>
      <c r="O342" s="103">
        <f>IFERROR('OEE REA'!J853*'SPEED FACTOR REA'!L342,"")</f>
        <v>0</v>
      </c>
      <c r="P342" s="250" t="str">
        <f t="shared" si="59"/>
        <v/>
      </c>
      <c r="R342" s="70" t="e">
        <f t="shared" si="54"/>
        <v>#VALUE!</v>
      </c>
    </row>
    <row r="343" spans="1:18" ht="20.25" x14ac:dyDescent="0.25">
      <c r="A343" s="246">
        <f>+'OEE REA'!A854</f>
        <v>0</v>
      </c>
      <c r="B343" s="99">
        <f t="shared" si="60"/>
        <v>0</v>
      </c>
      <c r="C343" s="113">
        <f>+'OEE REA'!D854</f>
        <v>0</v>
      </c>
      <c r="D343" s="242" t="s">
        <v>2145</v>
      </c>
      <c r="E343" s="109" t="e">
        <f>VLOOKUP(A343,'OEE REA'!A:AO,13,FALSE)</f>
        <v>#N/A</v>
      </c>
      <c r="F343" s="110" t="e">
        <f>VLOOKUP(A343,'OEE REA'!A:AO,11,FALSE)</f>
        <v>#N/A</v>
      </c>
      <c r="G343" s="111" t="str">
        <f t="shared" si="56"/>
        <v/>
      </c>
      <c r="H343" s="110" t="e">
        <f>VLOOKUP(A343,'OEE REA'!A:AO,14,FALSE)</f>
        <v>#N/A</v>
      </c>
      <c r="I343" s="106"/>
      <c r="J343" s="99"/>
      <c r="K343" s="99"/>
      <c r="L343" s="107"/>
      <c r="M343" s="112" t="str">
        <f t="shared" si="57"/>
        <v/>
      </c>
      <c r="N343" s="103" t="str">
        <f t="shared" si="58"/>
        <v/>
      </c>
      <c r="O343" s="103">
        <f>IFERROR('OEE REA'!J854*'SPEED FACTOR REA'!L343,"")</f>
        <v>0</v>
      </c>
      <c r="P343" s="250" t="str">
        <f t="shared" si="59"/>
        <v/>
      </c>
      <c r="R343" s="70" t="e">
        <f t="shared" si="54"/>
        <v>#VALUE!</v>
      </c>
    </row>
    <row r="344" spans="1:18" ht="20.25" x14ac:dyDescent="0.25">
      <c r="A344" s="246">
        <f>+'OEE REA'!A855</f>
        <v>0</v>
      </c>
      <c r="B344" s="99">
        <f t="shared" si="60"/>
        <v>0</v>
      </c>
      <c r="C344" s="113">
        <f>+'OEE REA'!D855</f>
        <v>0</v>
      </c>
      <c r="D344" s="242" t="s">
        <v>2146</v>
      </c>
      <c r="E344" s="109" t="e">
        <f>VLOOKUP(A344,'OEE REA'!A:AO,13,FALSE)</f>
        <v>#N/A</v>
      </c>
      <c r="F344" s="110" t="e">
        <f>VLOOKUP(A344,'OEE REA'!A:AO,11,FALSE)</f>
        <v>#N/A</v>
      </c>
      <c r="G344" s="111" t="str">
        <f t="shared" si="56"/>
        <v/>
      </c>
      <c r="H344" s="110" t="e">
        <f>VLOOKUP(A344,'OEE REA'!A:AO,14,FALSE)</f>
        <v>#N/A</v>
      </c>
      <c r="I344" s="106"/>
      <c r="J344" s="99"/>
      <c r="K344" s="99"/>
      <c r="L344" s="107"/>
      <c r="M344" s="112" t="str">
        <f t="shared" si="57"/>
        <v/>
      </c>
      <c r="N344" s="103" t="str">
        <f t="shared" si="58"/>
        <v/>
      </c>
      <c r="O344" s="103">
        <f>IFERROR('OEE REA'!J855*'SPEED FACTOR REA'!L344,"")</f>
        <v>0</v>
      </c>
      <c r="P344" s="250" t="str">
        <f t="shared" si="59"/>
        <v/>
      </c>
      <c r="R344" s="70" t="e">
        <f t="shared" si="54"/>
        <v>#VALUE!</v>
      </c>
    </row>
    <row r="345" spans="1:18" ht="20.25" x14ac:dyDescent="0.25">
      <c r="A345" s="246">
        <f>+'OEE REA'!A856</f>
        <v>0</v>
      </c>
      <c r="B345" s="99">
        <f t="shared" si="60"/>
        <v>0</v>
      </c>
      <c r="C345" s="113">
        <f>+'OEE REA'!D856</f>
        <v>0</v>
      </c>
      <c r="D345" s="242" t="s">
        <v>2147</v>
      </c>
      <c r="E345" s="109" t="e">
        <f>VLOOKUP(A345,'OEE REA'!A:AO,13,FALSE)</f>
        <v>#N/A</v>
      </c>
      <c r="F345" s="110" t="e">
        <f>VLOOKUP(A345,'OEE REA'!A:AO,11,FALSE)</f>
        <v>#N/A</v>
      </c>
      <c r="G345" s="111" t="str">
        <f t="shared" si="56"/>
        <v/>
      </c>
      <c r="H345" s="110" t="e">
        <f>VLOOKUP(A345,'OEE REA'!A:AO,14,FALSE)</f>
        <v>#N/A</v>
      </c>
      <c r="I345" s="106"/>
      <c r="J345" s="99"/>
      <c r="K345" s="99"/>
      <c r="L345" s="107"/>
      <c r="M345" s="112" t="str">
        <f t="shared" si="57"/>
        <v/>
      </c>
      <c r="N345" s="103" t="str">
        <f t="shared" si="58"/>
        <v/>
      </c>
      <c r="O345" s="103">
        <f>IFERROR('OEE REA'!J856*'SPEED FACTOR REA'!L345,"")</f>
        <v>0</v>
      </c>
      <c r="P345" s="250" t="str">
        <f t="shared" si="59"/>
        <v/>
      </c>
      <c r="R345" s="70" t="e">
        <f t="shared" si="54"/>
        <v>#VALUE!</v>
      </c>
    </row>
    <row r="346" spans="1:18" ht="20.25" x14ac:dyDescent="0.25">
      <c r="A346" s="246">
        <f>+'OEE REA'!A857</f>
        <v>0</v>
      </c>
      <c r="B346" s="99">
        <f t="shared" si="60"/>
        <v>0</v>
      </c>
      <c r="C346" s="113">
        <f>+'OEE REA'!D857</f>
        <v>0</v>
      </c>
      <c r="D346" s="242" t="s">
        <v>2148</v>
      </c>
      <c r="E346" s="109" t="e">
        <f>VLOOKUP(A346,'OEE REA'!A:AO,13,FALSE)</f>
        <v>#N/A</v>
      </c>
      <c r="F346" s="110" t="e">
        <f>VLOOKUP(A346,'OEE REA'!A:AO,11,FALSE)</f>
        <v>#N/A</v>
      </c>
      <c r="G346" s="111" t="str">
        <f t="shared" si="56"/>
        <v/>
      </c>
      <c r="H346" s="110" t="e">
        <f>VLOOKUP(A346,'OEE REA'!A:AO,14,FALSE)</f>
        <v>#N/A</v>
      </c>
      <c r="I346" s="106"/>
      <c r="J346" s="99"/>
      <c r="K346" s="99"/>
      <c r="L346" s="107"/>
      <c r="M346" s="112" t="str">
        <f t="shared" si="57"/>
        <v/>
      </c>
      <c r="N346" s="103" t="str">
        <f t="shared" si="58"/>
        <v/>
      </c>
      <c r="O346" s="103">
        <f>IFERROR('OEE REA'!J857*'SPEED FACTOR REA'!L346,"")</f>
        <v>0</v>
      </c>
      <c r="P346" s="250" t="str">
        <f t="shared" si="59"/>
        <v/>
      </c>
      <c r="R346" s="70" t="e">
        <f t="shared" si="54"/>
        <v>#VALUE!</v>
      </c>
    </row>
    <row r="347" spans="1:18" ht="20.25" x14ac:dyDescent="0.25">
      <c r="A347" s="246">
        <f>+'OEE REA'!A858</f>
        <v>0</v>
      </c>
      <c r="B347" s="99">
        <f t="shared" si="60"/>
        <v>0</v>
      </c>
      <c r="C347" s="113">
        <f>+'OEE REA'!D858</f>
        <v>0</v>
      </c>
      <c r="D347" s="242" t="s">
        <v>2149</v>
      </c>
      <c r="E347" s="109" t="e">
        <f>VLOOKUP(A347,'OEE REA'!A:AO,13,FALSE)</f>
        <v>#N/A</v>
      </c>
      <c r="F347" s="110" t="e">
        <f>VLOOKUP(A347,'OEE REA'!A:AO,11,FALSE)</f>
        <v>#N/A</v>
      </c>
      <c r="G347" s="111" t="str">
        <f t="shared" si="56"/>
        <v/>
      </c>
      <c r="H347" s="110" t="e">
        <f>VLOOKUP(A347,'OEE REA'!A:AO,14,FALSE)</f>
        <v>#N/A</v>
      </c>
      <c r="I347" s="106"/>
      <c r="J347" s="99"/>
      <c r="K347" s="99"/>
      <c r="L347" s="107"/>
      <c r="M347" s="112" t="str">
        <f t="shared" si="57"/>
        <v/>
      </c>
      <c r="N347" s="103" t="str">
        <f t="shared" si="58"/>
        <v/>
      </c>
      <c r="O347" s="103">
        <f>IFERROR('OEE REA'!J858*'SPEED FACTOR REA'!L347,"")</f>
        <v>0</v>
      </c>
      <c r="P347" s="250" t="str">
        <f t="shared" si="59"/>
        <v/>
      </c>
      <c r="R347" s="70" t="e">
        <f t="shared" si="54"/>
        <v>#VALUE!</v>
      </c>
    </row>
    <row r="348" spans="1:18" ht="20.25" x14ac:dyDescent="0.25">
      <c r="A348" s="246">
        <f>+'OEE REA'!A859</f>
        <v>0</v>
      </c>
      <c r="B348" s="99">
        <f t="shared" si="60"/>
        <v>0</v>
      </c>
      <c r="C348" s="113">
        <f>+'OEE REA'!D859</f>
        <v>0</v>
      </c>
      <c r="D348" s="242" t="s">
        <v>2150</v>
      </c>
      <c r="E348" s="109" t="e">
        <f>VLOOKUP(A348,'OEE REA'!A:AO,13,FALSE)</f>
        <v>#N/A</v>
      </c>
      <c r="F348" s="110" t="e">
        <f>VLOOKUP(A348,'OEE REA'!A:AO,11,FALSE)</f>
        <v>#N/A</v>
      </c>
      <c r="G348" s="111" t="str">
        <f t="shared" si="56"/>
        <v/>
      </c>
      <c r="H348" s="110" t="e">
        <f>VLOOKUP(A348,'OEE REA'!A:AO,14,FALSE)</f>
        <v>#N/A</v>
      </c>
      <c r="I348" s="106"/>
      <c r="J348" s="99"/>
      <c r="K348" s="99"/>
      <c r="L348" s="107"/>
      <c r="M348" s="112" t="str">
        <f t="shared" si="57"/>
        <v/>
      </c>
      <c r="N348" s="103" t="str">
        <f t="shared" si="58"/>
        <v/>
      </c>
      <c r="O348" s="103">
        <f>IFERROR('OEE REA'!J859*'SPEED FACTOR REA'!L348,"")</f>
        <v>0</v>
      </c>
      <c r="P348" s="250" t="str">
        <f t="shared" si="59"/>
        <v/>
      </c>
      <c r="R348" s="70" t="e">
        <f t="shared" si="54"/>
        <v>#VALUE!</v>
      </c>
    </row>
    <row r="349" spans="1:18" ht="20.25" x14ac:dyDescent="0.25">
      <c r="A349" s="246">
        <f>+'OEE REA'!A860</f>
        <v>0</v>
      </c>
      <c r="B349" s="99">
        <f t="shared" si="60"/>
        <v>0</v>
      </c>
      <c r="C349" s="113">
        <f>+'OEE REA'!D860</f>
        <v>0</v>
      </c>
      <c r="D349" s="242" t="s">
        <v>2151</v>
      </c>
      <c r="E349" s="109" t="e">
        <f>VLOOKUP(A349,'OEE REA'!A:AO,13,FALSE)</f>
        <v>#N/A</v>
      </c>
      <c r="F349" s="110" t="e">
        <f>VLOOKUP(A349,'OEE REA'!A:AO,11,FALSE)</f>
        <v>#N/A</v>
      </c>
      <c r="G349" s="111" t="str">
        <f t="shared" si="56"/>
        <v/>
      </c>
      <c r="H349" s="110" t="e">
        <f>VLOOKUP(A349,'OEE REA'!A:AO,14,FALSE)</f>
        <v>#N/A</v>
      </c>
      <c r="I349" s="106"/>
      <c r="J349" s="99"/>
      <c r="K349" s="99"/>
      <c r="L349" s="107"/>
      <c r="M349" s="112" t="str">
        <f t="shared" si="57"/>
        <v/>
      </c>
      <c r="N349" s="103" t="str">
        <f t="shared" si="58"/>
        <v/>
      </c>
      <c r="O349" s="103">
        <f>IFERROR('OEE REA'!J860*'SPEED FACTOR REA'!L349,"")</f>
        <v>0</v>
      </c>
      <c r="P349" s="250" t="str">
        <f t="shared" si="59"/>
        <v/>
      </c>
      <c r="R349" s="70" t="e">
        <f t="shared" si="54"/>
        <v>#VALUE!</v>
      </c>
    </row>
    <row r="350" spans="1:18" ht="20.25" x14ac:dyDescent="0.25">
      <c r="A350" s="246">
        <f>+'OEE REA'!A861</f>
        <v>0</v>
      </c>
      <c r="B350" s="99">
        <f t="shared" si="60"/>
        <v>0</v>
      </c>
      <c r="C350" s="113">
        <f>+'OEE REA'!D861</f>
        <v>0</v>
      </c>
      <c r="D350" s="242" t="s">
        <v>2152</v>
      </c>
      <c r="E350" s="109" t="e">
        <f>VLOOKUP(A350,'OEE REA'!A:AO,13,FALSE)</f>
        <v>#N/A</v>
      </c>
      <c r="F350" s="110" t="e">
        <f>VLOOKUP(A350,'OEE REA'!A:AO,11,FALSE)</f>
        <v>#N/A</v>
      </c>
      <c r="G350" s="111" t="str">
        <f t="shared" si="56"/>
        <v/>
      </c>
      <c r="H350" s="110" t="e">
        <f>VLOOKUP(A350,'OEE REA'!A:AO,14,FALSE)</f>
        <v>#N/A</v>
      </c>
      <c r="I350" s="106"/>
      <c r="J350" s="99"/>
      <c r="K350" s="99"/>
      <c r="L350" s="107"/>
      <c r="M350" s="112" t="str">
        <f t="shared" si="57"/>
        <v/>
      </c>
      <c r="N350" s="103" t="str">
        <f t="shared" si="58"/>
        <v/>
      </c>
      <c r="O350" s="103">
        <f>IFERROR('OEE REA'!J861*'SPEED FACTOR REA'!L350,"")</f>
        <v>0</v>
      </c>
      <c r="P350" s="250" t="str">
        <f t="shared" si="59"/>
        <v/>
      </c>
      <c r="R350" s="70" t="e">
        <f t="shared" si="54"/>
        <v>#VALUE!</v>
      </c>
    </row>
    <row r="351" spans="1:18" ht="20.25" x14ac:dyDescent="0.25">
      <c r="A351" s="246">
        <f>+'OEE REA'!A862</f>
        <v>0</v>
      </c>
      <c r="B351" s="99">
        <f t="shared" si="60"/>
        <v>0</v>
      </c>
      <c r="C351" s="113">
        <f>+'OEE REA'!D862</f>
        <v>0</v>
      </c>
      <c r="D351" s="242" t="s">
        <v>2153</v>
      </c>
      <c r="E351" s="109" t="e">
        <f>VLOOKUP(A351,'OEE REA'!A:AO,13,FALSE)</f>
        <v>#N/A</v>
      </c>
      <c r="F351" s="110" t="e">
        <f>VLOOKUP(A351,'OEE REA'!A:AO,11,FALSE)</f>
        <v>#N/A</v>
      </c>
      <c r="G351" s="111" t="str">
        <f t="shared" si="56"/>
        <v/>
      </c>
      <c r="H351" s="110" t="e">
        <f>VLOOKUP(A351,'OEE REA'!A:AO,14,FALSE)</f>
        <v>#N/A</v>
      </c>
      <c r="I351" s="106"/>
      <c r="J351" s="99"/>
      <c r="K351" s="99"/>
      <c r="L351" s="107"/>
      <c r="M351" s="112" t="str">
        <f t="shared" si="57"/>
        <v/>
      </c>
      <c r="N351" s="103" t="str">
        <f t="shared" si="58"/>
        <v/>
      </c>
      <c r="O351" s="103">
        <f>IFERROR('OEE REA'!J862*'SPEED FACTOR REA'!L351,"")</f>
        <v>0</v>
      </c>
      <c r="P351" s="250" t="str">
        <f t="shared" si="59"/>
        <v/>
      </c>
      <c r="R351" s="70" t="e">
        <f t="shared" si="54"/>
        <v>#VALUE!</v>
      </c>
    </row>
    <row r="352" spans="1:18" ht="20.25" x14ac:dyDescent="0.25">
      <c r="A352" s="246">
        <f>+'OEE REA'!A863</f>
        <v>0</v>
      </c>
      <c r="B352" s="99">
        <f t="shared" si="60"/>
        <v>0</v>
      </c>
      <c r="C352" s="113">
        <f>+'OEE REA'!D863</f>
        <v>0</v>
      </c>
      <c r="D352" s="242" t="s">
        <v>2154</v>
      </c>
      <c r="E352" s="109" t="e">
        <f>VLOOKUP(A352,'OEE REA'!A:AO,13,FALSE)</f>
        <v>#N/A</v>
      </c>
      <c r="F352" s="110" t="e">
        <f>VLOOKUP(A352,'OEE REA'!A:AO,11,FALSE)</f>
        <v>#N/A</v>
      </c>
      <c r="G352" s="111" t="str">
        <f t="shared" si="56"/>
        <v/>
      </c>
      <c r="H352" s="110" t="e">
        <f>VLOOKUP(A352,'OEE REA'!A:AO,14,FALSE)</f>
        <v>#N/A</v>
      </c>
      <c r="I352" s="106"/>
      <c r="J352" s="99"/>
      <c r="K352" s="99"/>
      <c r="L352" s="107"/>
      <c r="M352" s="112" t="str">
        <f t="shared" si="57"/>
        <v/>
      </c>
      <c r="N352" s="103" t="str">
        <f t="shared" si="58"/>
        <v/>
      </c>
      <c r="O352" s="103">
        <f>IFERROR('OEE REA'!J863*'SPEED FACTOR REA'!L352,"")</f>
        <v>0</v>
      </c>
      <c r="P352" s="250" t="str">
        <f t="shared" si="59"/>
        <v/>
      </c>
      <c r="R352" s="70" t="e">
        <f t="shared" si="54"/>
        <v>#VALUE!</v>
      </c>
    </row>
    <row r="353" spans="1:18" ht="20.25" x14ac:dyDescent="0.25">
      <c r="A353" s="246">
        <f>+'OEE REA'!A864</f>
        <v>0</v>
      </c>
      <c r="B353" s="99">
        <f t="shared" ref="B353:B416" si="61">WEEKNUM(C353)</f>
        <v>0</v>
      </c>
      <c r="C353" s="113">
        <f>+'OEE REA'!D864</f>
        <v>0</v>
      </c>
      <c r="D353" s="242" t="s">
        <v>2155</v>
      </c>
      <c r="E353" s="109" t="e">
        <f>VLOOKUP(A353,'OEE REA'!A:AO,13,FALSE)</f>
        <v>#N/A</v>
      </c>
      <c r="F353" s="110" t="e">
        <f>VLOOKUP(A353,'OEE REA'!A:AO,11,FALSE)</f>
        <v>#N/A</v>
      </c>
      <c r="G353" s="111" t="str">
        <f t="shared" ref="G353:G365" si="62">IFERROR(E353/H353*60,"")</f>
        <v/>
      </c>
      <c r="H353" s="110" t="e">
        <f>VLOOKUP(A353,'OEE REA'!A:AO,14,FALSE)</f>
        <v>#N/A</v>
      </c>
      <c r="I353" s="106"/>
      <c r="J353" s="99"/>
      <c r="K353" s="99"/>
      <c r="L353" s="107"/>
      <c r="M353" s="112" t="str">
        <f t="shared" ref="M353:M365" si="63">IFERROR(G353*L353,"")</f>
        <v/>
      </c>
      <c r="N353" s="103" t="str">
        <f t="shared" ref="N353:N365" si="64">IFERROR(F353*L353,"")</f>
        <v/>
      </c>
      <c r="O353" s="103">
        <f>IFERROR('OEE REA'!J864*'SPEED FACTOR REA'!L353,"")</f>
        <v>0</v>
      </c>
      <c r="P353" s="250" t="str">
        <f t="shared" ref="P353:P365" si="65">IFERROR(N353/M353,"")</f>
        <v/>
      </c>
      <c r="R353" s="70" t="e">
        <f t="shared" ref="R353:R416" si="66">G353/O353</f>
        <v>#VALUE!</v>
      </c>
    </row>
    <row r="354" spans="1:18" ht="20.25" x14ac:dyDescent="0.25">
      <c r="A354" s="246">
        <f>+'OEE REA'!A865</f>
        <v>0</v>
      </c>
      <c r="B354" s="99">
        <f t="shared" si="61"/>
        <v>0</v>
      </c>
      <c r="C354" s="113">
        <f>+'OEE REA'!D865</f>
        <v>0</v>
      </c>
      <c r="D354" s="242" t="s">
        <v>2156</v>
      </c>
      <c r="E354" s="109" t="e">
        <f>VLOOKUP(A354,'OEE REA'!A:AO,13,FALSE)</f>
        <v>#N/A</v>
      </c>
      <c r="F354" s="110" t="e">
        <f>VLOOKUP(A354,'OEE REA'!A:AO,11,FALSE)</f>
        <v>#N/A</v>
      </c>
      <c r="G354" s="111" t="str">
        <f t="shared" si="62"/>
        <v/>
      </c>
      <c r="H354" s="110" t="e">
        <f>VLOOKUP(A354,'OEE REA'!A:AO,14,FALSE)</f>
        <v>#N/A</v>
      </c>
      <c r="I354" s="106"/>
      <c r="J354" s="99"/>
      <c r="K354" s="99"/>
      <c r="L354" s="107"/>
      <c r="M354" s="112" t="str">
        <f t="shared" si="63"/>
        <v/>
      </c>
      <c r="N354" s="103" t="str">
        <f t="shared" si="64"/>
        <v/>
      </c>
      <c r="O354" s="103">
        <f>IFERROR('OEE REA'!J865*'SPEED FACTOR REA'!L354,"")</f>
        <v>0</v>
      </c>
      <c r="P354" s="250" t="str">
        <f t="shared" si="65"/>
        <v/>
      </c>
      <c r="R354" s="70" t="e">
        <f t="shared" si="66"/>
        <v>#VALUE!</v>
      </c>
    </row>
    <row r="355" spans="1:18" ht="20.25" x14ac:dyDescent="0.25">
      <c r="A355" s="246">
        <f>+'OEE REA'!A866</f>
        <v>0</v>
      </c>
      <c r="B355" s="99">
        <f t="shared" si="61"/>
        <v>0</v>
      </c>
      <c r="C355" s="113">
        <f>+'OEE REA'!D866</f>
        <v>0</v>
      </c>
      <c r="D355" s="242" t="s">
        <v>2157</v>
      </c>
      <c r="E355" s="109" t="e">
        <f>VLOOKUP(A355,'OEE REA'!A:AO,13,FALSE)</f>
        <v>#N/A</v>
      </c>
      <c r="F355" s="110" t="e">
        <f>VLOOKUP(A355,'OEE REA'!A:AO,11,FALSE)</f>
        <v>#N/A</v>
      </c>
      <c r="G355" s="111" t="str">
        <f t="shared" si="62"/>
        <v/>
      </c>
      <c r="H355" s="110" t="e">
        <f>VLOOKUP(A355,'OEE REA'!A:AO,14,FALSE)</f>
        <v>#N/A</v>
      </c>
      <c r="I355" s="106"/>
      <c r="J355" s="99"/>
      <c r="K355" s="99"/>
      <c r="L355" s="107"/>
      <c r="M355" s="112" t="str">
        <f t="shared" si="63"/>
        <v/>
      </c>
      <c r="N355" s="103" t="str">
        <f t="shared" si="64"/>
        <v/>
      </c>
      <c r="O355" s="103">
        <f>IFERROR('OEE REA'!J866*'SPEED FACTOR REA'!L355,"")</f>
        <v>0</v>
      </c>
      <c r="P355" s="250" t="str">
        <f t="shared" si="65"/>
        <v/>
      </c>
      <c r="R355" s="70" t="e">
        <f t="shared" si="66"/>
        <v>#VALUE!</v>
      </c>
    </row>
    <row r="356" spans="1:18" ht="20.25" x14ac:dyDescent="0.25">
      <c r="A356" s="246">
        <f>+'OEE REA'!A867</f>
        <v>0</v>
      </c>
      <c r="B356" s="99">
        <f t="shared" si="61"/>
        <v>0</v>
      </c>
      <c r="C356" s="113">
        <f>+'OEE REA'!D867</f>
        <v>0</v>
      </c>
      <c r="D356" s="242" t="s">
        <v>2158</v>
      </c>
      <c r="E356" s="109" t="e">
        <f>VLOOKUP(A356,'OEE REA'!A:AO,13,FALSE)</f>
        <v>#N/A</v>
      </c>
      <c r="F356" s="110" t="e">
        <f>VLOOKUP(A356,'OEE REA'!A:AO,11,FALSE)</f>
        <v>#N/A</v>
      </c>
      <c r="G356" s="111" t="str">
        <f t="shared" si="62"/>
        <v/>
      </c>
      <c r="H356" s="110" t="e">
        <f>VLOOKUP(A356,'OEE REA'!A:AO,14,FALSE)</f>
        <v>#N/A</v>
      </c>
      <c r="I356" s="106"/>
      <c r="J356" s="99"/>
      <c r="K356" s="99"/>
      <c r="L356" s="107"/>
      <c r="M356" s="112" t="str">
        <f t="shared" si="63"/>
        <v/>
      </c>
      <c r="N356" s="103" t="str">
        <f t="shared" si="64"/>
        <v/>
      </c>
      <c r="O356" s="103">
        <f>IFERROR('OEE REA'!J867*'SPEED FACTOR REA'!L356,"")</f>
        <v>0</v>
      </c>
      <c r="P356" s="250" t="str">
        <f t="shared" si="65"/>
        <v/>
      </c>
      <c r="R356" s="70" t="e">
        <f t="shared" si="66"/>
        <v>#VALUE!</v>
      </c>
    </row>
    <row r="357" spans="1:18" ht="20.25" x14ac:dyDescent="0.25">
      <c r="A357" s="246">
        <f>+'OEE REA'!A868</f>
        <v>0</v>
      </c>
      <c r="B357" s="99">
        <f t="shared" si="61"/>
        <v>0</v>
      </c>
      <c r="C357" s="113">
        <f>+'OEE REA'!D868</f>
        <v>0</v>
      </c>
      <c r="D357" s="242" t="s">
        <v>2159</v>
      </c>
      <c r="E357" s="109" t="e">
        <f>VLOOKUP(A357,'OEE REA'!A:AO,13,FALSE)</f>
        <v>#N/A</v>
      </c>
      <c r="F357" s="110" t="e">
        <f>VLOOKUP(A357,'OEE REA'!A:AO,11,FALSE)</f>
        <v>#N/A</v>
      </c>
      <c r="G357" s="111" t="str">
        <f t="shared" si="62"/>
        <v/>
      </c>
      <c r="H357" s="110" t="e">
        <f>VLOOKUP(A357,'OEE REA'!A:AO,14,FALSE)</f>
        <v>#N/A</v>
      </c>
      <c r="I357" s="106"/>
      <c r="J357" s="99"/>
      <c r="K357" s="99"/>
      <c r="L357" s="107"/>
      <c r="M357" s="112" t="str">
        <f t="shared" si="63"/>
        <v/>
      </c>
      <c r="N357" s="103" t="str">
        <f t="shared" si="64"/>
        <v/>
      </c>
      <c r="O357" s="103">
        <f>IFERROR('OEE REA'!J868*'SPEED FACTOR REA'!L357,"")</f>
        <v>0</v>
      </c>
      <c r="P357" s="250" t="str">
        <f t="shared" si="65"/>
        <v/>
      </c>
      <c r="R357" s="70" t="e">
        <f t="shared" si="66"/>
        <v>#VALUE!</v>
      </c>
    </row>
    <row r="358" spans="1:18" ht="20.25" x14ac:dyDescent="0.25">
      <c r="A358" s="246">
        <f>+'OEE REA'!A869</f>
        <v>0</v>
      </c>
      <c r="B358" s="99">
        <f t="shared" si="61"/>
        <v>0</v>
      </c>
      <c r="C358" s="113">
        <f>+'OEE REA'!D869</f>
        <v>0</v>
      </c>
      <c r="D358" s="242" t="s">
        <v>2160</v>
      </c>
      <c r="E358" s="109" t="e">
        <f>VLOOKUP(A358,'OEE REA'!A:AO,13,FALSE)</f>
        <v>#N/A</v>
      </c>
      <c r="F358" s="110" t="e">
        <f>VLOOKUP(A358,'OEE REA'!A:AO,11,FALSE)</f>
        <v>#N/A</v>
      </c>
      <c r="G358" s="111" t="str">
        <f t="shared" si="62"/>
        <v/>
      </c>
      <c r="H358" s="110" t="e">
        <f>VLOOKUP(A358,'OEE REA'!A:AO,14,FALSE)</f>
        <v>#N/A</v>
      </c>
      <c r="I358" s="106"/>
      <c r="J358" s="99"/>
      <c r="K358" s="99"/>
      <c r="L358" s="107"/>
      <c r="M358" s="112" t="str">
        <f t="shared" si="63"/>
        <v/>
      </c>
      <c r="N358" s="103" t="str">
        <f t="shared" si="64"/>
        <v/>
      </c>
      <c r="O358" s="103">
        <f>IFERROR('OEE REA'!J869*'SPEED FACTOR REA'!L358,"")</f>
        <v>0</v>
      </c>
      <c r="P358" s="250" t="str">
        <f t="shared" si="65"/>
        <v/>
      </c>
      <c r="R358" s="70" t="e">
        <f t="shared" si="66"/>
        <v>#VALUE!</v>
      </c>
    </row>
    <row r="359" spans="1:18" ht="20.25" x14ac:dyDescent="0.25">
      <c r="A359" s="246">
        <f>+'OEE REA'!A870</f>
        <v>0</v>
      </c>
      <c r="B359" s="99">
        <f t="shared" si="61"/>
        <v>0</v>
      </c>
      <c r="C359" s="113">
        <f>+'OEE REA'!D870</f>
        <v>0</v>
      </c>
      <c r="D359" s="242" t="s">
        <v>2161</v>
      </c>
      <c r="E359" s="109" t="e">
        <f>VLOOKUP(A359,'OEE REA'!A:AO,13,FALSE)</f>
        <v>#N/A</v>
      </c>
      <c r="F359" s="110" t="e">
        <f>VLOOKUP(A359,'OEE REA'!A:AO,11,FALSE)</f>
        <v>#N/A</v>
      </c>
      <c r="G359" s="111" t="str">
        <f t="shared" si="62"/>
        <v/>
      </c>
      <c r="H359" s="110" t="e">
        <f>VLOOKUP(A359,'OEE REA'!A:AO,14,FALSE)</f>
        <v>#N/A</v>
      </c>
      <c r="I359" s="106"/>
      <c r="J359" s="99"/>
      <c r="K359" s="99"/>
      <c r="L359" s="107"/>
      <c r="M359" s="112" t="str">
        <f t="shared" si="63"/>
        <v/>
      </c>
      <c r="N359" s="103" t="str">
        <f t="shared" si="64"/>
        <v/>
      </c>
      <c r="O359" s="103">
        <f>IFERROR('OEE REA'!J870*'SPEED FACTOR REA'!L359,"")</f>
        <v>0</v>
      </c>
      <c r="P359" s="250" t="str">
        <f t="shared" si="65"/>
        <v/>
      </c>
      <c r="R359" s="70" t="e">
        <f t="shared" si="66"/>
        <v>#VALUE!</v>
      </c>
    </row>
    <row r="360" spans="1:18" ht="20.25" x14ac:dyDescent="0.25">
      <c r="A360" s="246">
        <f>+'OEE REA'!A871</f>
        <v>0</v>
      </c>
      <c r="B360" s="99">
        <f t="shared" si="61"/>
        <v>0</v>
      </c>
      <c r="C360" s="113">
        <f>+'OEE REA'!D871</f>
        <v>0</v>
      </c>
      <c r="D360" s="242" t="s">
        <v>2162</v>
      </c>
      <c r="E360" s="109" t="e">
        <f>VLOOKUP(A360,'OEE REA'!A:AO,13,FALSE)</f>
        <v>#N/A</v>
      </c>
      <c r="F360" s="110" t="e">
        <f>VLOOKUP(A360,'OEE REA'!A:AO,11,FALSE)</f>
        <v>#N/A</v>
      </c>
      <c r="G360" s="111" t="str">
        <f t="shared" si="62"/>
        <v/>
      </c>
      <c r="H360" s="110" t="e">
        <f>VLOOKUP(A360,'OEE REA'!A:AO,14,FALSE)</f>
        <v>#N/A</v>
      </c>
      <c r="I360" s="106"/>
      <c r="J360" s="99"/>
      <c r="K360" s="99"/>
      <c r="L360" s="107"/>
      <c r="M360" s="112" t="str">
        <f t="shared" si="63"/>
        <v/>
      </c>
      <c r="N360" s="103" t="str">
        <f t="shared" si="64"/>
        <v/>
      </c>
      <c r="O360" s="103">
        <f>IFERROR('OEE REA'!J871*'SPEED FACTOR REA'!L360,"")</f>
        <v>0</v>
      </c>
      <c r="P360" s="250" t="str">
        <f t="shared" si="65"/>
        <v/>
      </c>
      <c r="R360" s="70" t="e">
        <f t="shared" si="66"/>
        <v>#VALUE!</v>
      </c>
    </row>
    <row r="361" spans="1:18" ht="20.25" x14ac:dyDescent="0.25">
      <c r="A361" s="246">
        <f>+'OEE REA'!A872</f>
        <v>0</v>
      </c>
      <c r="B361" s="99">
        <f t="shared" si="61"/>
        <v>0</v>
      </c>
      <c r="C361" s="113">
        <f>+'OEE REA'!D872</f>
        <v>0</v>
      </c>
      <c r="D361" s="242" t="s">
        <v>2163</v>
      </c>
      <c r="E361" s="109" t="e">
        <f>VLOOKUP(A361,'OEE REA'!A:AO,13,FALSE)</f>
        <v>#N/A</v>
      </c>
      <c r="F361" s="110" t="e">
        <f>VLOOKUP(A361,'OEE REA'!A:AO,11,FALSE)</f>
        <v>#N/A</v>
      </c>
      <c r="G361" s="111" t="str">
        <f t="shared" si="62"/>
        <v/>
      </c>
      <c r="H361" s="110" t="e">
        <f>VLOOKUP(A361,'OEE REA'!A:AO,14,FALSE)</f>
        <v>#N/A</v>
      </c>
      <c r="I361" s="106"/>
      <c r="J361" s="99"/>
      <c r="K361" s="99"/>
      <c r="L361" s="107"/>
      <c r="M361" s="112" t="str">
        <f t="shared" si="63"/>
        <v/>
      </c>
      <c r="N361" s="103" t="str">
        <f t="shared" si="64"/>
        <v/>
      </c>
      <c r="O361" s="103">
        <f>IFERROR('OEE REA'!J872*'SPEED FACTOR REA'!L361,"")</f>
        <v>0</v>
      </c>
      <c r="P361" s="250" t="str">
        <f t="shared" si="65"/>
        <v/>
      </c>
      <c r="R361" s="70" t="e">
        <f t="shared" si="66"/>
        <v>#VALUE!</v>
      </c>
    </row>
    <row r="362" spans="1:18" ht="20.25" x14ac:dyDescent="0.25">
      <c r="A362" s="246">
        <f>+'OEE REA'!A873</f>
        <v>0</v>
      </c>
      <c r="B362" s="99">
        <f t="shared" si="61"/>
        <v>0</v>
      </c>
      <c r="C362" s="113">
        <f>+'OEE REA'!D873</f>
        <v>0</v>
      </c>
      <c r="D362" s="242" t="s">
        <v>2164</v>
      </c>
      <c r="E362" s="109" t="e">
        <f>VLOOKUP(A362,'OEE REA'!A:AO,13,FALSE)</f>
        <v>#N/A</v>
      </c>
      <c r="F362" s="110" t="e">
        <f>VLOOKUP(A362,'OEE REA'!A:AO,11,FALSE)</f>
        <v>#N/A</v>
      </c>
      <c r="G362" s="111" t="str">
        <f t="shared" si="62"/>
        <v/>
      </c>
      <c r="H362" s="110" t="e">
        <f>VLOOKUP(A362,'OEE REA'!A:AO,14,FALSE)</f>
        <v>#N/A</v>
      </c>
      <c r="I362" s="106"/>
      <c r="J362" s="99"/>
      <c r="K362" s="99"/>
      <c r="L362" s="107"/>
      <c r="M362" s="112" t="str">
        <f t="shared" si="63"/>
        <v/>
      </c>
      <c r="N362" s="103" t="str">
        <f t="shared" si="64"/>
        <v/>
      </c>
      <c r="O362" s="103">
        <f>IFERROR('OEE REA'!J873*'SPEED FACTOR REA'!L362,"")</f>
        <v>0</v>
      </c>
      <c r="P362" s="250" t="str">
        <f t="shared" si="65"/>
        <v/>
      </c>
      <c r="R362" s="70" t="e">
        <f t="shared" si="66"/>
        <v>#VALUE!</v>
      </c>
    </row>
    <row r="363" spans="1:18" ht="20.25" x14ac:dyDescent="0.25">
      <c r="A363" s="246">
        <f>+'OEE REA'!A874</f>
        <v>0</v>
      </c>
      <c r="B363" s="99">
        <f t="shared" si="61"/>
        <v>0</v>
      </c>
      <c r="C363" s="113">
        <f>+'OEE REA'!D874</f>
        <v>0</v>
      </c>
      <c r="D363" s="242" t="s">
        <v>2165</v>
      </c>
      <c r="E363" s="109" t="e">
        <f>VLOOKUP(A363,'OEE REA'!A:AO,13,FALSE)</f>
        <v>#N/A</v>
      </c>
      <c r="F363" s="110" t="e">
        <f>VLOOKUP(A363,'OEE REA'!A:AO,11,FALSE)</f>
        <v>#N/A</v>
      </c>
      <c r="G363" s="111" t="str">
        <f t="shared" si="62"/>
        <v/>
      </c>
      <c r="H363" s="110" t="e">
        <f>VLOOKUP(A363,'OEE REA'!A:AO,14,FALSE)</f>
        <v>#N/A</v>
      </c>
      <c r="I363" s="106"/>
      <c r="J363" s="99"/>
      <c r="K363" s="99"/>
      <c r="L363" s="107"/>
      <c r="M363" s="112" t="str">
        <f t="shared" si="63"/>
        <v/>
      </c>
      <c r="N363" s="103" t="str">
        <f t="shared" si="64"/>
        <v/>
      </c>
      <c r="O363" s="103">
        <f>IFERROR('OEE REA'!J874*'SPEED FACTOR REA'!L363,"")</f>
        <v>0</v>
      </c>
      <c r="P363" s="250" t="str">
        <f t="shared" si="65"/>
        <v/>
      </c>
      <c r="R363" s="70" t="e">
        <f t="shared" si="66"/>
        <v>#VALUE!</v>
      </c>
    </row>
    <row r="364" spans="1:18" ht="20.25" x14ac:dyDescent="0.25">
      <c r="A364" s="246">
        <f>+'OEE REA'!A875</f>
        <v>0</v>
      </c>
      <c r="B364" s="99">
        <f t="shared" si="61"/>
        <v>0</v>
      </c>
      <c r="C364" s="113">
        <f>+'OEE REA'!D875</f>
        <v>0</v>
      </c>
      <c r="D364" s="242" t="s">
        <v>2166</v>
      </c>
      <c r="E364" s="109" t="e">
        <f>VLOOKUP(A364,'OEE REA'!A:AO,13,FALSE)</f>
        <v>#N/A</v>
      </c>
      <c r="F364" s="110" t="e">
        <f>VLOOKUP(A364,'OEE REA'!A:AO,11,FALSE)</f>
        <v>#N/A</v>
      </c>
      <c r="G364" s="111" t="str">
        <f t="shared" si="62"/>
        <v/>
      </c>
      <c r="H364" s="110" t="e">
        <f>VLOOKUP(A364,'OEE REA'!A:AO,14,FALSE)</f>
        <v>#N/A</v>
      </c>
      <c r="I364" s="106"/>
      <c r="J364" s="99"/>
      <c r="K364" s="99"/>
      <c r="L364" s="107"/>
      <c r="M364" s="112" t="str">
        <f t="shared" si="63"/>
        <v/>
      </c>
      <c r="N364" s="103" t="str">
        <f t="shared" si="64"/>
        <v/>
      </c>
      <c r="O364" s="103">
        <f>IFERROR('OEE REA'!J875*'SPEED FACTOR REA'!L364,"")</f>
        <v>0</v>
      </c>
      <c r="P364" s="250" t="str">
        <f t="shared" si="65"/>
        <v/>
      </c>
      <c r="R364" s="70" t="e">
        <f t="shared" si="66"/>
        <v>#VALUE!</v>
      </c>
    </row>
    <row r="365" spans="1:18" ht="20.25" x14ac:dyDescent="0.25">
      <c r="A365" s="246">
        <f>+'OEE REA'!A876</f>
        <v>0</v>
      </c>
      <c r="B365" s="99">
        <f t="shared" si="61"/>
        <v>0</v>
      </c>
      <c r="C365" s="113">
        <f>+'OEE REA'!D876</f>
        <v>0</v>
      </c>
      <c r="D365" s="242" t="s">
        <v>2167</v>
      </c>
      <c r="E365" s="109" t="e">
        <f>VLOOKUP(A365,'OEE REA'!A:AO,13,FALSE)</f>
        <v>#N/A</v>
      </c>
      <c r="F365" s="110" t="e">
        <f>VLOOKUP(A365,'OEE REA'!A:AO,11,FALSE)</f>
        <v>#N/A</v>
      </c>
      <c r="G365" s="111" t="str">
        <f t="shared" si="62"/>
        <v/>
      </c>
      <c r="H365" s="110" t="e">
        <f>VLOOKUP(A365,'OEE REA'!A:AO,14,FALSE)</f>
        <v>#N/A</v>
      </c>
      <c r="I365" s="106"/>
      <c r="J365" s="99"/>
      <c r="K365" s="99"/>
      <c r="L365" s="107"/>
      <c r="M365" s="112" t="str">
        <f t="shared" si="63"/>
        <v/>
      </c>
      <c r="N365" s="103" t="str">
        <f t="shared" si="64"/>
        <v/>
      </c>
      <c r="O365" s="103">
        <f>IFERROR('OEE REA'!J876*'SPEED FACTOR REA'!L365,"")</f>
        <v>0</v>
      </c>
      <c r="P365" s="250" t="str">
        <f t="shared" si="65"/>
        <v/>
      </c>
      <c r="R365" s="70" t="e">
        <f t="shared" si="66"/>
        <v>#VALUE!</v>
      </c>
    </row>
    <row r="366" spans="1:18" ht="20.25" x14ac:dyDescent="0.25">
      <c r="A366" s="246">
        <f>+'OEE REA'!A877</f>
        <v>0</v>
      </c>
      <c r="B366" s="99">
        <f t="shared" si="61"/>
        <v>0</v>
      </c>
      <c r="C366" s="113">
        <f>+'OEE REA'!D877</f>
        <v>0</v>
      </c>
      <c r="D366" s="242" t="s">
        <v>2168</v>
      </c>
      <c r="E366" s="109" t="e">
        <f>VLOOKUP(A366,'OEE REA'!A:AO,13,FALSE)</f>
        <v>#N/A</v>
      </c>
      <c r="F366" s="110" t="e">
        <f>VLOOKUP(A366,'OEE REA'!A:AO,11,FALSE)</f>
        <v>#N/A</v>
      </c>
      <c r="G366" s="111" t="str">
        <f t="shared" ref="G366:G379" si="67">IFERROR(E366/H366*60,"")</f>
        <v/>
      </c>
      <c r="H366" s="110" t="e">
        <f>VLOOKUP(A366,'OEE REA'!A:AO,14,FALSE)</f>
        <v>#N/A</v>
      </c>
      <c r="I366" s="106"/>
      <c r="J366" s="99"/>
      <c r="K366" s="99"/>
      <c r="L366" s="107"/>
      <c r="M366" s="112" t="str">
        <f t="shared" ref="M366:M429" si="68">IFERROR(G366*L366,"")</f>
        <v/>
      </c>
      <c r="N366" s="103" t="str">
        <f t="shared" ref="N366:N429" si="69">IFERROR(F366*L366,"")</f>
        <v/>
      </c>
      <c r="O366" s="103">
        <f>IFERROR('OEE REA'!J877*'SPEED FACTOR REA'!L366,"")</f>
        <v>0</v>
      </c>
      <c r="P366" s="250" t="str">
        <f t="shared" ref="P366:P429" si="70">IFERROR(N366/M366,"")</f>
        <v/>
      </c>
      <c r="R366" s="70" t="e">
        <f t="shared" si="66"/>
        <v>#VALUE!</v>
      </c>
    </row>
    <row r="367" spans="1:18" ht="20.25" x14ac:dyDescent="0.25">
      <c r="A367" s="246">
        <f>+'OEE REA'!A878</f>
        <v>0</v>
      </c>
      <c r="B367" s="99">
        <f t="shared" si="61"/>
        <v>0</v>
      </c>
      <c r="C367" s="113">
        <f>+'OEE REA'!D878</f>
        <v>0</v>
      </c>
      <c r="D367" s="242" t="s">
        <v>2169</v>
      </c>
      <c r="E367" s="109" t="e">
        <f>VLOOKUP(A367,'OEE REA'!A:AO,13,FALSE)</f>
        <v>#N/A</v>
      </c>
      <c r="F367" s="110" t="e">
        <f>VLOOKUP(A367,'OEE REA'!A:AO,11,FALSE)</f>
        <v>#N/A</v>
      </c>
      <c r="G367" s="111" t="str">
        <f t="shared" si="67"/>
        <v/>
      </c>
      <c r="H367" s="110" t="e">
        <f>VLOOKUP(A367,'OEE REA'!A:AO,14,FALSE)</f>
        <v>#N/A</v>
      </c>
      <c r="I367" s="106"/>
      <c r="J367" s="99"/>
      <c r="K367" s="99"/>
      <c r="L367" s="107"/>
      <c r="M367" s="112" t="str">
        <f t="shared" si="68"/>
        <v/>
      </c>
      <c r="N367" s="103" t="str">
        <f t="shared" si="69"/>
        <v/>
      </c>
      <c r="O367" s="103">
        <f>IFERROR('OEE REA'!J878*'SPEED FACTOR REA'!L367,"")</f>
        <v>0</v>
      </c>
      <c r="P367" s="250" t="str">
        <f t="shared" si="70"/>
        <v/>
      </c>
      <c r="R367" s="70" t="e">
        <f t="shared" si="66"/>
        <v>#VALUE!</v>
      </c>
    </row>
    <row r="368" spans="1:18" ht="20.25" x14ac:dyDescent="0.25">
      <c r="A368" s="246">
        <f>+'OEE REA'!A879</f>
        <v>0</v>
      </c>
      <c r="B368" s="99">
        <f t="shared" si="61"/>
        <v>0</v>
      </c>
      <c r="C368" s="113">
        <f>+'OEE REA'!D879</f>
        <v>0</v>
      </c>
      <c r="D368" s="242" t="s">
        <v>2170</v>
      </c>
      <c r="E368" s="109" t="e">
        <f>VLOOKUP(A368,'OEE REA'!A:AO,13,FALSE)</f>
        <v>#N/A</v>
      </c>
      <c r="F368" s="110" t="e">
        <f>VLOOKUP(A368,'OEE REA'!A:AO,11,FALSE)</f>
        <v>#N/A</v>
      </c>
      <c r="G368" s="111" t="str">
        <f t="shared" si="67"/>
        <v/>
      </c>
      <c r="H368" s="110" t="e">
        <f>VLOOKUP(A368,'OEE REA'!A:AO,14,FALSE)</f>
        <v>#N/A</v>
      </c>
      <c r="I368" s="106"/>
      <c r="J368" s="99"/>
      <c r="K368" s="99"/>
      <c r="L368" s="107"/>
      <c r="M368" s="112" t="str">
        <f t="shared" si="68"/>
        <v/>
      </c>
      <c r="N368" s="103" t="str">
        <f t="shared" si="69"/>
        <v/>
      </c>
      <c r="O368" s="103">
        <f>IFERROR('OEE REA'!J879*'SPEED FACTOR REA'!L368,"")</f>
        <v>0</v>
      </c>
      <c r="P368" s="250" t="str">
        <f t="shared" si="70"/>
        <v/>
      </c>
      <c r="R368" s="70" t="e">
        <f t="shared" si="66"/>
        <v>#VALUE!</v>
      </c>
    </row>
    <row r="369" spans="1:18" ht="20.25" x14ac:dyDescent="0.25">
      <c r="A369" s="246">
        <f>+'OEE REA'!A880</f>
        <v>0</v>
      </c>
      <c r="B369" s="99">
        <f t="shared" si="61"/>
        <v>0</v>
      </c>
      <c r="C369" s="113">
        <f>+'OEE REA'!D880</f>
        <v>0</v>
      </c>
      <c r="D369" s="242" t="s">
        <v>2171</v>
      </c>
      <c r="E369" s="109" t="e">
        <f>VLOOKUP(A369,'OEE REA'!A:AO,13,FALSE)</f>
        <v>#N/A</v>
      </c>
      <c r="F369" s="110" t="e">
        <f>VLOOKUP(A369,'OEE REA'!A:AO,11,FALSE)</f>
        <v>#N/A</v>
      </c>
      <c r="G369" s="111" t="str">
        <f t="shared" si="67"/>
        <v/>
      </c>
      <c r="H369" s="110" t="e">
        <f>VLOOKUP(A369,'OEE REA'!A:AO,14,FALSE)</f>
        <v>#N/A</v>
      </c>
      <c r="I369" s="106"/>
      <c r="J369" s="99"/>
      <c r="K369" s="99"/>
      <c r="L369" s="107"/>
      <c r="M369" s="112" t="str">
        <f t="shared" si="68"/>
        <v/>
      </c>
      <c r="N369" s="103" t="str">
        <f t="shared" si="69"/>
        <v/>
      </c>
      <c r="O369" s="103">
        <f>IFERROR('OEE REA'!J880*'SPEED FACTOR REA'!L369,"")</f>
        <v>0</v>
      </c>
      <c r="P369" s="250" t="str">
        <f t="shared" si="70"/>
        <v/>
      </c>
      <c r="R369" s="70" t="e">
        <f t="shared" si="66"/>
        <v>#VALUE!</v>
      </c>
    </row>
    <row r="370" spans="1:18" ht="20.25" x14ac:dyDescent="0.25">
      <c r="A370" s="246">
        <f>+'OEE REA'!A881</f>
        <v>0</v>
      </c>
      <c r="B370" s="99">
        <f t="shared" si="61"/>
        <v>0</v>
      </c>
      <c r="C370" s="113">
        <f>+'OEE REA'!D881</f>
        <v>0</v>
      </c>
      <c r="D370" s="242" t="s">
        <v>2172</v>
      </c>
      <c r="E370" s="109" t="e">
        <f>VLOOKUP(A370,'OEE REA'!A:AO,13,FALSE)</f>
        <v>#N/A</v>
      </c>
      <c r="F370" s="110" t="e">
        <f>VLOOKUP(A370,'OEE REA'!A:AO,11,FALSE)</f>
        <v>#N/A</v>
      </c>
      <c r="G370" s="111" t="str">
        <f t="shared" si="67"/>
        <v/>
      </c>
      <c r="H370" s="110" t="e">
        <f>VLOOKUP(A370,'OEE REA'!A:AO,14,FALSE)</f>
        <v>#N/A</v>
      </c>
      <c r="I370" s="106"/>
      <c r="J370" s="99"/>
      <c r="K370" s="99"/>
      <c r="L370" s="107"/>
      <c r="M370" s="112" t="str">
        <f t="shared" si="68"/>
        <v/>
      </c>
      <c r="N370" s="103" t="str">
        <f t="shared" si="69"/>
        <v/>
      </c>
      <c r="O370" s="103">
        <f>IFERROR('OEE REA'!J881*'SPEED FACTOR REA'!L370,"")</f>
        <v>0</v>
      </c>
      <c r="P370" s="250" t="str">
        <f t="shared" si="70"/>
        <v/>
      </c>
      <c r="R370" s="70" t="e">
        <f t="shared" si="66"/>
        <v>#VALUE!</v>
      </c>
    </row>
    <row r="371" spans="1:18" ht="20.25" x14ac:dyDescent="0.25">
      <c r="A371" s="246">
        <f>+'OEE REA'!A882</f>
        <v>0</v>
      </c>
      <c r="B371" s="99">
        <f t="shared" si="61"/>
        <v>0</v>
      </c>
      <c r="C371" s="113">
        <f>+'OEE REA'!D882</f>
        <v>0</v>
      </c>
      <c r="D371" s="242" t="s">
        <v>2173</v>
      </c>
      <c r="E371" s="109" t="e">
        <f>VLOOKUP(A371,'OEE REA'!A:AO,13,FALSE)</f>
        <v>#N/A</v>
      </c>
      <c r="F371" s="110" t="e">
        <f>VLOOKUP(A371,'OEE REA'!A:AO,11,FALSE)</f>
        <v>#N/A</v>
      </c>
      <c r="G371" s="111" t="str">
        <f t="shared" si="67"/>
        <v/>
      </c>
      <c r="H371" s="110" t="e">
        <f>VLOOKUP(A371,'OEE REA'!A:AO,14,FALSE)</f>
        <v>#N/A</v>
      </c>
      <c r="I371" s="106"/>
      <c r="J371" s="99"/>
      <c r="K371" s="99"/>
      <c r="L371" s="107"/>
      <c r="M371" s="112" t="str">
        <f t="shared" si="68"/>
        <v/>
      </c>
      <c r="N371" s="103" t="str">
        <f t="shared" si="69"/>
        <v/>
      </c>
      <c r="O371" s="103">
        <f>IFERROR('OEE REA'!J882*'SPEED FACTOR REA'!L371,"")</f>
        <v>0</v>
      </c>
      <c r="P371" s="250" t="str">
        <f t="shared" si="70"/>
        <v/>
      </c>
      <c r="R371" s="70" t="e">
        <f t="shared" si="66"/>
        <v>#VALUE!</v>
      </c>
    </row>
    <row r="372" spans="1:18" ht="20.25" x14ac:dyDescent="0.25">
      <c r="A372" s="246">
        <f>+'OEE REA'!A883</f>
        <v>0</v>
      </c>
      <c r="B372" s="99">
        <f t="shared" si="61"/>
        <v>0</v>
      </c>
      <c r="C372" s="113">
        <f>+'OEE REA'!D883</f>
        <v>0</v>
      </c>
      <c r="D372" s="242" t="s">
        <v>2174</v>
      </c>
      <c r="E372" s="109" t="e">
        <f>VLOOKUP(A372,'OEE REA'!A:AO,13,FALSE)</f>
        <v>#N/A</v>
      </c>
      <c r="F372" s="110" t="e">
        <f>VLOOKUP(A372,'OEE REA'!A:AO,11,FALSE)</f>
        <v>#N/A</v>
      </c>
      <c r="G372" s="111" t="str">
        <f t="shared" si="67"/>
        <v/>
      </c>
      <c r="H372" s="110" t="e">
        <f>VLOOKUP(A372,'OEE REA'!A:AO,14,FALSE)</f>
        <v>#N/A</v>
      </c>
      <c r="I372" s="106"/>
      <c r="J372" s="99"/>
      <c r="K372" s="99"/>
      <c r="L372" s="107"/>
      <c r="M372" s="112" t="str">
        <f t="shared" si="68"/>
        <v/>
      </c>
      <c r="N372" s="103" t="str">
        <f t="shared" si="69"/>
        <v/>
      </c>
      <c r="O372" s="103">
        <f>IFERROR('OEE REA'!J883*'SPEED FACTOR REA'!L372,"")</f>
        <v>0</v>
      </c>
      <c r="P372" s="250" t="str">
        <f t="shared" si="70"/>
        <v/>
      </c>
      <c r="R372" s="70" t="e">
        <f t="shared" si="66"/>
        <v>#VALUE!</v>
      </c>
    </row>
    <row r="373" spans="1:18" ht="20.25" x14ac:dyDescent="0.25">
      <c r="A373" s="246">
        <f>+'OEE REA'!A884</f>
        <v>0</v>
      </c>
      <c r="B373" s="99">
        <f t="shared" si="61"/>
        <v>0</v>
      </c>
      <c r="C373" s="113">
        <f>+'OEE REA'!D884</f>
        <v>0</v>
      </c>
      <c r="D373" s="242" t="s">
        <v>2175</v>
      </c>
      <c r="E373" s="109" t="e">
        <f>VLOOKUP(A373,'OEE REA'!A:AO,13,FALSE)</f>
        <v>#N/A</v>
      </c>
      <c r="F373" s="110" t="e">
        <f>VLOOKUP(A373,'OEE REA'!A:AO,11,FALSE)</f>
        <v>#N/A</v>
      </c>
      <c r="G373" s="111" t="str">
        <f t="shared" si="67"/>
        <v/>
      </c>
      <c r="H373" s="110" t="e">
        <f>VLOOKUP(A373,'OEE REA'!A:AO,14,FALSE)</f>
        <v>#N/A</v>
      </c>
      <c r="I373" s="106"/>
      <c r="J373" s="99"/>
      <c r="K373" s="99"/>
      <c r="L373" s="107"/>
      <c r="M373" s="112" t="str">
        <f t="shared" si="68"/>
        <v/>
      </c>
      <c r="N373" s="103" t="str">
        <f t="shared" si="69"/>
        <v/>
      </c>
      <c r="O373" s="103">
        <f>IFERROR('OEE REA'!J884*'SPEED FACTOR REA'!L373,"")</f>
        <v>0</v>
      </c>
      <c r="P373" s="250" t="str">
        <f t="shared" si="70"/>
        <v/>
      </c>
      <c r="R373" s="70" t="e">
        <f t="shared" si="66"/>
        <v>#VALUE!</v>
      </c>
    </row>
    <row r="374" spans="1:18" ht="20.25" x14ac:dyDescent="0.25">
      <c r="A374" s="246">
        <f>+'OEE REA'!A885</f>
        <v>0</v>
      </c>
      <c r="B374" s="99">
        <f t="shared" si="61"/>
        <v>0</v>
      </c>
      <c r="C374" s="113">
        <f>+'OEE REA'!D885</f>
        <v>0</v>
      </c>
      <c r="D374" s="242" t="s">
        <v>2176</v>
      </c>
      <c r="E374" s="109" t="e">
        <f>VLOOKUP(A374,'OEE REA'!A:AO,13,FALSE)</f>
        <v>#N/A</v>
      </c>
      <c r="F374" s="110" t="e">
        <f>VLOOKUP(A374,'OEE REA'!A:AO,11,FALSE)</f>
        <v>#N/A</v>
      </c>
      <c r="G374" s="111" t="str">
        <f t="shared" si="67"/>
        <v/>
      </c>
      <c r="H374" s="110" t="e">
        <f>VLOOKUP(A374,'OEE REA'!A:AO,14,FALSE)</f>
        <v>#N/A</v>
      </c>
      <c r="I374" s="106"/>
      <c r="J374" s="99"/>
      <c r="K374" s="99"/>
      <c r="L374" s="107"/>
      <c r="M374" s="112" t="str">
        <f t="shared" si="68"/>
        <v/>
      </c>
      <c r="N374" s="103" t="str">
        <f t="shared" si="69"/>
        <v/>
      </c>
      <c r="O374" s="103">
        <f>IFERROR('OEE REA'!J885*'SPEED FACTOR REA'!L374,"")</f>
        <v>0</v>
      </c>
      <c r="P374" s="250" t="str">
        <f t="shared" si="70"/>
        <v/>
      </c>
      <c r="R374" s="70" t="e">
        <f t="shared" si="66"/>
        <v>#VALUE!</v>
      </c>
    </row>
    <row r="375" spans="1:18" ht="20.25" x14ac:dyDescent="0.25">
      <c r="A375" s="246">
        <f>+'OEE REA'!A886</f>
        <v>0</v>
      </c>
      <c r="B375" s="99">
        <f t="shared" si="61"/>
        <v>0</v>
      </c>
      <c r="C375" s="113">
        <f>+'OEE REA'!D886</f>
        <v>0</v>
      </c>
      <c r="D375" s="242" t="s">
        <v>2177</v>
      </c>
      <c r="E375" s="109" t="e">
        <f>VLOOKUP(A375,'OEE REA'!A:AO,13,FALSE)</f>
        <v>#N/A</v>
      </c>
      <c r="F375" s="110" t="e">
        <f>VLOOKUP(A375,'OEE REA'!A:AO,11,FALSE)</f>
        <v>#N/A</v>
      </c>
      <c r="G375" s="111" t="str">
        <f t="shared" si="67"/>
        <v/>
      </c>
      <c r="H375" s="110" t="e">
        <f>VLOOKUP(A375,'OEE REA'!A:AO,14,FALSE)</f>
        <v>#N/A</v>
      </c>
      <c r="I375" s="106"/>
      <c r="J375" s="99"/>
      <c r="K375" s="99"/>
      <c r="L375" s="107"/>
      <c r="M375" s="112" t="str">
        <f t="shared" si="68"/>
        <v/>
      </c>
      <c r="N375" s="103" t="str">
        <f t="shared" si="69"/>
        <v/>
      </c>
      <c r="O375" s="103">
        <f>IFERROR('OEE REA'!J886*'SPEED FACTOR REA'!L375,"")</f>
        <v>0</v>
      </c>
      <c r="P375" s="250" t="str">
        <f t="shared" si="70"/>
        <v/>
      </c>
      <c r="R375" s="70" t="e">
        <f t="shared" si="66"/>
        <v>#VALUE!</v>
      </c>
    </row>
    <row r="376" spans="1:18" ht="20.25" x14ac:dyDescent="0.25">
      <c r="A376" s="246">
        <f>+'OEE REA'!A887</f>
        <v>0</v>
      </c>
      <c r="B376" s="99">
        <f t="shared" si="61"/>
        <v>0</v>
      </c>
      <c r="C376" s="113">
        <f>+'OEE REA'!D887</f>
        <v>0</v>
      </c>
      <c r="D376" s="242" t="s">
        <v>2178</v>
      </c>
      <c r="E376" s="109" t="e">
        <f>VLOOKUP(A376,'OEE REA'!A:AO,13,FALSE)</f>
        <v>#N/A</v>
      </c>
      <c r="F376" s="110" t="e">
        <f>VLOOKUP(A376,'OEE REA'!A:AO,11,FALSE)</f>
        <v>#N/A</v>
      </c>
      <c r="G376" s="111" t="str">
        <f t="shared" si="67"/>
        <v/>
      </c>
      <c r="H376" s="110" t="e">
        <f>VLOOKUP(A376,'OEE REA'!A:AO,14,FALSE)</f>
        <v>#N/A</v>
      </c>
      <c r="I376" s="106"/>
      <c r="J376" s="99"/>
      <c r="K376" s="99"/>
      <c r="L376" s="107"/>
      <c r="M376" s="112" t="str">
        <f t="shared" si="68"/>
        <v/>
      </c>
      <c r="N376" s="103" t="str">
        <f t="shared" si="69"/>
        <v/>
      </c>
      <c r="O376" s="103">
        <f>IFERROR('OEE REA'!J887*'SPEED FACTOR REA'!L376,"")</f>
        <v>0</v>
      </c>
      <c r="P376" s="250" t="str">
        <f t="shared" si="70"/>
        <v/>
      </c>
      <c r="R376" s="70" t="e">
        <f t="shared" si="66"/>
        <v>#VALUE!</v>
      </c>
    </row>
    <row r="377" spans="1:18" ht="20.25" x14ac:dyDescent="0.25">
      <c r="A377" s="246">
        <f>+'OEE REA'!A888</f>
        <v>0</v>
      </c>
      <c r="B377" s="99">
        <f t="shared" si="61"/>
        <v>0</v>
      </c>
      <c r="C377" s="113">
        <f>+'OEE REA'!D888</f>
        <v>0</v>
      </c>
      <c r="D377" s="242" t="s">
        <v>2179</v>
      </c>
      <c r="E377" s="109" t="e">
        <f>VLOOKUP(A377,'OEE REA'!A:AO,13,FALSE)</f>
        <v>#N/A</v>
      </c>
      <c r="F377" s="110" t="e">
        <f>VLOOKUP(A377,'OEE REA'!A:AO,11,FALSE)</f>
        <v>#N/A</v>
      </c>
      <c r="G377" s="111" t="str">
        <f t="shared" si="67"/>
        <v/>
      </c>
      <c r="H377" s="110" t="e">
        <f>VLOOKUP(A377,'OEE REA'!A:AO,14,FALSE)</f>
        <v>#N/A</v>
      </c>
      <c r="I377" s="106"/>
      <c r="J377" s="99"/>
      <c r="K377" s="99"/>
      <c r="L377" s="107"/>
      <c r="M377" s="112" t="str">
        <f t="shared" si="68"/>
        <v/>
      </c>
      <c r="N377" s="103" t="str">
        <f t="shared" si="69"/>
        <v/>
      </c>
      <c r="O377" s="103">
        <f>IFERROR('OEE REA'!J888*'SPEED FACTOR REA'!L377,"")</f>
        <v>0</v>
      </c>
      <c r="P377" s="250" t="str">
        <f t="shared" si="70"/>
        <v/>
      </c>
      <c r="R377" s="70" t="e">
        <f t="shared" si="66"/>
        <v>#VALUE!</v>
      </c>
    </row>
    <row r="378" spans="1:18" ht="20.25" x14ac:dyDescent="0.25">
      <c r="A378" s="246">
        <f>+'OEE REA'!A889</f>
        <v>0</v>
      </c>
      <c r="B378" s="99">
        <f t="shared" si="61"/>
        <v>0</v>
      </c>
      <c r="C378" s="113">
        <f>+'OEE REA'!D889</f>
        <v>0</v>
      </c>
      <c r="D378" s="242" t="s">
        <v>2180</v>
      </c>
      <c r="E378" s="109" t="e">
        <f>VLOOKUP(A378,'OEE REA'!A:AO,13,FALSE)</f>
        <v>#N/A</v>
      </c>
      <c r="F378" s="110" t="e">
        <f>VLOOKUP(A378,'OEE REA'!A:AO,11,FALSE)</f>
        <v>#N/A</v>
      </c>
      <c r="G378" s="111" t="str">
        <f t="shared" si="67"/>
        <v/>
      </c>
      <c r="H378" s="110" t="e">
        <f>VLOOKUP(A378,'OEE REA'!A:AO,14,FALSE)</f>
        <v>#N/A</v>
      </c>
      <c r="I378" s="106"/>
      <c r="J378" s="99"/>
      <c r="K378" s="99"/>
      <c r="L378" s="107"/>
      <c r="M378" s="112" t="str">
        <f t="shared" si="68"/>
        <v/>
      </c>
      <c r="N378" s="103" t="str">
        <f t="shared" si="69"/>
        <v/>
      </c>
      <c r="O378" s="103">
        <f>IFERROR('OEE REA'!J889*'SPEED FACTOR REA'!L378,"")</f>
        <v>0</v>
      </c>
      <c r="P378" s="250" t="str">
        <f t="shared" si="70"/>
        <v/>
      </c>
      <c r="R378" s="70" t="e">
        <f t="shared" si="66"/>
        <v>#VALUE!</v>
      </c>
    </row>
    <row r="379" spans="1:18" ht="20.25" x14ac:dyDescent="0.25">
      <c r="A379" s="246">
        <f>+'OEE REA'!A890</f>
        <v>0</v>
      </c>
      <c r="B379" s="99">
        <f t="shared" si="61"/>
        <v>0</v>
      </c>
      <c r="C379" s="113">
        <f>+'OEE REA'!D890</f>
        <v>0</v>
      </c>
      <c r="D379" s="242" t="s">
        <v>2181</v>
      </c>
      <c r="E379" s="109" t="e">
        <f>VLOOKUP(A379,'OEE REA'!A:AO,13,FALSE)</f>
        <v>#N/A</v>
      </c>
      <c r="F379" s="110" t="e">
        <f>VLOOKUP(A379,'OEE REA'!A:AO,11,FALSE)</f>
        <v>#N/A</v>
      </c>
      <c r="G379" s="111" t="str">
        <f t="shared" si="67"/>
        <v/>
      </c>
      <c r="H379" s="110" t="e">
        <f>VLOOKUP(A379,'OEE REA'!A:AO,14,FALSE)</f>
        <v>#N/A</v>
      </c>
      <c r="I379" s="106"/>
      <c r="J379" s="99"/>
      <c r="K379" s="99"/>
      <c r="L379" s="107"/>
      <c r="M379" s="112" t="str">
        <f t="shared" si="68"/>
        <v/>
      </c>
      <c r="N379" s="103" t="str">
        <f t="shared" si="69"/>
        <v/>
      </c>
      <c r="O379" s="103">
        <f>IFERROR('OEE REA'!J890*'SPEED FACTOR REA'!L379,"")</f>
        <v>0</v>
      </c>
      <c r="P379" s="250" t="str">
        <f t="shared" si="70"/>
        <v/>
      </c>
      <c r="R379" s="70" t="e">
        <f t="shared" si="66"/>
        <v>#VALUE!</v>
      </c>
    </row>
    <row r="380" spans="1:18" ht="20.25" x14ac:dyDescent="0.25">
      <c r="A380" s="246">
        <f>+'OEE REA'!A891</f>
        <v>0</v>
      </c>
      <c r="B380" s="99">
        <f t="shared" si="61"/>
        <v>0</v>
      </c>
      <c r="C380" s="113">
        <f>+'OEE REA'!D891</f>
        <v>0</v>
      </c>
      <c r="D380" s="242" t="s">
        <v>2182</v>
      </c>
      <c r="E380" s="109" t="e">
        <f>VLOOKUP(A380,'OEE REA'!A:AO,13,FALSE)</f>
        <v>#N/A</v>
      </c>
      <c r="F380" s="110" t="e">
        <f>VLOOKUP(A380,'OEE REA'!A:AO,11,FALSE)</f>
        <v>#N/A</v>
      </c>
      <c r="G380" s="111" t="str">
        <f t="shared" ref="G380:G429" si="71">IFERROR(E380/H380*60,"")</f>
        <v/>
      </c>
      <c r="H380" s="110" t="e">
        <f>VLOOKUP(A380,'OEE REA'!A:AO,14,FALSE)</f>
        <v>#N/A</v>
      </c>
      <c r="I380" s="106"/>
      <c r="J380" s="99"/>
      <c r="K380" s="99"/>
      <c r="L380" s="107"/>
      <c r="M380" s="112" t="str">
        <f t="shared" si="68"/>
        <v/>
      </c>
      <c r="N380" s="103" t="str">
        <f t="shared" si="69"/>
        <v/>
      </c>
      <c r="O380" s="103">
        <f>IFERROR('OEE REA'!J891*'SPEED FACTOR REA'!L380,"")</f>
        <v>0</v>
      </c>
      <c r="P380" s="250" t="str">
        <f t="shared" si="70"/>
        <v/>
      </c>
      <c r="R380" s="70" t="e">
        <f t="shared" si="66"/>
        <v>#VALUE!</v>
      </c>
    </row>
    <row r="381" spans="1:18" ht="20.25" x14ac:dyDescent="0.25">
      <c r="A381" s="246">
        <f>+'OEE REA'!A892</f>
        <v>0</v>
      </c>
      <c r="B381" s="99">
        <f t="shared" si="61"/>
        <v>0</v>
      </c>
      <c r="C381" s="113">
        <f>+'OEE REA'!D892</f>
        <v>0</v>
      </c>
      <c r="D381" s="242" t="s">
        <v>2183</v>
      </c>
      <c r="E381" s="109" t="e">
        <f>VLOOKUP(A381,'OEE REA'!A:AO,13,FALSE)</f>
        <v>#N/A</v>
      </c>
      <c r="F381" s="110" t="e">
        <f>VLOOKUP(A381,'OEE REA'!A:AO,11,FALSE)</f>
        <v>#N/A</v>
      </c>
      <c r="G381" s="111" t="str">
        <f t="shared" si="71"/>
        <v/>
      </c>
      <c r="H381" s="110" t="e">
        <f>VLOOKUP(A381,'OEE REA'!A:AO,14,FALSE)</f>
        <v>#N/A</v>
      </c>
      <c r="I381" s="106"/>
      <c r="J381" s="99"/>
      <c r="K381" s="99"/>
      <c r="L381" s="107"/>
      <c r="M381" s="112" t="str">
        <f t="shared" si="68"/>
        <v/>
      </c>
      <c r="N381" s="103" t="str">
        <f t="shared" si="69"/>
        <v/>
      </c>
      <c r="O381" s="103">
        <f>IFERROR('OEE REA'!J892*'SPEED FACTOR REA'!L381,"")</f>
        <v>0</v>
      </c>
      <c r="P381" s="250" t="str">
        <f t="shared" si="70"/>
        <v/>
      </c>
      <c r="R381" s="70" t="e">
        <f t="shared" si="66"/>
        <v>#VALUE!</v>
      </c>
    </row>
    <row r="382" spans="1:18" ht="20.25" x14ac:dyDescent="0.25">
      <c r="A382" s="246">
        <f>+'OEE REA'!A893</f>
        <v>0</v>
      </c>
      <c r="B382" s="99">
        <f t="shared" si="61"/>
        <v>0</v>
      </c>
      <c r="C382" s="113">
        <f>+'OEE REA'!D893</f>
        <v>0</v>
      </c>
      <c r="D382" s="242" t="s">
        <v>2184</v>
      </c>
      <c r="E382" s="109" t="e">
        <f>VLOOKUP(A382,'OEE REA'!A:AO,13,FALSE)</f>
        <v>#N/A</v>
      </c>
      <c r="F382" s="110" t="e">
        <f>VLOOKUP(A382,'OEE REA'!A:AO,11,FALSE)</f>
        <v>#N/A</v>
      </c>
      <c r="G382" s="111" t="str">
        <f t="shared" si="71"/>
        <v/>
      </c>
      <c r="H382" s="110" t="e">
        <f>VLOOKUP(A382,'OEE REA'!A:AO,14,FALSE)</f>
        <v>#N/A</v>
      </c>
      <c r="I382" s="106"/>
      <c r="J382" s="99"/>
      <c r="K382" s="99"/>
      <c r="L382" s="107"/>
      <c r="M382" s="112" t="str">
        <f t="shared" si="68"/>
        <v/>
      </c>
      <c r="N382" s="103" t="str">
        <f t="shared" si="69"/>
        <v/>
      </c>
      <c r="O382" s="103">
        <f>IFERROR('OEE REA'!J893*'SPEED FACTOR REA'!L382,"")</f>
        <v>0</v>
      </c>
      <c r="P382" s="250" t="str">
        <f t="shared" si="70"/>
        <v/>
      </c>
      <c r="R382" s="70" t="e">
        <f t="shared" si="66"/>
        <v>#VALUE!</v>
      </c>
    </row>
    <row r="383" spans="1:18" ht="20.25" x14ac:dyDescent="0.25">
      <c r="A383" s="246">
        <f>+'OEE REA'!A894</f>
        <v>0</v>
      </c>
      <c r="B383" s="99">
        <f t="shared" si="61"/>
        <v>0</v>
      </c>
      <c r="C383" s="113">
        <f>+'OEE REA'!D894</f>
        <v>0</v>
      </c>
      <c r="D383" s="242" t="s">
        <v>2185</v>
      </c>
      <c r="E383" s="109" t="e">
        <f>VLOOKUP(A383,'OEE REA'!A:AO,13,FALSE)</f>
        <v>#N/A</v>
      </c>
      <c r="F383" s="110" t="e">
        <f>VLOOKUP(A383,'OEE REA'!A:AO,11,FALSE)</f>
        <v>#N/A</v>
      </c>
      <c r="G383" s="111" t="str">
        <f t="shared" si="71"/>
        <v/>
      </c>
      <c r="H383" s="110" t="e">
        <f>VLOOKUP(A383,'OEE REA'!A:AO,14,FALSE)</f>
        <v>#N/A</v>
      </c>
      <c r="I383" s="106"/>
      <c r="J383" s="99"/>
      <c r="K383" s="99"/>
      <c r="L383" s="107"/>
      <c r="M383" s="112" t="str">
        <f t="shared" si="68"/>
        <v/>
      </c>
      <c r="N383" s="103" t="str">
        <f t="shared" si="69"/>
        <v/>
      </c>
      <c r="O383" s="103">
        <f>IFERROR('OEE REA'!J894*'SPEED FACTOR REA'!L383,"")</f>
        <v>0</v>
      </c>
      <c r="P383" s="250" t="str">
        <f t="shared" si="70"/>
        <v/>
      </c>
      <c r="R383" s="70" t="e">
        <f t="shared" si="66"/>
        <v>#VALUE!</v>
      </c>
    </row>
    <row r="384" spans="1:18" ht="20.25" x14ac:dyDescent="0.25">
      <c r="A384" s="246">
        <f>+'OEE REA'!A895</f>
        <v>0</v>
      </c>
      <c r="B384" s="99">
        <f t="shared" si="61"/>
        <v>0</v>
      </c>
      <c r="C384" s="113">
        <f>+'OEE REA'!D895</f>
        <v>0</v>
      </c>
      <c r="D384" s="242" t="s">
        <v>2186</v>
      </c>
      <c r="E384" s="109" t="e">
        <f>VLOOKUP(A384,'OEE REA'!A:AO,13,FALSE)</f>
        <v>#N/A</v>
      </c>
      <c r="F384" s="110" t="e">
        <f>VLOOKUP(A384,'OEE REA'!A:AO,11,FALSE)</f>
        <v>#N/A</v>
      </c>
      <c r="G384" s="111" t="str">
        <f t="shared" si="71"/>
        <v/>
      </c>
      <c r="H384" s="110" t="e">
        <f>VLOOKUP(A384,'OEE REA'!A:AO,14,FALSE)</f>
        <v>#N/A</v>
      </c>
      <c r="I384" s="106"/>
      <c r="J384" s="99"/>
      <c r="K384" s="99"/>
      <c r="L384" s="107"/>
      <c r="M384" s="112" t="str">
        <f t="shared" si="68"/>
        <v/>
      </c>
      <c r="N384" s="103" t="str">
        <f t="shared" si="69"/>
        <v/>
      </c>
      <c r="O384" s="103">
        <f>IFERROR('OEE REA'!J895*'SPEED FACTOR REA'!L384,"")</f>
        <v>0</v>
      </c>
      <c r="P384" s="250" t="str">
        <f t="shared" si="70"/>
        <v/>
      </c>
      <c r="R384" s="70" t="e">
        <f t="shared" si="66"/>
        <v>#VALUE!</v>
      </c>
    </row>
    <row r="385" spans="1:18" ht="20.25" x14ac:dyDescent="0.25">
      <c r="A385" s="246">
        <f>+'OEE REA'!A896</f>
        <v>0</v>
      </c>
      <c r="B385" s="99">
        <f t="shared" si="61"/>
        <v>0</v>
      </c>
      <c r="C385" s="113">
        <f>+'OEE REA'!D896</f>
        <v>0</v>
      </c>
      <c r="D385" s="242" t="s">
        <v>2187</v>
      </c>
      <c r="E385" s="109" t="e">
        <f>VLOOKUP(A385,'OEE REA'!A:AO,13,FALSE)</f>
        <v>#N/A</v>
      </c>
      <c r="F385" s="110" t="e">
        <f>VLOOKUP(A385,'OEE REA'!A:AO,11,FALSE)</f>
        <v>#N/A</v>
      </c>
      <c r="G385" s="111" t="str">
        <f t="shared" si="71"/>
        <v/>
      </c>
      <c r="H385" s="110" t="e">
        <f>VLOOKUP(A385,'OEE REA'!A:AO,14,FALSE)</f>
        <v>#N/A</v>
      </c>
      <c r="I385" s="106"/>
      <c r="J385" s="99"/>
      <c r="K385" s="99"/>
      <c r="L385" s="107"/>
      <c r="M385" s="112" t="str">
        <f t="shared" si="68"/>
        <v/>
      </c>
      <c r="N385" s="103" t="str">
        <f t="shared" si="69"/>
        <v/>
      </c>
      <c r="O385" s="103">
        <f>IFERROR('OEE REA'!J896*'SPEED FACTOR REA'!L385,"")</f>
        <v>0</v>
      </c>
      <c r="P385" s="250" t="str">
        <f t="shared" si="70"/>
        <v/>
      </c>
      <c r="R385" s="70" t="e">
        <f t="shared" si="66"/>
        <v>#VALUE!</v>
      </c>
    </row>
    <row r="386" spans="1:18" ht="20.25" x14ac:dyDescent="0.25">
      <c r="A386" s="246">
        <f>+'OEE REA'!A897</f>
        <v>0</v>
      </c>
      <c r="B386" s="99">
        <f t="shared" si="61"/>
        <v>0</v>
      </c>
      <c r="C386" s="113">
        <f>+'OEE REA'!D897</f>
        <v>0</v>
      </c>
      <c r="D386" s="242" t="s">
        <v>2188</v>
      </c>
      <c r="E386" s="109" t="e">
        <f>VLOOKUP(A386,'OEE REA'!A:AO,13,FALSE)</f>
        <v>#N/A</v>
      </c>
      <c r="F386" s="110" t="e">
        <f>VLOOKUP(A386,'OEE REA'!A:AO,11,FALSE)</f>
        <v>#N/A</v>
      </c>
      <c r="G386" s="111" t="str">
        <f t="shared" si="71"/>
        <v/>
      </c>
      <c r="H386" s="110" t="e">
        <f>VLOOKUP(A386,'OEE REA'!A:AO,14,FALSE)</f>
        <v>#N/A</v>
      </c>
      <c r="I386" s="106"/>
      <c r="J386" s="99"/>
      <c r="K386" s="99"/>
      <c r="L386" s="107"/>
      <c r="M386" s="112" t="str">
        <f t="shared" si="68"/>
        <v/>
      </c>
      <c r="N386" s="103" t="str">
        <f t="shared" si="69"/>
        <v/>
      </c>
      <c r="O386" s="103">
        <f>IFERROR('OEE REA'!J897*'SPEED FACTOR REA'!L386,"")</f>
        <v>0</v>
      </c>
      <c r="P386" s="250" t="str">
        <f t="shared" si="70"/>
        <v/>
      </c>
      <c r="R386" s="70" t="e">
        <f t="shared" si="66"/>
        <v>#VALUE!</v>
      </c>
    </row>
    <row r="387" spans="1:18" ht="20.25" x14ac:dyDescent="0.25">
      <c r="A387" s="246">
        <f>+'OEE REA'!A898</f>
        <v>0</v>
      </c>
      <c r="B387" s="99">
        <f t="shared" si="61"/>
        <v>0</v>
      </c>
      <c r="C387" s="113">
        <f>+'OEE REA'!D898</f>
        <v>0</v>
      </c>
      <c r="D387" s="242" t="s">
        <v>2189</v>
      </c>
      <c r="E387" s="109" t="e">
        <f>VLOOKUP(A387,'OEE REA'!A:AO,13,FALSE)</f>
        <v>#N/A</v>
      </c>
      <c r="F387" s="110" t="e">
        <f>VLOOKUP(A387,'OEE REA'!A:AO,11,FALSE)</f>
        <v>#N/A</v>
      </c>
      <c r="G387" s="111" t="str">
        <f t="shared" si="71"/>
        <v/>
      </c>
      <c r="H387" s="110" t="e">
        <f>VLOOKUP(A387,'OEE REA'!A:AO,14,FALSE)</f>
        <v>#N/A</v>
      </c>
      <c r="I387" s="106"/>
      <c r="J387" s="99"/>
      <c r="K387" s="99"/>
      <c r="L387" s="107"/>
      <c r="M387" s="112" t="str">
        <f t="shared" si="68"/>
        <v/>
      </c>
      <c r="N387" s="103" t="str">
        <f t="shared" si="69"/>
        <v/>
      </c>
      <c r="O387" s="103">
        <f>IFERROR('OEE REA'!J898*'SPEED FACTOR REA'!L387,"")</f>
        <v>0</v>
      </c>
      <c r="P387" s="250" t="str">
        <f t="shared" si="70"/>
        <v/>
      </c>
      <c r="R387" s="70" t="e">
        <f t="shared" si="66"/>
        <v>#VALUE!</v>
      </c>
    </row>
    <row r="388" spans="1:18" ht="20.25" x14ac:dyDescent="0.25">
      <c r="A388" s="246">
        <f>+'OEE REA'!A899</f>
        <v>0</v>
      </c>
      <c r="B388" s="99">
        <f t="shared" si="61"/>
        <v>0</v>
      </c>
      <c r="C388" s="113">
        <f>+'OEE REA'!D899</f>
        <v>0</v>
      </c>
      <c r="D388" s="242" t="s">
        <v>2190</v>
      </c>
      <c r="E388" s="109" t="e">
        <f>VLOOKUP(A388,'OEE REA'!A:AO,13,FALSE)</f>
        <v>#N/A</v>
      </c>
      <c r="F388" s="110" t="e">
        <f>VLOOKUP(A388,'OEE REA'!A:AO,11,FALSE)</f>
        <v>#N/A</v>
      </c>
      <c r="G388" s="111" t="str">
        <f t="shared" si="71"/>
        <v/>
      </c>
      <c r="H388" s="110" t="e">
        <f>VLOOKUP(A388,'OEE REA'!A:AO,14,FALSE)</f>
        <v>#N/A</v>
      </c>
      <c r="I388" s="106"/>
      <c r="J388" s="99"/>
      <c r="K388" s="99"/>
      <c r="L388" s="107"/>
      <c r="M388" s="112" t="str">
        <f t="shared" si="68"/>
        <v/>
      </c>
      <c r="N388" s="103" t="str">
        <f t="shared" si="69"/>
        <v/>
      </c>
      <c r="O388" s="103">
        <f>IFERROR('OEE REA'!J899*'SPEED FACTOR REA'!L388,"")</f>
        <v>0</v>
      </c>
      <c r="P388" s="250" t="str">
        <f t="shared" si="70"/>
        <v/>
      </c>
      <c r="R388" s="70" t="e">
        <f t="shared" si="66"/>
        <v>#VALUE!</v>
      </c>
    </row>
    <row r="389" spans="1:18" ht="20.25" x14ac:dyDescent="0.25">
      <c r="A389" s="246">
        <f>+'OEE REA'!A900</f>
        <v>0</v>
      </c>
      <c r="B389" s="99">
        <f t="shared" si="61"/>
        <v>0</v>
      </c>
      <c r="C389" s="113">
        <f>+'OEE REA'!D900</f>
        <v>0</v>
      </c>
      <c r="D389" s="242" t="s">
        <v>2191</v>
      </c>
      <c r="E389" s="109" t="e">
        <f>VLOOKUP(A389,'OEE REA'!A:AO,13,FALSE)</f>
        <v>#N/A</v>
      </c>
      <c r="F389" s="110" t="e">
        <f>VLOOKUP(A389,'OEE REA'!A:AO,11,FALSE)</f>
        <v>#N/A</v>
      </c>
      <c r="G389" s="111" t="str">
        <f t="shared" si="71"/>
        <v/>
      </c>
      <c r="H389" s="110" t="e">
        <f>VLOOKUP(A389,'OEE REA'!A:AO,14,FALSE)</f>
        <v>#N/A</v>
      </c>
      <c r="I389" s="106"/>
      <c r="J389" s="99"/>
      <c r="K389" s="99"/>
      <c r="L389" s="107"/>
      <c r="M389" s="112" t="str">
        <f t="shared" si="68"/>
        <v/>
      </c>
      <c r="N389" s="103" t="str">
        <f t="shared" si="69"/>
        <v/>
      </c>
      <c r="O389" s="103">
        <f>IFERROR('OEE REA'!J900*'SPEED FACTOR REA'!L389,"")</f>
        <v>0</v>
      </c>
      <c r="P389" s="250" t="str">
        <f t="shared" si="70"/>
        <v/>
      </c>
      <c r="R389" s="70" t="e">
        <f t="shared" si="66"/>
        <v>#VALUE!</v>
      </c>
    </row>
    <row r="390" spans="1:18" ht="20.25" x14ac:dyDescent="0.25">
      <c r="A390" s="246">
        <f>+'OEE REA'!A901</f>
        <v>0</v>
      </c>
      <c r="B390" s="99">
        <f t="shared" si="61"/>
        <v>0</v>
      </c>
      <c r="C390" s="113">
        <f>+'OEE REA'!D901</f>
        <v>0</v>
      </c>
      <c r="D390" s="242" t="s">
        <v>2192</v>
      </c>
      <c r="E390" s="109" t="e">
        <f>VLOOKUP(A390,'OEE REA'!A:AO,13,FALSE)</f>
        <v>#N/A</v>
      </c>
      <c r="F390" s="110" t="e">
        <f>VLOOKUP(A390,'OEE REA'!A:AO,11,FALSE)</f>
        <v>#N/A</v>
      </c>
      <c r="G390" s="111" t="str">
        <f t="shared" si="71"/>
        <v/>
      </c>
      <c r="H390" s="110" t="e">
        <f>VLOOKUP(A390,'OEE REA'!A:AO,14,FALSE)</f>
        <v>#N/A</v>
      </c>
      <c r="I390" s="106"/>
      <c r="J390" s="99"/>
      <c r="K390" s="99"/>
      <c r="L390" s="107"/>
      <c r="M390" s="112" t="str">
        <f t="shared" si="68"/>
        <v/>
      </c>
      <c r="N390" s="103" t="str">
        <f t="shared" si="69"/>
        <v/>
      </c>
      <c r="O390" s="103">
        <f>IFERROR('OEE REA'!J901*'SPEED FACTOR REA'!L390,"")</f>
        <v>0</v>
      </c>
      <c r="P390" s="250" t="str">
        <f t="shared" si="70"/>
        <v/>
      </c>
      <c r="R390" s="70" t="e">
        <f t="shared" si="66"/>
        <v>#VALUE!</v>
      </c>
    </row>
    <row r="391" spans="1:18" ht="20.25" x14ac:dyDescent="0.25">
      <c r="A391" s="246">
        <f>+'OEE REA'!A902</f>
        <v>0</v>
      </c>
      <c r="B391" s="99">
        <f t="shared" si="61"/>
        <v>0</v>
      </c>
      <c r="C391" s="113">
        <f>+'OEE REA'!D902</f>
        <v>0</v>
      </c>
      <c r="D391" s="242" t="s">
        <v>2193</v>
      </c>
      <c r="E391" s="109" t="e">
        <f>VLOOKUP(A391,'OEE REA'!A:AO,13,FALSE)</f>
        <v>#N/A</v>
      </c>
      <c r="F391" s="110" t="e">
        <f>VLOOKUP(A391,'OEE REA'!A:AO,11,FALSE)</f>
        <v>#N/A</v>
      </c>
      <c r="G391" s="111" t="str">
        <f t="shared" si="71"/>
        <v/>
      </c>
      <c r="H391" s="110" t="e">
        <f>VLOOKUP(A391,'OEE REA'!A:AO,14,FALSE)</f>
        <v>#N/A</v>
      </c>
      <c r="I391" s="106"/>
      <c r="J391" s="99"/>
      <c r="K391" s="99"/>
      <c r="L391" s="107"/>
      <c r="M391" s="112" t="str">
        <f t="shared" si="68"/>
        <v/>
      </c>
      <c r="N391" s="103" t="str">
        <f t="shared" si="69"/>
        <v/>
      </c>
      <c r="O391" s="103">
        <f>IFERROR('OEE REA'!J902*'SPEED FACTOR REA'!L391,"")</f>
        <v>0</v>
      </c>
      <c r="P391" s="250" t="str">
        <f t="shared" si="70"/>
        <v/>
      </c>
      <c r="R391" s="70" t="e">
        <f t="shared" si="66"/>
        <v>#VALUE!</v>
      </c>
    </row>
    <row r="392" spans="1:18" ht="20.25" x14ac:dyDescent="0.25">
      <c r="A392" s="246">
        <f>+'OEE REA'!A903</f>
        <v>0</v>
      </c>
      <c r="B392" s="99">
        <f t="shared" si="61"/>
        <v>0</v>
      </c>
      <c r="C392" s="113">
        <f>+'OEE REA'!D903</f>
        <v>0</v>
      </c>
      <c r="D392" s="242" t="s">
        <v>2194</v>
      </c>
      <c r="E392" s="109" t="e">
        <f>VLOOKUP(A392,'OEE REA'!A:AO,13,FALSE)</f>
        <v>#N/A</v>
      </c>
      <c r="F392" s="110" t="e">
        <f>VLOOKUP(A392,'OEE REA'!A:AO,11,FALSE)</f>
        <v>#N/A</v>
      </c>
      <c r="G392" s="111" t="str">
        <f t="shared" si="71"/>
        <v/>
      </c>
      <c r="H392" s="110" t="e">
        <f>VLOOKUP(A392,'OEE REA'!A:AO,14,FALSE)</f>
        <v>#N/A</v>
      </c>
      <c r="I392" s="106"/>
      <c r="J392" s="99"/>
      <c r="K392" s="99"/>
      <c r="L392" s="107"/>
      <c r="M392" s="112" t="str">
        <f t="shared" si="68"/>
        <v/>
      </c>
      <c r="N392" s="103" t="str">
        <f t="shared" si="69"/>
        <v/>
      </c>
      <c r="O392" s="103">
        <f>IFERROR('OEE REA'!J903*'SPEED FACTOR REA'!L392,"")</f>
        <v>0</v>
      </c>
      <c r="P392" s="250" t="str">
        <f t="shared" si="70"/>
        <v/>
      </c>
      <c r="R392" s="70" t="e">
        <f t="shared" si="66"/>
        <v>#VALUE!</v>
      </c>
    </row>
    <row r="393" spans="1:18" ht="20.25" x14ac:dyDescent="0.25">
      <c r="A393" s="246">
        <f>+'OEE REA'!A904</f>
        <v>0</v>
      </c>
      <c r="B393" s="99">
        <f t="shared" si="61"/>
        <v>0</v>
      </c>
      <c r="C393" s="113">
        <f>+'OEE REA'!D904</f>
        <v>0</v>
      </c>
      <c r="D393" s="242" t="s">
        <v>2195</v>
      </c>
      <c r="E393" s="109" t="e">
        <f>VLOOKUP(A393,'OEE REA'!A:AO,13,FALSE)</f>
        <v>#N/A</v>
      </c>
      <c r="F393" s="110" t="e">
        <f>VLOOKUP(A393,'OEE REA'!A:AO,11,FALSE)</f>
        <v>#N/A</v>
      </c>
      <c r="G393" s="111" t="str">
        <f t="shared" si="71"/>
        <v/>
      </c>
      <c r="H393" s="110" t="e">
        <f>VLOOKUP(A393,'OEE REA'!A:AO,14,FALSE)</f>
        <v>#N/A</v>
      </c>
      <c r="I393" s="106"/>
      <c r="J393" s="99"/>
      <c r="K393" s="99"/>
      <c r="L393" s="107"/>
      <c r="M393" s="112" t="str">
        <f t="shared" si="68"/>
        <v/>
      </c>
      <c r="N393" s="103" t="str">
        <f t="shared" si="69"/>
        <v/>
      </c>
      <c r="O393" s="103">
        <f>IFERROR('OEE REA'!J904*'SPEED FACTOR REA'!L393,"")</f>
        <v>0</v>
      </c>
      <c r="P393" s="250" t="str">
        <f t="shared" si="70"/>
        <v/>
      </c>
      <c r="R393" s="70" t="e">
        <f t="shared" si="66"/>
        <v>#VALUE!</v>
      </c>
    </row>
    <row r="394" spans="1:18" ht="20.25" x14ac:dyDescent="0.25">
      <c r="A394" s="246">
        <f>+'OEE REA'!A905</f>
        <v>0</v>
      </c>
      <c r="B394" s="99">
        <f t="shared" si="61"/>
        <v>0</v>
      </c>
      <c r="C394" s="113">
        <f>+'OEE REA'!D905</f>
        <v>0</v>
      </c>
      <c r="D394" s="242" t="s">
        <v>2196</v>
      </c>
      <c r="E394" s="109" t="e">
        <f>VLOOKUP(A394,'OEE REA'!A:AO,13,FALSE)</f>
        <v>#N/A</v>
      </c>
      <c r="F394" s="110" t="e">
        <f>VLOOKUP(A394,'OEE REA'!A:AO,11,FALSE)</f>
        <v>#N/A</v>
      </c>
      <c r="G394" s="111" t="str">
        <f t="shared" si="71"/>
        <v/>
      </c>
      <c r="H394" s="110" t="e">
        <f>VLOOKUP(A394,'OEE REA'!A:AO,14,FALSE)</f>
        <v>#N/A</v>
      </c>
      <c r="I394" s="106"/>
      <c r="J394" s="99"/>
      <c r="K394" s="99"/>
      <c r="L394" s="107"/>
      <c r="M394" s="112" t="str">
        <f t="shared" si="68"/>
        <v/>
      </c>
      <c r="N394" s="103" t="str">
        <f t="shared" si="69"/>
        <v/>
      </c>
      <c r="O394" s="103">
        <f>IFERROR('OEE REA'!J905*'SPEED FACTOR REA'!L394,"")</f>
        <v>0</v>
      </c>
      <c r="P394" s="250" t="str">
        <f t="shared" si="70"/>
        <v/>
      </c>
      <c r="R394" s="70" t="e">
        <f t="shared" si="66"/>
        <v>#VALUE!</v>
      </c>
    </row>
    <row r="395" spans="1:18" ht="20.25" x14ac:dyDescent="0.25">
      <c r="A395" s="246">
        <f>+'OEE REA'!A906</f>
        <v>0</v>
      </c>
      <c r="B395" s="99">
        <f t="shared" si="61"/>
        <v>0</v>
      </c>
      <c r="C395" s="113">
        <f>+'OEE REA'!D906</f>
        <v>0</v>
      </c>
      <c r="D395" s="242" t="s">
        <v>2197</v>
      </c>
      <c r="E395" s="109" t="e">
        <f>VLOOKUP(A395,'OEE REA'!A:AO,13,FALSE)</f>
        <v>#N/A</v>
      </c>
      <c r="F395" s="110" t="e">
        <f>VLOOKUP(A395,'OEE REA'!A:AO,11,FALSE)</f>
        <v>#N/A</v>
      </c>
      <c r="G395" s="111" t="str">
        <f t="shared" si="71"/>
        <v/>
      </c>
      <c r="H395" s="110" t="e">
        <f>VLOOKUP(A395,'OEE REA'!A:AO,14,FALSE)</f>
        <v>#N/A</v>
      </c>
      <c r="I395" s="106"/>
      <c r="J395" s="99"/>
      <c r="K395" s="99"/>
      <c r="L395" s="107"/>
      <c r="M395" s="112" t="str">
        <f t="shared" si="68"/>
        <v/>
      </c>
      <c r="N395" s="103" t="str">
        <f t="shared" si="69"/>
        <v/>
      </c>
      <c r="O395" s="103">
        <f>IFERROR('OEE REA'!J906*'SPEED FACTOR REA'!L395,"")</f>
        <v>0</v>
      </c>
      <c r="P395" s="250" t="str">
        <f t="shared" si="70"/>
        <v/>
      </c>
      <c r="R395" s="70" t="e">
        <f t="shared" si="66"/>
        <v>#VALUE!</v>
      </c>
    </row>
    <row r="396" spans="1:18" ht="20.25" x14ac:dyDescent="0.25">
      <c r="A396" s="246">
        <f>+'OEE REA'!A907</f>
        <v>0</v>
      </c>
      <c r="B396" s="99">
        <f t="shared" si="61"/>
        <v>0</v>
      </c>
      <c r="C396" s="113">
        <f>+'OEE REA'!D907</f>
        <v>0</v>
      </c>
      <c r="D396" s="242" t="s">
        <v>2198</v>
      </c>
      <c r="E396" s="109" t="e">
        <f>VLOOKUP(A396,'OEE REA'!A:AO,13,FALSE)</f>
        <v>#N/A</v>
      </c>
      <c r="F396" s="110" t="e">
        <f>VLOOKUP(A396,'OEE REA'!A:AO,11,FALSE)</f>
        <v>#N/A</v>
      </c>
      <c r="G396" s="111" t="str">
        <f t="shared" si="71"/>
        <v/>
      </c>
      <c r="H396" s="110" t="e">
        <f>VLOOKUP(A396,'OEE REA'!A:AO,14,FALSE)</f>
        <v>#N/A</v>
      </c>
      <c r="I396" s="106"/>
      <c r="J396" s="99"/>
      <c r="K396" s="99"/>
      <c r="L396" s="107"/>
      <c r="M396" s="112" t="str">
        <f t="shared" si="68"/>
        <v/>
      </c>
      <c r="N396" s="103" t="str">
        <f>IFERROR(F396*L396,"")</f>
        <v/>
      </c>
      <c r="O396" s="103">
        <f>IFERROR('OEE REA'!J907*'SPEED FACTOR REA'!L396,"")</f>
        <v>0</v>
      </c>
      <c r="P396" s="250" t="str">
        <f t="shared" si="70"/>
        <v/>
      </c>
      <c r="R396" s="70" t="e">
        <f t="shared" si="66"/>
        <v>#VALUE!</v>
      </c>
    </row>
    <row r="397" spans="1:18" ht="20.25" x14ac:dyDescent="0.25">
      <c r="A397" s="246">
        <f>+'OEE REA'!A908</f>
        <v>0</v>
      </c>
      <c r="B397" s="99">
        <f t="shared" si="61"/>
        <v>0</v>
      </c>
      <c r="C397" s="113">
        <f>+'OEE REA'!D908</f>
        <v>0</v>
      </c>
      <c r="D397" s="242" t="s">
        <v>2199</v>
      </c>
      <c r="E397" s="109" t="e">
        <f>VLOOKUP(A397,'OEE REA'!A:AO,13,FALSE)</f>
        <v>#N/A</v>
      </c>
      <c r="F397" s="110" t="e">
        <f>VLOOKUP(A397,'OEE REA'!A:AO,11,FALSE)</f>
        <v>#N/A</v>
      </c>
      <c r="G397" s="111" t="str">
        <f t="shared" si="71"/>
        <v/>
      </c>
      <c r="H397" s="110" t="e">
        <f>VLOOKUP(A397,'OEE REA'!A:AO,14,FALSE)</f>
        <v>#N/A</v>
      </c>
      <c r="I397" s="106"/>
      <c r="J397" s="99"/>
      <c r="K397" s="99"/>
      <c r="L397" s="107"/>
      <c r="M397" s="112" t="str">
        <f t="shared" si="68"/>
        <v/>
      </c>
      <c r="N397" s="103" t="str">
        <f t="shared" si="69"/>
        <v/>
      </c>
      <c r="O397" s="103">
        <f>IFERROR('OEE REA'!J908*'SPEED FACTOR REA'!L397,"")</f>
        <v>0</v>
      </c>
      <c r="P397" s="250" t="str">
        <f t="shared" si="70"/>
        <v/>
      </c>
      <c r="R397" s="70" t="e">
        <f t="shared" si="66"/>
        <v>#VALUE!</v>
      </c>
    </row>
    <row r="398" spans="1:18" ht="20.25" x14ac:dyDescent="0.25">
      <c r="A398" s="246">
        <f>+'OEE REA'!A909</f>
        <v>0</v>
      </c>
      <c r="B398" s="99">
        <f t="shared" si="61"/>
        <v>0</v>
      </c>
      <c r="C398" s="113">
        <f>+'OEE REA'!D909</f>
        <v>0</v>
      </c>
      <c r="D398" s="242" t="s">
        <v>2200</v>
      </c>
      <c r="E398" s="109" t="e">
        <f>VLOOKUP(A398,'OEE REA'!A:AO,13,FALSE)</f>
        <v>#N/A</v>
      </c>
      <c r="F398" s="110" t="e">
        <f>VLOOKUP(A398,'OEE REA'!A:AO,11,FALSE)</f>
        <v>#N/A</v>
      </c>
      <c r="G398" s="111" t="str">
        <f t="shared" si="71"/>
        <v/>
      </c>
      <c r="H398" s="110" t="e">
        <f>VLOOKUP(A398,'OEE REA'!A:AO,14,FALSE)</f>
        <v>#N/A</v>
      </c>
      <c r="I398" s="106"/>
      <c r="J398" s="99"/>
      <c r="K398" s="99"/>
      <c r="L398" s="107"/>
      <c r="M398" s="112" t="str">
        <f t="shared" si="68"/>
        <v/>
      </c>
      <c r="N398" s="103" t="str">
        <f t="shared" si="69"/>
        <v/>
      </c>
      <c r="O398" s="103">
        <f>IFERROR('OEE REA'!J909*'SPEED FACTOR REA'!L398,"")</f>
        <v>0</v>
      </c>
      <c r="P398" s="250" t="str">
        <f t="shared" si="70"/>
        <v/>
      </c>
      <c r="R398" s="70" t="e">
        <f t="shared" si="66"/>
        <v>#VALUE!</v>
      </c>
    </row>
    <row r="399" spans="1:18" ht="20.25" x14ac:dyDescent="0.25">
      <c r="A399" s="246">
        <f>+'OEE REA'!A910</f>
        <v>0</v>
      </c>
      <c r="B399" s="99">
        <f t="shared" si="61"/>
        <v>0</v>
      </c>
      <c r="C399" s="113">
        <f>+'OEE REA'!D910</f>
        <v>0</v>
      </c>
      <c r="D399" s="242" t="s">
        <v>2201</v>
      </c>
      <c r="E399" s="109" t="e">
        <f>VLOOKUP(A399,'OEE REA'!A:AO,13,FALSE)</f>
        <v>#N/A</v>
      </c>
      <c r="F399" s="110" t="e">
        <f>VLOOKUP(A399,'OEE REA'!A:AO,11,FALSE)</f>
        <v>#N/A</v>
      </c>
      <c r="G399" s="111" t="str">
        <f t="shared" si="71"/>
        <v/>
      </c>
      <c r="H399" s="110" t="e">
        <f>VLOOKUP(A399,'OEE REA'!A:AO,14,FALSE)</f>
        <v>#N/A</v>
      </c>
      <c r="I399" s="106"/>
      <c r="J399" s="99"/>
      <c r="K399" s="99"/>
      <c r="L399" s="107"/>
      <c r="M399" s="112" t="str">
        <f t="shared" si="68"/>
        <v/>
      </c>
      <c r="N399" s="103" t="str">
        <f t="shared" si="69"/>
        <v/>
      </c>
      <c r="O399" s="103">
        <f>IFERROR('OEE REA'!J910*'SPEED FACTOR REA'!L399,"")</f>
        <v>0</v>
      </c>
      <c r="P399" s="250" t="str">
        <f t="shared" si="70"/>
        <v/>
      </c>
      <c r="R399" s="70" t="e">
        <f t="shared" si="66"/>
        <v>#VALUE!</v>
      </c>
    </row>
    <row r="400" spans="1:18" ht="20.25" x14ac:dyDescent="0.25">
      <c r="A400" s="246">
        <f>+'OEE REA'!A911</f>
        <v>0</v>
      </c>
      <c r="B400" s="99">
        <f t="shared" si="61"/>
        <v>0</v>
      </c>
      <c r="C400" s="113">
        <f>+'OEE REA'!D911</f>
        <v>0</v>
      </c>
      <c r="D400" s="242" t="s">
        <v>2202</v>
      </c>
      <c r="E400" s="109" t="e">
        <f>VLOOKUP(A400,'OEE REA'!A:AO,13,FALSE)</f>
        <v>#N/A</v>
      </c>
      <c r="F400" s="110" t="e">
        <f>VLOOKUP(A400,'OEE REA'!A:AO,11,FALSE)</f>
        <v>#N/A</v>
      </c>
      <c r="G400" s="111" t="str">
        <f t="shared" si="71"/>
        <v/>
      </c>
      <c r="H400" s="110" t="e">
        <f>VLOOKUP(A400,'OEE REA'!A:AO,14,FALSE)</f>
        <v>#N/A</v>
      </c>
      <c r="I400" s="106"/>
      <c r="J400" s="99"/>
      <c r="K400" s="99"/>
      <c r="L400" s="107"/>
      <c r="M400" s="112" t="str">
        <f t="shared" si="68"/>
        <v/>
      </c>
      <c r="N400" s="103" t="str">
        <f t="shared" si="69"/>
        <v/>
      </c>
      <c r="O400" s="103">
        <f>IFERROR('OEE REA'!J911*'SPEED FACTOR REA'!L400,"")</f>
        <v>0</v>
      </c>
      <c r="P400" s="250" t="str">
        <f t="shared" si="70"/>
        <v/>
      </c>
      <c r="R400" s="70" t="e">
        <f t="shared" si="66"/>
        <v>#VALUE!</v>
      </c>
    </row>
    <row r="401" spans="1:18" ht="20.25" x14ac:dyDescent="0.25">
      <c r="A401" s="246">
        <f>+'OEE REA'!A912</f>
        <v>0</v>
      </c>
      <c r="B401" s="99">
        <f t="shared" si="61"/>
        <v>0</v>
      </c>
      <c r="C401" s="113">
        <f>+'OEE REA'!D912</f>
        <v>0</v>
      </c>
      <c r="D401" s="242" t="s">
        <v>2203</v>
      </c>
      <c r="E401" s="109" t="e">
        <f>VLOOKUP(A401,'OEE REA'!A:AO,13,FALSE)</f>
        <v>#N/A</v>
      </c>
      <c r="F401" s="110" t="e">
        <f>VLOOKUP(A401,'OEE REA'!A:AO,11,FALSE)</f>
        <v>#N/A</v>
      </c>
      <c r="G401" s="111" t="str">
        <f t="shared" si="71"/>
        <v/>
      </c>
      <c r="H401" s="110" t="e">
        <f>VLOOKUP(A401,'OEE REA'!A:AO,14,FALSE)</f>
        <v>#N/A</v>
      </c>
      <c r="I401" s="106"/>
      <c r="J401" s="99"/>
      <c r="K401" s="99"/>
      <c r="L401" s="107"/>
      <c r="M401" s="112" t="str">
        <f t="shared" si="68"/>
        <v/>
      </c>
      <c r="N401" s="103" t="str">
        <f t="shared" si="69"/>
        <v/>
      </c>
      <c r="O401" s="103">
        <f>IFERROR('OEE REA'!J912*'SPEED FACTOR REA'!L401,"")</f>
        <v>0</v>
      </c>
      <c r="P401" s="250" t="str">
        <f t="shared" si="70"/>
        <v/>
      </c>
      <c r="R401" s="70" t="e">
        <f t="shared" si="66"/>
        <v>#VALUE!</v>
      </c>
    </row>
    <row r="402" spans="1:18" ht="20.25" x14ac:dyDescent="0.25">
      <c r="A402" s="246">
        <f>+'OEE REA'!A913</f>
        <v>0</v>
      </c>
      <c r="B402" s="99">
        <f t="shared" si="61"/>
        <v>0</v>
      </c>
      <c r="C402" s="113">
        <f>+'OEE REA'!D913</f>
        <v>0</v>
      </c>
      <c r="D402" s="242" t="s">
        <v>2204</v>
      </c>
      <c r="E402" s="109" t="e">
        <f>VLOOKUP(A402,'OEE REA'!A:AO,13,FALSE)</f>
        <v>#N/A</v>
      </c>
      <c r="F402" s="110" t="e">
        <f>VLOOKUP(A402,'OEE REA'!A:AO,11,FALSE)</f>
        <v>#N/A</v>
      </c>
      <c r="G402" s="111" t="str">
        <f t="shared" si="71"/>
        <v/>
      </c>
      <c r="H402" s="110" t="e">
        <f>VLOOKUP(A402,'OEE REA'!A:AO,14,FALSE)</f>
        <v>#N/A</v>
      </c>
      <c r="I402" s="106"/>
      <c r="J402" s="99"/>
      <c r="K402" s="99"/>
      <c r="L402" s="107"/>
      <c r="M402" s="112" t="str">
        <f t="shared" si="68"/>
        <v/>
      </c>
      <c r="N402" s="103" t="str">
        <f t="shared" si="69"/>
        <v/>
      </c>
      <c r="O402" s="103">
        <f>IFERROR('OEE REA'!J913*'SPEED FACTOR REA'!L402,"")</f>
        <v>0</v>
      </c>
      <c r="P402" s="250" t="str">
        <f t="shared" si="70"/>
        <v/>
      </c>
      <c r="R402" s="70" t="e">
        <f t="shared" si="66"/>
        <v>#VALUE!</v>
      </c>
    </row>
    <row r="403" spans="1:18" ht="20.25" x14ac:dyDescent="0.25">
      <c r="A403" s="246">
        <f>+'OEE REA'!A914</f>
        <v>0</v>
      </c>
      <c r="B403" s="99">
        <f t="shared" si="61"/>
        <v>0</v>
      </c>
      <c r="C403" s="113">
        <f>+'OEE REA'!D914</f>
        <v>0</v>
      </c>
      <c r="D403" s="242" t="s">
        <v>2205</v>
      </c>
      <c r="E403" s="109" t="e">
        <f>VLOOKUP(A403,'OEE REA'!A:AO,13,FALSE)</f>
        <v>#N/A</v>
      </c>
      <c r="F403" s="110" t="e">
        <f>VLOOKUP(A403,'OEE REA'!A:AO,11,FALSE)</f>
        <v>#N/A</v>
      </c>
      <c r="G403" s="111" t="str">
        <f t="shared" si="71"/>
        <v/>
      </c>
      <c r="H403" s="110" t="e">
        <f>VLOOKUP(A403,'OEE REA'!A:AO,14,FALSE)</f>
        <v>#N/A</v>
      </c>
      <c r="I403" s="106"/>
      <c r="J403" s="99"/>
      <c r="K403" s="99"/>
      <c r="L403" s="107"/>
      <c r="M403" s="112" t="str">
        <f t="shared" si="68"/>
        <v/>
      </c>
      <c r="N403" s="103" t="str">
        <f t="shared" si="69"/>
        <v/>
      </c>
      <c r="O403" s="103">
        <f>IFERROR('OEE REA'!J914*'SPEED FACTOR REA'!L403,"")</f>
        <v>0</v>
      </c>
      <c r="P403" s="250" t="str">
        <f t="shared" si="70"/>
        <v/>
      </c>
      <c r="R403" s="70" t="e">
        <f t="shared" si="66"/>
        <v>#VALUE!</v>
      </c>
    </row>
    <row r="404" spans="1:18" ht="20.25" x14ac:dyDescent="0.25">
      <c r="A404" s="246">
        <f>+'OEE REA'!A915</f>
        <v>0</v>
      </c>
      <c r="B404" s="99">
        <f t="shared" si="61"/>
        <v>0</v>
      </c>
      <c r="C404" s="113">
        <f>+'OEE REA'!D915</f>
        <v>0</v>
      </c>
      <c r="D404" s="242" t="s">
        <v>2206</v>
      </c>
      <c r="E404" s="109" t="e">
        <f>VLOOKUP(A404,'OEE REA'!A:AO,13,FALSE)</f>
        <v>#N/A</v>
      </c>
      <c r="F404" s="110" t="e">
        <f>VLOOKUP(A404,'OEE REA'!A:AO,11,FALSE)</f>
        <v>#N/A</v>
      </c>
      <c r="G404" s="111" t="str">
        <f t="shared" si="71"/>
        <v/>
      </c>
      <c r="H404" s="110" t="e">
        <f>VLOOKUP(A404,'OEE REA'!A:AO,14,FALSE)</f>
        <v>#N/A</v>
      </c>
      <c r="I404" s="106"/>
      <c r="J404" s="99"/>
      <c r="K404" s="99"/>
      <c r="L404" s="107"/>
      <c r="M404" s="112" t="str">
        <f t="shared" si="68"/>
        <v/>
      </c>
      <c r="N404" s="103" t="str">
        <f t="shared" si="69"/>
        <v/>
      </c>
      <c r="O404" s="103">
        <f>IFERROR('OEE REA'!J915*'SPEED FACTOR REA'!L404,"")</f>
        <v>0</v>
      </c>
      <c r="P404" s="250" t="str">
        <f t="shared" si="70"/>
        <v/>
      </c>
      <c r="R404" s="70" t="e">
        <f t="shared" si="66"/>
        <v>#VALUE!</v>
      </c>
    </row>
    <row r="405" spans="1:18" ht="20.25" x14ac:dyDescent="0.25">
      <c r="A405" s="246">
        <f>+'OEE REA'!A916</f>
        <v>0</v>
      </c>
      <c r="B405" s="99">
        <f t="shared" si="61"/>
        <v>0</v>
      </c>
      <c r="C405" s="113">
        <f>+'OEE REA'!D916</f>
        <v>0</v>
      </c>
      <c r="D405" s="242" t="s">
        <v>2207</v>
      </c>
      <c r="E405" s="109" t="e">
        <f>VLOOKUP(A405,'OEE REA'!A:AO,13,FALSE)</f>
        <v>#N/A</v>
      </c>
      <c r="F405" s="110" t="e">
        <f>VLOOKUP(A405,'OEE REA'!A:AO,11,FALSE)</f>
        <v>#N/A</v>
      </c>
      <c r="G405" s="111" t="str">
        <f t="shared" si="71"/>
        <v/>
      </c>
      <c r="H405" s="110" t="e">
        <f>VLOOKUP(A405,'OEE REA'!A:AO,14,FALSE)</f>
        <v>#N/A</v>
      </c>
      <c r="I405" s="106"/>
      <c r="J405" s="99"/>
      <c r="K405" s="99"/>
      <c r="L405" s="107"/>
      <c r="M405" s="112" t="str">
        <f t="shared" si="68"/>
        <v/>
      </c>
      <c r="N405" s="103" t="str">
        <f t="shared" si="69"/>
        <v/>
      </c>
      <c r="O405" s="103">
        <f>IFERROR('OEE REA'!J916*'SPEED FACTOR REA'!L405,"")</f>
        <v>0</v>
      </c>
      <c r="P405" s="250" t="str">
        <f t="shared" si="70"/>
        <v/>
      </c>
      <c r="R405" s="70" t="e">
        <f t="shared" si="66"/>
        <v>#VALUE!</v>
      </c>
    </row>
    <row r="406" spans="1:18" ht="20.25" x14ac:dyDescent="0.25">
      <c r="A406" s="246">
        <f>+'OEE REA'!A917</f>
        <v>0</v>
      </c>
      <c r="B406" s="99">
        <f t="shared" si="61"/>
        <v>0</v>
      </c>
      <c r="C406" s="113">
        <f>+'OEE REA'!D917</f>
        <v>0</v>
      </c>
      <c r="D406" s="242" t="s">
        <v>2208</v>
      </c>
      <c r="E406" s="109" t="e">
        <f>VLOOKUP(A406,'OEE REA'!A:AO,13,FALSE)</f>
        <v>#N/A</v>
      </c>
      <c r="F406" s="110" t="e">
        <f>VLOOKUP(A406,'OEE REA'!A:AO,11,FALSE)</f>
        <v>#N/A</v>
      </c>
      <c r="G406" s="111" t="str">
        <f t="shared" si="71"/>
        <v/>
      </c>
      <c r="H406" s="110" t="e">
        <f>VLOOKUP(A406,'OEE REA'!A:AO,14,FALSE)</f>
        <v>#N/A</v>
      </c>
      <c r="I406" s="106"/>
      <c r="J406" s="99"/>
      <c r="K406" s="99"/>
      <c r="L406" s="107"/>
      <c r="M406" s="112" t="str">
        <f t="shared" si="68"/>
        <v/>
      </c>
      <c r="N406" s="103" t="str">
        <f t="shared" si="69"/>
        <v/>
      </c>
      <c r="O406" s="103">
        <f>IFERROR('OEE REA'!J917*'SPEED FACTOR REA'!L406,"")</f>
        <v>0</v>
      </c>
      <c r="P406" s="250" t="str">
        <f t="shared" si="70"/>
        <v/>
      </c>
      <c r="R406" s="70" t="e">
        <f t="shared" si="66"/>
        <v>#VALUE!</v>
      </c>
    </row>
    <row r="407" spans="1:18" ht="20.25" x14ac:dyDescent="0.25">
      <c r="A407" s="246">
        <f>+'OEE REA'!A918</f>
        <v>0</v>
      </c>
      <c r="B407" s="99">
        <f t="shared" si="61"/>
        <v>0</v>
      </c>
      <c r="C407" s="113">
        <f>+'OEE REA'!D918</f>
        <v>0</v>
      </c>
      <c r="D407" s="242" t="s">
        <v>2209</v>
      </c>
      <c r="E407" s="109" t="e">
        <f>VLOOKUP(A407,'OEE REA'!A:AO,13,FALSE)</f>
        <v>#N/A</v>
      </c>
      <c r="F407" s="110" t="e">
        <f>VLOOKUP(A407,'OEE REA'!A:AO,11,FALSE)</f>
        <v>#N/A</v>
      </c>
      <c r="G407" s="111" t="str">
        <f t="shared" si="71"/>
        <v/>
      </c>
      <c r="H407" s="110" t="e">
        <f>VLOOKUP(A407,'OEE REA'!A:AO,14,FALSE)</f>
        <v>#N/A</v>
      </c>
      <c r="I407" s="106"/>
      <c r="J407" s="99"/>
      <c r="K407" s="99"/>
      <c r="L407" s="107"/>
      <c r="M407" s="112" t="str">
        <f t="shared" si="68"/>
        <v/>
      </c>
      <c r="N407" s="103" t="str">
        <f t="shared" si="69"/>
        <v/>
      </c>
      <c r="O407" s="103">
        <f>IFERROR('OEE REA'!J918*'SPEED FACTOR REA'!L407,"")</f>
        <v>0</v>
      </c>
      <c r="P407" s="250" t="str">
        <f t="shared" si="70"/>
        <v/>
      </c>
      <c r="R407" s="70" t="e">
        <f t="shared" si="66"/>
        <v>#VALUE!</v>
      </c>
    </row>
    <row r="408" spans="1:18" ht="20.25" x14ac:dyDescent="0.25">
      <c r="A408" s="246">
        <f>+'OEE REA'!A919</f>
        <v>0</v>
      </c>
      <c r="B408" s="99">
        <f t="shared" si="61"/>
        <v>0</v>
      </c>
      <c r="C408" s="113">
        <f>+'OEE REA'!D919</f>
        <v>0</v>
      </c>
      <c r="D408" s="242" t="s">
        <v>2210</v>
      </c>
      <c r="E408" s="109" t="e">
        <f>VLOOKUP(A408,'OEE REA'!A:AO,13,FALSE)</f>
        <v>#N/A</v>
      </c>
      <c r="F408" s="110" t="e">
        <f>VLOOKUP(A408,'OEE REA'!A:AO,11,FALSE)</f>
        <v>#N/A</v>
      </c>
      <c r="G408" s="111" t="str">
        <f t="shared" si="71"/>
        <v/>
      </c>
      <c r="H408" s="110" t="e">
        <f>VLOOKUP(A408,'OEE REA'!A:AO,14,FALSE)</f>
        <v>#N/A</v>
      </c>
      <c r="I408" s="106"/>
      <c r="J408" s="99"/>
      <c r="K408" s="99"/>
      <c r="L408" s="107"/>
      <c r="M408" s="112" t="str">
        <f t="shared" si="68"/>
        <v/>
      </c>
      <c r="N408" s="103" t="str">
        <f t="shared" si="69"/>
        <v/>
      </c>
      <c r="O408" s="103">
        <f>IFERROR('OEE REA'!J919*'SPEED FACTOR REA'!L408,"")</f>
        <v>0</v>
      </c>
      <c r="P408" s="250" t="str">
        <f t="shared" si="70"/>
        <v/>
      </c>
      <c r="R408" s="70" t="e">
        <f t="shared" si="66"/>
        <v>#VALUE!</v>
      </c>
    </row>
    <row r="409" spans="1:18" ht="20.25" x14ac:dyDescent="0.25">
      <c r="A409" s="246">
        <f>+'OEE REA'!A920</f>
        <v>0</v>
      </c>
      <c r="B409" s="99">
        <f t="shared" si="61"/>
        <v>0</v>
      </c>
      <c r="C409" s="113">
        <f>+'OEE REA'!D920</f>
        <v>0</v>
      </c>
      <c r="D409" s="242" t="s">
        <v>2211</v>
      </c>
      <c r="E409" s="109" t="e">
        <f>VLOOKUP(A409,'OEE REA'!A:AO,13,FALSE)</f>
        <v>#N/A</v>
      </c>
      <c r="F409" s="110" t="e">
        <f>VLOOKUP(A409,'OEE REA'!A:AO,11,FALSE)</f>
        <v>#N/A</v>
      </c>
      <c r="G409" s="111" t="str">
        <f t="shared" si="71"/>
        <v/>
      </c>
      <c r="H409" s="110" t="e">
        <f>VLOOKUP(A409,'OEE REA'!A:AO,14,FALSE)</f>
        <v>#N/A</v>
      </c>
      <c r="I409" s="106"/>
      <c r="J409" s="99"/>
      <c r="K409" s="99"/>
      <c r="L409" s="107"/>
      <c r="M409" s="112" t="str">
        <f t="shared" si="68"/>
        <v/>
      </c>
      <c r="N409" s="103" t="str">
        <f t="shared" si="69"/>
        <v/>
      </c>
      <c r="O409" s="103">
        <f>IFERROR('OEE REA'!J920*'SPEED FACTOR REA'!L409,"")</f>
        <v>0</v>
      </c>
      <c r="P409" s="250" t="str">
        <f t="shared" si="70"/>
        <v/>
      </c>
      <c r="R409" s="70" t="e">
        <f t="shared" si="66"/>
        <v>#VALUE!</v>
      </c>
    </row>
    <row r="410" spans="1:18" ht="20.25" x14ac:dyDescent="0.25">
      <c r="A410" s="246">
        <f>+'OEE REA'!A921</f>
        <v>0</v>
      </c>
      <c r="B410" s="99">
        <f t="shared" si="61"/>
        <v>0</v>
      </c>
      <c r="C410" s="113">
        <f>+'OEE REA'!D921</f>
        <v>0</v>
      </c>
      <c r="D410" s="242" t="s">
        <v>2212</v>
      </c>
      <c r="E410" s="109" t="e">
        <f>VLOOKUP(A410,'OEE REA'!A:AO,13,FALSE)</f>
        <v>#N/A</v>
      </c>
      <c r="F410" s="110" t="e">
        <f>VLOOKUP(A410,'OEE REA'!A:AO,11,FALSE)</f>
        <v>#N/A</v>
      </c>
      <c r="G410" s="111" t="str">
        <f t="shared" si="71"/>
        <v/>
      </c>
      <c r="H410" s="110" t="e">
        <f>VLOOKUP(A410,'OEE REA'!A:AO,14,FALSE)</f>
        <v>#N/A</v>
      </c>
      <c r="I410" s="106"/>
      <c r="J410" s="99"/>
      <c r="K410" s="99"/>
      <c r="L410" s="107"/>
      <c r="M410" s="112" t="str">
        <f t="shared" si="68"/>
        <v/>
      </c>
      <c r="N410" s="103" t="str">
        <f t="shared" si="69"/>
        <v/>
      </c>
      <c r="O410" s="103">
        <f>IFERROR('OEE REA'!J921*'SPEED FACTOR REA'!L410,"")</f>
        <v>0</v>
      </c>
      <c r="P410" s="250" t="str">
        <f t="shared" si="70"/>
        <v/>
      </c>
      <c r="R410" s="70" t="e">
        <f t="shared" si="66"/>
        <v>#VALUE!</v>
      </c>
    </row>
    <row r="411" spans="1:18" ht="20.25" x14ac:dyDescent="0.25">
      <c r="A411" s="246">
        <f>+'OEE REA'!A922</f>
        <v>0</v>
      </c>
      <c r="B411" s="99">
        <f t="shared" si="61"/>
        <v>0</v>
      </c>
      <c r="C411" s="113">
        <f>+'OEE REA'!D922</f>
        <v>0</v>
      </c>
      <c r="D411" s="242" t="s">
        <v>2213</v>
      </c>
      <c r="E411" s="109" t="e">
        <f>VLOOKUP(A411,'OEE REA'!A:AO,13,FALSE)</f>
        <v>#N/A</v>
      </c>
      <c r="F411" s="110" t="e">
        <f>VLOOKUP(A411,'OEE REA'!A:AO,11,FALSE)</f>
        <v>#N/A</v>
      </c>
      <c r="G411" s="111" t="str">
        <f t="shared" si="71"/>
        <v/>
      </c>
      <c r="H411" s="110" t="e">
        <f>VLOOKUP(A411,'OEE REA'!A:AO,14,FALSE)</f>
        <v>#N/A</v>
      </c>
      <c r="I411" s="106"/>
      <c r="J411" s="99"/>
      <c r="K411" s="99"/>
      <c r="L411" s="107"/>
      <c r="M411" s="112" t="str">
        <f t="shared" si="68"/>
        <v/>
      </c>
      <c r="N411" s="103" t="str">
        <f t="shared" si="69"/>
        <v/>
      </c>
      <c r="O411" s="103">
        <f>IFERROR('OEE REA'!J922*'SPEED FACTOR REA'!L411,"")</f>
        <v>0</v>
      </c>
      <c r="P411" s="250" t="str">
        <f t="shared" si="70"/>
        <v/>
      </c>
      <c r="R411" s="70" t="e">
        <f t="shared" si="66"/>
        <v>#VALUE!</v>
      </c>
    </row>
    <row r="412" spans="1:18" ht="20.25" x14ac:dyDescent="0.25">
      <c r="A412" s="246">
        <f>+'OEE REA'!A923</f>
        <v>0</v>
      </c>
      <c r="B412" s="99">
        <f t="shared" si="61"/>
        <v>0</v>
      </c>
      <c r="C412" s="113">
        <f>+'OEE REA'!D923</f>
        <v>0</v>
      </c>
      <c r="D412" s="242" t="s">
        <v>2214</v>
      </c>
      <c r="E412" s="109" t="e">
        <f>VLOOKUP(A412,'OEE REA'!A:AO,13,FALSE)</f>
        <v>#N/A</v>
      </c>
      <c r="F412" s="110" t="e">
        <f>VLOOKUP(A412,'OEE REA'!A:AO,11,FALSE)</f>
        <v>#N/A</v>
      </c>
      <c r="G412" s="111" t="str">
        <f t="shared" si="71"/>
        <v/>
      </c>
      <c r="H412" s="110" t="e">
        <f>VLOOKUP(A412,'OEE REA'!A:AO,14,FALSE)</f>
        <v>#N/A</v>
      </c>
      <c r="I412" s="106"/>
      <c r="J412" s="99"/>
      <c r="K412" s="99"/>
      <c r="L412" s="107"/>
      <c r="M412" s="112" t="str">
        <f t="shared" si="68"/>
        <v/>
      </c>
      <c r="N412" s="103" t="str">
        <f t="shared" si="69"/>
        <v/>
      </c>
      <c r="O412" s="103">
        <f>IFERROR('OEE REA'!J923*'SPEED FACTOR REA'!L412,"")</f>
        <v>0</v>
      </c>
      <c r="P412" s="250" t="str">
        <f t="shared" si="70"/>
        <v/>
      </c>
      <c r="R412" s="70" t="e">
        <f t="shared" si="66"/>
        <v>#VALUE!</v>
      </c>
    </row>
    <row r="413" spans="1:18" ht="20.25" x14ac:dyDescent="0.25">
      <c r="A413" s="246">
        <f>+'OEE REA'!A924</f>
        <v>0</v>
      </c>
      <c r="B413" s="99">
        <f t="shared" si="61"/>
        <v>0</v>
      </c>
      <c r="C413" s="113">
        <f>+'OEE REA'!D924</f>
        <v>0</v>
      </c>
      <c r="D413" s="242" t="s">
        <v>2215</v>
      </c>
      <c r="E413" s="109" t="e">
        <f>VLOOKUP(A413,'OEE REA'!A:AO,13,FALSE)</f>
        <v>#N/A</v>
      </c>
      <c r="F413" s="110" t="e">
        <f>VLOOKUP(A413,'OEE REA'!A:AO,11,FALSE)</f>
        <v>#N/A</v>
      </c>
      <c r="G413" s="111" t="str">
        <f t="shared" si="71"/>
        <v/>
      </c>
      <c r="H413" s="110" t="e">
        <f>VLOOKUP(A413,'OEE REA'!A:AO,14,FALSE)</f>
        <v>#N/A</v>
      </c>
      <c r="I413" s="106"/>
      <c r="J413" s="99"/>
      <c r="K413" s="99"/>
      <c r="L413" s="107"/>
      <c r="M413" s="112" t="str">
        <f t="shared" si="68"/>
        <v/>
      </c>
      <c r="N413" s="103" t="str">
        <f t="shared" si="69"/>
        <v/>
      </c>
      <c r="O413" s="103">
        <f>IFERROR('OEE REA'!J924*'SPEED FACTOR REA'!L413,"")</f>
        <v>0</v>
      </c>
      <c r="P413" s="250" t="str">
        <f t="shared" si="70"/>
        <v/>
      </c>
      <c r="R413" s="70" t="e">
        <f t="shared" si="66"/>
        <v>#VALUE!</v>
      </c>
    </row>
    <row r="414" spans="1:18" ht="20.25" x14ac:dyDescent="0.25">
      <c r="A414" s="246">
        <f>+'OEE REA'!A925</f>
        <v>0</v>
      </c>
      <c r="B414" s="99">
        <f t="shared" si="61"/>
        <v>0</v>
      </c>
      <c r="C414" s="113">
        <f>+'OEE REA'!D925</f>
        <v>0</v>
      </c>
      <c r="D414" s="242" t="s">
        <v>2216</v>
      </c>
      <c r="E414" s="109" t="e">
        <f>VLOOKUP(A414,'OEE REA'!A:AO,13,FALSE)</f>
        <v>#N/A</v>
      </c>
      <c r="F414" s="110" t="e">
        <f>VLOOKUP(A414,'OEE REA'!A:AO,11,FALSE)</f>
        <v>#N/A</v>
      </c>
      <c r="G414" s="111" t="str">
        <f t="shared" si="71"/>
        <v/>
      </c>
      <c r="H414" s="110" t="e">
        <f>VLOOKUP(A414,'OEE REA'!A:AO,14,FALSE)</f>
        <v>#N/A</v>
      </c>
      <c r="I414" s="106"/>
      <c r="J414" s="99"/>
      <c r="K414" s="99"/>
      <c r="L414" s="107"/>
      <c r="M414" s="112" t="str">
        <f t="shared" si="68"/>
        <v/>
      </c>
      <c r="N414" s="103" t="str">
        <f t="shared" si="69"/>
        <v/>
      </c>
      <c r="O414" s="103">
        <f>IFERROR('OEE REA'!J925*'SPEED FACTOR REA'!L414,"")</f>
        <v>0</v>
      </c>
      <c r="P414" s="250" t="str">
        <f t="shared" si="70"/>
        <v/>
      </c>
      <c r="R414" s="70" t="e">
        <f t="shared" si="66"/>
        <v>#VALUE!</v>
      </c>
    </row>
    <row r="415" spans="1:18" ht="20.25" x14ac:dyDescent="0.25">
      <c r="A415" s="246">
        <f>+'OEE REA'!A926</f>
        <v>0</v>
      </c>
      <c r="B415" s="99">
        <f t="shared" si="61"/>
        <v>0</v>
      </c>
      <c r="C415" s="113">
        <f>+'OEE REA'!D926</f>
        <v>0</v>
      </c>
      <c r="D415" s="242" t="s">
        <v>2217</v>
      </c>
      <c r="E415" s="109" t="e">
        <f>VLOOKUP(A415,'OEE REA'!A:AO,13,FALSE)</f>
        <v>#N/A</v>
      </c>
      <c r="F415" s="110" t="e">
        <f>VLOOKUP(A415,'OEE REA'!A:AO,11,FALSE)</f>
        <v>#N/A</v>
      </c>
      <c r="G415" s="111" t="str">
        <f t="shared" si="71"/>
        <v/>
      </c>
      <c r="H415" s="110" t="e">
        <f>VLOOKUP(A415,'OEE REA'!A:AO,14,FALSE)</f>
        <v>#N/A</v>
      </c>
      <c r="I415" s="106"/>
      <c r="J415" s="99"/>
      <c r="K415" s="99"/>
      <c r="L415" s="107"/>
      <c r="M415" s="112" t="str">
        <f t="shared" si="68"/>
        <v/>
      </c>
      <c r="N415" s="103" t="str">
        <f t="shared" si="69"/>
        <v/>
      </c>
      <c r="O415" s="103">
        <f>IFERROR('OEE REA'!J926*'SPEED FACTOR REA'!L415,"")</f>
        <v>0</v>
      </c>
      <c r="P415" s="250" t="str">
        <f t="shared" si="70"/>
        <v/>
      </c>
      <c r="R415" s="70" t="e">
        <f t="shared" si="66"/>
        <v>#VALUE!</v>
      </c>
    </row>
    <row r="416" spans="1:18" ht="20.25" x14ac:dyDescent="0.25">
      <c r="A416" s="246">
        <f>+'OEE REA'!A927</f>
        <v>0</v>
      </c>
      <c r="B416" s="99">
        <f t="shared" si="61"/>
        <v>0</v>
      </c>
      <c r="C416" s="113">
        <f>+'OEE REA'!D927</f>
        <v>0</v>
      </c>
      <c r="D416" s="242" t="s">
        <v>2218</v>
      </c>
      <c r="E416" s="109" t="e">
        <f>VLOOKUP(A416,'OEE REA'!A:AO,13,FALSE)</f>
        <v>#N/A</v>
      </c>
      <c r="F416" s="110" t="e">
        <f>VLOOKUP(A416,'OEE REA'!A:AO,11,FALSE)</f>
        <v>#N/A</v>
      </c>
      <c r="G416" s="111" t="str">
        <f t="shared" si="71"/>
        <v/>
      </c>
      <c r="H416" s="110" t="e">
        <f>VLOOKUP(A416,'OEE REA'!A:AO,14,FALSE)</f>
        <v>#N/A</v>
      </c>
      <c r="I416" s="106"/>
      <c r="J416" s="99"/>
      <c r="K416" s="99"/>
      <c r="L416" s="107"/>
      <c r="M416" s="112" t="str">
        <f t="shared" si="68"/>
        <v/>
      </c>
      <c r="N416" s="103" t="str">
        <f t="shared" si="69"/>
        <v/>
      </c>
      <c r="O416" s="103">
        <f>IFERROR('OEE REA'!J927*'SPEED FACTOR REA'!L416,"")</f>
        <v>0</v>
      </c>
      <c r="P416" s="250" t="str">
        <f t="shared" si="70"/>
        <v/>
      </c>
      <c r="R416" s="70" t="e">
        <f t="shared" si="66"/>
        <v>#VALUE!</v>
      </c>
    </row>
    <row r="417" spans="1:18" ht="20.25" x14ac:dyDescent="0.25">
      <c r="A417" s="246">
        <f>+'OEE REA'!A928</f>
        <v>0</v>
      </c>
      <c r="B417" s="99">
        <f t="shared" ref="B417:B480" si="72">WEEKNUM(C417)</f>
        <v>0</v>
      </c>
      <c r="C417" s="113">
        <f>+'OEE REA'!D928</f>
        <v>0</v>
      </c>
      <c r="D417" s="242" t="s">
        <v>2219</v>
      </c>
      <c r="E417" s="109" t="e">
        <f>VLOOKUP(A417,'OEE REA'!A:AO,13,FALSE)</f>
        <v>#N/A</v>
      </c>
      <c r="F417" s="110" t="e">
        <f>VLOOKUP(A417,'OEE REA'!A:AO,11,FALSE)</f>
        <v>#N/A</v>
      </c>
      <c r="G417" s="111" t="str">
        <f t="shared" si="71"/>
        <v/>
      </c>
      <c r="H417" s="110" t="e">
        <f>VLOOKUP(A417,'OEE REA'!A:AO,14,FALSE)</f>
        <v>#N/A</v>
      </c>
      <c r="I417" s="106"/>
      <c r="J417" s="99"/>
      <c r="K417" s="99"/>
      <c r="L417" s="107"/>
      <c r="M417" s="112" t="str">
        <f t="shared" si="68"/>
        <v/>
      </c>
      <c r="N417" s="103" t="str">
        <f t="shared" si="69"/>
        <v/>
      </c>
      <c r="O417" s="103">
        <f>IFERROR('OEE REA'!J928*'SPEED FACTOR REA'!L417,"")</f>
        <v>0</v>
      </c>
      <c r="P417" s="250" t="str">
        <f t="shared" si="70"/>
        <v/>
      </c>
      <c r="R417" s="70" t="e">
        <f t="shared" ref="R417:R480" si="73">G417/O417</f>
        <v>#VALUE!</v>
      </c>
    </row>
    <row r="418" spans="1:18" ht="20.25" x14ac:dyDescent="0.25">
      <c r="A418" s="246">
        <f>+'OEE REA'!A929</f>
        <v>0</v>
      </c>
      <c r="B418" s="99">
        <f t="shared" si="72"/>
        <v>0</v>
      </c>
      <c r="C418" s="113">
        <f>+'OEE REA'!D929</f>
        <v>0</v>
      </c>
      <c r="D418" s="242" t="s">
        <v>2220</v>
      </c>
      <c r="E418" s="109" t="e">
        <f>VLOOKUP(A418,'OEE REA'!A:AO,13,FALSE)</f>
        <v>#N/A</v>
      </c>
      <c r="F418" s="110" t="e">
        <f>VLOOKUP(A418,'OEE REA'!A:AO,11,FALSE)</f>
        <v>#N/A</v>
      </c>
      <c r="G418" s="111" t="str">
        <f t="shared" si="71"/>
        <v/>
      </c>
      <c r="H418" s="110" t="e">
        <f>VLOOKUP(A418,'OEE REA'!A:AO,14,FALSE)</f>
        <v>#N/A</v>
      </c>
      <c r="I418" s="106"/>
      <c r="J418" s="99"/>
      <c r="K418" s="99"/>
      <c r="L418" s="107"/>
      <c r="M418" s="112" t="str">
        <f t="shared" si="68"/>
        <v/>
      </c>
      <c r="N418" s="103" t="str">
        <f t="shared" si="69"/>
        <v/>
      </c>
      <c r="O418" s="103">
        <f>IFERROR('OEE REA'!J929*'SPEED FACTOR REA'!L418,"")</f>
        <v>0</v>
      </c>
      <c r="P418" s="250" t="str">
        <f t="shared" si="70"/>
        <v/>
      </c>
      <c r="R418" s="70" t="e">
        <f t="shared" si="73"/>
        <v>#VALUE!</v>
      </c>
    </row>
    <row r="419" spans="1:18" ht="20.25" x14ac:dyDescent="0.25">
      <c r="A419" s="246">
        <f>+'OEE REA'!A930</f>
        <v>0</v>
      </c>
      <c r="B419" s="99">
        <f t="shared" si="72"/>
        <v>0</v>
      </c>
      <c r="C419" s="113">
        <f>+'OEE REA'!D930</f>
        <v>0</v>
      </c>
      <c r="D419" s="242" t="s">
        <v>2221</v>
      </c>
      <c r="E419" s="109" t="e">
        <f>VLOOKUP(A419,'OEE REA'!A:AO,13,FALSE)</f>
        <v>#N/A</v>
      </c>
      <c r="F419" s="110" t="e">
        <f>VLOOKUP(A419,'OEE REA'!A:AO,11,FALSE)</f>
        <v>#N/A</v>
      </c>
      <c r="G419" s="111" t="str">
        <f t="shared" si="71"/>
        <v/>
      </c>
      <c r="H419" s="110" t="e">
        <f>VLOOKUP(A419,'OEE REA'!A:AO,14,FALSE)</f>
        <v>#N/A</v>
      </c>
      <c r="I419" s="106"/>
      <c r="J419" s="99"/>
      <c r="K419" s="99"/>
      <c r="L419" s="107"/>
      <c r="M419" s="112" t="str">
        <f t="shared" si="68"/>
        <v/>
      </c>
      <c r="N419" s="103" t="str">
        <f t="shared" si="69"/>
        <v/>
      </c>
      <c r="O419" s="103">
        <f>IFERROR('OEE REA'!J930*'SPEED FACTOR REA'!L419,"")</f>
        <v>0</v>
      </c>
      <c r="P419" s="250" t="str">
        <f t="shared" si="70"/>
        <v/>
      </c>
      <c r="R419" s="70" t="e">
        <f t="shared" si="73"/>
        <v>#VALUE!</v>
      </c>
    </row>
    <row r="420" spans="1:18" ht="20.25" x14ac:dyDescent="0.25">
      <c r="A420" s="246">
        <f>+'OEE REA'!A931</f>
        <v>0</v>
      </c>
      <c r="B420" s="99">
        <f t="shared" si="72"/>
        <v>0</v>
      </c>
      <c r="C420" s="113">
        <f>+'OEE REA'!D931</f>
        <v>0</v>
      </c>
      <c r="D420" s="242" t="s">
        <v>2222</v>
      </c>
      <c r="E420" s="109" t="e">
        <f>VLOOKUP(A420,'OEE REA'!A:AO,13,FALSE)</f>
        <v>#N/A</v>
      </c>
      <c r="F420" s="110" t="e">
        <f>VLOOKUP(A420,'OEE REA'!A:AO,11,FALSE)</f>
        <v>#N/A</v>
      </c>
      <c r="G420" s="111" t="str">
        <f t="shared" si="71"/>
        <v/>
      </c>
      <c r="H420" s="110" t="e">
        <f>VLOOKUP(A420,'OEE REA'!A:AO,14,FALSE)</f>
        <v>#N/A</v>
      </c>
      <c r="I420" s="106"/>
      <c r="J420" s="99"/>
      <c r="K420" s="99"/>
      <c r="L420" s="107"/>
      <c r="M420" s="112" t="str">
        <f t="shared" si="68"/>
        <v/>
      </c>
      <c r="N420" s="103" t="str">
        <f t="shared" si="69"/>
        <v/>
      </c>
      <c r="O420" s="103">
        <f>IFERROR('OEE REA'!J931*'SPEED FACTOR REA'!L420,"")</f>
        <v>0</v>
      </c>
      <c r="P420" s="250" t="str">
        <f t="shared" si="70"/>
        <v/>
      </c>
      <c r="R420" s="70" t="e">
        <f t="shared" si="73"/>
        <v>#VALUE!</v>
      </c>
    </row>
    <row r="421" spans="1:18" ht="20.25" x14ac:dyDescent="0.25">
      <c r="A421" s="246">
        <f>+'OEE REA'!A932</f>
        <v>0</v>
      </c>
      <c r="B421" s="99">
        <f t="shared" si="72"/>
        <v>0</v>
      </c>
      <c r="C421" s="113">
        <f>+'OEE REA'!D932</f>
        <v>0</v>
      </c>
      <c r="D421" s="242" t="s">
        <v>2223</v>
      </c>
      <c r="E421" s="109" t="e">
        <f>VLOOKUP(A421,'OEE REA'!A:AO,13,FALSE)</f>
        <v>#N/A</v>
      </c>
      <c r="F421" s="110" t="e">
        <f>VLOOKUP(A421,'OEE REA'!A:AO,11,FALSE)</f>
        <v>#N/A</v>
      </c>
      <c r="G421" s="111" t="str">
        <f t="shared" si="71"/>
        <v/>
      </c>
      <c r="H421" s="110" t="e">
        <f>VLOOKUP(A421,'OEE REA'!A:AO,14,FALSE)</f>
        <v>#N/A</v>
      </c>
      <c r="I421" s="106"/>
      <c r="J421" s="99"/>
      <c r="K421" s="99"/>
      <c r="L421" s="107"/>
      <c r="M421" s="112" t="str">
        <f t="shared" si="68"/>
        <v/>
      </c>
      <c r="N421" s="103" t="str">
        <f t="shared" si="69"/>
        <v/>
      </c>
      <c r="O421" s="103">
        <f>IFERROR('OEE REA'!J932*'SPEED FACTOR REA'!L421,"")</f>
        <v>0</v>
      </c>
      <c r="P421" s="250" t="str">
        <f t="shared" si="70"/>
        <v/>
      </c>
      <c r="R421" s="70" t="e">
        <f t="shared" si="73"/>
        <v>#VALUE!</v>
      </c>
    </row>
    <row r="422" spans="1:18" ht="20.25" x14ac:dyDescent="0.25">
      <c r="A422" s="246">
        <f>+'OEE REA'!A933</f>
        <v>0</v>
      </c>
      <c r="B422" s="99">
        <f t="shared" si="72"/>
        <v>0</v>
      </c>
      <c r="C422" s="113">
        <f>+'OEE REA'!D933</f>
        <v>0</v>
      </c>
      <c r="D422" s="242" t="s">
        <v>2224</v>
      </c>
      <c r="E422" s="109" t="e">
        <f>VLOOKUP(A422,'OEE REA'!A:AO,13,FALSE)</f>
        <v>#N/A</v>
      </c>
      <c r="F422" s="110" t="e">
        <f>VLOOKUP(A422,'OEE REA'!A:AO,11,FALSE)</f>
        <v>#N/A</v>
      </c>
      <c r="G422" s="111" t="str">
        <f t="shared" si="71"/>
        <v/>
      </c>
      <c r="H422" s="110" t="e">
        <f>VLOOKUP(A422,'OEE REA'!A:AO,14,FALSE)</f>
        <v>#N/A</v>
      </c>
      <c r="I422" s="106"/>
      <c r="J422" s="99"/>
      <c r="K422" s="99"/>
      <c r="L422" s="107"/>
      <c r="M422" s="112" t="str">
        <f t="shared" si="68"/>
        <v/>
      </c>
      <c r="N422" s="103" t="str">
        <f t="shared" si="69"/>
        <v/>
      </c>
      <c r="O422" s="103">
        <f>IFERROR('OEE REA'!J933*'SPEED FACTOR REA'!L422,"")</f>
        <v>0</v>
      </c>
      <c r="P422" s="250" t="str">
        <f t="shared" si="70"/>
        <v/>
      </c>
      <c r="R422" s="70" t="e">
        <f t="shared" si="73"/>
        <v>#VALUE!</v>
      </c>
    </row>
    <row r="423" spans="1:18" ht="20.25" x14ac:dyDescent="0.25">
      <c r="A423" s="246">
        <f>+'OEE REA'!A934</f>
        <v>0</v>
      </c>
      <c r="B423" s="99">
        <f t="shared" si="72"/>
        <v>0</v>
      </c>
      <c r="C423" s="113">
        <f>+'OEE REA'!D934</f>
        <v>0</v>
      </c>
      <c r="D423" s="242" t="s">
        <v>2225</v>
      </c>
      <c r="E423" s="109" t="e">
        <f>VLOOKUP(A423,'OEE REA'!A:AO,13,FALSE)</f>
        <v>#N/A</v>
      </c>
      <c r="F423" s="110" t="e">
        <f>VLOOKUP(A423,'OEE REA'!A:AO,11,FALSE)</f>
        <v>#N/A</v>
      </c>
      <c r="G423" s="111" t="str">
        <f t="shared" si="71"/>
        <v/>
      </c>
      <c r="H423" s="110" t="e">
        <f>VLOOKUP(A423,'OEE REA'!A:AO,14,FALSE)</f>
        <v>#N/A</v>
      </c>
      <c r="I423" s="106"/>
      <c r="J423" s="99"/>
      <c r="K423" s="99"/>
      <c r="L423" s="107"/>
      <c r="M423" s="112" t="str">
        <f t="shared" si="68"/>
        <v/>
      </c>
      <c r="N423" s="103" t="str">
        <f t="shared" si="69"/>
        <v/>
      </c>
      <c r="O423" s="103">
        <f>IFERROR('OEE REA'!J934*'SPEED FACTOR REA'!L423,"")</f>
        <v>0</v>
      </c>
      <c r="P423" s="250" t="str">
        <f t="shared" si="70"/>
        <v/>
      </c>
      <c r="R423" s="70" t="e">
        <f t="shared" si="73"/>
        <v>#VALUE!</v>
      </c>
    </row>
    <row r="424" spans="1:18" ht="20.25" x14ac:dyDescent="0.25">
      <c r="A424" s="246">
        <f>+'OEE REA'!A935</f>
        <v>0</v>
      </c>
      <c r="B424" s="99">
        <f t="shared" si="72"/>
        <v>0</v>
      </c>
      <c r="C424" s="113">
        <f>+'OEE REA'!D935</f>
        <v>0</v>
      </c>
      <c r="D424" s="242" t="s">
        <v>2226</v>
      </c>
      <c r="E424" s="109" t="e">
        <f>VLOOKUP(A424,'OEE REA'!A:AO,13,FALSE)</f>
        <v>#N/A</v>
      </c>
      <c r="F424" s="110" t="e">
        <f>VLOOKUP(A424,'OEE REA'!A:AO,11,FALSE)</f>
        <v>#N/A</v>
      </c>
      <c r="G424" s="111" t="str">
        <f t="shared" si="71"/>
        <v/>
      </c>
      <c r="H424" s="110" t="e">
        <f>VLOOKUP(A424,'OEE REA'!A:AO,14,FALSE)</f>
        <v>#N/A</v>
      </c>
      <c r="I424" s="106"/>
      <c r="J424" s="99"/>
      <c r="K424" s="99"/>
      <c r="L424" s="107"/>
      <c r="M424" s="112" t="str">
        <f t="shared" si="68"/>
        <v/>
      </c>
      <c r="N424" s="103" t="str">
        <f t="shared" si="69"/>
        <v/>
      </c>
      <c r="O424" s="103">
        <f>IFERROR('OEE REA'!J935*'SPEED FACTOR REA'!L424,"")</f>
        <v>0</v>
      </c>
      <c r="P424" s="250" t="str">
        <f t="shared" si="70"/>
        <v/>
      </c>
      <c r="R424" s="70" t="e">
        <f t="shared" si="73"/>
        <v>#VALUE!</v>
      </c>
    </row>
    <row r="425" spans="1:18" ht="20.25" x14ac:dyDescent="0.25">
      <c r="A425" s="246">
        <f>+'OEE REA'!A936</f>
        <v>0</v>
      </c>
      <c r="B425" s="99">
        <f t="shared" si="72"/>
        <v>0</v>
      </c>
      <c r="C425" s="113">
        <f>+'OEE REA'!D936</f>
        <v>0</v>
      </c>
      <c r="D425" s="242" t="s">
        <v>2227</v>
      </c>
      <c r="E425" s="109" t="e">
        <f>VLOOKUP(A425,'OEE REA'!A:AO,13,FALSE)</f>
        <v>#N/A</v>
      </c>
      <c r="F425" s="110" t="e">
        <f>VLOOKUP(A425,'OEE REA'!A:AO,11,FALSE)</f>
        <v>#N/A</v>
      </c>
      <c r="G425" s="111" t="str">
        <f t="shared" si="71"/>
        <v/>
      </c>
      <c r="H425" s="110" t="e">
        <f>VLOOKUP(A425,'OEE REA'!A:AO,14,FALSE)</f>
        <v>#N/A</v>
      </c>
      <c r="I425" s="106"/>
      <c r="J425" s="99"/>
      <c r="K425" s="99"/>
      <c r="L425" s="107"/>
      <c r="M425" s="112" t="str">
        <f t="shared" si="68"/>
        <v/>
      </c>
      <c r="N425" s="103" t="str">
        <f t="shared" si="69"/>
        <v/>
      </c>
      <c r="O425" s="103">
        <f>IFERROR('OEE REA'!J936*'SPEED FACTOR REA'!L425,"")</f>
        <v>0</v>
      </c>
      <c r="P425" s="250" t="str">
        <f t="shared" si="70"/>
        <v/>
      </c>
      <c r="R425" s="70" t="e">
        <f t="shared" si="73"/>
        <v>#VALUE!</v>
      </c>
    </row>
    <row r="426" spans="1:18" ht="20.25" x14ac:dyDescent="0.25">
      <c r="A426" s="246">
        <f>+'OEE REA'!A937</f>
        <v>0</v>
      </c>
      <c r="B426" s="99">
        <f t="shared" si="72"/>
        <v>0</v>
      </c>
      <c r="C426" s="113">
        <f>+'OEE REA'!D937</f>
        <v>0</v>
      </c>
      <c r="D426" s="242" t="s">
        <v>2228</v>
      </c>
      <c r="E426" s="109" t="e">
        <f>VLOOKUP(A426,'OEE REA'!A:AO,13,FALSE)</f>
        <v>#N/A</v>
      </c>
      <c r="F426" s="110" t="e">
        <f>VLOOKUP(A426,'OEE REA'!A:AO,11,FALSE)</f>
        <v>#N/A</v>
      </c>
      <c r="G426" s="111" t="str">
        <f t="shared" si="71"/>
        <v/>
      </c>
      <c r="H426" s="110" t="e">
        <f>VLOOKUP(A426,'OEE REA'!A:AO,14,FALSE)</f>
        <v>#N/A</v>
      </c>
      <c r="I426" s="106"/>
      <c r="J426" s="99"/>
      <c r="K426" s="99"/>
      <c r="L426" s="107"/>
      <c r="M426" s="112" t="str">
        <f t="shared" si="68"/>
        <v/>
      </c>
      <c r="N426" s="103" t="str">
        <f t="shared" si="69"/>
        <v/>
      </c>
      <c r="O426" s="103">
        <f>IFERROR('OEE REA'!J937*'SPEED FACTOR REA'!L426,"")</f>
        <v>0</v>
      </c>
      <c r="P426" s="250" t="str">
        <f t="shared" si="70"/>
        <v/>
      </c>
      <c r="R426" s="70" t="e">
        <f t="shared" si="73"/>
        <v>#VALUE!</v>
      </c>
    </row>
    <row r="427" spans="1:18" ht="20.25" x14ac:dyDescent="0.25">
      <c r="A427" s="246">
        <f>+'OEE REA'!A938</f>
        <v>0</v>
      </c>
      <c r="B427" s="99">
        <f t="shared" si="72"/>
        <v>0</v>
      </c>
      <c r="C427" s="113">
        <f>+'OEE REA'!D938</f>
        <v>0</v>
      </c>
      <c r="D427" s="242" t="s">
        <v>2229</v>
      </c>
      <c r="E427" s="109" t="e">
        <f>VLOOKUP(A427,'OEE REA'!A:AO,13,FALSE)</f>
        <v>#N/A</v>
      </c>
      <c r="F427" s="110" t="e">
        <f>VLOOKUP(A427,'OEE REA'!A:AO,11,FALSE)</f>
        <v>#N/A</v>
      </c>
      <c r="G427" s="111" t="str">
        <f t="shared" si="71"/>
        <v/>
      </c>
      <c r="H427" s="110" t="e">
        <f>VLOOKUP(A427,'OEE REA'!A:AO,14,FALSE)</f>
        <v>#N/A</v>
      </c>
      <c r="I427" s="106"/>
      <c r="J427" s="99"/>
      <c r="K427" s="99"/>
      <c r="L427" s="107"/>
      <c r="M427" s="112" t="str">
        <f t="shared" si="68"/>
        <v/>
      </c>
      <c r="N427" s="103" t="str">
        <f t="shared" si="69"/>
        <v/>
      </c>
      <c r="O427" s="103">
        <f>IFERROR('OEE REA'!J938*'SPEED FACTOR REA'!L427,"")</f>
        <v>0</v>
      </c>
      <c r="P427" s="250" t="str">
        <f t="shared" si="70"/>
        <v/>
      </c>
      <c r="R427" s="70" t="e">
        <f t="shared" si="73"/>
        <v>#VALUE!</v>
      </c>
    </row>
    <row r="428" spans="1:18" ht="20.25" x14ac:dyDescent="0.25">
      <c r="A428" s="246">
        <f>+'OEE REA'!A939</f>
        <v>0</v>
      </c>
      <c r="B428" s="99">
        <f t="shared" si="72"/>
        <v>0</v>
      </c>
      <c r="C428" s="113">
        <f>+'OEE REA'!D939</f>
        <v>0</v>
      </c>
      <c r="D428" s="242" t="s">
        <v>2230</v>
      </c>
      <c r="E428" s="109" t="e">
        <f>VLOOKUP(A428,'OEE REA'!A:AO,13,FALSE)</f>
        <v>#N/A</v>
      </c>
      <c r="F428" s="110" t="e">
        <f>VLOOKUP(A428,'OEE REA'!A:AO,11,FALSE)</f>
        <v>#N/A</v>
      </c>
      <c r="G428" s="111" t="str">
        <f t="shared" si="71"/>
        <v/>
      </c>
      <c r="H428" s="110" t="e">
        <f>VLOOKUP(A428,'OEE REA'!A:AO,14,FALSE)</f>
        <v>#N/A</v>
      </c>
      <c r="I428" s="106"/>
      <c r="J428" s="99"/>
      <c r="K428" s="99"/>
      <c r="L428" s="107"/>
      <c r="M428" s="112" t="str">
        <f t="shared" si="68"/>
        <v/>
      </c>
      <c r="N428" s="103" t="str">
        <f t="shared" si="69"/>
        <v/>
      </c>
      <c r="O428" s="103">
        <f>IFERROR('OEE REA'!J939*'SPEED FACTOR REA'!L428,"")</f>
        <v>0</v>
      </c>
      <c r="P428" s="250" t="str">
        <f t="shared" si="70"/>
        <v/>
      </c>
      <c r="R428" s="70" t="e">
        <f t="shared" si="73"/>
        <v>#VALUE!</v>
      </c>
    </row>
    <row r="429" spans="1:18" ht="20.25" x14ac:dyDescent="0.25">
      <c r="A429" s="246">
        <f>+'OEE REA'!A940</f>
        <v>0</v>
      </c>
      <c r="B429" s="99">
        <f t="shared" si="72"/>
        <v>0</v>
      </c>
      <c r="C429" s="113">
        <f>+'OEE REA'!D940</f>
        <v>0</v>
      </c>
      <c r="D429" s="242" t="s">
        <v>2231</v>
      </c>
      <c r="E429" s="109" t="e">
        <f>VLOOKUP(A429,'OEE REA'!A:AO,13,FALSE)</f>
        <v>#N/A</v>
      </c>
      <c r="F429" s="110" t="e">
        <f>VLOOKUP(A429,'OEE REA'!A:AO,11,FALSE)</f>
        <v>#N/A</v>
      </c>
      <c r="G429" s="111" t="str">
        <f t="shared" si="71"/>
        <v/>
      </c>
      <c r="H429" s="110" t="e">
        <f>VLOOKUP(A429,'OEE REA'!A:AO,14,FALSE)</f>
        <v>#N/A</v>
      </c>
      <c r="I429" s="106"/>
      <c r="J429" s="99"/>
      <c r="K429" s="99"/>
      <c r="L429" s="107"/>
      <c r="M429" s="112" t="str">
        <f t="shared" si="68"/>
        <v/>
      </c>
      <c r="N429" s="103" t="str">
        <f t="shared" si="69"/>
        <v/>
      </c>
      <c r="O429" s="103">
        <f>IFERROR('OEE REA'!J940*'SPEED FACTOR REA'!L429,"")</f>
        <v>0</v>
      </c>
      <c r="P429" s="250" t="str">
        <f t="shared" si="70"/>
        <v/>
      </c>
      <c r="R429" s="70" t="e">
        <f t="shared" si="73"/>
        <v>#VALUE!</v>
      </c>
    </row>
    <row r="430" spans="1:18" ht="20.25" x14ac:dyDescent="0.25">
      <c r="A430" s="246">
        <f>+'OEE REA'!A941</f>
        <v>0</v>
      </c>
      <c r="B430" s="99">
        <f t="shared" si="72"/>
        <v>0</v>
      </c>
      <c r="C430" s="113">
        <f>+'OEE REA'!D941</f>
        <v>0</v>
      </c>
      <c r="D430" s="242" t="s">
        <v>2232</v>
      </c>
      <c r="E430" s="109" t="e">
        <f>VLOOKUP(A430,'OEE REA'!A:AO,13,FALSE)</f>
        <v>#N/A</v>
      </c>
      <c r="F430" s="110" t="e">
        <f>VLOOKUP(A430,'OEE REA'!A:AO,11,FALSE)</f>
        <v>#N/A</v>
      </c>
      <c r="G430" s="111" t="str">
        <f t="shared" ref="G430:G493" si="74">IFERROR(E430/H430*60,"")</f>
        <v/>
      </c>
      <c r="H430" s="110" t="e">
        <f>VLOOKUP(A430,'OEE REA'!A:AO,14,FALSE)</f>
        <v>#N/A</v>
      </c>
      <c r="I430" s="106"/>
      <c r="J430" s="99"/>
      <c r="K430" s="99"/>
      <c r="L430" s="107"/>
      <c r="M430" s="112" t="str">
        <f t="shared" ref="M430:M493" si="75">IFERROR(G430*L430,"")</f>
        <v/>
      </c>
      <c r="N430" s="103" t="str">
        <f t="shared" ref="N430:N493" si="76">IFERROR(F430*L430,"")</f>
        <v/>
      </c>
      <c r="O430" s="103">
        <f>IFERROR('OEE REA'!J941*'SPEED FACTOR REA'!L430,"")</f>
        <v>0</v>
      </c>
      <c r="P430" s="250" t="str">
        <f t="shared" ref="P430:P493" si="77">IFERROR(N430/M430,"")</f>
        <v/>
      </c>
      <c r="R430" s="70" t="e">
        <f t="shared" si="73"/>
        <v>#VALUE!</v>
      </c>
    </row>
    <row r="431" spans="1:18" ht="20.25" x14ac:dyDescent="0.25">
      <c r="A431" s="246">
        <f>+'OEE REA'!A942</f>
        <v>0</v>
      </c>
      <c r="B431" s="99">
        <f t="shared" si="72"/>
        <v>0</v>
      </c>
      <c r="C431" s="113">
        <f>+'OEE REA'!D942</f>
        <v>0</v>
      </c>
      <c r="D431" s="242" t="s">
        <v>2233</v>
      </c>
      <c r="E431" s="109" t="e">
        <f>VLOOKUP(A431,'OEE REA'!A:AO,13,FALSE)</f>
        <v>#N/A</v>
      </c>
      <c r="F431" s="110" t="e">
        <f>VLOOKUP(A431,'OEE REA'!A:AO,11,FALSE)</f>
        <v>#N/A</v>
      </c>
      <c r="G431" s="111" t="str">
        <f t="shared" si="74"/>
        <v/>
      </c>
      <c r="H431" s="110" t="e">
        <f>VLOOKUP(A431,'OEE REA'!A:AO,14,FALSE)</f>
        <v>#N/A</v>
      </c>
      <c r="I431" s="106"/>
      <c r="J431" s="99"/>
      <c r="K431" s="99"/>
      <c r="L431" s="107"/>
      <c r="M431" s="112" t="str">
        <f t="shared" si="75"/>
        <v/>
      </c>
      <c r="N431" s="103" t="str">
        <f t="shared" si="76"/>
        <v/>
      </c>
      <c r="O431" s="103">
        <f>IFERROR('OEE REA'!J942*'SPEED FACTOR REA'!L431,"")</f>
        <v>0</v>
      </c>
      <c r="P431" s="250" t="str">
        <f t="shared" si="77"/>
        <v/>
      </c>
      <c r="R431" s="70" t="e">
        <f t="shared" si="73"/>
        <v>#VALUE!</v>
      </c>
    </row>
    <row r="432" spans="1:18" ht="20.25" x14ac:dyDescent="0.25">
      <c r="A432" s="246">
        <f>+'OEE REA'!A943</f>
        <v>0</v>
      </c>
      <c r="B432" s="99">
        <f t="shared" si="72"/>
        <v>0</v>
      </c>
      <c r="C432" s="113">
        <f>+'OEE REA'!D943</f>
        <v>0</v>
      </c>
      <c r="D432" s="242" t="s">
        <v>2234</v>
      </c>
      <c r="E432" s="109" t="e">
        <f>VLOOKUP(A432,'OEE REA'!A:AO,13,FALSE)</f>
        <v>#N/A</v>
      </c>
      <c r="F432" s="110" t="e">
        <f>VLOOKUP(A432,'OEE REA'!A:AO,11,FALSE)</f>
        <v>#N/A</v>
      </c>
      <c r="G432" s="111" t="str">
        <f t="shared" si="74"/>
        <v/>
      </c>
      <c r="H432" s="110" t="e">
        <f>VLOOKUP(A432,'OEE REA'!A:AO,14,FALSE)</f>
        <v>#N/A</v>
      </c>
      <c r="I432" s="106"/>
      <c r="J432" s="99"/>
      <c r="K432" s="99"/>
      <c r="L432" s="107"/>
      <c r="M432" s="112" t="str">
        <f t="shared" si="75"/>
        <v/>
      </c>
      <c r="N432" s="103" t="str">
        <f t="shared" si="76"/>
        <v/>
      </c>
      <c r="O432" s="103">
        <f>IFERROR('OEE REA'!J943*'SPEED FACTOR REA'!L432,"")</f>
        <v>0</v>
      </c>
      <c r="P432" s="250" t="str">
        <f t="shared" si="77"/>
        <v/>
      </c>
      <c r="R432" s="70" t="e">
        <f t="shared" si="73"/>
        <v>#VALUE!</v>
      </c>
    </row>
    <row r="433" spans="1:18" ht="20.25" x14ac:dyDescent="0.25">
      <c r="A433" s="246">
        <f>+'OEE REA'!A944</f>
        <v>0</v>
      </c>
      <c r="B433" s="99">
        <f t="shared" si="72"/>
        <v>0</v>
      </c>
      <c r="C433" s="113">
        <f>+'OEE REA'!D944</f>
        <v>0</v>
      </c>
      <c r="D433" s="242" t="s">
        <v>2235</v>
      </c>
      <c r="E433" s="109" t="e">
        <f>VLOOKUP(A433,'OEE REA'!A:AO,13,FALSE)</f>
        <v>#N/A</v>
      </c>
      <c r="F433" s="110" t="e">
        <f>VLOOKUP(A433,'OEE REA'!A:AO,11,FALSE)</f>
        <v>#N/A</v>
      </c>
      <c r="G433" s="111" t="str">
        <f t="shared" si="74"/>
        <v/>
      </c>
      <c r="H433" s="110" t="e">
        <f>VLOOKUP(A433,'OEE REA'!A:AO,14,FALSE)</f>
        <v>#N/A</v>
      </c>
      <c r="I433" s="106"/>
      <c r="J433" s="99"/>
      <c r="K433" s="99"/>
      <c r="L433" s="107"/>
      <c r="M433" s="112" t="str">
        <f t="shared" si="75"/>
        <v/>
      </c>
      <c r="N433" s="103" t="str">
        <f t="shared" si="76"/>
        <v/>
      </c>
      <c r="O433" s="103">
        <f>IFERROR('OEE REA'!J944*'SPEED FACTOR REA'!L433,"")</f>
        <v>0</v>
      </c>
      <c r="P433" s="250" t="str">
        <f t="shared" si="77"/>
        <v/>
      </c>
      <c r="R433" s="70" t="e">
        <f t="shared" si="73"/>
        <v>#VALUE!</v>
      </c>
    </row>
    <row r="434" spans="1:18" ht="20.25" x14ac:dyDescent="0.25">
      <c r="A434" s="246">
        <f>+'OEE REA'!A945</f>
        <v>0</v>
      </c>
      <c r="B434" s="99">
        <f t="shared" si="72"/>
        <v>0</v>
      </c>
      <c r="C434" s="113">
        <f>+'OEE REA'!D945</f>
        <v>0</v>
      </c>
      <c r="D434" s="242" t="s">
        <v>2236</v>
      </c>
      <c r="E434" s="109" t="e">
        <f>VLOOKUP(A434,'OEE REA'!A:AO,13,FALSE)</f>
        <v>#N/A</v>
      </c>
      <c r="F434" s="110" t="e">
        <f>VLOOKUP(A434,'OEE REA'!A:AO,11,FALSE)</f>
        <v>#N/A</v>
      </c>
      <c r="G434" s="111" t="str">
        <f t="shared" si="74"/>
        <v/>
      </c>
      <c r="H434" s="110" t="e">
        <f>VLOOKUP(A434,'OEE REA'!A:AO,14,FALSE)</f>
        <v>#N/A</v>
      </c>
      <c r="I434" s="106"/>
      <c r="J434" s="99"/>
      <c r="K434" s="99"/>
      <c r="L434" s="107"/>
      <c r="M434" s="112" t="str">
        <f t="shared" si="75"/>
        <v/>
      </c>
      <c r="N434" s="103" t="str">
        <f t="shared" si="76"/>
        <v/>
      </c>
      <c r="O434" s="103">
        <f>IFERROR('OEE REA'!J945*'SPEED FACTOR REA'!L434,"")</f>
        <v>0</v>
      </c>
      <c r="P434" s="250" t="str">
        <f t="shared" si="77"/>
        <v/>
      </c>
      <c r="R434" s="70" t="e">
        <f t="shared" si="73"/>
        <v>#VALUE!</v>
      </c>
    </row>
    <row r="435" spans="1:18" ht="20.25" x14ac:dyDescent="0.25">
      <c r="A435" s="246">
        <f>+'OEE REA'!A946</f>
        <v>0</v>
      </c>
      <c r="B435" s="99">
        <f t="shared" si="72"/>
        <v>0</v>
      </c>
      <c r="C435" s="113">
        <f>+'OEE REA'!D946</f>
        <v>0</v>
      </c>
      <c r="D435" s="242" t="s">
        <v>2237</v>
      </c>
      <c r="E435" s="109" t="e">
        <f>VLOOKUP(A435,'OEE REA'!A:AO,13,FALSE)</f>
        <v>#N/A</v>
      </c>
      <c r="F435" s="110" t="e">
        <f>VLOOKUP(A435,'OEE REA'!A:AO,11,FALSE)</f>
        <v>#N/A</v>
      </c>
      <c r="G435" s="111" t="str">
        <f t="shared" si="74"/>
        <v/>
      </c>
      <c r="H435" s="110" t="e">
        <f>VLOOKUP(A435,'OEE REA'!A:AO,14,FALSE)</f>
        <v>#N/A</v>
      </c>
      <c r="I435" s="106"/>
      <c r="J435" s="99"/>
      <c r="K435" s="99"/>
      <c r="L435" s="107"/>
      <c r="M435" s="112" t="str">
        <f t="shared" si="75"/>
        <v/>
      </c>
      <c r="N435" s="103" t="str">
        <f t="shared" si="76"/>
        <v/>
      </c>
      <c r="O435" s="103">
        <f>IFERROR('OEE REA'!J946*'SPEED FACTOR REA'!L435,"")</f>
        <v>0</v>
      </c>
      <c r="P435" s="250" t="str">
        <f t="shared" si="77"/>
        <v/>
      </c>
      <c r="R435" s="70" t="e">
        <f t="shared" si="73"/>
        <v>#VALUE!</v>
      </c>
    </row>
    <row r="436" spans="1:18" ht="20.25" x14ac:dyDescent="0.25">
      <c r="A436" s="246">
        <f>+'OEE REA'!A947</f>
        <v>0</v>
      </c>
      <c r="B436" s="99">
        <f t="shared" si="72"/>
        <v>0</v>
      </c>
      <c r="C436" s="113">
        <f>+'OEE REA'!D947</f>
        <v>0</v>
      </c>
      <c r="D436" s="242" t="s">
        <v>2238</v>
      </c>
      <c r="E436" s="109" t="e">
        <f>VLOOKUP(A436,'OEE REA'!A:AO,13,FALSE)</f>
        <v>#N/A</v>
      </c>
      <c r="F436" s="110" t="e">
        <f>VLOOKUP(A436,'OEE REA'!A:AO,11,FALSE)</f>
        <v>#N/A</v>
      </c>
      <c r="G436" s="111" t="str">
        <f t="shared" si="74"/>
        <v/>
      </c>
      <c r="H436" s="110" t="e">
        <f>VLOOKUP(A436,'OEE REA'!A:AO,14,FALSE)</f>
        <v>#N/A</v>
      </c>
      <c r="I436" s="106"/>
      <c r="J436" s="99"/>
      <c r="K436" s="99"/>
      <c r="L436" s="107"/>
      <c r="M436" s="112" t="str">
        <f t="shared" si="75"/>
        <v/>
      </c>
      <c r="N436" s="103" t="str">
        <f t="shared" si="76"/>
        <v/>
      </c>
      <c r="O436" s="103">
        <f>IFERROR('OEE REA'!J947*'SPEED FACTOR REA'!L436,"")</f>
        <v>0</v>
      </c>
      <c r="P436" s="250" t="str">
        <f t="shared" si="77"/>
        <v/>
      </c>
      <c r="R436" s="70" t="e">
        <f t="shared" si="73"/>
        <v>#VALUE!</v>
      </c>
    </row>
    <row r="437" spans="1:18" ht="20.25" x14ac:dyDescent="0.25">
      <c r="A437" s="246">
        <f>+'OEE REA'!A948</f>
        <v>0</v>
      </c>
      <c r="B437" s="99">
        <f t="shared" si="72"/>
        <v>0</v>
      </c>
      <c r="C437" s="113">
        <f>+'OEE REA'!D948</f>
        <v>0</v>
      </c>
      <c r="D437" s="242" t="s">
        <v>2239</v>
      </c>
      <c r="E437" s="109" t="e">
        <f>VLOOKUP(A437,'OEE REA'!A:AO,13,FALSE)</f>
        <v>#N/A</v>
      </c>
      <c r="F437" s="110" t="e">
        <f>VLOOKUP(A437,'OEE REA'!A:AO,11,FALSE)</f>
        <v>#N/A</v>
      </c>
      <c r="G437" s="111" t="str">
        <f t="shared" si="74"/>
        <v/>
      </c>
      <c r="H437" s="110" t="e">
        <f>VLOOKUP(A437,'OEE REA'!A:AO,14,FALSE)</f>
        <v>#N/A</v>
      </c>
      <c r="I437" s="106"/>
      <c r="J437" s="99"/>
      <c r="K437" s="99"/>
      <c r="L437" s="107"/>
      <c r="M437" s="112" t="str">
        <f t="shared" si="75"/>
        <v/>
      </c>
      <c r="N437" s="103" t="str">
        <f t="shared" si="76"/>
        <v/>
      </c>
      <c r="O437" s="103">
        <f>IFERROR('OEE REA'!J948*'SPEED FACTOR REA'!L437,"")</f>
        <v>0</v>
      </c>
      <c r="P437" s="250" t="str">
        <f t="shared" si="77"/>
        <v/>
      </c>
      <c r="R437" s="70" t="e">
        <f t="shared" si="73"/>
        <v>#VALUE!</v>
      </c>
    </row>
    <row r="438" spans="1:18" ht="20.25" x14ac:dyDescent="0.25">
      <c r="A438" s="246">
        <f>+'OEE REA'!A949</f>
        <v>0</v>
      </c>
      <c r="B438" s="99">
        <f t="shared" si="72"/>
        <v>0</v>
      </c>
      <c r="C438" s="113">
        <f>+'OEE REA'!D949</f>
        <v>0</v>
      </c>
      <c r="D438" s="242" t="s">
        <v>2240</v>
      </c>
      <c r="E438" s="109" t="e">
        <f>VLOOKUP(A438,'OEE REA'!A:AO,13,FALSE)</f>
        <v>#N/A</v>
      </c>
      <c r="F438" s="110" t="e">
        <f>VLOOKUP(A438,'OEE REA'!A:AO,11,FALSE)</f>
        <v>#N/A</v>
      </c>
      <c r="G438" s="111" t="str">
        <f t="shared" si="74"/>
        <v/>
      </c>
      <c r="H438" s="110" t="e">
        <f>VLOOKUP(A438,'OEE REA'!A:AO,14,FALSE)</f>
        <v>#N/A</v>
      </c>
      <c r="I438" s="106"/>
      <c r="J438" s="99"/>
      <c r="K438" s="99"/>
      <c r="L438" s="107"/>
      <c r="M438" s="112" t="str">
        <f t="shared" si="75"/>
        <v/>
      </c>
      <c r="N438" s="103" t="str">
        <f t="shared" si="76"/>
        <v/>
      </c>
      <c r="O438" s="103">
        <f>IFERROR('OEE REA'!J949*'SPEED FACTOR REA'!L438,"")</f>
        <v>0</v>
      </c>
      <c r="P438" s="250" t="str">
        <f t="shared" si="77"/>
        <v/>
      </c>
      <c r="R438" s="70" t="e">
        <f t="shared" si="73"/>
        <v>#VALUE!</v>
      </c>
    </row>
    <row r="439" spans="1:18" ht="20.25" x14ac:dyDescent="0.25">
      <c r="A439" s="246">
        <f>+'OEE REA'!A950</f>
        <v>0</v>
      </c>
      <c r="B439" s="99">
        <f t="shared" si="72"/>
        <v>0</v>
      </c>
      <c r="C439" s="113">
        <f>+'OEE REA'!D950</f>
        <v>0</v>
      </c>
      <c r="D439" s="242" t="s">
        <v>2241</v>
      </c>
      <c r="E439" s="109" t="e">
        <f>VLOOKUP(A439,'OEE REA'!A:AO,13,FALSE)</f>
        <v>#N/A</v>
      </c>
      <c r="F439" s="110" t="e">
        <f>VLOOKUP(A439,'OEE REA'!A:AO,11,FALSE)</f>
        <v>#N/A</v>
      </c>
      <c r="G439" s="111" t="str">
        <f t="shared" si="74"/>
        <v/>
      </c>
      <c r="H439" s="110" t="e">
        <f>VLOOKUP(A439,'OEE REA'!A:AO,14,FALSE)</f>
        <v>#N/A</v>
      </c>
      <c r="I439" s="106"/>
      <c r="J439" s="99"/>
      <c r="K439" s="99"/>
      <c r="L439" s="107"/>
      <c r="M439" s="112" t="str">
        <f t="shared" si="75"/>
        <v/>
      </c>
      <c r="N439" s="103" t="str">
        <f t="shared" si="76"/>
        <v/>
      </c>
      <c r="O439" s="103">
        <f>IFERROR('OEE REA'!J950*'SPEED FACTOR REA'!L439,"")</f>
        <v>0</v>
      </c>
      <c r="P439" s="250" t="str">
        <f t="shared" si="77"/>
        <v/>
      </c>
      <c r="R439" s="70" t="e">
        <f t="shared" si="73"/>
        <v>#VALUE!</v>
      </c>
    </row>
    <row r="440" spans="1:18" ht="20.25" x14ac:dyDescent="0.25">
      <c r="A440" s="246">
        <f>+'OEE REA'!A951</f>
        <v>0</v>
      </c>
      <c r="B440" s="99">
        <f t="shared" si="72"/>
        <v>0</v>
      </c>
      <c r="C440" s="113">
        <f>+'OEE REA'!D951</f>
        <v>0</v>
      </c>
      <c r="D440" s="242" t="s">
        <v>2242</v>
      </c>
      <c r="E440" s="109" t="e">
        <f>VLOOKUP(A440,'OEE REA'!A:AO,13,FALSE)</f>
        <v>#N/A</v>
      </c>
      <c r="F440" s="110" t="e">
        <f>VLOOKUP(A440,'OEE REA'!A:AO,11,FALSE)</f>
        <v>#N/A</v>
      </c>
      <c r="G440" s="111" t="str">
        <f t="shared" si="74"/>
        <v/>
      </c>
      <c r="H440" s="110" t="e">
        <f>VLOOKUP(A440,'OEE REA'!A:AO,14,FALSE)</f>
        <v>#N/A</v>
      </c>
      <c r="I440" s="106"/>
      <c r="J440" s="99"/>
      <c r="K440" s="99"/>
      <c r="L440" s="107"/>
      <c r="M440" s="112" t="str">
        <f t="shared" si="75"/>
        <v/>
      </c>
      <c r="N440" s="103" t="str">
        <f t="shared" si="76"/>
        <v/>
      </c>
      <c r="O440" s="103">
        <f>IFERROR('OEE REA'!J951*'SPEED FACTOR REA'!L440,"")</f>
        <v>0</v>
      </c>
      <c r="P440" s="250" t="str">
        <f t="shared" si="77"/>
        <v/>
      </c>
      <c r="R440" s="70" t="e">
        <f t="shared" si="73"/>
        <v>#VALUE!</v>
      </c>
    </row>
    <row r="441" spans="1:18" ht="20.25" x14ac:dyDescent="0.25">
      <c r="A441" s="246">
        <f>+'OEE REA'!A952</f>
        <v>0</v>
      </c>
      <c r="B441" s="99">
        <f t="shared" si="72"/>
        <v>0</v>
      </c>
      <c r="C441" s="113">
        <f>+'OEE REA'!D952</f>
        <v>0</v>
      </c>
      <c r="D441" s="242" t="s">
        <v>2243</v>
      </c>
      <c r="E441" s="109" t="e">
        <f>VLOOKUP(A441,'OEE REA'!A:AO,13,FALSE)</f>
        <v>#N/A</v>
      </c>
      <c r="F441" s="110" t="e">
        <f>VLOOKUP(A441,'OEE REA'!A:AO,11,FALSE)</f>
        <v>#N/A</v>
      </c>
      <c r="G441" s="111" t="str">
        <f t="shared" si="74"/>
        <v/>
      </c>
      <c r="H441" s="110" t="e">
        <f>VLOOKUP(A441,'OEE REA'!A:AO,14,FALSE)</f>
        <v>#N/A</v>
      </c>
      <c r="I441" s="106"/>
      <c r="J441" s="99"/>
      <c r="K441" s="99"/>
      <c r="L441" s="107"/>
      <c r="M441" s="112" t="str">
        <f t="shared" si="75"/>
        <v/>
      </c>
      <c r="N441" s="103" t="str">
        <f t="shared" si="76"/>
        <v/>
      </c>
      <c r="O441" s="103">
        <f>IFERROR('OEE REA'!J952*'SPEED FACTOR REA'!L441,"")</f>
        <v>0</v>
      </c>
      <c r="P441" s="250" t="str">
        <f t="shared" si="77"/>
        <v/>
      </c>
      <c r="R441" s="70" t="e">
        <f t="shared" si="73"/>
        <v>#VALUE!</v>
      </c>
    </row>
    <row r="442" spans="1:18" ht="20.25" x14ac:dyDescent="0.25">
      <c r="A442" s="246">
        <f>+'OEE REA'!A953</f>
        <v>0</v>
      </c>
      <c r="B442" s="99">
        <f t="shared" si="72"/>
        <v>0</v>
      </c>
      <c r="C442" s="113">
        <f>+'OEE REA'!D953</f>
        <v>0</v>
      </c>
      <c r="D442" s="242" t="s">
        <v>2244</v>
      </c>
      <c r="E442" s="109" t="e">
        <f>VLOOKUP(A442,'OEE REA'!A:AO,13,FALSE)</f>
        <v>#N/A</v>
      </c>
      <c r="F442" s="110" t="e">
        <f>VLOOKUP(A442,'OEE REA'!A:AO,11,FALSE)</f>
        <v>#N/A</v>
      </c>
      <c r="G442" s="111" t="str">
        <f t="shared" si="74"/>
        <v/>
      </c>
      <c r="H442" s="110" t="e">
        <f>VLOOKUP(A442,'OEE REA'!A:AO,14,FALSE)</f>
        <v>#N/A</v>
      </c>
      <c r="I442" s="106"/>
      <c r="J442" s="99"/>
      <c r="K442" s="99"/>
      <c r="L442" s="107"/>
      <c r="M442" s="112" t="str">
        <f t="shared" si="75"/>
        <v/>
      </c>
      <c r="N442" s="103" t="str">
        <f t="shared" si="76"/>
        <v/>
      </c>
      <c r="O442" s="103">
        <f>IFERROR('OEE REA'!J953*'SPEED FACTOR REA'!L442,"")</f>
        <v>0</v>
      </c>
      <c r="P442" s="250" t="str">
        <f t="shared" si="77"/>
        <v/>
      </c>
      <c r="R442" s="70" t="e">
        <f t="shared" si="73"/>
        <v>#VALUE!</v>
      </c>
    </row>
    <row r="443" spans="1:18" ht="20.25" x14ac:dyDescent="0.25">
      <c r="A443" s="246">
        <f>+'OEE REA'!A954</f>
        <v>0</v>
      </c>
      <c r="B443" s="99">
        <f t="shared" si="72"/>
        <v>0</v>
      </c>
      <c r="C443" s="113">
        <f>+'OEE REA'!D954</f>
        <v>0</v>
      </c>
      <c r="D443" s="242" t="s">
        <v>2245</v>
      </c>
      <c r="E443" s="109" t="e">
        <f>VLOOKUP(A443,'OEE REA'!A:AO,13,FALSE)</f>
        <v>#N/A</v>
      </c>
      <c r="F443" s="110" t="e">
        <f>VLOOKUP(A443,'OEE REA'!A:AO,11,FALSE)</f>
        <v>#N/A</v>
      </c>
      <c r="G443" s="111" t="str">
        <f t="shared" si="74"/>
        <v/>
      </c>
      <c r="H443" s="110" t="e">
        <f>VLOOKUP(A443,'OEE REA'!A:AO,14,FALSE)</f>
        <v>#N/A</v>
      </c>
      <c r="I443" s="106"/>
      <c r="J443" s="99"/>
      <c r="K443" s="99"/>
      <c r="L443" s="107"/>
      <c r="M443" s="112" t="str">
        <f t="shared" si="75"/>
        <v/>
      </c>
      <c r="N443" s="103" t="str">
        <f t="shared" si="76"/>
        <v/>
      </c>
      <c r="O443" s="103">
        <f>IFERROR('OEE REA'!J954*'SPEED FACTOR REA'!L443,"")</f>
        <v>0</v>
      </c>
      <c r="P443" s="250" t="str">
        <f t="shared" si="77"/>
        <v/>
      </c>
      <c r="R443" s="70" t="e">
        <f t="shared" si="73"/>
        <v>#VALUE!</v>
      </c>
    </row>
    <row r="444" spans="1:18" ht="20.25" x14ac:dyDescent="0.25">
      <c r="A444" s="246">
        <f>+'OEE REA'!A955</f>
        <v>0</v>
      </c>
      <c r="B444" s="99">
        <f t="shared" si="72"/>
        <v>0</v>
      </c>
      <c r="C444" s="113">
        <f>+'OEE REA'!D955</f>
        <v>0</v>
      </c>
      <c r="D444" s="242" t="s">
        <v>2246</v>
      </c>
      <c r="E444" s="109" t="e">
        <f>VLOOKUP(A444,'OEE REA'!A:AO,13,FALSE)</f>
        <v>#N/A</v>
      </c>
      <c r="F444" s="110" t="e">
        <f>VLOOKUP(A444,'OEE REA'!A:AO,11,FALSE)</f>
        <v>#N/A</v>
      </c>
      <c r="G444" s="111" t="str">
        <f t="shared" si="74"/>
        <v/>
      </c>
      <c r="H444" s="110" t="e">
        <f>VLOOKUP(A444,'OEE REA'!A:AO,14,FALSE)</f>
        <v>#N/A</v>
      </c>
      <c r="I444" s="106"/>
      <c r="J444" s="99"/>
      <c r="K444" s="99"/>
      <c r="L444" s="107"/>
      <c r="M444" s="112" t="str">
        <f t="shared" si="75"/>
        <v/>
      </c>
      <c r="N444" s="103" t="str">
        <f t="shared" si="76"/>
        <v/>
      </c>
      <c r="O444" s="103">
        <f>IFERROR('OEE REA'!J955*'SPEED FACTOR REA'!L444,"")</f>
        <v>0</v>
      </c>
      <c r="P444" s="250" t="str">
        <f t="shared" si="77"/>
        <v/>
      </c>
      <c r="R444" s="70" t="e">
        <f t="shared" si="73"/>
        <v>#VALUE!</v>
      </c>
    </row>
    <row r="445" spans="1:18" ht="20.25" x14ac:dyDescent="0.25">
      <c r="A445" s="246">
        <f>+'OEE REA'!A956</f>
        <v>0</v>
      </c>
      <c r="B445" s="99">
        <f t="shared" si="72"/>
        <v>0</v>
      </c>
      <c r="C445" s="113">
        <f>+'OEE REA'!D956</f>
        <v>0</v>
      </c>
      <c r="D445" s="242" t="s">
        <v>2247</v>
      </c>
      <c r="E445" s="109" t="e">
        <f>VLOOKUP(A445,'OEE REA'!A:AO,13,FALSE)</f>
        <v>#N/A</v>
      </c>
      <c r="F445" s="110" t="e">
        <f>VLOOKUP(A445,'OEE REA'!A:AO,11,FALSE)</f>
        <v>#N/A</v>
      </c>
      <c r="G445" s="111" t="str">
        <f t="shared" si="74"/>
        <v/>
      </c>
      <c r="H445" s="110" t="e">
        <f>VLOOKUP(A445,'OEE REA'!A:AO,14,FALSE)</f>
        <v>#N/A</v>
      </c>
      <c r="I445" s="106"/>
      <c r="J445" s="99"/>
      <c r="K445" s="99"/>
      <c r="L445" s="107"/>
      <c r="M445" s="112" t="str">
        <f t="shared" si="75"/>
        <v/>
      </c>
      <c r="N445" s="103" t="str">
        <f t="shared" si="76"/>
        <v/>
      </c>
      <c r="O445" s="103">
        <f>IFERROR('OEE REA'!J956*'SPEED FACTOR REA'!L445,"")</f>
        <v>0</v>
      </c>
      <c r="P445" s="250" t="str">
        <f t="shared" si="77"/>
        <v/>
      </c>
      <c r="R445" s="70" t="e">
        <f t="shared" si="73"/>
        <v>#VALUE!</v>
      </c>
    </row>
    <row r="446" spans="1:18" ht="20.25" x14ac:dyDescent="0.25">
      <c r="A446" s="246">
        <f>+'OEE REA'!A957</f>
        <v>0</v>
      </c>
      <c r="B446" s="99">
        <f t="shared" si="72"/>
        <v>0</v>
      </c>
      <c r="C446" s="113">
        <f>+'OEE REA'!D957</f>
        <v>0</v>
      </c>
      <c r="D446" s="242" t="s">
        <v>2248</v>
      </c>
      <c r="E446" s="109" t="e">
        <f>VLOOKUP(A446,'OEE REA'!A:AO,13,FALSE)</f>
        <v>#N/A</v>
      </c>
      <c r="F446" s="110" t="e">
        <f>VLOOKUP(A446,'OEE REA'!A:AO,11,FALSE)</f>
        <v>#N/A</v>
      </c>
      <c r="G446" s="111" t="str">
        <f t="shared" si="74"/>
        <v/>
      </c>
      <c r="H446" s="110" t="e">
        <f>VLOOKUP(A446,'OEE REA'!A:AO,14,FALSE)</f>
        <v>#N/A</v>
      </c>
      <c r="I446" s="106"/>
      <c r="J446" s="99"/>
      <c r="K446" s="99"/>
      <c r="L446" s="107"/>
      <c r="M446" s="112" t="str">
        <f t="shared" si="75"/>
        <v/>
      </c>
      <c r="N446" s="103" t="str">
        <f t="shared" si="76"/>
        <v/>
      </c>
      <c r="O446" s="103">
        <f>IFERROR('OEE REA'!J957*'SPEED FACTOR REA'!L446,"")</f>
        <v>0</v>
      </c>
      <c r="P446" s="250" t="str">
        <f t="shared" si="77"/>
        <v/>
      </c>
      <c r="R446" s="70" t="e">
        <f t="shared" si="73"/>
        <v>#VALUE!</v>
      </c>
    </row>
    <row r="447" spans="1:18" ht="20.25" x14ac:dyDescent="0.25">
      <c r="A447" s="246">
        <f>+'OEE REA'!A958</f>
        <v>0</v>
      </c>
      <c r="B447" s="99">
        <f t="shared" si="72"/>
        <v>0</v>
      </c>
      <c r="C447" s="113">
        <f>+'OEE REA'!D958</f>
        <v>0</v>
      </c>
      <c r="D447" s="242" t="s">
        <v>2249</v>
      </c>
      <c r="E447" s="109" t="e">
        <f>VLOOKUP(A447,'OEE REA'!A:AO,13,FALSE)</f>
        <v>#N/A</v>
      </c>
      <c r="F447" s="110" t="e">
        <f>VLOOKUP(A447,'OEE REA'!A:AO,11,FALSE)</f>
        <v>#N/A</v>
      </c>
      <c r="G447" s="111" t="str">
        <f t="shared" si="74"/>
        <v/>
      </c>
      <c r="H447" s="110" t="e">
        <f>VLOOKUP(A447,'OEE REA'!A:AO,14,FALSE)</f>
        <v>#N/A</v>
      </c>
      <c r="I447" s="106"/>
      <c r="J447" s="99"/>
      <c r="K447" s="99"/>
      <c r="L447" s="107"/>
      <c r="M447" s="112" t="str">
        <f t="shared" si="75"/>
        <v/>
      </c>
      <c r="N447" s="103" t="str">
        <f t="shared" si="76"/>
        <v/>
      </c>
      <c r="O447" s="103">
        <f>IFERROR('OEE REA'!J958*'SPEED FACTOR REA'!L447,"")</f>
        <v>0</v>
      </c>
      <c r="P447" s="250" t="str">
        <f t="shared" si="77"/>
        <v/>
      </c>
      <c r="R447" s="70" t="e">
        <f t="shared" si="73"/>
        <v>#VALUE!</v>
      </c>
    </row>
    <row r="448" spans="1:18" ht="20.25" x14ac:dyDescent="0.25">
      <c r="A448" s="246">
        <f>+'OEE REA'!A959</f>
        <v>0</v>
      </c>
      <c r="B448" s="99">
        <f t="shared" si="72"/>
        <v>0</v>
      </c>
      <c r="C448" s="113">
        <f>+'OEE REA'!D959</f>
        <v>0</v>
      </c>
      <c r="D448" s="242" t="s">
        <v>2250</v>
      </c>
      <c r="E448" s="109" t="e">
        <f>VLOOKUP(A448,'OEE REA'!A:AO,13,FALSE)</f>
        <v>#N/A</v>
      </c>
      <c r="F448" s="110" t="e">
        <f>VLOOKUP(A448,'OEE REA'!A:AO,11,FALSE)</f>
        <v>#N/A</v>
      </c>
      <c r="G448" s="111" t="str">
        <f t="shared" si="74"/>
        <v/>
      </c>
      <c r="H448" s="110" t="e">
        <f>VLOOKUP(A448,'OEE REA'!A:AO,14,FALSE)</f>
        <v>#N/A</v>
      </c>
      <c r="I448" s="106"/>
      <c r="J448" s="99"/>
      <c r="K448" s="99"/>
      <c r="L448" s="107"/>
      <c r="M448" s="112" t="str">
        <f t="shared" si="75"/>
        <v/>
      </c>
      <c r="N448" s="103" t="str">
        <f t="shared" si="76"/>
        <v/>
      </c>
      <c r="O448" s="103">
        <f>IFERROR('OEE REA'!J959*'SPEED FACTOR REA'!L448,"")</f>
        <v>0</v>
      </c>
      <c r="P448" s="250" t="str">
        <f t="shared" si="77"/>
        <v/>
      </c>
      <c r="R448" s="70" t="e">
        <f t="shared" si="73"/>
        <v>#VALUE!</v>
      </c>
    </row>
    <row r="449" spans="1:18" ht="20.25" x14ac:dyDescent="0.25">
      <c r="A449" s="246">
        <f>+'OEE REA'!A960</f>
        <v>0</v>
      </c>
      <c r="B449" s="99">
        <f t="shared" si="72"/>
        <v>0</v>
      </c>
      <c r="C449" s="113">
        <f>+'OEE REA'!D960</f>
        <v>0</v>
      </c>
      <c r="D449" s="242" t="s">
        <v>2251</v>
      </c>
      <c r="E449" s="109" t="e">
        <f>VLOOKUP(A449,'OEE REA'!A:AO,13,FALSE)</f>
        <v>#N/A</v>
      </c>
      <c r="F449" s="110" t="e">
        <f>VLOOKUP(A449,'OEE REA'!A:AO,11,FALSE)</f>
        <v>#N/A</v>
      </c>
      <c r="G449" s="111" t="str">
        <f t="shared" si="74"/>
        <v/>
      </c>
      <c r="H449" s="110" t="e">
        <f>VLOOKUP(A449,'OEE REA'!A:AO,14,FALSE)</f>
        <v>#N/A</v>
      </c>
      <c r="I449" s="106"/>
      <c r="J449" s="99"/>
      <c r="K449" s="99"/>
      <c r="L449" s="107"/>
      <c r="M449" s="112" t="str">
        <f t="shared" si="75"/>
        <v/>
      </c>
      <c r="N449" s="103" t="str">
        <f t="shared" si="76"/>
        <v/>
      </c>
      <c r="O449" s="103">
        <f>IFERROR('OEE REA'!J960*'SPEED FACTOR REA'!L449,"")</f>
        <v>0</v>
      </c>
      <c r="P449" s="250" t="str">
        <f t="shared" si="77"/>
        <v/>
      </c>
      <c r="R449" s="70" t="e">
        <f t="shared" si="73"/>
        <v>#VALUE!</v>
      </c>
    </row>
    <row r="450" spans="1:18" ht="20.25" x14ac:dyDescent="0.25">
      <c r="A450" s="246">
        <f>+'OEE REA'!A961</f>
        <v>0</v>
      </c>
      <c r="B450" s="99">
        <f t="shared" si="72"/>
        <v>0</v>
      </c>
      <c r="C450" s="113">
        <f>+'OEE REA'!D961</f>
        <v>0</v>
      </c>
      <c r="D450" s="242" t="s">
        <v>2252</v>
      </c>
      <c r="E450" s="109" t="e">
        <f>VLOOKUP(A450,'OEE REA'!A:AO,13,FALSE)</f>
        <v>#N/A</v>
      </c>
      <c r="F450" s="110" t="e">
        <f>VLOOKUP(A450,'OEE REA'!A:AO,11,FALSE)</f>
        <v>#N/A</v>
      </c>
      <c r="G450" s="111" t="str">
        <f t="shared" si="74"/>
        <v/>
      </c>
      <c r="H450" s="110" t="e">
        <f>VLOOKUP(A450,'OEE REA'!A:AO,14,FALSE)</f>
        <v>#N/A</v>
      </c>
      <c r="I450" s="106"/>
      <c r="J450" s="99"/>
      <c r="K450" s="99"/>
      <c r="L450" s="107"/>
      <c r="M450" s="112" t="str">
        <f t="shared" si="75"/>
        <v/>
      </c>
      <c r="N450" s="103" t="str">
        <f t="shared" si="76"/>
        <v/>
      </c>
      <c r="O450" s="103">
        <f>IFERROR('OEE REA'!J961*'SPEED FACTOR REA'!L450,"")</f>
        <v>0</v>
      </c>
      <c r="P450" s="250" t="str">
        <f t="shared" si="77"/>
        <v/>
      </c>
      <c r="R450" s="70" t="e">
        <f t="shared" si="73"/>
        <v>#VALUE!</v>
      </c>
    </row>
    <row r="451" spans="1:18" ht="20.25" x14ac:dyDescent="0.25">
      <c r="A451" s="246">
        <f>+'OEE REA'!A962</f>
        <v>0</v>
      </c>
      <c r="B451" s="99">
        <f t="shared" si="72"/>
        <v>0</v>
      </c>
      <c r="C451" s="113">
        <f>+'OEE REA'!D962</f>
        <v>0</v>
      </c>
      <c r="D451" s="242" t="s">
        <v>2253</v>
      </c>
      <c r="E451" s="109" t="e">
        <f>VLOOKUP(A451,'OEE REA'!A:AO,13,FALSE)</f>
        <v>#N/A</v>
      </c>
      <c r="F451" s="110" t="e">
        <f>VLOOKUP(A451,'OEE REA'!A:AO,11,FALSE)</f>
        <v>#N/A</v>
      </c>
      <c r="G451" s="111" t="str">
        <f t="shared" si="74"/>
        <v/>
      </c>
      <c r="H451" s="110" t="e">
        <f>VLOOKUP(A451,'OEE REA'!A:AO,14,FALSE)</f>
        <v>#N/A</v>
      </c>
      <c r="I451" s="106"/>
      <c r="J451" s="99"/>
      <c r="K451" s="99"/>
      <c r="L451" s="107"/>
      <c r="M451" s="112" t="str">
        <f t="shared" si="75"/>
        <v/>
      </c>
      <c r="N451" s="103" t="str">
        <f t="shared" si="76"/>
        <v/>
      </c>
      <c r="O451" s="103">
        <f>IFERROR('OEE REA'!J962*'SPEED FACTOR REA'!L451,"")</f>
        <v>0</v>
      </c>
      <c r="P451" s="250" t="str">
        <f t="shared" si="77"/>
        <v/>
      </c>
      <c r="R451" s="70" t="e">
        <f t="shared" si="73"/>
        <v>#VALUE!</v>
      </c>
    </row>
    <row r="452" spans="1:18" ht="20.25" x14ac:dyDescent="0.25">
      <c r="A452" s="246">
        <f>+'OEE REA'!A963</f>
        <v>0</v>
      </c>
      <c r="B452" s="99">
        <f t="shared" si="72"/>
        <v>0</v>
      </c>
      <c r="C452" s="113">
        <f>+'OEE REA'!D963</f>
        <v>0</v>
      </c>
      <c r="D452" s="242" t="s">
        <v>2254</v>
      </c>
      <c r="E452" s="109" t="e">
        <f>VLOOKUP(A452,'OEE REA'!A:AO,13,FALSE)</f>
        <v>#N/A</v>
      </c>
      <c r="F452" s="110" t="e">
        <f>VLOOKUP(A452,'OEE REA'!A:AO,11,FALSE)</f>
        <v>#N/A</v>
      </c>
      <c r="G452" s="111" t="str">
        <f t="shared" si="74"/>
        <v/>
      </c>
      <c r="H452" s="110" t="e">
        <f>VLOOKUP(A452,'OEE REA'!A:AO,14,FALSE)</f>
        <v>#N/A</v>
      </c>
      <c r="I452" s="106"/>
      <c r="J452" s="99"/>
      <c r="K452" s="99"/>
      <c r="L452" s="107"/>
      <c r="M452" s="112" t="str">
        <f t="shared" si="75"/>
        <v/>
      </c>
      <c r="N452" s="103" t="str">
        <f t="shared" si="76"/>
        <v/>
      </c>
      <c r="O452" s="103">
        <f>IFERROR('OEE REA'!J963*'SPEED FACTOR REA'!L452,"")</f>
        <v>0</v>
      </c>
      <c r="P452" s="250" t="str">
        <f t="shared" si="77"/>
        <v/>
      </c>
      <c r="R452" s="70" t="e">
        <f t="shared" si="73"/>
        <v>#VALUE!</v>
      </c>
    </row>
    <row r="453" spans="1:18" ht="20.25" x14ac:dyDescent="0.25">
      <c r="A453" s="246">
        <f>+'OEE REA'!A964</f>
        <v>0</v>
      </c>
      <c r="B453" s="99">
        <f t="shared" si="72"/>
        <v>0</v>
      </c>
      <c r="C453" s="113">
        <f>+'OEE REA'!D964</f>
        <v>0</v>
      </c>
      <c r="D453" s="242" t="s">
        <v>2255</v>
      </c>
      <c r="E453" s="109" t="e">
        <f>VLOOKUP(A453,'OEE REA'!A:AO,13,FALSE)</f>
        <v>#N/A</v>
      </c>
      <c r="F453" s="110" t="e">
        <f>VLOOKUP(A453,'OEE REA'!A:AO,11,FALSE)</f>
        <v>#N/A</v>
      </c>
      <c r="G453" s="111" t="str">
        <f t="shared" si="74"/>
        <v/>
      </c>
      <c r="H453" s="110" t="e">
        <f>VLOOKUP(A453,'OEE REA'!A:AO,14,FALSE)</f>
        <v>#N/A</v>
      </c>
      <c r="I453" s="106"/>
      <c r="J453" s="99"/>
      <c r="K453" s="99"/>
      <c r="L453" s="107"/>
      <c r="M453" s="112" t="str">
        <f t="shared" si="75"/>
        <v/>
      </c>
      <c r="N453" s="103" t="str">
        <f t="shared" si="76"/>
        <v/>
      </c>
      <c r="O453" s="103">
        <f>IFERROR('OEE REA'!J964*'SPEED FACTOR REA'!L453,"")</f>
        <v>0</v>
      </c>
      <c r="P453" s="250" t="str">
        <f t="shared" si="77"/>
        <v/>
      </c>
      <c r="R453" s="70" t="e">
        <f t="shared" si="73"/>
        <v>#VALUE!</v>
      </c>
    </row>
    <row r="454" spans="1:18" ht="20.25" x14ac:dyDescent="0.25">
      <c r="A454" s="246">
        <f>+'OEE REA'!A965</f>
        <v>0</v>
      </c>
      <c r="B454" s="99">
        <f t="shared" si="72"/>
        <v>0</v>
      </c>
      <c r="C454" s="113">
        <f>+'OEE REA'!D965</f>
        <v>0</v>
      </c>
      <c r="D454" s="242" t="s">
        <v>2256</v>
      </c>
      <c r="E454" s="109" t="e">
        <f>VLOOKUP(A454,'OEE REA'!A:AO,13,FALSE)</f>
        <v>#N/A</v>
      </c>
      <c r="F454" s="110" t="e">
        <f>VLOOKUP(A454,'OEE REA'!A:AO,11,FALSE)</f>
        <v>#N/A</v>
      </c>
      <c r="G454" s="111" t="str">
        <f t="shared" si="74"/>
        <v/>
      </c>
      <c r="H454" s="110" t="e">
        <f>VLOOKUP(A454,'OEE REA'!A:AO,14,FALSE)</f>
        <v>#N/A</v>
      </c>
      <c r="I454" s="106"/>
      <c r="J454" s="99"/>
      <c r="K454" s="99"/>
      <c r="L454" s="107"/>
      <c r="M454" s="112" t="str">
        <f t="shared" si="75"/>
        <v/>
      </c>
      <c r="N454" s="103" t="str">
        <f t="shared" si="76"/>
        <v/>
      </c>
      <c r="O454" s="103">
        <f>IFERROR('OEE REA'!J965*'SPEED FACTOR REA'!L454,"")</f>
        <v>0</v>
      </c>
      <c r="P454" s="250" t="str">
        <f t="shared" si="77"/>
        <v/>
      </c>
      <c r="R454" s="70" t="e">
        <f t="shared" si="73"/>
        <v>#VALUE!</v>
      </c>
    </row>
    <row r="455" spans="1:18" ht="20.25" x14ac:dyDescent="0.25">
      <c r="A455" s="246">
        <f>+'OEE REA'!A966</f>
        <v>0</v>
      </c>
      <c r="B455" s="99">
        <f t="shared" si="72"/>
        <v>0</v>
      </c>
      <c r="C455" s="113">
        <f>+'OEE REA'!D966</f>
        <v>0</v>
      </c>
      <c r="D455" s="242" t="s">
        <v>2257</v>
      </c>
      <c r="E455" s="109" t="e">
        <f>VLOOKUP(A455,'OEE REA'!A:AO,13,FALSE)</f>
        <v>#N/A</v>
      </c>
      <c r="F455" s="110" t="e">
        <f>VLOOKUP(A455,'OEE REA'!A:AO,11,FALSE)</f>
        <v>#N/A</v>
      </c>
      <c r="G455" s="111" t="str">
        <f t="shared" si="74"/>
        <v/>
      </c>
      <c r="H455" s="110" t="e">
        <f>VLOOKUP(A455,'OEE REA'!A:AO,14,FALSE)</f>
        <v>#N/A</v>
      </c>
      <c r="I455" s="106"/>
      <c r="J455" s="99"/>
      <c r="K455" s="99"/>
      <c r="L455" s="107"/>
      <c r="M455" s="112" t="str">
        <f t="shared" si="75"/>
        <v/>
      </c>
      <c r="N455" s="103" t="str">
        <f t="shared" si="76"/>
        <v/>
      </c>
      <c r="O455" s="103">
        <f>IFERROR('OEE REA'!J966*'SPEED FACTOR REA'!L455,"")</f>
        <v>0</v>
      </c>
      <c r="P455" s="250" t="str">
        <f t="shared" si="77"/>
        <v/>
      </c>
      <c r="R455" s="70" t="e">
        <f t="shared" si="73"/>
        <v>#VALUE!</v>
      </c>
    </row>
    <row r="456" spans="1:18" ht="20.25" x14ac:dyDescent="0.25">
      <c r="A456" s="246">
        <f>+'OEE REA'!A967</f>
        <v>0</v>
      </c>
      <c r="B456" s="99">
        <f t="shared" si="72"/>
        <v>0</v>
      </c>
      <c r="C456" s="113">
        <f>+'OEE REA'!D967</f>
        <v>0</v>
      </c>
      <c r="D456" s="242" t="s">
        <v>2258</v>
      </c>
      <c r="E456" s="109" t="e">
        <f>VLOOKUP(A456,'OEE REA'!A:AO,13,FALSE)</f>
        <v>#N/A</v>
      </c>
      <c r="F456" s="110" t="e">
        <f>VLOOKUP(A456,'OEE REA'!A:AO,11,FALSE)</f>
        <v>#N/A</v>
      </c>
      <c r="G456" s="111" t="str">
        <f t="shared" si="74"/>
        <v/>
      </c>
      <c r="H456" s="110" t="e">
        <f>VLOOKUP(A456,'OEE REA'!A:AO,14,FALSE)</f>
        <v>#N/A</v>
      </c>
      <c r="I456" s="106"/>
      <c r="J456" s="99"/>
      <c r="K456" s="99"/>
      <c r="L456" s="107"/>
      <c r="M456" s="112" t="str">
        <f t="shared" si="75"/>
        <v/>
      </c>
      <c r="N456" s="103" t="str">
        <f t="shared" si="76"/>
        <v/>
      </c>
      <c r="O456" s="103">
        <f>IFERROR('OEE REA'!J967*'SPEED FACTOR REA'!L456,"")</f>
        <v>0</v>
      </c>
      <c r="P456" s="250" t="str">
        <f t="shared" si="77"/>
        <v/>
      </c>
      <c r="R456" s="70" t="e">
        <f t="shared" si="73"/>
        <v>#VALUE!</v>
      </c>
    </row>
    <row r="457" spans="1:18" ht="20.25" x14ac:dyDescent="0.25">
      <c r="A457" s="246">
        <f>+'OEE REA'!A968</f>
        <v>0</v>
      </c>
      <c r="B457" s="99">
        <f t="shared" si="72"/>
        <v>0</v>
      </c>
      <c r="C457" s="113">
        <f>+'OEE REA'!D968</f>
        <v>0</v>
      </c>
      <c r="D457" s="242" t="s">
        <v>2259</v>
      </c>
      <c r="E457" s="109" t="e">
        <f>VLOOKUP(A457,'OEE REA'!A:AO,13,FALSE)</f>
        <v>#N/A</v>
      </c>
      <c r="F457" s="110" t="e">
        <f>VLOOKUP(A457,'OEE REA'!A:AO,11,FALSE)</f>
        <v>#N/A</v>
      </c>
      <c r="G457" s="111" t="str">
        <f t="shared" si="74"/>
        <v/>
      </c>
      <c r="H457" s="110" t="e">
        <f>VLOOKUP(A457,'OEE REA'!A:AO,14,FALSE)</f>
        <v>#N/A</v>
      </c>
      <c r="I457" s="106"/>
      <c r="J457" s="99"/>
      <c r="K457" s="99"/>
      <c r="L457" s="107"/>
      <c r="M457" s="112" t="str">
        <f t="shared" si="75"/>
        <v/>
      </c>
      <c r="N457" s="103" t="str">
        <f t="shared" si="76"/>
        <v/>
      </c>
      <c r="O457" s="103">
        <f>IFERROR('OEE REA'!J968*'SPEED FACTOR REA'!L457,"")</f>
        <v>0</v>
      </c>
      <c r="P457" s="250" t="str">
        <f t="shared" si="77"/>
        <v/>
      </c>
      <c r="R457" s="70" t="e">
        <f t="shared" si="73"/>
        <v>#VALUE!</v>
      </c>
    </row>
    <row r="458" spans="1:18" ht="20.25" x14ac:dyDescent="0.25">
      <c r="A458" s="246">
        <f>+'OEE REA'!A969</f>
        <v>0</v>
      </c>
      <c r="B458" s="99">
        <f t="shared" si="72"/>
        <v>0</v>
      </c>
      <c r="C458" s="113">
        <f>+'OEE REA'!D969</f>
        <v>0</v>
      </c>
      <c r="D458" s="242" t="s">
        <v>2260</v>
      </c>
      <c r="E458" s="109" t="e">
        <f>VLOOKUP(A458,'OEE REA'!A:AO,13,FALSE)</f>
        <v>#N/A</v>
      </c>
      <c r="F458" s="110" t="e">
        <f>VLOOKUP(A458,'OEE REA'!A:AO,11,FALSE)</f>
        <v>#N/A</v>
      </c>
      <c r="G458" s="111" t="str">
        <f t="shared" si="74"/>
        <v/>
      </c>
      <c r="H458" s="110" t="e">
        <f>VLOOKUP(A458,'OEE REA'!A:AO,14,FALSE)</f>
        <v>#N/A</v>
      </c>
      <c r="I458" s="106"/>
      <c r="J458" s="99"/>
      <c r="K458" s="99"/>
      <c r="L458" s="107"/>
      <c r="M458" s="112" t="str">
        <f t="shared" si="75"/>
        <v/>
      </c>
      <c r="N458" s="103" t="str">
        <f t="shared" si="76"/>
        <v/>
      </c>
      <c r="O458" s="103">
        <f>IFERROR('OEE REA'!J969*'SPEED FACTOR REA'!L458,"")</f>
        <v>0</v>
      </c>
      <c r="P458" s="250" t="str">
        <f t="shared" si="77"/>
        <v/>
      </c>
      <c r="R458" s="70" t="e">
        <f t="shared" si="73"/>
        <v>#VALUE!</v>
      </c>
    </row>
    <row r="459" spans="1:18" ht="20.25" x14ac:dyDescent="0.25">
      <c r="A459" s="246">
        <f>+'OEE REA'!A970</f>
        <v>0</v>
      </c>
      <c r="B459" s="99">
        <f t="shared" si="72"/>
        <v>0</v>
      </c>
      <c r="C459" s="113">
        <f>+'OEE REA'!D970</f>
        <v>0</v>
      </c>
      <c r="D459" s="242" t="s">
        <v>2261</v>
      </c>
      <c r="E459" s="109" t="e">
        <f>VLOOKUP(A459,'OEE REA'!A:AO,13,FALSE)</f>
        <v>#N/A</v>
      </c>
      <c r="F459" s="110" t="e">
        <f>VLOOKUP(A459,'OEE REA'!A:AO,11,FALSE)</f>
        <v>#N/A</v>
      </c>
      <c r="G459" s="111" t="str">
        <f t="shared" si="74"/>
        <v/>
      </c>
      <c r="H459" s="110" t="e">
        <f>VLOOKUP(A459,'OEE REA'!A:AO,14,FALSE)</f>
        <v>#N/A</v>
      </c>
      <c r="I459" s="106"/>
      <c r="J459" s="99"/>
      <c r="K459" s="99"/>
      <c r="L459" s="107"/>
      <c r="M459" s="112" t="str">
        <f t="shared" si="75"/>
        <v/>
      </c>
      <c r="N459" s="103" t="str">
        <f t="shared" si="76"/>
        <v/>
      </c>
      <c r="O459" s="103">
        <f>IFERROR('OEE REA'!J970*'SPEED FACTOR REA'!L459,"")</f>
        <v>0</v>
      </c>
      <c r="P459" s="250" t="str">
        <f t="shared" si="77"/>
        <v/>
      </c>
      <c r="R459" s="70" t="e">
        <f t="shared" si="73"/>
        <v>#VALUE!</v>
      </c>
    </row>
    <row r="460" spans="1:18" ht="20.25" x14ac:dyDescent="0.25">
      <c r="A460" s="246">
        <f>+'OEE REA'!A971</f>
        <v>0</v>
      </c>
      <c r="B460" s="99">
        <f t="shared" si="72"/>
        <v>0</v>
      </c>
      <c r="C460" s="113">
        <f>+'OEE REA'!D971</f>
        <v>0</v>
      </c>
      <c r="D460" s="242" t="s">
        <v>2262</v>
      </c>
      <c r="E460" s="109" t="e">
        <f>VLOOKUP(A460,'OEE REA'!A:AO,13,FALSE)</f>
        <v>#N/A</v>
      </c>
      <c r="F460" s="110" t="e">
        <f>VLOOKUP(A460,'OEE REA'!A:AO,11,FALSE)</f>
        <v>#N/A</v>
      </c>
      <c r="G460" s="111" t="str">
        <f t="shared" si="74"/>
        <v/>
      </c>
      <c r="H460" s="110" t="e">
        <f>VLOOKUP(A460,'OEE REA'!A:AO,14,FALSE)</f>
        <v>#N/A</v>
      </c>
      <c r="I460" s="106"/>
      <c r="J460" s="99"/>
      <c r="K460" s="99"/>
      <c r="L460" s="107"/>
      <c r="M460" s="112" t="str">
        <f t="shared" si="75"/>
        <v/>
      </c>
      <c r="N460" s="103" t="str">
        <f t="shared" si="76"/>
        <v/>
      </c>
      <c r="O460" s="103">
        <f>IFERROR('OEE REA'!J971*'SPEED FACTOR REA'!L460,"")</f>
        <v>0</v>
      </c>
      <c r="P460" s="250" t="str">
        <f t="shared" si="77"/>
        <v/>
      </c>
      <c r="R460" s="70" t="e">
        <f t="shared" si="73"/>
        <v>#VALUE!</v>
      </c>
    </row>
    <row r="461" spans="1:18" ht="20.25" x14ac:dyDescent="0.25">
      <c r="A461" s="246">
        <f>+'OEE REA'!A972</f>
        <v>0</v>
      </c>
      <c r="B461" s="99">
        <f t="shared" si="72"/>
        <v>0</v>
      </c>
      <c r="C461" s="113">
        <f>+'OEE REA'!D972</f>
        <v>0</v>
      </c>
      <c r="D461" s="242" t="s">
        <v>2263</v>
      </c>
      <c r="E461" s="109" t="e">
        <f>VLOOKUP(A461,'OEE REA'!A:AO,13,FALSE)</f>
        <v>#N/A</v>
      </c>
      <c r="F461" s="110" t="e">
        <f>VLOOKUP(A461,'OEE REA'!A:AO,11,FALSE)</f>
        <v>#N/A</v>
      </c>
      <c r="G461" s="111" t="str">
        <f t="shared" si="74"/>
        <v/>
      </c>
      <c r="H461" s="110" t="e">
        <f>VLOOKUP(A461,'OEE REA'!A:AO,14,FALSE)</f>
        <v>#N/A</v>
      </c>
      <c r="I461" s="106"/>
      <c r="J461" s="99"/>
      <c r="K461" s="99"/>
      <c r="L461" s="107"/>
      <c r="M461" s="112" t="str">
        <f t="shared" si="75"/>
        <v/>
      </c>
      <c r="N461" s="103" t="str">
        <f t="shared" si="76"/>
        <v/>
      </c>
      <c r="O461" s="103">
        <f>IFERROR('OEE REA'!J972*'SPEED FACTOR REA'!L461,"")</f>
        <v>0</v>
      </c>
      <c r="P461" s="250" t="str">
        <f t="shared" si="77"/>
        <v/>
      </c>
      <c r="R461" s="70" t="e">
        <f t="shared" si="73"/>
        <v>#VALUE!</v>
      </c>
    </row>
    <row r="462" spans="1:18" ht="20.25" x14ac:dyDescent="0.25">
      <c r="A462" s="246">
        <f>+'OEE REA'!A973</f>
        <v>0</v>
      </c>
      <c r="B462" s="99">
        <f t="shared" si="72"/>
        <v>0</v>
      </c>
      <c r="C462" s="113">
        <f>+'OEE REA'!D973</f>
        <v>0</v>
      </c>
      <c r="D462" s="242" t="s">
        <v>2264</v>
      </c>
      <c r="E462" s="109" t="e">
        <f>VLOOKUP(A462,'OEE REA'!A:AO,13,FALSE)</f>
        <v>#N/A</v>
      </c>
      <c r="F462" s="110" t="e">
        <f>VLOOKUP(A462,'OEE REA'!A:AO,11,FALSE)</f>
        <v>#N/A</v>
      </c>
      <c r="G462" s="111" t="str">
        <f t="shared" si="74"/>
        <v/>
      </c>
      <c r="H462" s="110" t="e">
        <f>VLOOKUP(A462,'OEE REA'!A:AO,14,FALSE)</f>
        <v>#N/A</v>
      </c>
      <c r="I462" s="106"/>
      <c r="J462" s="99"/>
      <c r="K462" s="99"/>
      <c r="L462" s="107"/>
      <c r="M462" s="112" t="str">
        <f t="shared" si="75"/>
        <v/>
      </c>
      <c r="N462" s="103" t="str">
        <f t="shared" si="76"/>
        <v/>
      </c>
      <c r="O462" s="103">
        <f>IFERROR('OEE REA'!J973*'SPEED FACTOR REA'!L462,"")</f>
        <v>0</v>
      </c>
      <c r="P462" s="250" t="str">
        <f t="shared" si="77"/>
        <v/>
      </c>
      <c r="R462" s="70" t="e">
        <f t="shared" si="73"/>
        <v>#VALUE!</v>
      </c>
    </row>
    <row r="463" spans="1:18" ht="20.25" x14ac:dyDescent="0.25">
      <c r="A463" s="246">
        <f>+'OEE REA'!A974</f>
        <v>0</v>
      </c>
      <c r="B463" s="99">
        <f t="shared" si="72"/>
        <v>0</v>
      </c>
      <c r="C463" s="113">
        <f>+'OEE REA'!D974</f>
        <v>0</v>
      </c>
      <c r="D463" s="242" t="s">
        <v>2265</v>
      </c>
      <c r="E463" s="109" t="e">
        <f>VLOOKUP(A463,'OEE REA'!A:AO,13,FALSE)</f>
        <v>#N/A</v>
      </c>
      <c r="F463" s="110" t="e">
        <f>VLOOKUP(A463,'OEE REA'!A:AO,11,FALSE)</f>
        <v>#N/A</v>
      </c>
      <c r="G463" s="111" t="str">
        <f t="shared" si="74"/>
        <v/>
      </c>
      <c r="H463" s="110" t="e">
        <f>VLOOKUP(A463,'OEE REA'!A:AO,14,FALSE)</f>
        <v>#N/A</v>
      </c>
      <c r="I463" s="106"/>
      <c r="J463" s="99"/>
      <c r="K463" s="99"/>
      <c r="L463" s="107"/>
      <c r="M463" s="112" t="str">
        <f t="shared" si="75"/>
        <v/>
      </c>
      <c r="N463" s="103" t="str">
        <f t="shared" si="76"/>
        <v/>
      </c>
      <c r="O463" s="103">
        <f>IFERROR('OEE REA'!J974*'SPEED FACTOR REA'!L463,"")</f>
        <v>0</v>
      </c>
      <c r="P463" s="250" t="str">
        <f t="shared" si="77"/>
        <v/>
      </c>
      <c r="R463" s="70" t="e">
        <f t="shared" si="73"/>
        <v>#VALUE!</v>
      </c>
    </row>
    <row r="464" spans="1:18" ht="20.25" x14ac:dyDescent="0.25">
      <c r="A464" s="246">
        <f>+'OEE REA'!A975</f>
        <v>0</v>
      </c>
      <c r="B464" s="99">
        <f t="shared" si="72"/>
        <v>0</v>
      </c>
      <c r="C464" s="113">
        <f>+'OEE REA'!D975</f>
        <v>0</v>
      </c>
      <c r="D464" s="242" t="s">
        <v>2266</v>
      </c>
      <c r="E464" s="109" t="e">
        <f>VLOOKUP(A464,'OEE REA'!A:AO,13,FALSE)</f>
        <v>#N/A</v>
      </c>
      <c r="F464" s="110" t="e">
        <f>VLOOKUP(A464,'OEE REA'!A:AO,11,FALSE)</f>
        <v>#N/A</v>
      </c>
      <c r="G464" s="111" t="str">
        <f t="shared" si="74"/>
        <v/>
      </c>
      <c r="H464" s="110" t="e">
        <f>VLOOKUP(A464,'OEE REA'!A:AO,14,FALSE)</f>
        <v>#N/A</v>
      </c>
      <c r="I464" s="106"/>
      <c r="J464" s="99"/>
      <c r="K464" s="99"/>
      <c r="L464" s="107"/>
      <c r="M464" s="112" t="str">
        <f t="shared" si="75"/>
        <v/>
      </c>
      <c r="N464" s="103" t="str">
        <f t="shared" si="76"/>
        <v/>
      </c>
      <c r="O464" s="103">
        <f>IFERROR('OEE REA'!J975*'SPEED FACTOR REA'!L464,"")</f>
        <v>0</v>
      </c>
      <c r="P464" s="250" t="str">
        <f t="shared" si="77"/>
        <v/>
      </c>
      <c r="R464" s="70" t="e">
        <f t="shared" si="73"/>
        <v>#VALUE!</v>
      </c>
    </row>
    <row r="465" spans="1:18" ht="20.25" x14ac:dyDescent="0.25">
      <c r="A465" s="246">
        <f>+'OEE REA'!A976</f>
        <v>0</v>
      </c>
      <c r="B465" s="99">
        <f t="shared" si="72"/>
        <v>0</v>
      </c>
      <c r="C465" s="113">
        <f>+'OEE REA'!D976</f>
        <v>0</v>
      </c>
      <c r="D465" s="242" t="s">
        <v>2267</v>
      </c>
      <c r="E465" s="109" t="e">
        <f>VLOOKUP(A465,'OEE REA'!A:AO,13,FALSE)</f>
        <v>#N/A</v>
      </c>
      <c r="F465" s="110" t="e">
        <f>VLOOKUP(A465,'OEE REA'!A:AO,11,FALSE)</f>
        <v>#N/A</v>
      </c>
      <c r="G465" s="111" t="str">
        <f t="shared" si="74"/>
        <v/>
      </c>
      <c r="H465" s="110" t="e">
        <f>VLOOKUP(A465,'OEE REA'!A:AO,14,FALSE)</f>
        <v>#N/A</v>
      </c>
      <c r="I465" s="106"/>
      <c r="J465" s="99"/>
      <c r="K465" s="99"/>
      <c r="L465" s="107"/>
      <c r="M465" s="112" t="str">
        <f t="shared" si="75"/>
        <v/>
      </c>
      <c r="N465" s="103" t="str">
        <f t="shared" si="76"/>
        <v/>
      </c>
      <c r="O465" s="103">
        <f>IFERROR('OEE REA'!J976*'SPEED FACTOR REA'!L465,"")</f>
        <v>0</v>
      </c>
      <c r="P465" s="250" t="str">
        <f t="shared" si="77"/>
        <v/>
      </c>
      <c r="R465" s="70" t="e">
        <f t="shared" si="73"/>
        <v>#VALUE!</v>
      </c>
    </row>
    <row r="466" spans="1:18" ht="20.25" x14ac:dyDescent="0.25">
      <c r="A466" s="246">
        <f>+'OEE REA'!A977</f>
        <v>0</v>
      </c>
      <c r="B466" s="99">
        <f t="shared" si="72"/>
        <v>0</v>
      </c>
      <c r="C466" s="113">
        <f>+'OEE REA'!D977</f>
        <v>0</v>
      </c>
      <c r="D466" s="242" t="s">
        <v>2268</v>
      </c>
      <c r="E466" s="109" t="e">
        <f>VLOOKUP(A466,'OEE REA'!A:AO,13,FALSE)</f>
        <v>#N/A</v>
      </c>
      <c r="F466" s="110" t="e">
        <f>VLOOKUP(A466,'OEE REA'!A:AO,11,FALSE)</f>
        <v>#N/A</v>
      </c>
      <c r="G466" s="111" t="str">
        <f t="shared" si="74"/>
        <v/>
      </c>
      <c r="H466" s="110" t="e">
        <f>VLOOKUP(A466,'OEE REA'!A:AO,14,FALSE)</f>
        <v>#N/A</v>
      </c>
      <c r="I466" s="106"/>
      <c r="J466" s="99"/>
      <c r="K466" s="99"/>
      <c r="L466" s="107"/>
      <c r="M466" s="112" t="str">
        <f t="shared" si="75"/>
        <v/>
      </c>
      <c r="N466" s="103" t="str">
        <f t="shared" si="76"/>
        <v/>
      </c>
      <c r="O466" s="103">
        <f>IFERROR('OEE REA'!J977*'SPEED FACTOR REA'!L466,"")</f>
        <v>0</v>
      </c>
      <c r="P466" s="250" t="str">
        <f t="shared" si="77"/>
        <v/>
      </c>
      <c r="R466" s="70" t="e">
        <f t="shared" si="73"/>
        <v>#VALUE!</v>
      </c>
    </row>
    <row r="467" spans="1:18" ht="20.25" x14ac:dyDescent="0.25">
      <c r="A467" s="246">
        <f>+'OEE REA'!A978</f>
        <v>0</v>
      </c>
      <c r="B467" s="99">
        <f t="shared" si="72"/>
        <v>0</v>
      </c>
      <c r="C467" s="113">
        <f>+'OEE REA'!D978</f>
        <v>0</v>
      </c>
      <c r="D467" s="242" t="s">
        <v>2269</v>
      </c>
      <c r="E467" s="109" t="e">
        <f>VLOOKUP(A467,'OEE REA'!A:AO,13,FALSE)</f>
        <v>#N/A</v>
      </c>
      <c r="F467" s="110" t="e">
        <f>VLOOKUP(A467,'OEE REA'!A:AO,11,FALSE)</f>
        <v>#N/A</v>
      </c>
      <c r="G467" s="111" t="str">
        <f t="shared" si="74"/>
        <v/>
      </c>
      <c r="H467" s="110" t="e">
        <f>VLOOKUP(A467,'OEE REA'!A:AO,14,FALSE)</f>
        <v>#N/A</v>
      </c>
      <c r="I467" s="106"/>
      <c r="J467" s="99"/>
      <c r="K467" s="99"/>
      <c r="L467" s="107"/>
      <c r="M467" s="112" t="str">
        <f t="shared" si="75"/>
        <v/>
      </c>
      <c r="N467" s="103" t="str">
        <f t="shared" si="76"/>
        <v/>
      </c>
      <c r="O467" s="103">
        <f>IFERROR('OEE REA'!J978*'SPEED FACTOR REA'!L467,"")</f>
        <v>0</v>
      </c>
      <c r="P467" s="250" t="str">
        <f t="shared" si="77"/>
        <v/>
      </c>
      <c r="R467" s="70" t="e">
        <f t="shared" si="73"/>
        <v>#VALUE!</v>
      </c>
    </row>
    <row r="468" spans="1:18" ht="20.25" x14ac:dyDescent="0.25">
      <c r="A468" s="246">
        <f>+'OEE REA'!A979</f>
        <v>0</v>
      </c>
      <c r="B468" s="99">
        <f t="shared" si="72"/>
        <v>0</v>
      </c>
      <c r="C468" s="113">
        <f>+'OEE REA'!D979</f>
        <v>0</v>
      </c>
      <c r="D468" s="242" t="s">
        <v>2270</v>
      </c>
      <c r="E468" s="109" t="e">
        <f>VLOOKUP(A468,'OEE REA'!A:AO,13,FALSE)</f>
        <v>#N/A</v>
      </c>
      <c r="F468" s="110" t="e">
        <f>VLOOKUP(A468,'OEE REA'!A:AO,11,FALSE)</f>
        <v>#N/A</v>
      </c>
      <c r="G468" s="111" t="str">
        <f t="shared" si="74"/>
        <v/>
      </c>
      <c r="H468" s="110" t="e">
        <f>VLOOKUP(A468,'OEE REA'!A:AO,14,FALSE)</f>
        <v>#N/A</v>
      </c>
      <c r="I468" s="106"/>
      <c r="J468" s="99"/>
      <c r="K468" s="99"/>
      <c r="L468" s="107"/>
      <c r="M468" s="112" t="str">
        <f t="shared" si="75"/>
        <v/>
      </c>
      <c r="N468" s="103" t="str">
        <f t="shared" si="76"/>
        <v/>
      </c>
      <c r="O468" s="103">
        <f>IFERROR('OEE REA'!J979*'SPEED FACTOR REA'!L468,"")</f>
        <v>0</v>
      </c>
      <c r="P468" s="250" t="str">
        <f t="shared" si="77"/>
        <v/>
      </c>
      <c r="R468" s="70" t="e">
        <f t="shared" si="73"/>
        <v>#VALUE!</v>
      </c>
    </row>
    <row r="469" spans="1:18" ht="20.25" x14ac:dyDescent="0.25">
      <c r="A469" s="246">
        <f>+'OEE REA'!A980</f>
        <v>0</v>
      </c>
      <c r="B469" s="99">
        <f t="shared" si="72"/>
        <v>0</v>
      </c>
      <c r="C469" s="113">
        <f>+'OEE REA'!D980</f>
        <v>0</v>
      </c>
      <c r="D469" s="242" t="s">
        <v>2271</v>
      </c>
      <c r="E469" s="109" t="e">
        <f>VLOOKUP(A469,'OEE REA'!A:AO,13,FALSE)</f>
        <v>#N/A</v>
      </c>
      <c r="F469" s="110" t="e">
        <f>VLOOKUP(A469,'OEE REA'!A:AO,11,FALSE)</f>
        <v>#N/A</v>
      </c>
      <c r="G469" s="111" t="str">
        <f t="shared" si="74"/>
        <v/>
      </c>
      <c r="H469" s="110" t="e">
        <f>VLOOKUP(A469,'OEE REA'!A:AO,14,FALSE)</f>
        <v>#N/A</v>
      </c>
      <c r="I469" s="106"/>
      <c r="J469" s="99"/>
      <c r="K469" s="99"/>
      <c r="L469" s="107"/>
      <c r="M469" s="112" t="str">
        <f t="shared" si="75"/>
        <v/>
      </c>
      <c r="N469" s="103" t="str">
        <f t="shared" si="76"/>
        <v/>
      </c>
      <c r="O469" s="103">
        <f>IFERROR('OEE REA'!J980*'SPEED FACTOR REA'!L469,"")</f>
        <v>0</v>
      </c>
      <c r="P469" s="250" t="str">
        <f t="shared" si="77"/>
        <v/>
      </c>
      <c r="R469" s="70" t="e">
        <f t="shared" si="73"/>
        <v>#VALUE!</v>
      </c>
    </row>
    <row r="470" spans="1:18" ht="20.25" x14ac:dyDescent="0.25">
      <c r="A470" s="246">
        <f>+'OEE REA'!A981</f>
        <v>0</v>
      </c>
      <c r="B470" s="99">
        <f t="shared" si="72"/>
        <v>0</v>
      </c>
      <c r="C470" s="113">
        <f>+'OEE REA'!D981</f>
        <v>0</v>
      </c>
      <c r="D470" s="242" t="s">
        <v>2272</v>
      </c>
      <c r="E470" s="109" t="e">
        <f>VLOOKUP(A470,'OEE REA'!A:AO,13,FALSE)</f>
        <v>#N/A</v>
      </c>
      <c r="F470" s="110" t="e">
        <f>VLOOKUP(A470,'OEE REA'!A:AO,11,FALSE)</f>
        <v>#N/A</v>
      </c>
      <c r="G470" s="111" t="str">
        <f t="shared" si="74"/>
        <v/>
      </c>
      <c r="H470" s="110" t="e">
        <f>VLOOKUP(A470,'OEE REA'!A:AO,14,FALSE)</f>
        <v>#N/A</v>
      </c>
      <c r="I470" s="106"/>
      <c r="J470" s="99"/>
      <c r="K470" s="99"/>
      <c r="L470" s="107"/>
      <c r="M470" s="112" t="str">
        <f t="shared" si="75"/>
        <v/>
      </c>
      <c r="N470" s="103" t="str">
        <f t="shared" si="76"/>
        <v/>
      </c>
      <c r="O470" s="103">
        <f>IFERROR('OEE REA'!J981*'SPEED FACTOR REA'!L470,"")</f>
        <v>0</v>
      </c>
      <c r="P470" s="250" t="str">
        <f t="shared" si="77"/>
        <v/>
      </c>
      <c r="R470" s="70" t="e">
        <f t="shared" si="73"/>
        <v>#VALUE!</v>
      </c>
    </row>
    <row r="471" spans="1:18" ht="20.25" x14ac:dyDescent="0.25">
      <c r="A471" s="246">
        <f>+'OEE REA'!A982</f>
        <v>0</v>
      </c>
      <c r="B471" s="99">
        <f t="shared" si="72"/>
        <v>0</v>
      </c>
      <c r="C471" s="113">
        <f>+'OEE REA'!D982</f>
        <v>0</v>
      </c>
      <c r="D471" s="242" t="s">
        <v>2273</v>
      </c>
      <c r="E471" s="109" t="e">
        <f>VLOOKUP(A471,'OEE REA'!A:AO,13,FALSE)</f>
        <v>#N/A</v>
      </c>
      <c r="F471" s="110" t="e">
        <f>VLOOKUP(A471,'OEE REA'!A:AO,11,FALSE)</f>
        <v>#N/A</v>
      </c>
      <c r="G471" s="111" t="str">
        <f t="shared" si="74"/>
        <v/>
      </c>
      <c r="H471" s="110" t="e">
        <f>VLOOKUP(A471,'OEE REA'!A:AO,14,FALSE)</f>
        <v>#N/A</v>
      </c>
      <c r="I471" s="106"/>
      <c r="J471" s="99"/>
      <c r="K471" s="99"/>
      <c r="L471" s="107"/>
      <c r="M471" s="112" t="str">
        <f t="shared" si="75"/>
        <v/>
      </c>
      <c r="N471" s="103" t="str">
        <f t="shared" si="76"/>
        <v/>
      </c>
      <c r="O471" s="103">
        <f>IFERROR('OEE REA'!J982*'SPEED FACTOR REA'!L471,"")</f>
        <v>0</v>
      </c>
      <c r="P471" s="250" t="str">
        <f t="shared" si="77"/>
        <v/>
      </c>
      <c r="R471" s="70" t="e">
        <f t="shared" si="73"/>
        <v>#VALUE!</v>
      </c>
    </row>
    <row r="472" spans="1:18" ht="20.25" x14ac:dyDescent="0.25">
      <c r="A472" s="246">
        <f>+'OEE REA'!A983</f>
        <v>0</v>
      </c>
      <c r="B472" s="99">
        <f t="shared" si="72"/>
        <v>0</v>
      </c>
      <c r="C472" s="113">
        <f>+'OEE REA'!D983</f>
        <v>0</v>
      </c>
      <c r="D472" s="242" t="s">
        <v>2274</v>
      </c>
      <c r="E472" s="109" t="e">
        <f>VLOOKUP(A472,'OEE REA'!A:AO,13,FALSE)</f>
        <v>#N/A</v>
      </c>
      <c r="F472" s="110" t="e">
        <f>VLOOKUP(A472,'OEE REA'!A:AO,11,FALSE)</f>
        <v>#N/A</v>
      </c>
      <c r="G472" s="111" t="str">
        <f t="shared" si="74"/>
        <v/>
      </c>
      <c r="H472" s="110" t="e">
        <f>VLOOKUP(A472,'OEE REA'!A:AO,14,FALSE)</f>
        <v>#N/A</v>
      </c>
      <c r="I472" s="106"/>
      <c r="J472" s="99"/>
      <c r="K472" s="99"/>
      <c r="L472" s="107"/>
      <c r="M472" s="112" t="str">
        <f t="shared" si="75"/>
        <v/>
      </c>
      <c r="N472" s="103" t="str">
        <f t="shared" si="76"/>
        <v/>
      </c>
      <c r="O472" s="103">
        <f>IFERROR('OEE REA'!J983*'SPEED FACTOR REA'!L472,"")</f>
        <v>0</v>
      </c>
      <c r="P472" s="250" t="str">
        <f t="shared" si="77"/>
        <v/>
      </c>
      <c r="R472" s="70" t="e">
        <f t="shared" si="73"/>
        <v>#VALUE!</v>
      </c>
    </row>
    <row r="473" spans="1:18" ht="20.25" x14ac:dyDescent="0.25">
      <c r="A473" s="246">
        <f>+'OEE REA'!A984</f>
        <v>0</v>
      </c>
      <c r="B473" s="99">
        <f t="shared" si="72"/>
        <v>0</v>
      </c>
      <c r="C473" s="113">
        <f>+'OEE REA'!D984</f>
        <v>0</v>
      </c>
      <c r="D473" s="242" t="s">
        <v>2275</v>
      </c>
      <c r="E473" s="109" t="e">
        <f>VLOOKUP(A473,'OEE REA'!A:AO,13,FALSE)</f>
        <v>#N/A</v>
      </c>
      <c r="F473" s="110" t="e">
        <f>VLOOKUP(A473,'OEE REA'!A:AO,11,FALSE)</f>
        <v>#N/A</v>
      </c>
      <c r="G473" s="111" t="str">
        <f t="shared" si="74"/>
        <v/>
      </c>
      <c r="H473" s="110" t="e">
        <f>VLOOKUP(A473,'OEE REA'!A:AO,14,FALSE)</f>
        <v>#N/A</v>
      </c>
      <c r="I473" s="106"/>
      <c r="J473" s="99"/>
      <c r="K473" s="99"/>
      <c r="L473" s="107"/>
      <c r="M473" s="112" t="str">
        <f t="shared" si="75"/>
        <v/>
      </c>
      <c r="N473" s="103" t="str">
        <f t="shared" si="76"/>
        <v/>
      </c>
      <c r="O473" s="103">
        <f>IFERROR('OEE REA'!J984*'SPEED FACTOR REA'!L473,"")</f>
        <v>0</v>
      </c>
      <c r="P473" s="250" t="str">
        <f t="shared" si="77"/>
        <v/>
      </c>
      <c r="R473" s="70" t="e">
        <f t="shared" si="73"/>
        <v>#VALUE!</v>
      </c>
    </row>
    <row r="474" spans="1:18" ht="20.25" x14ac:dyDescent="0.25">
      <c r="A474" s="246">
        <f>+'OEE REA'!A985</f>
        <v>0</v>
      </c>
      <c r="B474" s="99">
        <f t="shared" si="72"/>
        <v>0</v>
      </c>
      <c r="C474" s="113">
        <f>+'OEE REA'!D985</f>
        <v>0</v>
      </c>
      <c r="D474" s="242" t="s">
        <v>2276</v>
      </c>
      <c r="E474" s="109" t="e">
        <f>VLOOKUP(A474,'OEE REA'!A:AO,13,FALSE)</f>
        <v>#N/A</v>
      </c>
      <c r="F474" s="110" t="e">
        <f>VLOOKUP(A474,'OEE REA'!A:AO,11,FALSE)</f>
        <v>#N/A</v>
      </c>
      <c r="G474" s="111" t="str">
        <f t="shared" si="74"/>
        <v/>
      </c>
      <c r="H474" s="110" t="e">
        <f>VLOOKUP(A474,'OEE REA'!A:AO,14,FALSE)</f>
        <v>#N/A</v>
      </c>
      <c r="I474" s="106"/>
      <c r="J474" s="99"/>
      <c r="K474" s="99"/>
      <c r="L474" s="107"/>
      <c r="M474" s="112" t="str">
        <f t="shared" si="75"/>
        <v/>
      </c>
      <c r="N474" s="103" t="str">
        <f t="shared" si="76"/>
        <v/>
      </c>
      <c r="O474" s="103">
        <f>IFERROR('OEE REA'!J985*'SPEED FACTOR REA'!L474,"")</f>
        <v>0</v>
      </c>
      <c r="P474" s="250" t="str">
        <f t="shared" si="77"/>
        <v/>
      </c>
      <c r="R474" s="70" t="e">
        <f t="shared" si="73"/>
        <v>#VALUE!</v>
      </c>
    </row>
    <row r="475" spans="1:18" ht="20.25" x14ac:dyDescent="0.25">
      <c r="A475" s="246">
        <f>+'OEE REA'!A986</f>
        <v>0</v>
      </c>
      <c r="B475" s="99">
        <f t="shared" si="72"/>
        <v>0</v>
      </c>
      <c r="C475" s="113">
        <f>+'OEE REA'!D986</f>
        <v>0</v>
      </c>
      <c r="D475" s="242" t="s">
        <v>2277</v>
      </c>
      <c r="E475" s="109" t="e">
        <f>VLOOKUP(A475,'OEE REA'!A:AO,13,FALSE)</f>
        <v>#N/A</v>
      </c>
      <c r="F475" s="110" t="e">
        <f>VLOOKUP(A475,'OEE REA'!A:AO,11,FALSE)</f>
        <v>#N/A</v>
      </c>
      <c r="G475" s="111" t="str">
        <f t="shared" si="74"/>
        <v/>
      </c>
      <c r="H475" s="110" t="e">
        <f>VLOOKUP(A475,'OEE REA'!A:AO,14,FALSE)</f>
        <v>#N/A</v>
      </c>
      <c r="I475" s="106"/>
      <c r="J475" s="99"/>
      <c r="K475" s="99"/>
      <c r="L475" s="107"/>
      <c r="M475" s="112" t="str">
        <f t="shared" si="75"/>
        <v/>
      </c>
      <c r="N475" s="103" t="str">
        <f t="shared" si="76"/>
        <v/>
      </c>
      <c r="O475" s="103">
        <f>IFERROR('OEE REA'!J986*'SPEED FACTOR REA'!L475,"")</f>
        <v>0</v>
      </c>
      <c r="P475" s="250" t="str">
        <f t="shared" si="77"/>
        <v/>
      </c>
      <c r="R475" s="70" t="e">
        <f t="shared" si="73"/>
        <v>#VALUE!</v>
      </c>
    </row>
    <row r="476" spans="1:18" ht="20.25" x14ac:dyDescent="0.25">
      <c r="A476" s="246">
        <f>+'OEE REA'!A987</f>
        <v>0</v>
      </c>
      <c r="B476" s="99">
        <f t="shared" si="72"/>
        <v>0</v>
      </c>
      <c r="C476" s="113">
        <f>+'OEE REA'!D987</f>
        <v>0</v>
      </c>
      <c r="D476" s="242" t="s">
        <v>2278</v>
      </c>
      <c r="E476" s="109" t="e">
        <f>VLOOKUP(A476,'OEE REA'!A:AO,13,FALSE)</f>
        <v>#N/A</v>
      </c>
      <c r="F476" s="110" t="e">
        <f>VLOOKUP(A476,'OEE REA'!A:AO,11,FALSE)</f>
        <v>#N/A</v>
      </c>
      <c r="G476" s="111" t="str">
        <f t="shared" si="74"/>
        <v/>
      </c>
      <c r="H476" s="110" t="e">
        <f>VLOOKUP(A476,'OEE REA'!A:AO,14,FALSE)</f>
        <v>#N/A</v>
      </c>
      <c r="I476" s="106"/>
      <c r="J476" s="99"/>
      <c r="K476" s="99"/>
      <c r="L476" s="107"/>
      <c r="M476" s="112" t="str">
        <f t="shared" si="75"/>
        <v/>
      </c>
      <c r="N476" s="103" t="str">
        <f t="shared" si="76"/>
        <v/>
      </c>
      <c r="O476" s="103">
        <f>IFERROR('OEE REA'!J987*'SPEED FACTOR REA'!L476,"")</f>
        <v>0</v>
      </c>
      <c r="P476" s="250" t="str">
        <f t="shared" si="77"/>
        <v/>
      </c>
      <c r="R476" s="70" t="e">
        <f t="shared" si="73"/>
        <v>#VALUE!</v>
      </c>
    </row>
    <row r="477" spans="1:18" ht="20.25" x14ac:dyDescent="0.25">
      <c r="A477" s="246">
        <f>+'OEE REA'!A988</f>
        <v>0</v>
      </c>
      <c r="B477" s="99">
        <f t="shared" si="72"/>
        <v>0</v>
      </c>
      <c r="C477" s="113">
        <f>+'OEE REA'!D988</f>
        <v>0</v>
      </c>
      <c r="D477" s="242" t="s">
        <v>2279</v>
      </c>
      <c r="E477" s="109" t="e">
        <f>VLOOKUP(A477,'OEE REA'!A:AO,13,FALSE)</f>
        <v>#N/A</v>
      </c>
      <c r="F477" s="110" t="e">
        <f>VLOOKUP(A477,'OEE REA'!A:AO,11,FALSE)</f>
        <v>#N/A</v>
      </c>
      <c r="G477" s="111" t="str">
        <f t="shared" si="74"/>
        <v/>
      </c>
      <c r="H477" s="110" t="e">
        <f>VLOOKUP(A477,'OEE REA'!A:AO,14,FALSE)</f>
        <v>#N/A</v>
      </c>
      <c r="I477" s="106"/>
      <c r="J477" s="99"/>
      <c r="K477" s="99"/>
      <c r="L477" s="107"/>
      <c r="M477" s="112" t="str">
        <f t="shared" si="75"/>
        <v/>
      </c>
      <c r="N477" s="103" t="str">
        <f t="shared" si="76"/>
        <v/>
      </c>
      <c r="O477" s="103">
        <f>IFERROR('OEE REA'!J988*'SPEED FACTOR REA'!L477,"")</f>
        <v>0</v>
      </c>
      <c r="P477" s="250" t="str">
        <f t="shared" si="77"/>
        <v/>
      </c>
      <c r="R477" s="70" t="e">
        <f t="shared" si="73"/>
        <v>#VALUE!</v>
      </c>
    </row>
    <row r="478" spans="1:18" ht="20.25" x14ac:dyDescent="0.25">
      <c r="A478" s="246">
        <f>+'OEE REA'!A989</f>
        <v>0</v>
      </c>
      <c r="B478" s="99">
        <f t="shared" si="72"/>
        <v>0</v>
      </c>
      <c r="C478" s="113">
        <f>+'OEE REA'!D989</f>
        <v>0</v>
      </c>
      <c r="D478" s="242" t="s">
        <v>2280</v>
      </c>
      <c r="E478" s="109" t="e">
        <f>VLOOKUP(A478,'OEE REA'!A:AO,13,FALSE)</f>
        <v>#N/A</v>
      </c>
      <c r="F478" s="110" t="e">
        <f>VLOOKUP(A478,'OEE REA'!A:AO,11,FALSE)</f>
        <v>#N/A</v>
      </c>
      <c r="G478" s="111" t="str">
        <f t="shared" si="74"/>
        <v/>
      </c>
      <c r="H478" s="110" t="e">
        <f>VLOOKUP(A478,'OEE REA'!A:AO,14,FALSE)</f>
        <v>#N/A</v>
      </c>
      <c r="I478" s="106"/>
      <c r="J478" s="99"/>
      <c r="K478" s="99"/>
      <c r="L478" s="107"/>
      <c r="M478" s="112" t="str">
        <f t="shared" si="75"/>
        <v/>
      </c>
      <c r="N478" s="103" t="str">
        <f t="shared" si="76"/>
        <v/>
      </c>
      <c r="O478" s="103">
        <f>IFERROR('OEE REA'!J989*'SPEED FACTOR REA'!L478,"")</f>
        <v>0</v>
      </c>
      <c r="P478" s="250" t="str">
        <f t="shared" si="77"/>
        <v/>
      </c>
      <c r="R478" s="70" t="e">
        <f t="shared" si="73"/>
        <v>#VALUE!</v>
      </c>
    </row>
    <row r="479" spans="1:18" ht="20.25" x14ac:dyDescent="0.25">
      <c r="A479" s="246">
        <f>+'OEE REA'!A990</f>
        <v>0</v>
      </c>
      <c r="B479" s="99">
        <f t="shared" si="72"/>
        <v>0</v>
      </c>
      <c r="C479" s="113">
        <f>+'OEE REA'!D990</f>
        <v>0</v>
      </c>
      <c r="D479" s="242" t="s">
        <v>2281</v>
      </c>
      <c r="E479" s="109" t="e">
        <f>VLOOKUP(A479,'OEE REA'!A:AO,13,FALSE)</f>
        <v>#N/A</v>
      </c>
      <c r="F479" s="110" t="e">
        <f>VLOOKUP(A479,'OEE REA'!A:AO,11,FALSE)</f>
        <v>#N/A</v>
      </c>
      <c r="G479" s="111" t="str">
        <f t="shared" si="74"/>
        <v/>
      </c>
      <c r="H479" s="110" t="e">
        <f>VLOOKUP(A479,'OEE REA'!A:AO,14,FALSE)</f>
        <v>#N/A</v>
      </c>
      <c r="I479" s="106"/>
      <c r="J479" s="99"/>
      <c r="K479" s="99"/>
      <c r="L479" s="107"/>
      <c r="M479" s="112" t="str">
        <f t="shared" si="75"/>
        <v/>
      </c>
      <c r="N479" s="103" t="str">
        <f t="shared" si="76"/>
        <v/>
      </c>
      <c r="O479" s="103">
        <f>IFERROR('OEE REA'!J990*'SPEED FACTOR REA'!L479,"")</f>
        <v>0</v>
      </c>
      <c r="P479" s="250" t="str">
        <f t="shared" si="77"/>
        <v/>
      </c>
      <c r="R479" s="70" t="e">
        <f t="shared" si="73"/>
        <v>#VALUE!</v>
      </c>
    </row>
    <row r="480" spans="1:18" ht="20.25" x14ac:dyDescent="0.25">
      <c r="A480" s="246">
        <f>+'OEE REA'!A991</f>
        <v>0</v>
      </c>
      <c r="B480" s="99">
        <f t="shared" si="72"/>
        <v>0</v>
      </c>
      <c r="C480" s="113">
        <f>+'OEE REA'!D991</f>
        <v>0</v>
      </c>
      <c r="D480" s="242" t="s">
        <v>2282</v>
      </c>
      <c r="E480" s="109" t="e">
        <f>VLOOKUP(A480,'OEE REA'!A:AO,13,FALSE)</f>
        <v>#N/A</v>
      </c>
      <c r="F480" s="110" t="e">
        <f>VLOOKUP(A480,'OEE REA'!A:AO,11,FALSE)</f>
        <v>#N/A</v>
      </c>
      <c r="G480" s="111" t="str">
        <f t="shared" si="74"/>
        <v/>
      </c>
      <c r="H480" s="110" t="e">
        <f>VLOOKUP(A480,'OEE REA'!A:AO,14,FALSE)</f>
        <v>#N/A</v>
      </c>
      <c r="I480" s="106"/>
      <c r="J480" s="99"/>
      <c r="K480" s="99"/>
      <c r="L480" s="107"/>
      <c r="M480" s="112" t="str">
        <f t="shared" si="75"/>
        <v/>
      </c>
      <c r="N480" s="103" t="str">
        <f t="shared" si="76"/>
        <v/>
      </c>
      <c r="O480" s="103">
        <f>IFERROR('OEE REA'!J991*'SPEED FACTOR REA'!L480,"")</f>
        <v>0</v>
      </c>
      <c r="P480" s="250" t="str">
        <f t="shared" si="77"/>
        <v/>
      </c>
      <c r="R480" s="70" t="e">
        <f t="shared" si="73"/>
        <v>#VALUE!</v>
      </c>
    </row>
    <row r="481" spans="1:18" ht="20.25" x14ac:dyDescent="0.25">
      <c r="A481" s="246">
        <f>+'OEE REA'!A992</f>
        <v>0</v>
      </c>
      <c r="B481" s="99">
        <f t="shared" ref="B481:B544" si="78">WEEKNUM(C481)</f>
        <v>0</v>
      </c>
      <c r="C481" s="113">
        <f>+'OEE REA'!D992</f>
        <v>0</v>
      </c>
      <c r="D481" s="242" t="s">
        <v>2283</v>
      </c>
      <c r="E481" s="109" t="e">
        <f>VLOOKUP(A481,'OEE REA'!A:AO,13,FALSE)</f>
        <v>#N/A</v>
      </c>
      <c r="F481" s="110" t="e">
        <f>VLOOKUP(A481,'OEE REA'!A:AO,11,FALSE)</f>
        <v>#N/A</v>
      </c>
      <c r="G481" s="111" t="str">
        <f t="shared" si="74"/>
        <v/>
      </c>
      <c r="H481" s="110" t="e">
        <f>VLOOKUP(A481,'OEE REA'!A:AO,14,FALSE)</f>
        <v>#N/A</v>
      </c>
      <c r="I481" s="106"/>
      <c r="J481" s="99"/>
      <c r="K481" s="99"/>
      <c r="L481" s="107"/>
      <c r="M481" s="112" t="str">
        <f t="shared" si="75"/>
        <v/>
      </c>
      <c r="N481" s="103" t="str">
        <f t="shared" si="76"/>
        <v/>
      </c>
      <c r="O481" s="103">
        <f>IFERROR('OEE REA'!J992*'SPEED FACTOR REA'!L481,"")</f>
        <v>0</v>
      </c>
      <c r="P481" s="250" t="str">
        <f t="shared" si="77"/>
        <v/>
      </c>
      <c r="R481" s="70" t="e">
        <f t="shared" ref="R481:R544" si="79">G481/O481</f>
        <v>#VALUE!</v>
      </c>
    </row>
    <row r="482" spans="1:18" ht="20.25" x14ac:dyDescent="0.25">
      <c r="A482" s="246">
        <f>+'OEE REA'!A993</f>
        <v>0</v>
      </c>
      <c r="B482" s="99">
        <f t="shared" si="78"/>
        <v>0</v>
      </c>
      <c r="C482" s="113">
        <f>+'OEE REA'!D993</f>
        <v>0</v>
      </c>
      <c r="D482" s="242" t="s">
        <v>2284</v>
      </c>
      <c r="E482" s="109" t="e">
        <f>VLOOKUP(A482,'OEE REA'!A:AO,13,FALSE)</f>
        <v>#N/A</v>
      </c>
      <c r="F482" s="110" t="e">
        <f>VLOOKUP(A482,'OEE REA'!A:AO,11,FALSE)</f>
        <v>#N/A</v>
      </c>
      <c r="G482" s="111" t="str">
        <f t="shared" si="74"/>
        <v/>
      </c>
      <c r="H482" s="110" t="e">
        <f>VLOOKUP(A482,'OEE REA'!A:AO,14,FALSE)</f>
        <v>#N/A</v>
      </c>
      <c r="I482" s="106"/>
      <c r="J482" s="99"/>
      <c r="K482" s="99"/>
      <c r="L482" s="107"/>
      <c r="M482" s="112" t="str">
        <f t="shared" si="75"/>
        <v/>
      </c>
      <c r="N482" s="103" t="str">
        <f t="shared" si="76"/>
        <v/>
      </c>
      <c r="O482" s="103">
        <f>IFERROR('OEE REA'!J993*'SPEED FACTOR REA'!L482,"")</f>
        <v>0</v>
      </c>
      <c r="P482" s="250" t="str">
        <f t="shared" si="77"/>
        <v/>
      </c>
      <c r="R482" s="70" t="e">
        <f t="shared" si="79"/>
        <v>#VALUE!</v>
      </c>
    </row>
    <row r="483" spans="1:18" ht="20.25" x14ac:dyDescent="0.25">
      <c r="A483" s="246">
        <f>+'OEE REA'!A994</f>
        <v>0</v>
      </c>
      <c r="B483" s="99">
        <f t="shared" si="78"/>
        <v>0</v>
      </c>
      <c r="C483" s="113">
        <f>+'OEE REA'!D994</f>
        <v>0</v>
      </c>
      <c r="D483" s="242" t="s">
        <v>2285</v>
      </c>
      <c r="E483" s="109" t="e">
        <f>VLOOKUP(A483,'OEE REA'!A:AO,13,FALSE)</f>
        <v>#N/A</v>
      </c>
      <c r="F483" s="110" t="e">
        <f>VLOOKUP(A483,'OEE REA'!A:AO,11,FALSE)</f>
        <v>#N/A</v>
      </c>
      <c r="G483" s="111" t="str">
        <f t="shared" si="74"/>
        <v/>
      </c>
      <c r="H483" s="110" t="e">
        <f>VLOOKUP(A483,'OEE REA'!A:AO,14,FALSE)</f>
        <v>#N/A</v>
      </c>
      <c r="I483" s="106"/>
      <c r="J483" s="99"/>
      <c r="K483" s="99"/>
      <c r="L483" s="107"/>
      <c r="M483" s="112" t="str">
        <f t="shared" si="75"/>
        <v/>
      </c>
      <c r="N483" s="103" t="str">
        <f t="shared" si="76"/>
        <v/>
      </c>
      <c r="O483" s="103">
        <f>IFERROR('OEE REA'!J994*'SPEED FACTOR REA'!L483,"")</f>
        <v>0</v>
      </c>
      <c r="P483" s="250" t="str">
        <f t="shared" si="77"/>
        <v/>
      </c>
      <c r="R483" s="70" t="e">
        <f t="shared" si="79"/>
        <v>#VALUE!</v>
      </c>
    </row>
    <row r="484" spans="1:18" ht="20.25" x14ac:dyDescent="0.25">
      <c r="A484" s="246">
        <f>+'OEE REA'!A995</f>
        <v>0</v>
      </c>
      <c r="B484" s="99">
        <f t="shared" si="78"/>
        <v>0</v>
      </c>
      <c r="C484" s="113">
        <f>+'OEE REA'!D995</f>
        <v>0</v>
      </c>
      <c r="D484" s="242" t="s">
        <v>2286</v>
      </c>
      <c r="E484" s="109" t="e">
        <f>VLOOKUP(A484,'OEE REA'!A:AO,13,FALSE)</f>
        <v>#N/A</v>
      </c>
      <c r="F484" s="110" t="e">
        <f>VLOOKUP(A484,'OEE REA'!A:AO,11,FALSE)</f>
        <v>#N/A</v>
      </c>
      <c r="G484" s="111" t="str">
        <f t="shared" si="74"/>
        <v/>
      </c>
      <c r="H484" s="110" t="e">
        <f>VLOOKUP(A484,'OEE REA'!A:AO,14,FALSE)</f>
        <v>#N/A</v>
      </c>
      <c r="I484" s="106"/>
      <c r="J484" s="99"/>
      <c r="K484" s="99"/>
      <c r="L484" s="107"/>
      <c r="M484" s="112" t="str">
        <f t="shared" si="75"/>
        <v/>
      </c>
      <c r="N484" s="103" t="str">
        <f t="shared" si="76"/>
        <v/>
      </c>
      <c r="O484" s="103">
        <f>IFERROR('OEE REA'!J995*'SPEED FACTOR REA'!L484,"")</f>
        <v>0</v>
      </c>
      <c r="P484" s="250" t="str">
        <f t="shared" si="77"/>
        <v/>
      </c>
      <c r="R484" s="70" t="e">
        <f t="shared" si="79"/>
        <v>#VALUE!</v>
      </c>
    </row>
    <row r="485" spans="1:18" ht="20.25" x14ac:dyDescent="0.25">
      <c r="A485" s="246">
        <f>+'OEE REA'!A996</f>
        <v>0</v>
      </c>
      <c r="B485" s="99">
        <f t="shared" si="78"/>
        <v>0</v>
      </c>
      <c r="C485" s="113">
        <f>+'OEE REA'!D996</f>
        <v>0</v>
      </c>
      <c r="D485" s="242" t="s">
        <v>2287</v>
      </c>
      <c r="E485" s="109" t="e">
        <f>VLOOKUP(A485,'OEE REA'!A:AO,13,FALSE)</f>
        <v>#N/A</v>
      </c>
      <c r="F485" s="110" t="e">
        <f>VLOOKUP(A485,'OEE REA'!A:AO,11,FALSE)</f>
        <v>#N/A</v>
      </c>
      <c r="G485" s="111" t="str">
        <f t="shared" si="74"/>
        <v/>
      </c>
      <c r="H485" s="110" t="e">
        <f>VLOOKUP(A485,'OEE REA'!A:AO,14,FALSE)</f>
        <v>#N/A</v>
      </c>
      <c r="I485" s="106"/>
      <c r="J485" s="99"/>
      <c r="K485" s="99"/>
      <c r="L485" s="107"/>
      <c r="M485" s="112" t="str">
        <f t="shared" si="75"/>
        <v/>
      </c>
      <c r="N485" s="103" t="str">
        <f t="shared" si="76"/>
        <v/>
      </c>
      <c r="O485" s="103">
        <f>IFERROR('OEE REA'!J996*'SPEED FACTOR REA'!L485,"")</f>
        <v>0</v>
      </c>
      <c r="P485" s="250" t="str">
        <f t="shared" si="77"/>
        <v/>
      </c>
      <c r="R485" s="70" t="e">
        <f t="shared" si="79"/>
        <v>#VALUE!</v>
      </c>
    </row>
    <row r="486" spans="1:18" ht="20.25" x14ac:dyDescent="0.25">
      <c r="A486" s="246">
        <f>+'OEE REA'!A997</f>
        <v>0</v>
      </c>
      <c r="B486" s="99">
        <f t="shared" si="78"/>
        <v>0</v>
      </c>
      <c r="C486" s="113">
        <f>+'OEE REA'!D997</f>
        <v>0</v>
      </c>
      <c r="D486" s="242" t="s">
        <v>2288</v>
      </c>
      <c r="E486" s="109" t="e">
        <f>VLOOKUP(A486,'OEE REA'!A:AO,13,FALSE)</f>
        <v>#N/A</v>
      </c>
      <c r="F486" s="110" t="e">
        <f>VLOOKUP(A486,'OEE REA'!A:AO,11,FALSE)</f>
        <v>#N/A</v>
      </c>
      <c r="G486" s="111" t="str">
        <f t="shared" si="74"/>
        <v/>
      </c>
      <c r="H486" s="110" t="e">
        <f>VLOOKUP(A486,'OEE REA'!A:AO,14,FALSE)</f>
        <v>#N/A</v>
      </c>
      <c r="I486" s="106"/>
      <c r="J486" s="99"/>
      <c r="K486" s="99"/>
      <c r="L486" s="107"/>
      <c r="M486" s="112" t="str">
        <f t="shared" si="75"/>
        <v/>
      </c>
      <c r="N486" s="103" t="str">
        <f t="shared" si="76"/>
        <v/>
      </c>
      <c r="O486" s="103">
        <f>IFERROR('OEE REA'!J997*'SPEED FACTOR REA'!L486,"")</f>
        <v>0</v>
      </c>
      <c r="P486" s="250" t="str">
        <f t="shared" si="77"/>
        <v/>
      </c>
      <c r="R486" s="70" t="e">
        <f t="shared" si="79"/>
        <v>#VALUE!</v>
      </c>
    </row>
    <row r="487" spans="1:18" ht="20.25" x14ac:dyDescent="0.25">
      <c r="A487" s="246">
        <f>+'OEE REA'!A998</f>
        <v>0</v>
      </c>
      <c r="B487" s="99">
        <f t="shared" si="78"/>
        <v>0</v>
      </c>
      <c r="C487" s="113">
        <f>+'OEE REA'!D998</f>
        <v>0</v>
      </c>
      <c r="D487" s="242" t="s">
        <v>2289</v>
      </c>
      <c r="E487" s="109" t="e">
        <f>VLOOKUP(A487,'OEE REA'!A:AO,13,FALSE)</f>
        <v>#N/A</v>
      </c>
      <c r="F487" s="110" t="e">
        <f>VLOOKUP(A487,'OEE REA'!A:AO,11,FALSE)</f>
        <v>#N/A</v>
      </c>
      <c r="G487" s="111" t="str">
        <f t="shared" si="74"/>
        <v/>
      </c>
      <c r="H487" s="110" t="e">
        <f>VLOOKUP(A487,'OEE REA'!A:AO,14,FALSE)</f>
        <v>#N/A</v>
      </c>
      <c r="I487" s="106"/>
      <c r="J487" s="99"/>
      <c r="K487" s="99"/>
      <c r="L487" s="107"/>
      <c r="M487" s="112" t="str">
        <f t="shared" si="75"/>
        <v/>
      </c>
      <c r="N487" s="103" t="str">
        <f t="shared" si="76"/>
        <v/>
      </c>
      <c r="O487" s="103">
        <f>IFERROR('OEE REA'!J998*'SPEED FACTOR REA'!L487,"")</f>
        <v>0</v>
      </c>
      <c r="P487" s="250" t="str">
        <f t="shared" si="77"/>
        <v/>
      </c>
      <c r="R487" s="70" t="e">
        <f t="shared" si="79"/>
        <v>#VALUE!</v>
      </c>
    </row>
    <row r="488" spans="1:18" ht="20.25" x14ac:dyDescent="0.25">
      <c r="A488" s="246">
        <f>+'OEE REA'!A999</f>
        <v>0</v>
      </c>
      <c r="B488" s="99">
        <f t="shared" si="78"/>
        <v>0</v>
      </c>
      <c r="C488" s="113">
        <f>+'OEE REA'!D999</f>
        <v>0</v>
      </c>
      <c r="D488" s="242" t="s">
        <v>2290</v>
      </c>
      <c r="E488" s="109" t="e">
        <f>VLOOKUP(A488,'OEE REA'!A:AO,13,FALSE)</f>
        <v>#N/A</v>
      </c>
      <c r="F488" s="110" t="e">
        <f>VLOOKUP(A488,'OEE REA'!A:AO,11,FALSE)</f>
        <v>#N/A</v>
      </c>
      <c r="G488" s="111" t="str">
        <f t="shared" si="74"/>
        <v/>
      </c>
      <c r="H488" s="110" t="e">
        <f>VLOOKUP(A488,'OEE REA'!A:AO,14,FALSE)</f>
        <v>#N/A</v>
      </c>
      <c r="I488" s="106"/>
      <c r="J488" s="99"/>
      <c r="K488" s="99"/>
      <c r="L488" s="107"/>
      <c r="M488" s="112" t="str">
        <f t="shared" si="75"/>
        <v/>
      </c>
      <c r="N488" s="103" t="str">
        <f t="shared" si="76"/>
        <v/>
      </c>
      <c r="O488" s="103">
        <f>IFERROR('OEE REA'!J999*'SPEED FACTOR REA'!L488,"")</f>
        <v>0</v>
      </c>
      <c r="P488" s="250" t="str">
        <f t="shared" si="77"/>
        <v/>
      </c>
      <c r="R488" s="70" t="e">
        <f t="shared" si="79"/>
        <v>#VALUE!</v>
      </c>
    </row>
    <row r="489" spans="1:18" ht="20.25" x14ac:dyDescent="0.25">
      <c r="A489" s="246">
        <f>+'OEE REA'!A1000</f>
        <v>0</v>
      </c>
      <c r="B489" s="99">
        <f t="shared" si="78"/>
        <v>0</v>
      </c>
      <c r="C489" s="113">
        <f>+'OEE REA'!D1000</f>
        <v>0</v>
      </c>
      <c r="D489" s="242" t="s">
        <v>2291</v>
      </c>
      <c r="E489" s="109" t="e">
        <f>VLOOKUP(A489,'OEE REA'!A:AO,13,FALSE)</f>
        <v>#N/A</v>
      </c>
      <c r="F489" s="110" t="e">
        <f>VLOOKUP(A489,'OEE REA'!A:AO,11,FALSE)</f>
        <v>#N/A</v>
      </c>
      <c r="G489" s="111" t="str">
        <f t="shared" si="74"/>
        <v/>
      </c>
      <c r="H489" s="110" t="e">
        <f>VLOOKUP(A489,'OEE REA'!A:AO,14,FALSE)</f>
        <v>#N/A</v>
      </c>
      <c r="I489" s="106"/>
      <c r="J489" s="99"/>
      <c r="K489" s="99"/>
      <c r="L489" s="107"/>
      <c r="M489" s="112" t="str">
        <f t="shared" si="75"/>
        <v/>
      </c>
      <c r="N489" s="103" t="str">
        <f t="shared" si="76"/>
        <v/>
      </c>
      <c r="O489" s="103">
        <f>IFERROR('OEE REA'!J1000*'SPEED FACTOR REA'!L489,"")</f>
        <v>0</v>
      </c>
      <c r="P489" s="250" t="str">
        <f t="shared" si="77"/>
        <v/>
      </c>
      <c r="R489" s="70" t="e">
        <f t="shared" si="79"/>
        <v>#VALUE!</v>
      </c>
    </row>
    <row r="490" spans="1:18" ht="20.25" x14ac:dyDescent="0.25">
      <c r="A490" s="246">
        <f>+'OEE REA'!A1001</f>
        <v>0</v>
      </c>
      <c r="B490" s="99">
        <f t="shared" si="78"/>
        <v>0</v>
      </c>
      <c r="C490" s="113">
        <f>+'OEE REA'!D1001</f>
        <v>0</v>
      </c>
      <c r="D490" s="242" t="s">
        <v>2292</v>
      </c>
      <c r="E490" s="109" t="e">
        <f>VLOOKUP(A490,'OEE REA'!A:AO,13,FALSE)</f>
        <v>#N/A</v>
      </c>
      <c r="F490" s="110" t="e">
        <f>VLOOKUP(A490,'OEE REA'!A:AO,11,FALSE)</f>
        <v>#N/A</v>
      </c>
      <c r="G490" s="111" t="str">
        <f t="shared" si="74"/>
        <v/>
      </c>
      <c r="H490" s="110" t="e">
        <f>VLOOKUP(A490,'OEE REA'!A:AO,14,FALSE)</f>
        <v>#N/A</v>
      </c>
      <c r="I490" s="106"/>
      <c r="J490" s="99"/>
      <c r="K490" s="99"/>
      <c r="L490" s="107"/>
      <c r="M490" s="112" t="str">
        <f t="shared" si="75"/>
        <v/>
      </c>
      <c r="N490" s="103" t="str">
        <f t="shared" si="76"/>
        <v/>
      </c>
      <c r="O490" s="103">
        <f>IFERROR('OEE REA'!J1001*'SPEED FACTOR REA'!L490,"")</f>
        <v>0</v>
      </c>
      <c r="P490" s="250" t="str">
        <f t="shared" si="77"/>
        <v/>
      </c>
      <c r="R490" s="70" t="e">
        <f t="shared" si="79"/>
        <v>#VALUE!</v>
      </c>
    </row>
    <row r="491" spans="1:18" ht="20.25" x14ac:dyDescent="0.25">
      <c r="A491" s="246">
        <f>+'OEE REA'!A1002</f>
        <v>0</v>
      </c>
      <c r="B491" s="99">
        <f t="shared" si="78"/>
        <v>0</v>
      </c>
      <c r="C491" s="113">
        <f>+'OEE REA'!D1002</f>
        <v>0</v>
      </c>
      <c r="D491" s="242" t="s">
        <v>2293</v>
      </c>
      <c r="E491" s="109" t="e">
        <f>VLOOKUP(A491,'OEE REA'!A:AO,13,FALSE)</f>
        <v>#N/A</v>
      </c>
      <c r="F491" s="110" t="e">
        <f>VLOOKUP(A491,'OEE REA'!A:AO,11,FALSE)</f>
        <v>#N/A</v>
      </c>
      <c r="G491" s="111" t="str">
        <f t="shared" si="74"/>
        <v/>
      </c>
      <c r="H491" s="110" t="e">
        <f>VLOOKUP(A491,'OEE REA'!A:AO,14,FALSE)</f>
        <v>#N/A</v>
      </c>
      <c r="I491" s="106"/>
      <c r="J491" s="99"/>
      <c r="K491" s="99"/>
      <c r="L491" s="107"/>
      <c r="M491" s="112" t="str">
        <f t="shared" si="75"/>
        <v/>
      </c>
      <c r="N491" s="103" t="str">
        <f t="shared" si="76"/>
        <v/>
      </c>
      <c r="O491" s="103">
        <f>IFERROR('OEE REA'!J1002*'SPEED FACTOR REA'!L491,"")</f>
        <v>0</v>
      </c>
      <c r="P491" s="250" t="str">
        <f t="shared" si="77"/>
        <v/>
      </c>
      <c r="R491" s="70" t="e">
        <f t="shared" si="79"/>
        <v>#VALUE!</v>
      </c>
    </row>
    <row r="492" spans="1:18" ht="20.25" x14ac:dyDescent="0.25">
      <c r="A492" s="246">
        <f>+'OEE REA'!A1003</f>
        <v>0</v>
      </c>
      <c r="B492" s="99">
        <f t="shared" si="78"/>
        <v>0</v>
      </c>
      <c r="C492" s="113">
        <f>+'OEE REA'!D1003</f>
        <v>0</v>
      </c>
      <c r="D492" s="242" t="s">
        <v>2294</v>
      </c>
      <c r="E492" s="109" t="e">
        <f>VLOOKUP(A492,'OEE REA'!A:AO,13,FALSE)</f>
        <v>#N/A</v>
      </c>
      <c r="F492" s="110" t="e">
        <f>VLOOKUP(A492,'OEE REA'!A:AO,11,FALSE)</f>
        <v>#N/A</v>
      </c>
      <c r="G492" s="111" t="str">
        <f t="shared" si="74"/>
        <v/>
      </c>
      <c r="H492" s="110" t="e">
        <f>VLOOKUP(A492,'OEE REA'!A:AO,14,FALSE)</f>
        <v>#N/A</v>
      </c>
      <c r="I492" s="106"/>
      <c r="J492" s="99"/>
      <c r="K492" s="99"/>
      <c r="L492" s="107"/>
      <c r="M492" s="112" t="str">
        <f t="shared" si="75"/>
        <v/>
      </c>
      <c r="N492" s="103" t="str">
        <f t="shared" si="76"/>
        <v/>
      </c>
      <c r="O492" s="103">
        <f>IFERROR('OEE REA'!J1003*'SPEED FACTOR REA'!L492,"")</f>
        <v>0</v>
      </c>
      <c r="P492" s="250" t="str">
        <f t="shared" si="77"/>
        <v/>
      </c>
      <c r="R492" s="70" t="e">
        <f t="shared" si="79"/>
        <v>#VALUE!</v>
      </c>
    </row>
    <row r="493" spans="1:18" ht="20.25" x14ac:dyDescent="0.25">
      <c r="A493" s="246">
        <f>+'OEE REA'!A1004</f>
        <v>0</v>
      </c>
      <c r="B493" s="99">
        <f t="shared" si="78"/>
        <v>0</v>
      </c>
      <c r="C493" s="113">
        <f>+'OEE REA'!D1004</f>
        <v>0</v>
      </c>
      <c r="D493" s="242" t="s">
        <v>2295</v>
      </c>
      <c r="E493" s="109" t="e">
        <f>VLOOKUP(A493,'OEE REA'!A:AO,13,FALSE)</f>
        <v>#N/A</v>
      </c>
      <c r="F493" s="110" t="e">
        <f>VLOOKUP(A493,'OEE REA'!A:AO,11,FALSE)</f>
        <v>#N/A</v>
      </c>
      <c r="G493" s="111" t="str">
        <f t="shared" si="74"/>
        <v/>
      </c>
      <c r="H493" s="110" t="e">
        <f>VLOOKUP(A493,'OEE REA'!A:AO,14,FALSE)</f>
        <v>#N/A</v>
      </c>
      <c r="I493" s="106"/>
      <c r="J493" s="99"/>
      <c r="K493" s="99"/>
      <c r="L493" s="107"/>
      <c r="M493" s="112" t="str">
        <f t="shared" si="75"/>
        <v/>
      </c>
      <c r="N493" s="103" t="str">
        <f t="shared" si="76"/>
        <v/>
      </c>
      <c r="O493" s="103">
        <f>IFERROR('OEE REA'!J1004*'SPEED FACTOR REA'!L493,"")</f>
        <v>0</v>
      </c>
      <c r="P493" s="250" t="str">
        <f t="shared" si="77"/>
        <v/>
      </c>
      <c r="R493" s="70" t="e">
        <f t="shared" si="79"/>
        <v>#VALUE!</v>
      </c>
    </row>
    <row r="494" spans="1:18" ht="20.25" x14ac:dyDescent="0.25">
      <c r="A494" s="246">
        <f>+'OEE REA'!A1005</f>
        <v>0</v>
      </c>
      <c r="B494" s="99">
        <f t="shared" si="78"/>
        <v>0</v>
      </c>
      <c r="C494" s="113">
        <f>+'OEE REA'!D1005</f>
        <v>0</v>
      </c>
      <c r="D494" s="242" t="s">
        <v>2296</v>
      </c>
      <c r="E494" s="109" t="e">
        <f>VLOOKUP(A494,'OEE REA'!A:AO,13,FALSE)</f>
        <v>#N/A</v>
      </c>
      <c r="F494" s="110" t="e">
        <f>VLOOKUP(A494,'OEE REA'!A:AO,11,FALSE)</f>
        <v>#N/A</v>
      </c>
      <c r="G494" s="111" t="str">
        <f t="shared" ref="G494:G518" si="80">IFERROR(E494/H494*60,"")</f>
        <v/>
      </c>
      <c r="H494" s="110" t="e">
        <f>VLOOKUP(A494,'OEE REA'!A:AO,14,FALSE)</f>
        <v>#N/A</v>
      </c>
      <c r="I494" s="106"/>
      <c r="J494" s="99"/>
      <c r="K494" s="99"/>
      <c r="L494" s="107"/>
      <c r="M494" s="112" t="str">
        <f t="shared" ref="M494:M557" si="81">IFERROR(G494*L494,"")</f>
        <v/>
      </c>
      <c r="N494" s="103" t="str">
        <f t="shared" ref="N494:N557" si="82">IFERROR(F494*L494,"")</f>
        <v/>
      </c>
      <c r="O494" s="103">
        <f>IFERROR('OEE REA'!J1005*'SPEED FACTOR REA'!L494,"")</f>
        <v>0</v>
      </c>
      <c r="P494" s="250" t="str">
        <f t="shared" ref="P494:P557" si="83">IFERROR(N494/M494,"")</f>
        <v/>
      </c>
      <c r="R494" s="70" t="e">
        <f t="shared" si="79"/>
        <v>#VALUE!</v>
      </c>
    </row>
    <row r="495" spans="1:18" ht="20.25" x14ac:dyDescent="0.25">
      <c r="A495" s="246">
        <f>+'OEE REA'!A1006</f>
        <v>0</v>
      </c>
      <c r="B495" s="99">
        <f t="shared" si="78"/>
        <v>0</v>
      </c>
      <c r="C495" s="113">
        <f>+'OEE REA'!D1006</f>
        <v>0</v>
      </c>
      <c r="D495" s="242" t="s">
        <v>2297</v>
      </c>
      <c r="E495" s="109" t="e">
        <f>VLOOKUP(A495,'OEE REA'!A:AO,13,FALSE)</f>
        <v>#N/A</v>
      </c>
      <c r="F495" s="110" t="e">
        <f>VLOOKUP(A495,'OEE REA'!A:AO,11,FALSE)</f>
        <v>#N/A</v>
      </c>
      <c r="G495" s="111" t="str">
        <f t="shared" si="80"/>
        <v/>
      </c>
      <c r="H495" s="110" t="e">
        <f>VLOOKUP(A495,'OEE REA'!A:AO,14,FALSE)</f>
        <v>#N/A</v>
      </c>
      <c r="I495" s="106"/>
      <c r="J495" s="99"/>
      <c r="K495" s="99"/>
      <c r="L495" s="107"/>
      <c r="M495" s="112" t="str">
        <f t="shared" si="81"/>
        <v/>
      </c>
      <c r="N495" s="103" t="str">
        <f t="shared" si="82"/>
        <v/>
      </c>
      <c r="O495" s="103">
        <f>IFERROR('OEE REA'!J1006*'SPEED FACTOR REA'!L495,"")</f>
        <v>0</v>
      </c>
      <c r="P495" s="250" t="str">
        <f t="shared" si="83"/>
        <v/>
      </c>
      <c r="R495" s="70" t="e">
        <f t="shared" si="79"/>
        <v>#VALUE!</v>
      </c>
    </row>
    <row r="496" spans="1:18" ht="20.25" x14ac:dyDescent="0.25">
      <c r="A496" s="246">
        <f>+'OEE REA'!A1007</f>
        <v>0</v>
      </c>
      <c r="B496" s="99">
        <f t="shared" si="78"/>
        <v>0</v>
      </c>
      <c r="C496" s="113">
        <f>+'OEE REA'!D1007</f>
        <v>0</v>
      </c>
      <c r="D496" s="242" t="s">
        <v>2298</v>
      </c>
      <c r="E496" s="109" t="e">
        <f>VLOOKUP(A496,'OEE REA'!A:AO,13,FALSE)</f>
        <v>#N/A</v>
      </c>
      <c r="F496" s="110" t="e">
        <f>VLOOKUP(A496,'OEE REA'!A:AO,11,FALSE)</f>
        <v>#N/A</v>
      </c>
      <c r="G496" s="111" t="str">
        <f t="shared" si="80"/>
        <v/>
      </c>
      <c r="H496" s="110" t="e">
        <f>VLOOKUP(A496,'OEE REA'!A:AO,14,FALSE)</f>
        <v>#N/A</v>
      </c>
      <c r="I496" s="106"/>
      <c r="J496" s="99"/>
      <c r="K496" s="99"/>
      <c r="L496" s="107"/>
      <c r="M496" s="112" t="str">
        <f t="shared" si="81"/>
        <v/>
      </c>
      <c r="N496" s="103" t="str">
        <f t="shared" si="82"/>
        <v/>
      </c>
      <c r="O496" s="103">
        <f>IFERROR('OEE REA'!J1007*'SPEED FACTOR REA'!L496,"")</f>
        <v>0</v>
      </c>
      <c r="P496" s="250" t="str">
        <f t="shared" si="83"/>
        <v/>
      </c>
      <c r="R496" s="70" t="e">
        <f t="shared" si="79"/>
        <v>#VALUE!</v>
      </c>
    </row>
    <row r="497" spans="1:18" ht="20.25" x14ac:dyDescent="0.25">
      <c r="A497" s="246">
        <f>+'OEE REA'!A1008</f>
        <v>0</v>
      </c>
      <c r="B497" s="99">
        <f t="shared" si="78"/>
        <v>0</v>
      </c>
      <c r="C497" s="113">
        <f>+'OEE REA'!D1008</f>
        <v>0</v>
      </c>
      <c r="D497" s="242" t="s">
        <v>2299</v>
      </c>
      <c r="E497" s="109" t="e">
        <f>VLOOKUP(A497,'OEE REA'!A:AO,13,FALSE)</f>
        <v>#N/A</v>
      </c>
      <c r="F497" s="110" t="e">
        <f>VLOOKUP(A497,'OEE REA'!A:AO,11,FALSE)</f>
        <v>#N/A</v>
      </c>
      <c r="G497" s="111" t="str">
        <f t="shared" si="80"/>
        <v/>
      </c>
      <c r="H497" s="110" t="e">
        <f>VLOOKUP(A497,'OEE REA'!A:AO,14,FALSE)</f>
        <v>#N/A</v>
      </c>
      <c r="I497" s="106"/>
      <c r="J497" s="99"/>
      <c r="K497" s="99"/>
      <c r="L497" s="107"/>
      <c r="M497" s="112" t="str">
        <f t="shared" si="81"/>
        <v/>
      </c>
      <c r="N497" s="103" t="str">
        <f t="shared" si="82"/>
        <v/>
      </c>
      <c r="O497" s="103">
        <f>IFERROR('OEE REA'!J1008*'SPEED FACTOR REA'!L497,"")</f>
        <v>0</v>
      </c>
      <c r="P497" s="250" t="str">
        <f t="shared" si="83"/>
        <v/>
      </c>
      <c r="R497" s="70" t="e">
        <f t="shared" si="79"/>
        <v>#VALUE!</v>
      </c>
    </row>
    <row r="498" spans="1:18" ht="20.25" x14ac:dyDescent="0.25">
      <c r="A498" s="246">
        <f>+'OEE REA'!A1009</f>
        <v>0</v>
      </c>
      <c r="B498" s="99">
        <f t="shared" si="78"/>
        <v>0</v>
      </c>
      <c r="C498" s="113">
        <f>+'OEE REA'!D1009</f>
        <v>0</v>
      </c>
      <c r="D498" s="242" t="s">
        <v>2300</v>
      </c>
      <c r="E498" s="109" t="e">
        <f>VLOOKUP(A498,'OEE REA'!A:AO,13,FALSE)</f>
        <v>#N/A</v>
      </c>
      <c r="F498" s="110" t="e">
        <f>VLOOKUP(A498,'OEE REA'!A:AO,11,FALSE)</f>
        <v>#N/A</v>
      </c>
      <c r="G498" s="111" t="str">
        <f t="shared" si="80"/>
        <v/>
      </c>
      <c r="H498" s="110" t="e">
        <f>VLOOKUP(A498,'OEE REA'!A:AO,14,FALSE)</f>
        <v>#N/A</v>
      </c>
      <c r="I498" s="106"/>
      <c r="J498" s="99"/>
      <c r="K498" s="99"/>
      <c r="L498" s="107"/>
      <c r="M498" s="112" t="str">
        <f t="shared" si="81"/>
        <v/>
      </c>
      <c r="N498" s="103" t="str">
        <f t="shared" si="82"/>
        <v/>
      </c>
      <c r="O498" s="103">
        <f>IFERROR('OEE REA'!J1009*'SPEED FACTOR REA'!L498,"")</f>
        <v>0</v>
      </c>
      <c r="P498" s="250" t="str">
        <f t="shared" si="83"/>
        <v/>
      </c>
      <c r="R498" s="70" t="e">
        <f t="shared" si="79"/>
        <v>#VALUE!</v>
      </c>
    </row>
    <row r="499" spans="1:18" ht="20.25" x14ac:dyDescent="0.25">
      <c r="A499" s="246">
        <f>+'OEE REA'!A1010</f>
        <v>0</v>
      </c>
      <c r="B499" s="99">
        <f t="shared" si="78"/>
        <v>0</v>
      </c>
      <c r="C499" s="113">
        <f>+'OEE REA'!D1010</f>
        <v>0</v>
      </c>
      <c r="D499" s="242" t="s">
        <v>2301</v>
      </c>
      <c r="E499" s="109" t="e">
        <f>VLOOKUP(A499,'OEE REA'!A:AO,13,FALSE)</f>
        <v>#N/A</v>
      </c>
      <c r="F499" s="110" t="e">
        <f>VLOOKUP(A499,'OEE REA'!A:AO,11,FALSE)</f>
        <v>#N/A</v>
      </c>
      <c r="G499" s="111" t="str">
        <f t="shared" si="80"/>
        <v/>
      </c>
      <c r="H499" s="110" t="e">
        <f>VLOOKUP(A499,'OEE REA'!A:AO,14,FALSE)</f>
        <v>#N/A</v>
      </c>
      <c r="I499" s="106"/>
      <c r="J499" s="99"/>
      <c r="K499" s="99"/>
      <c r="L499" s="107"/>
      <c r="M499" s="112" t="str">
        <f t="shared" si="81"/>
        <v/>
      </c>
      <c r="N499" s="103" t="str">
        <f t="shared" si="82"/>
        <v/>
      </c>
      <c r="O499" s="103">
        <f>IFERROR('OEE REA'!J1010*'SPEED FACTOR REA'!L499,"")</f>
        <v>0</v>
      </c>
      <c r="P499" s="250" t="str">
        <f t="shared" si="83"/>
        <v/>
      </c>
      <c r="R499" s="70" t="e">
        <f t="shared" si="79"/>
        <v>#VALUE!</v>
      </c>
    </row>
    <row r="500" spans="1:18" ht="20.25" x14ac:dyDescent="0.25">
      <c r="A500" s="246">
        <f>+'OEE REA'!A1011</f>
        <v>0</v>
      </c>
      <c r="B500" s="99">
        <f t="shared" si="78"/>
        <v>0</v>
      </c>
      <c r="C500" s="113">
        <f>+'OEE REA'!D1011</f>
        <v>0</v>
      </c>
      <c r="D500" s="242" t="s">
        <v>2302</v>
      </c>
      <c r="E500" s="109" t="e">
        <f>VLOOKUP(A500,'OEE REA'!A:AO,13,FALSE)</f>
        <v>#N/A</v>
      </c>
      <c r="F500" s="110" t="e">
        <f>VLOOKUP(A500,'OEE REA'!A:AO,11,FALSE)</f>
        <v>#N/A</v>
      </c>
      <c r="G500" s="111" t="str">
        <f t="shared" si="80"/>
        <v/>
      </c>
      <c r="H500" s="110" t="e">
        <f>VLOOKUP(A500,'OEE REA'!A:AO,14,FALSE)</f>
        <v>#N/A</v>
      </c>
      <c r="I500" s="106"/>
      <c r="J500" s="99"/>
      <c r="K500" s="99"/>
      <c r="L500" s="107"/>
      <c r="M500" s="112" t="str">
        <f t="shared" si="81"/>
        <v/>
      </c>
      <c r="N500" s="103" t="str">
        <f t="shared" si="82"/>
        <v/>
      </c>
      <c r="O500" s="103">
        <f>IFERROR('OEE REA'!J1011*'SPEED FACTOR REA'!L500,"")</f>
        <v>0</v>
      </c>
      <c r="P500" s="250" t="str">
        <f t="shared" si="83"/>
        <v/>
      </c>
      <c r="R500" s="70" t="e">
        <f t="shared" si="79"/>
        <v>#VALUE!</v>
      </c>
    </row>
    <row r="501" spans="1:18" ht="20.25" x14ac:dyDescent="0.25">
      <c r="A501" s="246">
        <f>+'OEE REA'!A1012</f>
        <v>0</v>
      </c>
      <c r="B501" s="99">
        <f t="shared" si="78"/>
        <v>0</v>
      </c>
      <c r="C501" s="113">
        <f>+'OEE REA'!D1012</f>
        <v>0</v>
      </c>
      <c r="D501" s="242" t="s">
        <v>2303</v>
      </c>
      <c r="E501" s="109" t="e">
        <f>VLOOKUP(A501,'OEE REA'!A:AO,13,FALSE)</f>
        <v>#N/A</v>
      </c>
      <c r="F501" s="110" t="e">
        <f>VLOOKUP(A501,'OEE REA'!A:AO,11,FALSE)</f>
        <v>#N/A</v>
      </c>
      <c r="G501" s="111" t="str">
        <f t="shared" si="80"/>
        <v/>
      </c>
      <c r="H501" s="110" t="e">
        <f>VLOOKUP(A501,'OEE REA'!A:AO,14,FALSE)</f>
        <v>#N/A</v>
      </c>
      <c r="I501" s="106"/>
      <c r="J501" s="99"/>
      <c r="K501" s="99"/>
      <c r="L501" s="107"/>
      <c r="M501" s="112" t="str">
        <f t="shared" si="81"/>
        <v/>
      </c>
      <c r="N501" s="103" t="str">
        <f t="shared" si="82"/>
        <v/>
      </c>
      <c r="O501" s="103">
        <f>IFERROR('OEE REA'!J1012*'SPEED FACTOR REA'!L501,"")</f>
        <v>0</v>
      </c>
      <c r="P501" s="250" t="str">
        <f t="shared" si="83"/>
        <v/>
      </c>
      <c r="R501" s="70" t="e">
        <f t="shared" si="79"/>
        <v>#VALUE!</v>
      </c>
    </row>
    <row r="502" spans="1:18" ht="20.25" x14ac:dyDescent="0.25">
      <c r="A502" s="246">
        <f>+'OEE REA'!A1013</f>
        <v>0</v>
      </c>
      <c r="B502" s="99">
        <f t="shared" si="78"/>
        <v>0</v>
      </c>
      <c r="C502" s="113">
        <f>+'OEE REA'!D1013</f>
        <v>0</v>
      </c>
      <c r="D502" s="242" t="s">
        <v>2304</v>
      </c>
      <c r="E502" s="109" t="e">
        <f>VLOOKUP(A502,'OEE REA'!A:AO,13,FALSE)</f>
        <v>#N/A</v>
      </c>
      <c r="F502" s="110" t="e">
        <f>VLOOKUP(A502,'OEE REA'!A:AO,11,FALSE)</f>
        <v>#N/A</v>
      </c>
      <c r="G502" s="111" t="str">
        <f t="shared" si="80"/>
        <v/>
      </c>
      <c r="H502" s="110" t="e">
        <f>VLOOKUP(A502,'OEE REA'!A:AO,14,FALSE)</f>
        <v>#N/A</v>
      </c>
      <c r="I502" s="106"/>
      <c r="J502" s="99"/>
      <c r="K502" s="99"/>
      <c r="L502" s="107"/>
      <c r="M502" s="112" t="str">
        <f t="shared" si="81"/>
        <v/>
      </c>
      <c r="N502" s="103" t="str">
        <f t="shared" si="82"/>
        <v/>
      </c>
      <c r="O502" s="103">
        <f>IFERROR('OEE REA'!J1013*'SPEED FACTOR REA'!L502,"")</f>
        <v>0</v>
      </c>
      <c r="P502" s="250" t="str">
        <f t="shared" si="83"/>
        <v/>
      </c>
      <c r="R502" s="70" t="e">
        <f t="shared" si="79"/>
        <v>#VALUE!</v>
      </c>
    </row>
    <row r="503" spans="1:18" ht="20.25" x14ac:dyDescent="0.25">
      <c r="A503" s="246">
        <f>+'OEE REA'!A1014</f>
        <v>0</v>
      </c>
      <c r="B503" s="99">
        <f t="shared" si="78"/>
        <v>0</v>
      </c>
      <c r="C503" s="113">
        <f>+'OEE REA'!D1014</f>
        <v>0</v>
      </c>
      <c r="D503" s="242" t="s">
        <v>2305</v>
      </c>
      <c r="E503" s="109" t="e">
        <f>VLOOKUP(A503,'OEE REA'!A:AO,13,FALSE)</f>
        <v>#N/A</v>
      </c>
      <c r="F503" s="110" t="e">
        <f>VLOOKUP(A503,'OEE REA'!A:AO,11,FALSE)</f>
        <v>#N/A</v>
      </c>
      <c r="G503" s="111" t="str">
        <f t="shared" si="80"/>
        <v/>
      </c>
      <c r="H503" s="110" t="e">
        <f>VLOOKUP(A503,'OEE REA'!A:AO,14,FALSE)</f>
        <v>#N/A</v>
      </c>
      <c r="I503" s="106"/>
      <c r="J503" s="99"/>
      <c r="K503" s="99"/>
      <c r="L503" s="107"/>
      <c r="M503" s="112" t="str">
        <f t="shared" si="81"/>
        <v/>
      </c>
      <c r="N503" s="103" t="str">
        <f t="shared" si="82"/>
        <v/>
      </c>
      <c r="O503" s="103">
        <f>IFERROR('OEE REA'!J1014*'SPEED FACTOR REA'!L503,"")</f>
        <v>0</v>
      </c>
      <c r="P503" s="250" t="str">
        <f t="shared" si="83"/>
        <v/>
      </c>
      <c r="R503" s="70" t="e">
        <f t="shared" si="79"/>
        <v>#VALUE!</v>
      </c>
    </row>
    <row r="504" spans="1:18" ht="20.25" x14ac:dyDescent="0.25">
      <c r="A504" s="246">
        <f>+'OEE REA'!A1015</f>
        <v>0</v>
      </c>
      <c r="B504" s="99">
        <f t="shared" si="78"/>
        <v>0</v>
      </c>
      <c r="C504" s="113">
        <f>+'OEE REA'!D1015</f>
        <v>0</v>
      </c>
      <c r="D504" s="242" t="s">
        <v>2306</v>
      </c>
      <c r="E504" s="109" t="e">
        <f>VLOOKUP(A504,'OEE REA'!A:AO,13,FALSE)</f>
        <v>#N/A</v>
      </c>
      <c r="F504" s="110" t="e">
        <f>VLOOKUP(A504,'OEE REA'!A:AO,11,FALSE)</f>
        <v>#N/A</v>
      </c>
      <c r="G504" s="111" t="str">
        <f t="shared" si="80"/>
        <v/>
      </c>
      <c r="H504" s="110" t="e">
        <f>VLOOKUP(A504,'OEE REA'!A:AO,14,FALSE)</f>
        <v>#N/A</v>
      </c>
      <c r="I504" s="106"/>
      <c r="J504" s="99"/>
      <c r="K504" s="99"/>
      <c r="L504" s="107"/>
      <c r="M504" s="112" t="str">
        <f t="shared" si="81"/>
        <v/>
      </c>
      <c r="N504" s="103" t="str">
        <f t="shared" si="82"/>
        <v/>
      </c>
      <c r="O504" s="103">
        <f>IFERROR('OEE REA'!J1015*'SPEED FACTOR REA'!L504,"")</f>
        <v>0</v>
      </c>
      <c r="P504" s="250" t="str">
        <f t="shared" si="83"/>
        <v/>
      </c>
      <c r="R504" s="70" t="e">
        <f t="shared" si="79"/>
        <v>#VALUE!</v>
      </c>
    </row>
    <row r="505" spans="1:18" ht="20.25" x14ac:dyDescent="0.25">
      <c r="A505" s="246">
        <f>+'OEE REA'!A1016</f>
        <v>0</v>
      </c>
      <c r="B505" s="99">
        <f t="shared" si="78"/>
        <v>0</v>
      </c>
      <c r="C505" s="113">
        <f>+'OEE REA'!D1016</f>
        <v>0</v>
      </c>
      <c r="D505" s="242" t="s">
        <v>2307</v>
      </c>
      <c r="E505" s="109" t="e">
        <f>VLOOKUP(A505,'OEE REA'!A:AO,13,FALSE)</f>
        <v>#N/A</v>
      </c>
      <c r="F505" s="110" t="e">
        <f>VLOOKUP(A505,'OEE REA'!A:AO,11,FALSE)</f>
        <v>#N/A</v>
      </c>
      <c r="G505" s="111" t="str">
        <f t="shared" si="80"/>
        <v/>
      </c>
      <c r="H505" s="110" t="e">
        <f>VLOOKUP(A505,'OEE REA'!A:AO,14,FALSE)</f>
        <v>#N/A</v>
      </c>
      <c r="I505" s="106"/>
      <c r="J505" s="99"/>
      <c r="K505" s="99"/>
      <c r="L505" s="107"/>
      <c r="M505" s="112" t="str">
        <f t="shared" si="81"/>
        <v/>
      </c>
      <c r="N505" s="103" t="str">
        <f t="shared" si="82"/>
        <v/>
      </c>
      <c r="O505" s="103">
        <f>IFERROR('OEE REA'!J1016*'SPEED FACTOR REA'!L505,"")</f>
        <v>0</v>
      </c>
      <c r="P505" s="250" t="str">
        <f t="shared" si="83"/>
        <v/>
      </c>
      <c r="R505" s="70" t="e">
        <f t="shared" si="79"/>
        <v>#VALUE!</v>
      </c>
    </row>
    <row r="506" spans="1:18" ht="20.25" x14ac:dyDescent="0.25">
      <c r="A506" s="246">
        <f>+'OEE REA'!A1017</f>
        <v>0</v>
      </c>
      <c r="B506" s="99">
        <f t="shared" si="78"/>
        <v>0</v>
      </c>
      <c r="C506" s="113">
        <f>+'OEE REA'!D1017</f>
        <v>0</v>
      </c>
      <c r="D506" s="242" t="s">
        <v>2308</v>
      </c>
      <c r="E506" s="109" t="e">
        <f>VLOOKUP(A506,'OEE REA'!A:AO,13,FALSE)</f>
        <v>#N/A</v>
      </c>
      <c r="F506" s="110" t="e">
        <f>VLOOKUP(A506,'OEE REA'!A:AO,11,FALSE)</f>
        <v>#N/A</v>
      </c>
      <c r="G506" s="111" t="str">
        <f t="shared" si="80"/>
        <v/>
      </c>
      <c r="H506" s="110" t="e">
        <f>VLOOKUP(A506,'OEE REA'!A:AO,14,FALSE)</f>
        <v>#N/A</v>
      </c>
      <c r="I506" s="106"/>
      <c r="J506" s="99"/>
      <c r="K506" s="99"/>
      <c r="L506" s="107"/>
      <c r="M506" s="112" t="str">
        <f t="shared" si="81"/>
        <v/>
      </c>
      <c r="N506" s="103" t="str">
        <f t="shared" si="82"/>
        <v/>
      </c>
      <c r="O506" s="103">
        <f>IFERROR('OEE REA'!J1017*'SPEED FACTOR REA'!L506,"")</f>
        <v>0</v>
      </c>
      <c r="P506" s="250" t="str">
        <f t="shared" si="83"/>
        <v/>
      </c>
      <c r="R506" s="70" t="e">
        <f t="shared" si="79"/>
        <v>#VALUE!</v>
      </c>
    </row>
    <row r="507" spans="1:18" ht="20.25" x14ac:dyDescent="0.25">
      <c r="A507" s="246">
        <f>+'OEE REA'!A1018</f>
        <v>0</v>
      </c>
      <c r="B507" s="99">
        <f t="shared" si="78"/>
        <v>0</v>
      </c>
      <c r="C507" s="113">
        <f>+'OEE REA'!D1018</f>
        <v>0</v>
      </c>
      <c r="D507" s="242" t="s">
        <v>2309</v>
      </c>
      <c r="E507" s="109" t="e">
        <f>VLOOKUP(A507,'OEE REA'!A:AO,13,FALSE)</f>
        <v>#N/A</v>
      </c>
      <c r="F507" s="110" t="e">
        <f>VLOOKUP(A507,'OEE REA'!A:AO,11,FALSE)</f>
        <v>#N/A</v>
      </c>
      <c r="G507" s="111" t="str">
        <f t="shared" si="80"/>
        <v/>
      </c>
      <c r="H507" s="110" t="e">
        <f>VLOOKUP(A507,'OEE REA'!A:AO,14,FALSE)</f>
        <v>#N/A</v>
      </c>
      <c r="I507" s="106"/>
      <c r="J507" s="99"/>
      <c r="K507" s="99"/>
      <c r="L507" s="107"/>
      <c r="M507" s="112" t="str">
        <f t="shared" si="81"/>
        <v/>
      </c>
      <c r="N507" s="103" t="str">
        <f t="shared" si="82"/>
        <v/>
      </c>
      <c r="O507" s="103">
        <f>IFERROR('OEE REA'!J1018*'SPEED FACTOR REA'!L507,"")</f>
        <v>0</v>
      </c>
      <c r="P507" s="250" t="str">
        <f t="shared" si="83"/>
        <v/>
      </c>
      <c r="R507" s="70" t="e">
        <f t="shared" si="79"/>
        <v>#VALUE!</v>
      </c>
    </row>
    <row r="508" spans="1:18" ht="20.25" x14ac:dyDescent="0.25">
      <c r="A508" s="246">
        <f>+'OEE REA'!A1019</f>
        <v>0</v>
      </c>
      <c r="B508" s="99">
        <f t="shared" si="78"/>
        <v>0</v>
      </c>
      <c r="C508" s="113">
        <f>+'OEE REA'!D1019</f>
        <v>0</v>
      </c>
      <c r="D508" s="242" t="s">
        <v>2310</v>
      </c>
      <c r="E508" s="109" t="e">
        <f>VLOOKUP(A508,'OEE REA'!A:AO,13,FALSE)</f>
        <v>#N/A</v>
      </c>
      <c r="F508" s="110" t="e">
        <f>VLOOKUP(A508,'OEE REA'!A:AO,11,FALSE)</f>
        <v>#N/A</v>
      </c>
      <c r="G508" s="111" t="str">
        <f t="shared" si="80"/>
        <v/>
      </c>
      <c r="H508" s="110" t="e">
        <f>VLOOKUP(A508,'OEE REA'!A:AO,14,FALSE)</f>
        <v>#N/A</v>
      </c>
      <c r="I508" s="106"/>
      <c r="J508" s="99"/>
      <c r="K508" s="99"/>
      <c r="L508" s="107"/>
      <c r="M508" s="112" t="str">
        <f t="shared" si="81"/>
        <v/>
      </c>
      <c r="N508" s="103" t="str">
        <f t="shared" si="82"/>
        <v/>
      </c>
      <c r="O508" s="103">
        <f>IFERROR('OEE REA'!J1019*'SPEED FACTOR REA'!L508,"")</f>
        <v>0</v>
      </c>
      <c r="P508" s="250" t="str">
        <f t="shared" si="83"/>
        <v/>
      </c>
      <c r="R508" s="70" t="e">
        <f t="shared" si="79"/>
        <v>#VALUE!</v>
      </c>
    </row>
    <row r="509" spans="1:18" ht="20.25" x14ac:dyDescent="0.25">
      <c r="A509" s="246">
        <f>+'OEE REA'!A1020</f>
        <v>0</v>
      </c>
      <c r="B509" s="99">
        <f t="shared" si="78"/>
        <v>0</v>
      </c>
      <c r="C509" s="113">
        <f>+'OEE REA'!D1020</f>
        <v>0</v>
      </c>
      <c r="D509" s="242" t="s">
        <v>2311</v>
      </c>
      <c r="E509" s="109" t="e">
        <f>VLOOKUP(A509,'OEE REA'!A:AO,13,FALSE)</f>
        <v>#N/A</v>
      </c>
      <c r="F509" s="110" t="e">
        <f>VLOOKUP(A509,'OEE REA'!A:AO,11,FALSE)</f>
        <v>#N/A</v>
      </c>
      <c r="G509" s="111" t="str">
        <f t="shared" si="80"/>
        <v/>
      </c>
      <c r="H509" s="110" t="e">
        <f>VLOOKUP(A509,'OEE REA'!A:AO,14,FALSE)</f>
        <v>#N/A</v>
      </c>
      <c r="I509" s="106"/>
      <c r="J509" s="99"/>
      <c r="K509" s="99"/>
      <c r="L509" s="107"/>
      <c r="M509" s="112" t="str">
        <f t="shared" si="81"/>
        <v/>
      </c>
      <c r="N509" s="103" t="str">
        <f t="shared" si="82"/>
        <v/>
      </c>
      <c r="O509" s="103">
        <f>IFERROR('OEE REA'!J1020*'SPEED FACTOR REA'!L509,"")</f>
        <v>0</v>
      </c>
      <c r="P509" s="250" t="str">
        <f t="shared" si="83"/>
        <v/>
      </c>
      <c r="R509" s="70" t="e">
        <f t="shared" si="79"/>
        <v>#VALUE!</v>
      </c>
    </row>
    <row r="510" spans="1:18" ht="20.25" x14ac:dyDescent="0.25">
      <c r="A510" s="246">
        <f>+'OEE REA'!A1021</f>
        <v>0</v>
      </c>
      <c r="B510" s="99">
        <f t="shared" si="78"/>
        <v>0</v>
      </c>
      <c r="C510" s="113">
        <f>+'OEE REA'!D1021</f>
        <v>0</v>
      </c>
      <c r="D510" s="242" t="s">
        <v>2312</v>
      </c>
      <c r="E510" s="109" t="e">
        <f>VLOOKUP(A510,'OEE REA'!A:AO,13,FALSE)</f>
        <v>#N/A</v>
      </c>
      <c r="F510" s="110" t="e">
        <f>VLOOKUP(A510,'OEE REA'!A:AO,11,FALSE)</f>
        <v>#N/A</v>
      </c>
      <c r="G510" s="111" t="str">
        <f t="shared" si="80"/>
        <v/>
      </c>
      <c r="H510" s="110" t="e">
        <f>VLOOKUP(A510,'OEE REA'!A:AO,14,FALSE)</f>
        <v>#N/A</v>
      </c>
      <c r="I510" s="106"/>
      <c r="J510" s="99"/>
      <c r="K510" s="99"/>
      <c r="L510" s="107"/>
      <c r="M510" s="112" t="str">
        <f t="shared" si="81"/>
        <v/>
      </c>
      <c r="N510" s="103" t="str">
        <f t="shared" si="82"/>
        <v/>
      </c>
      <c r="O510" s="103">
        <f>IFERROR('OEE REA'!J1021*'SPEED FACTOR REA'!L510,"")</f>
        <v>0</v>
      </c>
      <c r="P510" s="250" t="str">
        <f t="shared" si="83"/>
        <v/>
      </c>
      <c r="R510" s="70" t="e">
        <f t="shared" si="79"/>
        <v>#VALUE!</v>
      </c>
    </row>
    <row r="511" spans="1:18" ht="20.25" x14ac:dyDescent="0.25">
      <c r="A511" s="246">
        <f>+'OEE REA'!A1022</f>
        <v>0</v>
      </c>
      <c r="B511" s="99">
        <f t="shared" si="78"/>
        <v>0</v>
      </c>
      <c r="C511" s="113">
        <f>+'OEE REA'!D1022</f>
        <v>0</v>
      </c>
      <c r="D511" s="242" t="s">
        <v>2313</v>
      </c>
      <c r="E511" s="109" t="e">
        <f>VLOOKUP(A511,'OEE REA'!A:AO,13,FALSE)</f>
        <v>#N/A</v>
      </c>
      <c r="F511" s="110" t="e">
        <f>VLOOKUP(A511,'OEE REA'!A:AO,11,FALSE)</f>
        <v>#N/A</v>
      </c>
      <c r="G511" s="111" t="str">
        <f t="shared" si="80"/>
        <v/>
      </c>
      <c r="H511" s="110" t="e">
        <f>VLOOKUP(A511,'OEE REA'!A:AO,14,FALSE)</f>
        <v>#N/A</v>
      </c>
      <c r="I511" s="106"/>
      <c r="J511" s="99"/>
      <c r="K511" s="99"/>
      <c r="L511" s="107"/>
      <c r="M511" s="112" t="str">
        <f t="shared" si="81"/>
        <v/>
      </c>
      <c r="N511" s="103" t="str">
        <f t="shared" si="82"/>
        <v/>
      </c>
      <c r="O511" s="103">
        <f>IFERROR('OEE REA'!J1022*'SPEED FACTOR REA'!L511,"")</f>
        <v>0</v>
      </c>
      <c r="P511" s="250" t="str">
        <f t="shared" si="83"/>
        <v/>
      </c>
      <c r="R511" s="70" t="e">
        <f t="shared" si="79"/>
        <v>#VALUE!</v>
      </c>
    </row>
    <row r="512" spans="1:18" ht="20.25" x14ac:dyDescent="0.25">
      <c r="A512" s="246">
        <f>+'OEE REA'!A1023</f>
        <v>0</v>
      </c>
      <c r="B512" s="99">
        <f t="shared" si="78"/>
        <v>0</v>
      </c>
      <c r="C512" s="113">
        <f>+'OEE REA'!D1023</f>
        <v>0</v>
      </c>
      <c r="D512" s="242" t="s">
        <v>2314</v>
      </c>
      <c r="E512" s="109" t="e">
        <f>VLOOKUP(A512,'OEE REA'!A:AO,13,FALSE)</f>
        <v>#N/A</v>
      </c>
      <c r="F512" s="110" t="e">
        <f>VLOOKUP(A512,'OEE REA'!A:AO,11,FALSE)</f>
        <v>#N/A</v>
      </c>
      <c r="G512" s="111" t="str">
        <f t="shared" si="80"/>
        <v/>
      </c>
      <c r="H512" s="110" t="e">
        <f>VLOOKUP(A512,'OEE REA'!A:AO,14,FALSE)</f>
        <v>#N/A</v>
      </c>
      <c r="I512" s="106"/>
      <c r="J512" s="99"/>
      <c r="K512" s="99"/>
      <c r="L512" s="107"/>
      <c r="M512" s="112" t="str">
        <f t="shared" si="81"/>
        <v/>
      </c>
      <c r="N512" s="103" t="str">
        <f t="shared" si="82"/>
        <v/>
      </c>
      <c r="O512" s="103">
        <f>IFERROR('OEE REA'!J1023*'SPEED FACTOR REA'!L512,"")</f>
        <v>0</v>
      </c>
      <c r="P512" s="250" t="str">
        <f t="shared" si="83"/>
        <v/>
      </c>
      <c r="R512" s="70" t="e">
        <f t="shared" si="79"/>
        <v>#VALUE!</v>
      </c>
    </row>
    <row r="513" spans="1:18" ht="20.25" x14ac:dyDescent="0.25">
      <c r="A513" s="246">
        <f>+'OEE REA'!A1024</f>
        <v>0</v>
      </c>
      <c r="B513" s="99">
        <f t="shared" si="78"/>
        <v>0</v>
      </c>
      <c r="C513" s="113">
        <f>+'OEE REA'!D1024</f>
        <v>0</v>
      </c>
      <c r="D513" s="242" t="s">
        <v>2315</v>
      </c>
      <c r="E513" s="109" t="e">
        <f>VLOOKUP(A513,'OEE REA'!A:AO,13,FALSE)</f>
        <v>#N/A</v>
      </c>
      <c r="F513" s="110" t="e">
        <f>VLOOKUP(A513,'OEE REA'!A:AO,11,FALSE)</f>
        <v>#N/A</v>
      </c>
      <c r="G513" s="111" t="str">
        <f t="shared" si="80"/>
        <v/>
      </c>
      <c r="H513" s="110" t="e">
        <f>VLOOKUP(A513,'OEE REA'!A:AO,14,FALSE)</f>
        <v>#N/A</v>
      </c>
      <c r="I513" s="106"/>
      <c r="J513" s="99"/>
      <c r="K513" s="99"/>
      <c r="L513" s="107"/>
      <c r="M513" s="112" t="str">
        <f t="shared" si="81"/>
        <v/>
      </c>
      <c r="N513" s="103" t="str">
        <f t="shared" si="82"/>
        <v/>
      </c>
      <c r="O513" s="103">
        <f>IFERROR('OEE REA'!J1024*'SPEED FACTOR REA'!L513,"")</f>
        <v>0</v>
      </c>
      <c r="P513" s="250" t="str">
        <f t="shared" si="83"/>
        <v/>
      </c>
      <c r="R513" s="70" t="e">
        <f t="shared" si="79"/>
        <v>#VALUE!</v>
      </c>
    </row>
    <row r="514" spans="1:18" ht="20.25" x14ac:dyDescent="0.25">
      <c r="A514" s="246">
        <f>+'OEE REA'!A1025</f>
        <v>0</v>
      </c>
      <c r="B514" s="99">
        <f t="shared" si="78"/>
        <v>0</v>
      </c>
      <c r="C514" s="113">
        <f>+'OEE REA'!D1025</f>
        <v>0</v>
      </c>
      <c r="D514" s="242" t="s">
        <v>2316</v>
      </c>
      <c r="E514" s="109" t="e">
        <f>VLOOKUP(A514,'OEE REA'!A:AO,13,FALSE)</f>
        <v>#N/A</v>
      </c>
      <c r="F514" s="110" t="e">
        <f>VLOOKUP(A514,'OEE REA'!A:AO,11,FALSE)</f>
        <v>#N/A</v>
      </c>
      <c r="G514" s="111" t="str">
        <f t="shared" si="80"/>
        <v/>
      </c>
      <c r="H514" s="110" t="e">
        <f>VLOOKUP(A514,'OEE REA'!A:AO,14,FALSE)</f>
        <v>#N/A</v>
      </c>
      <c r="I514" s="106"/>
      <c r="J514" s="99"/>
      <c r="K514" s="99"/>
      <c r="L514" s="107"/>
      <c r="M514" s="112" t="str">
        <f t="shared" si="81"/>
        <v/>
      </c>
      <c r="N514" s="103" t="str">
        <f t="shared" si="82"/>
        <v/>
      </c>
      <c r="O514" s="103">
        <f>IFERROR('OEE REA'!J1025*'SPEED FACTOR REA'!L514,"")</f>
        <v>0</v>
      </c>
      <c r="P514" s="250" t="str">
        <f t="shared" si="83"/>
        <v/>
      </c>
      <c r="R514" s="70" t="e">
        <f t="shared" si="79"/>
        <v>#VALUE!</v>
      </c>
    </row>
    <row r="515" spans="1:18" ht="20.25" x14ac:dyDescent="0.25">
      <c r="A515" s="246">
        <f>+'OEE REA'!A1026</f>
        <v>0</v>
      </c>
      <c r="B515" s="99">
        <f t="shared" si="78"/>
        <v>0</v>
      </c>
      <c r="C515" s="113">
        <f>+'OEE REA'!D1026</f>
        <v>0</v>
      </c>
      <c r="D515" s="242" t="s">
        <v>2317</v>
      </c>
      <c r="E515" s="109" t="e">
        <f>VLOOKUP(A515,'OEE REA'!A:AO,13,FALSE)</f>
        <v>#N/A</v>
      </c>
      <c r="F515" s="110" t="e">
        <f>VLOOKUP(A515,'OEE REA'!A:AO,11,FALSE)</f>
        <v>#N/A</v>
      </c>
      <c r="G515" s="111" t="str">
        <f t="shared" si="80"/>
        <v/>
      </c>
      <c r="H515" s="110" t="e">
        <f>VLOOKUP(A515,'OEE REA'!A:AO,14,FALSE)</f>
        <v>#N/A</v>
      </c>
      <c r="I515" s="106"/>
      <c r="J515" s="99"/>
      <c r="K515" s="99"/>
      <c r="L515" s="107"/>
      <c r="M515" s="112" t="str">
        <f t="shared" si="81"/>
        <v/>
      </c>
      <c r="N515" s="103" t="str">
        <f t="shared" si="82"/>
        <v/>
      </c>
      <c r="O515" s="103">
        <f>IFERROR('OEE REA'!J1026*'SPEED FACTOR REA'!L515,"")</f>
        <v>0</v>
      </c>
      <c r="P515" s="250" t="str">
        <f t="shared" si="83"/>
        <v/>
      </c>
      <c r="R515" s="70" t="e">
        <f t="shared" si="79"/>
        <v>#VALUE!</v>
      </c>
    </row>
    <row r="516" spans="1:18" ht="20.25" x14ac:dyDescent="0.25">
      <c r="A516" s="246">
        <f>+'OEE REA'!A1027</f>
        <v>0</v>
      </c>
      <c r="B516" s="99">
        <f t="shared" si="78"/>
        <v>0</v>
      </c>
      <c r="C516" s="113">
        <f>+'OEE REA'!D1027</f>
        <v>0</v>
      </c>
      <c r="D516" s="242" t="s">
        <v>2318</v>
      </c>
      <c r="E516" s="109" t="e">
        <f>VLOOKUP(A516,'OEE REA'!A:AO,13,FALSE)</f>
        <v>#N/A</v>
      </c>
      <c r="F516" s="110" t="e">
        <f>VLOOKUP(A516,'OEE REA'!A:AO,11,FALSE)</f>
        <v>#N/A</v>
      </c>
      <c r="G516" s="111" t="str">
        <f t="shared" si="80"/>
        <v/>
      </c>
      <c r="H516" s="110" t="e">
        <f>VLOOKUP(A516,'OEE REA'!A:AO,14,FALSE)</f>
        <v>#N/A</v>
      </c>
      <c r="I516" s="106"/>
      <c r="J516" s="99"/>
      <c r="K516" s="99"/>
      <c r="L516" s="107"/>
      <c r="M516" s="112" t="str">
        <f t="shared" si="81"/>
        <v/>
      </c>
      <c r="N516" s="103" t="str">
        <f t="shared" si="82"/>
        <v/>
      </c>
      <c r="O516" s="103">
        <f>IFERROR('OEE REA'!J1027*'SPEED FACTOR REA'!L516,"")</f>
        <v>0</v>
      </c>
      <c r="P516" s="250" t="str">
        <f t="shared" si="83"/>
        <v/>
      </c>
      <c r="R516" s="70" t="e">
        <f t="shared" si="79"/>
        <v>#VALUE!</v>
      </c>
    </row>
    <row r="517" spans="1:18" ht="20.25" x14ac:dyDescent="0.25">
      <c r="A517" s="246">
        <f>+'OEE REA'!A1028</f>
        <v>0</v>
      </c>
      <c r="B517" s="99">
        <f t="shared" si="78"/>
        <v>0</v>
      </c>
      <c r="C517" s="113">
        <f>+'OEE REA'!D1028</f>
        <v>0</v>
      </c>
      <c r="D517" s="242" t="s">
        <v>2319</v>
      </c>
      <c r="E517" s="109" t="e">
        <f>VLOOKUP(A517,'OEE REA'!A:AO,13,FALSE)</f>
        <v>#N/A</v>
      </c>
      <c r="F517" s="110" t="e">
        <f>VLOOKUP(A517,'OEE REA'!A:AO,11,FALSE)</f>
        <v>#N/A</v>
      </c>
      <c r="G517" s="111" t="str">
        <f t="shared" si="80"/>
        <v/>
      </c>
      <c r="H517" s="110" t="e">
        <f>VLOOKUP(A517,'OEE REA'!A:AO,14,FALSE)</f>
        <v>#N/A</v>
      </c>
      <c r="I517" s="106"/>
      <c r="J517" s="99"/>
      <c r="K517" s="99"/>
      <c r="L517" s="107"/>
      <c r="M517" s="112" t="str">
        <f t="shared" si="81"/>
        <v/>
      </c>
      <c r="N517" s="103" t="str">
        <f t="shared" si="82"/>
        <v/>
      </c>
      <c r="O517" s="103">
        <f>IFERROR('OEE REA'!J1028*'SPEED FACTOR REA'!L517,"")</f>
        <v>0</v>
      </c>
      <c r="P517" s="250" t="str">
        <f t="shared" si="83"/>
        <v/>
      </c>
      <c r="R517" s="70" t="e">
        <f t="shared" si="79"/>
        <v>#VALUE!</v>
      </c>
    </row>
    <row r="518" spans="1:18" ht="20.25" x14ac:dyDescent="0.25">
      <c r="A518" s="246">
        <f>+'OEE REA'!A1029</f>
        <v>0</v>
      </c>
      <c r="B518" s="99">
        <f t="shared" si="78"/>
        <v>0</v>
      </c>
      <c r="C518" s="113">
        <f>+'OEE REA'!D1029</f>
        <v>0</v>
      </c>
      <c r="D518" s="242" t="s">
        <v>2320</v>
      </c>
      <c r="E518" s="109" t="e">
        <f>VLOOKUP(A518,'OEE REA'!A:AO,13,FALSE)</f>
        <v>#N/A</v>
      </c>
      <c r="F518" s="110" t="e">
        <f>VLOOKUP(A518,'OEE REA'!A:AO,11,FALSE)</f>
        <v>#N/A</v>
      </c>
      <c r="G518" s="111" t="str">
        <f t="shared" si="80"/>
        <v/>
      </c>
      <c r="H518" s="110" t="e">
        <f>VLOOKUP(A518,'OEE REA'!A:AO,14,FALSE)</f>
        <v>#N/A</v>
      </c>
      <c r="I518" s="106"/>
      <c r="J518" s="99"/>
      <c r="K518" s="99"/>
      <c r="L518" s="107"/>
      <c r="M518" s="112" t="str">
        <f t="shared" si="81"/>
        <v/>
      </c>
      <c r="N518" s="103" t="str">
        <f t="shared" si="82"/>
        <v/>
      </c>
      <c r="O518" s="103">
        <f>IFERROR('OEE REA'!J1029*'SPEED FACTOR REA'!L518,"")</f>
        <v>0</v>
      </c>
      <c r="P518" s="250" t="str">
        <f t="shared" si="83"/>
        <v/>
      </c>
      <c r="R518" s="70" t="e">
        <f t="shared" si="79"/>
        <v>#VALUE!</v>
      </c>
    </row>
    <row r="519" spans="1:18" ht="20.25" x14ac:dyDescent="0.25">
      <c r="A519" s="246">
        <f>+'OEE REA'!A1030</f>
        <v>0</v>
      </c>
      <c r="B519" s="99">
        <f t="shared" si="78"/>
        <v>0</v>
      </c>
      <c r="C519" s="113">
        <f>+'OEE REA'!D1030</f>
        <v>0</v>
      </c>
      <c r="D519" s="242" t="s">
        <v>2321</v>
      </c>
      <c r="E519" s="109" t="e">
        <f>VLOOKUP(A519,'OEE REA'!A:AO,13,FALSE)</f>
        <v>#N/A</v>
      </c>
      <c r="F519" s="110" t="e">
        <f>VLOOKUP(A519,'OEE REA'!A:AO,11,FALSE)</f>
        <v>#N/A</v>
      </c>
      <c r="G519" s="111" t="str">
        <f t="shared" ref="G519:G544" si="84">IFERROR(E519/H519*60,"")</f>
        <v/>
      </c>
      <c r="H519" s="110" t="e">
        <f>VLOOKUP(A519,'OEE REA'!A:AO,14,FALSE)</f>
        <v>#N/A</v>
      </c>
      <c r="I519" s="106"/>
      <c r="J519" s="99"/>
      <c r="K519" s="99"/>
      <c r="L519" s="107"/>
      <c r="M519" s="112" t="str">
        <f t="shared" si="81"/>
        <v/>
      </c>
      <c r="N519" s="103" t="str">
        <f t="shared" si="82"/>
        <v/>
      </c>
      <c r="O519" s="103">
        <f>IFERROR('OEE REA'!J1030*'SPEED FACTOR REA'!L519,"")</f>
        <v>0</v>
      </c>
      <c r="P519" s="250" t="str">
        <f t="shared" si="83"/>
        <v/>
      </c>
      <c r="R519" s="70" t="e">
        <f t="shared" si="79"/>
        <v>#VALUE!</v>
      </c>
    </row>
    <row r="520" spans="1:18" ht="20.25" x14ac:dyDescent="0.25">
      <c r="A520" s="246">
        <f>+'OEE REA'!A1031</f>
        <v>0</v>
      </c>
      <c r="B520" s="99">
        <f t="shared" si="78"/>
        <v>0</v>
      </c>
      <c r="C520" s="113">
        <f>+'OEE REA'!D1031</f>
        <v>0</v>
      </c>
      <c r="D520" s="242" t="s">
        <v>2322</v>
      </c>
      <c r="E520" s="109" t="e">
        <f>VLOOKUP(A520,'OEE REA'!A:AO,13,FALSE)</f>
        <v>#N/A</v>
      </c>
      <c r="F520" s="110" t="e">
        <f>VLOOKUP(A520,'OEE REA'!A:AO,11,FALSE)</f>
        <v>#N/A</v>
      </c>
      <c r="G520" s="111" t="str">
        <f t="shared" si="84"/>
        <v/>
      </c>
      <c r="H520" s="110" t="e">
        <f>VLOOKUP(A520,'OEE REA'!A:AO,14,FALSE)</f>
        <v>#N/A</v>
      </c>
      <c r="I520" s="106"/>
      <c r="J520" s="99"/>
      <c r="K520" s="99"/>
      <c r="L520" s="107"/>
      <c r="M520" s="112" t="str">
        <f t="shared" si="81"/>
        <v/>
      </c>
      <c r="N520" s="103" t="str">
        <f t="shared" si="82"/>
        <v/>
      </c>
      <c r="O520" s="103">
        <f>IFERROR('OEE REA'!J1031*'SPEED FACTOR REA'!L520,"")</f>
        <v>0</v>
      </c>
      <c r="P520" s="250" t="str">
        <f t="shared" si="83"/>
        <v/>
      </c>
      <c r="R520" s="70" t="e">
        <f t="shared" si="79"/>
        <v>#VALUE!</v>
      </c>
    </row>
    <row r="521" spans="1:18" ht="20.25" x14ac:dyDescent="0.25">
      <c r="A521" s="246">
        <f>+'OEE REA'!A1032</f>
        <v>0</v>
      </c>
      <c r="B521" s="99">
        <f t="shared" si="78"/>
        <v>0</v>
      </c>
      <c r="C521" s="113">
        <f>+'OEE REA'!D1032</f>
        <v>0</v>
      </c>
      <c r="D521" s="242" t="s">
        <v>2323</v>
      </c>
      <c r="E521" s="109" t="e">
        <f>VLOOKUP(A521,'OEE REA'!A:AO,13,FALSE)</f>
        <v>#N/A</v>
      </c>
      <c r="F521" s="110" t="e">
        <f>VLOOKUP(A521,'OEE REA'!A:AO,11,FALSE)</f>
        <v>#N/A</v>
      </c>
      <c r="G521" s="111" t="str">
        <f t="shared" si="84"/>
        <v/>
      </c>
      <c r="H521" s="110" t="e">
        <f>VLOOKUP(A521,'OEE REA'!A:AO,14,FALSE)</f>
        <v>#N/A</v>
      </c>
      <c r="I521" s="106"/>
      <c r="J521" s="99"/>
      <c r="K521" s="99"/>
      <c r="L521" s="107"/>
      <c r="M521" s="112" t="str">
        <f t="shared" si="81"/>
        <v/>
      </c>
      <c r="N521" s="103" t="str">
        <f t="shared" si="82"/>
        <v/>
      </c>
      <c r="O521" s="103">
        <f>IFERROR('OEE REA'!J1032*'SPEED FACTOR REA'!L521,"")</f>
        <v>0</v>
      </c>
      <c r="P521" s="250" t="str">
        <f t="shared" si="83"/>
        <v/>
      </c>
      <c r="R521" s="70" t="e">
        <f t="shared" si="79"/>
        <v>#VALUE!</v>
      </c>
    </row>
    <row r="522" spans="1:18" ht="20.25" x14ac:dyDescent="0.25">
      <c r="A522" s="246">
        <f>+'OEE REA'!A1033</f>
        <v>0</v>
      </c>
      <c r="B522" s="99">
        <f t="shared" si="78"/>
        <v>0</v>
      </c>
      <c r="C522" s="113">
        <f>+'OEE REA'!D1033</f>
        <v>0</v>
      </c>
      <c r="D522" s="242" t="s">
        <v>2324</v>
      </c>
      <c r="E522" s="109" t="e">
        <f>VLOOKUP(A522,'OEE REA'!A:AO,13,FALSE)</f>
        <v>#N/A</v>
      </c>
      <c r="F522" s="110" t="e">
        <f>VLOOKUP(A522,'OEE REA'!A:AO,11,FALSE)</f>
        <v>#N/A</v>
      </c>
      <c r="G522" s="111" t="str">
        <f t="shared" si="84"/>
        <v/>
      </c>
      <c r="H522" s="110" t="e">
        <f>VLOOKUP(A522,'OEE REA'!A:AO,14,FALSE)</f>
        <v>#N/A</v>
      </c>
      <c r="I522" s="106"/>
      <c r="J522" s="99"/>
      <c r="K522" s="99"/>
      <c r="L522" s="107"/>
      <c r="M522" s="112" t="str">
        <f t="shared" si="81"/>
        <v/>
      </c>
      <c r="N522" s="103" t="str">
        <f t="shared" si="82"/>
        <v/>
      </c>
      <c r="O522" s="103">
        <f>IFERROR('OEE REA'!J1033*'SPEED FACTOR REA'!L522,"")</f>
        <v>0</v>
      </c>
      <c r="P522" s="250" t="str">
        <f t="shared" si="83"/>
        <v/>
      </c>
      <c r="R522" s="70" t="e">
        <f t="shared" si="79"/>
        <v>#VALUE!</v>
      </c>
    </row>
    <row r="523" spans="1:18" ht="20.25" x14ac:dyDescent="0.25">
      <c r="A523" s="246">
        <f>+'OEE REA'!A1034</f>
        <v>0</v>
      </c>
      <c r="B523" s="99">
        <f t="shared" si="78"/>
        <v>0</v>
      </c>
      <c r="C523" s="113">
        <f>+'OEE REA'!D1034</f>
        <v>0</v>
      </c>
      <c r="D523" s="242" t="s">
        <v>2325</v>
      </c>
      <c r="E523" s="109" t="e">
        <f>VLOOKUP(A523,'OEE REA'!A:AO,13,FALSE)</f>
        <v>#N/A</v>
      </c>
      <c r="F523" s="110" t="e">
        <f>VLOOKUP(A523,'OEE REA'!A:AO,11,FALSE)</f>
        <v>#N/A</v>
      </c>
      <c r="G523" s="111" t="str">
        <f t="shared" si="84"/>
        <v/>
      </c>
      <c r="H523" s="110" t="e">
        <f>VLOOKUP(A523,'OEE REA'!A:AO,14,FALSE)</f>
        <v>#N/A</v>
      </c>
      <c r="I523" s="106"/>
      <c r="J523" s="99"/>
      <c r="K523" s="99"/>
      <c r="L523" s="107"/>
      <c r="M523" s="112" t="str">
        <f t="shared" si="81"/>
        <v/>
      </c>
      <c r="N523" s="103" t="str">
        <f t="shared" si="82"/>
        <v/>
      </c>
      <c r="O523" s="103">
        <f>IFERROR('OEE REA'!J1034*'SPEED FACTOR REA'!L523,"")</f>
        <v>0</v>
      </c>
      <c r="P523" s="250" t="str">
        <f t="shared" si="83"/>
        <v/>
      </c>
      <c r="R523" s="70" t="e">
        <f t="shared" si="79"/>
        <v>#VALUE!</v>
      </c>
    </row>
    <row r="524" spans="1:18" ht="20.25" x14ac:dyDescent="0.25">
      <c r="A524" s="246">
        <f>+'OEE REA'!A1035</f>
        <v>0</v>
      </c>
      <c r="B524" s="99">
        <f t="shared" si="78"/>
        <v>0</v>
      </c>
      <c r="C524" s="113">
        <f>+'OEE REA'!D1035</f>
        <v>0</v>
      </c>
      <c r="D524" s="242" t="s">
        <v>2326</v>
      </c>
      <c r="E524" s="109" t="e">
        <f>VLOOKUP(A524,'OEE REA'!A:AO,13,FALSE)</f>
        <v>#N/A</v>
      </c>
      <c r="F524" s="110" t="e">
        <f>VLOOKUP(A524,'OEE REA'!A:AO,11,FALSE)</f>
        <v>#N/A</v>
      </c>
      <c r="G524" s="111" t="str">
        <f t="shared" si="84"/>
        <v/>
      </c>
      <c r="H524" s="110" t="e">
        <f>VLOOKUP(A524,'OEE REA'!A:AO,14,FALSE)</f>
        <v>#N/A</v>
      </c>
      <c r="I524" s="106"/>
      <c r="J524" s="99"/>
      <c r="K524" s="99"/>
      <c r="L524" s="107"/>
      <c r="M524" s="112" t="str">
        <f t="shared" si="81"/>
        <v/>
      </c>
      <c r="N524" s="103" t="str">
        <f t="shared" si="82"/>
        <v/>
      </c>
      <c r="O524" s="103">
        <f>IFERROR('OEE REA'!J1035*'SPEED FACTOR REA'!L524,"")</f>
        <v>0</v>
      </c>
      <c r="P524" s="250" t="str">
        <f t="shared" si="83"/>
        <v/>
      </c>
      <c r="R524" s="70" t="e">
        <f t="shared" si="79"/>
        <v>#VALUE!</v>
      </c>
    </row>
    <row r="525" spans="1:18" ht="20.25" x14ac:dyDescent="0.25">
      <c r="A525" s="246">
        <f>+'OEE REA'!A1036</f>
        <v>0</v>
      </c>
      <c r="B525" s="99">
        <f t="shared" si="78"/>
        <v>0</v>
      </c>
      <c r="C525" s="113">
        <f>+'OEE REA'!D1036</f>
        <v>0</v>
      </c>
      <c r="D525" s="242" t="s">
        <v>2327</v>
      </c>
      <c r="E525" s="109" t="e">
        <f>VLOOKUP(A525,'OEE REA'!A:AO,13,FALSE)</f>
        <v>#N/A</v>
      </c>
      <c r="F525" s="110" t="e">
        <f>VLOOKUP(A525,'OEE REA'!A:AO,11,FALSE)</f>
        <v>#N/A</v>
      </c>
      <c r="G525" s="111" t="str">
        <f t="shared" si="84"/>
        <v/>
      </c>
      <c r="H525" s="110" t="e">
        <f>VLOOKUP(A525,'OEE REA'!A:AO,14,FALSE)</f>
        <v>#N/A</v>
      </c>
      <c r="I525" s="106"/>
      <c r="J525" s="99"/>
      <c r="K525" s="99"/>
      <c r="L525" s="107"/>
      <c r="M525" s="112" t="str">
        <f t="shared" si="81"/>
        <v/>
      </c>
      <c r="N525" s="103" t="str">
        <f t="shared" si="82"/>
        <v/>
      </c>
      <c r="O525" s="103">
        <f>IFERROR('OEE REA'!J1036*'SPEED FACTOR REA'!L525,"")</f>
        <v>0</v>
      </c>
      <c r="P525" s="250" t="str">
        <f t="shared" si="83"/>
        <v/>
      </c>
      <c r="R525" s="70" t="e">
        <f t="shared" si="79"/>
        <v>#VALUE!</v>
      </c>
    </row>
    <row r="526" spans="1:18" ht="20.25" x14ac:dyDescent="0.25">
      <c r="A526" s="246">
        <f>+'OEE REA'!A1037</f>
        <v>0</v>
      </c>
      <c r="B526" s="99">
        <f t="shared" si="78"/>
        <v>0</v>
      </c>
      <c r="C526" s="113">
        <f>+'OEE REA'!D1037</f>
        <v>0</v>
      </c>
      <c r="D526" s="242" t="s">
        <v>2328</v>
      </c>
      <c r="E526" s="109" t="e">
        <f>VLOOKUP(A526,'OEE REA'!A:AO,13,FALSE)</f>
        <v>#N/A</v>
      </c>
      <c r="F526" s="110" t="e">
        <f>VLOOKUP(A526,'OEE REA'!A:AO,11,FALSE)</f>
        <v>#N/A</v>
      </c>
      <c r="G526" s="111" t="str">
        <f t="shared" si="84"/>
        <v/>
      </c>
      <c r="H526" s="110" t="e">
        <f>VLOOKUP(A526,'OEE REA'!A:AO,14,FALSE)</f>
        <v>#N/A</v>
      </c>
      <c r="I526" s="106"/>
      <c r="J526" s="99"/>
      <c r="K526" s="99"/>
      <c r="L526" s="107"/>
      <c r="M526" s="112" t="str">
        <f t="shared" si="81"/>
        <v/>
      </c>
      <c r="N526" s="103" t="str">
        <f t="shared" si="82"/>
        <v/>
      </c>
      <c r="O526" s="103">
        <f>IFERROR('OEE REA'!J1037*'SPEED FACTOR REA'!L526,"")</f>
        <v>0</v>
      </c>
      <c r="P526" s="250" t="str">
        <f t="shared" si="83"/>
        <v/>
      </c>
      <c r="R526" s="70" t="e">
        <f t="shared" si="79"/>
        <v>#VALUE!</v>
      </c>
    </row>
    <row r="527" spans="1:18" ht="20.25" x14ac:dyDescent="0.25">
      <c r="A527" s="246">
        <f>+'OEE REA'!A1038</f>
        <v>0</v>
      </c>
      <c r="B527" s="99">
        <f t="shared" si="78"/>
        <v>0</v>
      </c>
      <c r="C527" s="113">
        <f>+'OEE REA'!D1038</f>
        <v>0</v>
      </c>
      <c r="D527" s="242" t="s">
        <v>2329</v>
      </c>
      <c r="E527" s="109" t="e">
        <f>VLOOKUP(A527,'OEE REA'!A:AO,13,FALSE)</f>
        <v>#N/A</v>
      </c>
      <c r="F527" s="110" t="e">
        <f>VLOOKUP(A527,'OEE REA'!A:AO,11,FALSE)</f>
        <v>#N/A</v>
      </c>
      <c r="G527" s="111" t="str">
        <f t="shared" si="84"/>
        <v/>
      </c>
      <c r="H527" s="110" t="e">
        <f>VLOOKUP(A527,'OEE REA'!A:AO,14,FALSE)</f>
        <v>#N/A</v>
      </c>
      <c r="I527" s="106"/>
      <c r="J527" s="99"/>
      <c r="K527" s="99"/>
      <c r="L527" s="107"/>
      <c r="M527" s="112" t="str">
        <f t="shared" si="81"/>
        <v/>
      </c>
      <c r="N527" s="103" t="str">
        <f t="shared" si="82"/>
        <v/>
      </c>
      <c r="O527" s="103">
        <f>IFERROR('OEE REA'!J1038*'SPEED FACTOR REA'!L527,"")</f>
        <v>0</v>
      </c>
      <c r="P527" s="250" t="str">
        <f t="shared" si="83"/>
        <v/>
      </c>
      <c r="R527" s="70" t="e">
        <f t="shared" si="79"/>
        <v>#VALUE!</v>
      </c>
    </row>
    <row r="528" spans="1:18" ht="20.25" x14ac:dyDescent="0.25">
      <c r="A528" s="246">
        <f>+'OEE REA'!A1039</f>
        <v>0</v>
      </c>
      <c r="B528" s="99">
        <f t="shared" si="78"/>
        <v>0</v>
      </c>
      <c r="C528" s="113">
        <f>+'OEE REA'!D1039</f>
        <v>0</v>
      </c>
      <c r="D528" s="242" t="s">
        <v>2330</v>
      </c>
      <c r="E528" s="109" t="e">
        <f>VLOOKUP(A528,'OEE REA'!A:AO,13,FALSE)</f>
        <v>#N/A</v>
      </c>
      <c r="F528" s="110" t="e">
        <f>VLOOKUP(A528,'OEE REA'!A:AO,11,FALSE)</f>
        <v>#N/A</v>
      </c>
      <c r="G528" s="111" t="str">
        <f t="shared" si="84"/>
        <v/>
      </c>
      <c r="H528" s="110" t="e">
        <f>VLOOKUP(A528,'OEE REA'!A:AO,14,FALSE)</f>
        <v>#N/A</v>
      </c>
      <c r="I528" s="106"/>
      <c r="J528" s="99"/>
      <c r="K528" s="99"/>
      <c r="L528" s="107"/>
      <c r="M528" s="112" t="str">
        <f t="shared" si="81"/>
        <v/>
      </c>
      <c r="N528" s="103" t="str">
        <f t="shared" si="82"/>
        <v/>
      </c>
      <c r="O528" s="103">
        <f>IFERROR('OEE REA'!J1039*'SPEED FACTOR REA'!L528,"")</f>
        <v>0</v>
      </c>
      <c r="P528" s="250" t="str">
        <f t="shared" si="83"/>
        <v/>
      </c>
      <c r="R528" s="70" t="e">
        <f t="shared" si="79"/>
        <v>#VALUE!</v>
      </c>
    </row>
    <row r="529" spans="1:18" ht="20.25" x14ac:dyDescent="0.25">
      <c r="A529" s="246">
        <f>+'OEE REA'!A1040</f>
        <v>0</v>
      </c>
      <c r="B529" s="99">
        <f t="shared" si="78"/>
        <v>0</v>
      </c>
      <c r="C529" s="113">
        <f>+'OEE REA'!D1040</f>
        <v>0</v>
      </c>
      <c r="D529" s="242" t="s">
        <v>2331</v>
      </c>
      <c r="E529" s="109" t="e">
        <f>VLOOKUP(A529,'OEE REA'!A:AO,13,FALSE)</f>
        <v>#N/A</v>
      </c>
      <c r="F529" s="110" t="e">
        <f>VLOOKUP(A529,'OEE REA'!A:AO,11,FALSE)</f>
        <v>#N/A</v>
      </c>
      <c r="G529" s="111" t="str">
        <f t="shared" si="84"/>
        <v/>
      </c>
      <c r="H529" s="110" t="e">
        <f>VLOOKUP(A529,'OEE REA'!A:AO,14,FALSE)</f>
        <v>#N/A</v>
      </c>
      <c r="I529" s="106"/>
      <c r="J529" s="99"/>
      <c r="K529" s="99"/>
      <c r="L529" s="107"/>
      <c r="M529" s="112" t="str">
        <f t="shared" si="81"/>
        <v/>
      </c>
      <c r="N529" s="103" t="str">
        <f t="shared" si="82"/>
        <v/>
      </c>
      <c r="O529" s="103">
        <f>IFERROR('OEE REA'!J1040*'SPEED FACTOR REA'!L529,"")</f>
        <v>0</v>
      </c>
      <c r="P529" s="250" t="str">
        <f t="shared" si="83"/>
        <v/>
      </c>
      <c r="R529" s="70" t="e">
        <f t="shared" si="79"/>
        <v>#VALUE!</v>
      </c>
    </row>
    <row r="530" spans="1:18" ht="20.25" x14ac:dyDescent="0.25">
      <c r="A530" s="246">
        <f>+'OEE REA'!A1041</f>
        <v>0</v>
      </c>
      <c r="B530" s="99">
        <f t="shared" si="78"/>
        <v>0</v>
      </c>
      <c r="C530" s="113">
        <f>+'OEE REA'!D1041</f>
        <v>0</v>
      </c>
      <c r="D530" s="242" t="s">
        <v>2332</v>
      </c>
      <c r="E530" s="109" t="e">
        <f>VLOOKUP(A530,'OEE REA'!A:AO,13,FALSE)</f>
        <v>#N/A</v>
      </c>
      <c r="F530" s="110" t="e">
        <f>VLOOKUP(A530,'OEE REA'!A:AO,11,FALSE)</f>
        <v>#N/A</v>
      </c>
      <c r="G530" s="111" t="str">
        <f t="shared" si="84"/>
        <v/>
      </c>
      <c r="H530" s="110" t="e">
        <f>VLOOKUP(A530,'OEE REA'!A:AO,14,FALSE)</f>
        <v>#N/A</v>
      </c>
      <c r="I530" s="106"/>
      <c r="J530" s="99"/>
      <c r="K530" s="99"/>
      <c r="L530" s="107"/>
      <c r="M530" s="112" t="str">
        <f t="shared" si="81"/>
        <v/>
      </c>
      <c r="N530" s="103" t="str">
        <f t="shared" si="82"/>
        <v/>
      </c>
      <c r="O530" s="103">
        <f>IFERROR('OEE REA'!J1041*'SPEED FACTOR REA'!L530,"")</f>
        <v>0</v>
      </c>
      <c r="P530" s="250" t="str">
        <f t="shared" si="83"/>
        <v/>
      </c>
      <c r="R530" s="70" t="e">
        <f t="shared" si="79"/>
        <v>#VALUE!</v>
      </c>
    </row>
    <row r="531" spans="1:18" ht="20.25" x14ac:dyDescent="0.25">
      <c r="A531" s="246">
        <f>+'OEE REA'!A1042</f>
        <v>0</v>
      </c>
      <c r="B531" s="99">
        <f t="shared" si="78"/>
        <v>0</v>
      </c>
      <c r="C531" s="113">
        <f>+'OEE REA'!D1042</f>
        <v>0</v>
      </c>
      <c r="D531" s="242" t="s">
        <v>2333</v>
      </c>
      <c r="E531" s="109" t="e">
        <f>VLOOKUP(A531,'OEE REA'!A:AO,13,FALSE)</f>
        <v>#N/A</v>
      </c>
      <c r="F531" s="110" t="e">
        <f>VLOOKUP(A531,'OEE REA'!A:AO,11,FALSE)</f>
        <v>#N/A</v>
      </c>
      <c r="G531" s="111" t="str">
        <f t="shared" si="84"/>
        <v/>
      </c>
      <c r="H531" s="110" t="e">
        <f>VLOOKUP(A531,'OEE REA'!A:AO,14,FALSE)</f>
        <v>#N/A</v>
      </c>
      <c r="I531" s="106"/>
      <c r="J531" s="99"/>
      <c r="K531" s="99"/>
      <c r="L531" s="107"/>
      <c r="M531" s="112" t="str">
        <f t="shared" si="81"/>
        <v/>
      </c>
      <c r="N531" s="103" t="str">
        <f t="shared" si="82"/>
        <v/>
      </c>
      <c r="O531" s="103">
        <f>IFERROR('OEE REA'!J1042*'SPEED FACTOR REA'!L531,"")</f>
        <v>0</v>
      </c>
      <c r="P531" s="250" t="str">
        <f t="shared" si="83"/>
        <v/>
      </c>
      <c r="R531" s="70" t="e">
        <f t="shared" si="79"/>
        <v>#VALUE!</v>
      </c>
    </row>
    <row r="532" spans="1:18" ht="20.25" x14ac:dyDescent="0.25">
      <c r="A532" s="246">
        <f>+'OEE REA'!A1043</f>
        <v>0</v>
      </c>
      <c r="B532" s="99">
        <f t="shared" si="78"/>
        <v>0</v>
      </c>
      <c r="C532" s="113">
        <f>+'OEE REA'!D1043</f>
        <v>0</v>
      </c>
      <c r="D532" s="242" t="s">
        <v>2334</v>
      </c>
      <c r="E532" s="109" t="e">
        <f>VLOOKUP(A532,'OEE REA'!A:AO,13,FALSE)</f>
        <v>#N/A</v>
      </c>
      <c r="F532" s="110" t="e">
        <f>VLOOKUP(A532,'OEE REA'!A:AO,11,FALSE)</f>
        <v>#N/A</v>
      </c>
      <c r="G532" s="111" t="str">
        <f t="shared" si="84"/>
        <v/>
      </c>
      <c r="H532" s="110" t="e">
        <f>VLOOKUP(A532,'OEE REA'!A:AO,14,FALSE)</f>
        <v>#N/A</v>
      </c>
      <c r="I532" s="106"/>
      <c r="J532" s="99"/>
      <c r="K532" s="99"/>
      <c r="L532" s="107"/>
      <c r="M532" s="112" t="str">
        <f t="shared" si="81"/>
        <v/>
      </c>
      <c r="N532" s="103" t="str">
        <f t="shared" si="82"/>
        <v/>
      </c>
      <c r="O532" s="103">
        <f>IFERROR('OEE REA'!J1043*'SPEED FACTOR REA'!L532,"")</f>
        <v>0</v>
      </c>
      <c r="P532" s="250" t="str">
        <f t="shared" si="83"/>
        <v/>
      </c>
      <c r="R532" s="70" t="e">
        <f t="shared" si="79"/>
        <v>#VALUE!</v>
      </c>
    </row>
    <row r="533" spans="1:18" ht="20.25" x14ac:dyDescent="0.25">
      <c r="A533" s="246">
        <f>+'OEE REA'!A1044</f>
        <v>0</v>
      </c>
      <c r="B533" s="99">
        <f t="shared" si="78"/>
        <v>0</v>
      </c>
      <c r="C533" s="113">
        <f>+'OEE REA'!D1044</f>
        <v>0</v>
      </c>
      <c r="D533" s="242" t="s">
        <v>2335</v>
      </c>
      <c r="E533" s="109" t="e">
        <f>VLOOKUP(A533,'OEE REA'!A:AO,13,FALSE)</f>
        <v>#N/A</v>
      </c>
      <c r="F533" s="110" t="e">
        <f>VLOOKUP(A533,'OEE REA'!A:AO,11,FALSE)</f>
        <v>#N/A</v>
      </c>
      <c r="G533" s="111" t="str">
        <f t="shared" si="84"/>
        <v/>
      </c>
      <c r="H533" s="110" t="e">
        <f>VLOOKUP(A533,'OEE REA'!A:AO,14,FALSE)</f>
        <v>#N/A</v>
      </c>
      <c r="I533" s="106"/>
      <c r="J533" s="99"/>
      <c r="K533" s="99"/>
      <c r="L533" s="107"/>
      <c r="M533" s="112" t="str">
        <f t="shared" si="81"/>
        <v/>
      </c>
      <c r="N533" s="103" t="str">
        <f t="shared" si="82"/>
        <v/>
      </c>
      <c r="O533" s="103">
        <f>IFERROR('OEE REA'!J1044*'SPEED FACTOR REA'!L533,"")</f>
        <v>0</v>
      </c>
      <c r="P533" s="250" t="str">
        <f t="shared" si="83"/>
        <v/>
      </c>
      <c r="R533" s="70" t="e">
        <f t="shared" si="79"/>
        <v>#VALUE!</v>
      </c>
    </row>
    <row r="534" spans="1:18" ht="20.25" x14ac:dyDescent="0.25">
      <c r="A534" s="246">
        <f>+'OEE REA'!A1045</f>
        <v>0</v>
      </c>
      <c r="B534" s="99">
        <f t="shared" si="78"/>
        <v>0</v>
      </c>
      <c r="C534" s="113">
        <f>+'OEE REA'!D1045</f>
        <v>0</v>
      </c>
      <c r="D534" s="242" t="s">
        <v>2336</v>
      </c>
      <c r="E534" s="109" t="e">
        <f>VLOOKUP(A534,'OEE REA'!A:AO,13,FALSE)</f>
        <v>#N/A</v>
      </c>
      <c r="F534" s="110" t="e">
        <f>VLOOKUP(A534,'OEE REA'!A:AO,11,FALSE)</f>
        <v>#N/A</v>
      </c>
      <c r="G534" s="111" t="str">
        <f t="shared" si="84"/>
        <v/>
      </c>
      <c r="H534" s="110" t="e">
        <f>VLOOKUP(A534,'OEE REA'!A:AO,14,FALSE)</f>
        <v>#N/A</v>
      </c>
      <c r="I534" s="106"/>
      <c r="J534" s="99"/>
      <c r="K534" s="99"/>
      <c r="L534" s="107"/>
      <c r="M534" s="112" t="str">
        <f t="shared" si="81"/>
        <v/>
      </c>
      <c r="N534" s="103" t="str">
        <f t="shared" si="82"/>
        <v/>
      </c>
      <c r="O534" s="103">
        <f>IFERROR('OEE REA'!J1045*'SPEED FACTOR REA'!L534,"")</f>
        <v>0</v>
      </c>
      <c r="P534" s="250" t="str">
        <f t="shared" si="83"/>
        <v/>
      </c>
      <c r="R534" s="70" t="e">
        <f t="shared" si="79"/>
        <v>#VALUE!</v>
      </c>
    </row>
    <row r="535" spans="1:18" ht="20.25" x14ac:dyDescent="0.25">
      <c r="A535" s="246">
        <f>+'OEE REA'!A1046</f>
        <v>0</v>
      </c>
      <c r="B535" s="99">
        <f t="shared" si="78"/>
        <v>0</v>
      </c>
      <c r="C535" s="113">
        <f>+'OEE REA'!D1046</f>
        <v>0</v>
      </c>
      <c r="D535" s="242" t="s">
        <v>2337</v>
      </c>
      <c r="E535" s="109" t="e">
        <f>VLOOKUP(A535,'OEE REA'!A:AO,13,FALSE)</f>
        <v>#N/A</v>
      </c>
      <c r="F535" s="110" t="e">
        <f>VLOOKUP(A535,'OEE REA'!A:AO,11,FALSE)</f>
        <v>#N/A</v>
      </c>
      <c r="G535" s="111" t="str">
        <f t="shared" si="84"/>
        <v/>
      </c>
      <c r="H535" s="110" t="e">
        <f>VLOOKUP(A535,'OEE REA'!A:AO,14,FALSE)</f>
        <v>#N/A</v>
      </c>
      <c r="I535" s="106"/>
      <c r="J535" s="99"/>
      <c r="K535" s="99"/>
      <c r="L535" s="107"/>
      <c r="M535" s="112" t="str">
        <f t="shared" si="81"/>
        <v/>
      </c>
      <c r="N535" s="103" t="str">
        <f t="shared" si="82"/>
        <v/>
      </c>
      <c r="O535" s="103">
        <f>IFERROR('OEE REA'!J1046*'SPEED FACTOR REA'!L535,"")</f>
        <v>0</v>
      </c>
      <c r="P535" s="250" t="str">
        <f t="shared" si="83"/>
        <v/>
      </c>
      <c r="R535" s="70" t="e">
        <f t="shared" si="79"/>
        <v>#VALUE!</v>
      </c>
    </row>
    <row r="536" spans="1:18" ht="20.25" x14ac:dyDescent="0.25">
      <c r="A536" s="246">
        <f>+'OEE REA'!A1047</f>
        <v>0</v>
      </c>
      <c r="B536" s="99">
        <f t="shared" si="78"/>
        <v>0</v>
      </c>
      <c r="C536" s="113">
        <f>+'OEE REA'!D1047</f>
        <v>0</v>
      </c>
      <c r="D536" s="242" t="s">
        <v>2338</v>
      </c>
      <c r="E536" s="109" t="e">
        <f>VLOOKUP(A536,'OEE REA'!A:AO,13,FALSE)</f>
        <v>#N/A</v>
      </c>
      <c r="F536" s="110" t="e">
        <f>VLOOKUP(A536,'OEE REA'!A:AO,11,FALSE)</f>
        <v>#N/A</v>
      </c>
      <c r="G536" s="111" t="str">
        <f t="shared" si="84"/>
        <v/>
      </c>
      <c r="H536" s="110" t="e">
        <f>VLOOKUP(A536,'OEE REA'!A:AO,14,FALSE)</f>
        <v>#N/A</v>
      </c>
      <c r="I536" s="106"/>
      <c r="J536" s="99"/>
      <c r="K536" s="99"/>
      <c r="L536" s="107"/>
      <c r="M536" s="112" t="str">
        <f t="shared" si="81"/>
        <v/>
      </c>
      <c r="N536" s="103" t="str">
        <f t="shared" si="82"/>
        <v/>
      </c>
      <c r="O536" s="103">
        <f>IFERROR('OEE REA'!J1047*'SPEED FACTOR REA'!L536,"")</f>
        <v>0</v>
      </c>
      <c r="P536" s="250" t="str">
        <f t="shared" si="83"/>
        <v/>
      </c>
      <c r="R536" s="70" t="e">
        <f t="shared" si="79"/>
        <v>#VALUE!</v>
      </c>
    </row>
    <row r="537" spans="1:18" ht="20.25" x14ac:dyDescent="0.25">
      <c r="A537" s="246">
        <f>+'OEE REA'!A1048</f>
        <v>0</v>
      </c>
      <c r="B537" s="99">
        <f t="shared" si="78"/>
        <v>0</v>
      </c>
      <c r="C537" s="113">
        <f>+'OEE REA'!D1048</f>
        <v>0</v>
      </c>
      <c r="D537" s="242" t="s">
        <v>2339</v>
      </c>
      <c r="E537" s="109" t="e">
        <f>VLOOKUP(A537,'OEE REA'!A:AO,13,FALSE)</f>
        <v>#N/A</v>
      </c>
      <c r="F537" s="110" t="e">
        <f>VLOOKUP(A537,'OEE REA'!A:AO,11,FALSE)</f>
        <v>#N/A</v>
      </c>
      <c r="G537" s="111" t="str">
        <f t="shared" si="84"/>
        <v/>
      </c>
      <c r="H537" s="110" t="e">
        <f>VLOOKUP(A537,'OEE REA'!A:AO,14,FALSE)</f>
        <v>#N/A</v>
      </c>
      <c r="I537" s="106"/>
      <c r="J537" s="99"/>
      <c r="K537" s="99"/>
      <c r="L537" s="107"/>
      <c r="M537" s="112" t="str">
        <f t="shared" si="81"/>
        <v/>
      </c>
      <c r="N537" s="103" t="str">
        <f t="shared" si="82"/>
        <v/>
      </c>
      <c r="O537" s="103">
        <f>IFERROR('OEE REA'!J1048*'SPEED FACTOR REA'!L537,"")</f>
        <v>0</v>
      </c>
      <c r="P537" s="250" t="str">
        <f t="shared" si="83"/>
        <v/>
      </c>
      <c r="R537" s="70" t="e">
        <f t="shared" si="79"/>
        <v>#VALUE!</v>
      </c>
    </row>
    <row r="538" spans="1:18" ht="20.25" x14ac:dyDescent="0.25">
      <c r="A538" s="246">
        <f>+'OEE REA'!A1049</f>
        <v>0</v>
      </c>
      <c r="B538" s="99">
        <f t="shared" si="78"/>
        <v>0</v>
      </c>
      <c r="C538" s="113">
        <f>+'OEE REA'!D1049</f>
        <v>0</v>
      </c>
      <c r="D538" s="242" t="s">
        <v>2340</v>
      </c>
      <c r="E538" s="109" t="e">
        <f>VLOOKUP(A538,'OEE REA'!A:AO,13,FALSE)</f>
        <v>#N/A</v>
      </c>
      <c r="F538" s="110" t="e">
        <f>VLOOKUP(A538,'OEE REA'!A:AO,11,FALSE)</f>
        <v>#N/A</v>
      </c>
      <c r="G538" s="111" t="str">
        <f t="shared" si="84"/>
        <v/>
      </c>
      <c r="H538" s="110" t="e">
        <f>VLOOKUP(A538,'OEE REA'!A:AO,14,FALSE)</f>
        <v>#N/A</v>
      </c>
      <c r="I538" s="106"/>
      <c r="J538" s="99"/>
      <c r="K538" s="99"/>
      <c r="L538" s="107"/>
      <c r="M538" s="112" t="str">
        <f t="shared" si="81"/>
        <v/>
      </c>
      <c r="N538" s="103" t="str">
        <f t="shared" si="82"/>
        <v/>
      </c>
      <c r="O538" s="103">
        <f>IFERROR('OEE REA'!J1049*'SPEED FACTOR REA'!L538,"")</f>
        <v>0</v>
      </c>
      <c r="P538" s="250" t="str">
        <f t="shared" si="83"/>
        <v/>
      </c>
      <c r="R538" s="70" t="e">
        <f t="shared" si="79"/>
        <v>#VALUE!</v>
      </c>
    </row>
    <row r="539" spans="1:18" ht="20.25" x14ac:dyDescent="0.25">
      <c r="A539" s="246">
        <f>+'OEE REA'!A1050</f>
        <v>0</v>
      </c>
      <c r="B539" s="99">
        <f t="shared" si="78"/>
        <v>0</v>
      </c>
      <c r="C539" s="113">
        <f>+'OEE REA'!D1050</f>
        <v>0</v>
      </c>
      <c r="D539" s="242" t="s">
        <v>2341</v>
      </c>
      <c r="E539" s="109" t="e">
        <f>VLOOKUP(A539,'OEE REA'!A:AO,13,FALSE)</f>
        <v>#N/A</v>
      </c>
      <c r="F539" s="110" t="e">
        <f>VLOOKUP(A539,'OEE REA'!A:AO,11,FALSE)</f>
        <v>#N/A</v>
      </c>
      <c r="G539" s="111" t="str">
        <f t="shared" si="84"/>
        <v/>
      </c>
      <c r="H539" s="110" t="e">
        <f>VLOOKUP(A539,'OEE REA'!A:AO,14,FALSE)</f>
        <v>#N/A</v>
      </c>
      <c r="I539" s="106"/>
      <c r="J539" s="99"/>
      <c r="K539" s="99"/>
      <c r="L539" s="107"/>
      <c r="M539" s="112" t="str">
        <f t="shared" si="81"/>
        <v/>
      </c>
      <c r="N539" s="103" t="str">
        <f t="shared" si="82"/>
        <v/>
      </c>
      <c r="O539" s="103">
        <f>IFERROR('OEE REA'!J1050*'SPEED FACTOR REA'!L539,"")</f>
        <v>0</v>
      </c>
      <c r="P539" s="250" t="str">
        <f t="shared" si="83"/>
        <v/>
      </c>
      <c r="R539" s="70" t="e">
        <f t="shared" si="79"/>
        <v>#VALUE!</v>
      </c>
    </row>
    <row r="540" spans="1:18" ht="20.25" x14ac:dyDescent="0.25">
      <c r="A540" s="246">
        <f>+'OEE REA'!A1051</f>
        <v>0</v>
      </c>
      <c r="B540" s="99">
        <f t="shared" si="78"/>
        <v>0</v>
      </c>
      <c r="C540" s="113">
        <f>+'OEE REA'!D1051</f>
        <v>0</v>
      </c>
      <c r="D540" s="242" t="s">
        <v>2342</v>
      </c>
      <c r="E540" s="109" t="e">
        <f>VLOOKUP(A540,'OEE REA'!A:AO,13,FALSE)</f>
        <v>#N/A</v>
      </c>
      <c r="F540" s="110" t="e">
        <f>VLOOKUP(A540,'OEE REA'!A:AO,11,FALSE)</f>
        <v>#N/A</v>
      </c>
      <c r="G540" s="111" t="str">
        <f t="shared" si="84"/>
        <v/>
      </c>
      <c r="H540" s="110" t="e">
        <f>VLOOKUP(A540,'OEE REA'!A:AO,14,FALSE)</f>
        <v>#N/A</v>
      </c>
      <c r="I540" s="106"/>
      <c r="J540" s="99"/>
      <c r="K540" s="99"/>
      <c r="L540" s="107"/>
      <c r="M540" s="112" t="str">
        <f t="shared" si="81"/>
        <v/>
      </c>
      <c r="N540" s="103" t="str">
        <f t="shared" si="82"/>
        <v/>
      </c>
      <c r="O540" s="103">
        <f>IFERROR('OEE REA'!J1051*'SPEED FACTOR REA'!L540,"")</f>
        <v>0</v>
      </c>
      <c r="P540" s="250" t="str">
        <f t="shared" si="83"/>
        <v/>
      </c>
      <c r="R540" s="70" t="e">
        <f t="shared" si="79"/>
        <v>#VALUE!</v>
      </c>
    </row>
    <row r="541" spans="1:18" ht="20.25" x14ac:dyDescent="0.25">
      <c r="A541" s="246">
        <f>+'OEE REA'!A1052</f>
        <v>0</v>
      </c>
      <c r="B541" s="99">
        <f t="shared" si="78"/>
        <v>0</v>
      </c>
      <c r="C541" s="113">
        <f>+'OEE REA'!D1052</f>
        <v>0</v>
      </c>
      <c r="D541" s="242" t="s">
        <v>2343</v>
      </c>
      <c r="E541" s="109" t="e">
        <f>VLOOKUP(A541,'OEE REA'!A:AO,13,FALSE)</f>
        <v>#N/A</v>
      </c>
      <c r="F541" s="110" t="e">
        <f>VLOOKUP(A541,'OEE REA'!A:AO,11,FALSE)</f>
        <v>#N/A</v>
      </c>
      <c r="G541" s="111" t="str">
        <f t="shared" si="84"/>
        <v/>
      </c>
      <c r="H541" s="110" t="e">
        <f>VLOOKUP(A541,'OEE REA'!A:AO,14,FALSE)</f>
        <v>#N/A</v>
      </c>
      <c r="I541" s="106"/>
      <c r="J541" s="99"/>
      <c r="K541" s="99"/>
      <c r="L541" s="107"/>
      <c r="M541" s="112" t="str">
        <f t="shared" si="81"/>
        <v/>
      </c>
      <c r="N541" s="103" t="str">
        <f t="shared" si="82"/>
        <v/>
      </c>
      <c r="O541" s="103">
        <f>IFERROR('OEE REA'!J1052*'SPEED FACTOR REA'!L541,"")</f>
        <v>0</v>
      </c>
      <c r="P541" s="250" t="str">
        <f t="shared" si="83"/>
        <v/>
      </c>
      <c r="R541" s="70" t="e">
        <f t="shared" si="79"/>
        <v>#VALUE!</v>
      </c>
    </row>
    <row r="542" spans="1:18" ht="20.25" x14ac:dyDescent="0.25">
      <c r="A542" s="246">
        <f>+'OEE REA'!A1053</f>
        <v>0</v>
      </c>
      <c r="B542" s="99">
        <f t="shared" si="78"/>
        <v>0</v>
      </c>
      <c r="C542" s="113">
        <f>+'OEE REA'!D1053</f>
        <v>0</v>
      </c>
      <c r="D542" s="242" t="s">
        <v>2344</v>
      </c>
      <c r="E542" s="109" t="e">
        <f>VLOOKUP(A542,'OEE REA'!A:AO,13,FALSE)</f>
        <v>#N/A</v>
      </c>
      <c r="F542" s="110" t="e">
        <f>VLOOKUP(A542,'OEE REA'!A:AO,11,FALSE)</f>
        <v>#N/A</v>
      </c>
      <c r="G542" s="111" t="str">
        <f t="shared" si="84"/>
        <v/>
      </c>
      <c r="H542" s="110" t="e">
        <f>VLOOKUP(A542,'OEE REA'!A:AO,14,FALSE)</f>
        <v>#N/A</v>
      </c>
      <c r="I542" s="106"/>
      <c r="J542" s="99"/>
      <c r="K542" s="99"/>
      <c r="L542" s="107"/>
      <c r="M542" s="112" t="str">
        <f t="shared" si="81"/>
        <v/>
      </c>
      <c r="N542" s="103" t="str">
        <f t="shared" si="82"/>
        <v/>
      </c>
      <c r="O542" s="103">
        <f>IFERROR('OEE REA'!J1053*'SPEED FACTOR REA'!L542,"")</f>
        <v>0</v>
      </c>
      <c r="P542" s="250" t="str">
        <f t="shared" si="83"/>
        <v/>
      </c>
      <c r="R542" s="70" t="e">
        <f t="shared" si="79"/>
        <v>#VALUE!</v>
      </c>
    </row>
    <row r="543" spans="1:18" ht="20.25" x14ac:dyDescent="0.25">
      <c r="A543" s="246">
        <f>+'OEE REA'!A1054</f>
        <v>0</v>
      </c>
      <c r="B543" s="99">
        <f t="shared" si="78"/>
        <v>0</v>
      </c>
      <c r="C543" s="113">
        <f>+'OEE REA'!D1054</f>
        <v>0</v>
      </c>
      <c r="D543" s="242" t="s">
        <v>2345</v>
      </c>
      <c r="E543" s="109" t="e">
        <f>VLOOKUP(A543,'OEE REA'!A:AO,13,FALSE)</f>
        <v>#N/A</v>
      </c>
      <c r="F543" s="110" t="e">
        <f>VLOOKUP(A543,'OEE REA'!A:AO,11,FALSE)</f>
        <v>#N/A</v>
      </c>
      <c r="G543" s="111" t="str">
        <f t="shared" si="84"/>
        <v/>
      </c>
      <c r="H543" s="110" t="e">
        <f>VLOOKUP(A543,'OEE REA'!A:AO,14,FALSE)</f>
        <v>#N/A</v>
      </c>
      <c r="I543" s="106"/>
      <c r="J543" s="99"/>
      <c r="K543" s="99"/>
      <c r="L543" s="107"/>
      <c r="M543" s="112" t="str">
        <f t="shared" si="81"/>
        <v/>
      </c>
      <c r="N543" s="103" t="str">
        <f t="shared" si="82"/>
        <v/>
      </c>
      <c r="O543" s="103">
        <f>IFERROR('OEE REA'!J1054*'SPEED FACTOR REA'!L543,"")</f>
        <v>0</v>
      </c>
      <c r="P543" s="250" t="str">
        <f t="shared" si="83"/>
        <v/>
      </c>
      <c r="R543" s="70" t="e">
        <f t="shared" si="79"/>
        <v>#VALUE!</v>
      </c>
    </row>
    <row r="544" spans="1:18" ht="20.25" x14ac:dyDescent="0.25">
      <c r="A544" s="246">
        <f>+'OEE REA'!A1055</f>
        <v>0</v>
      </c>
      <c r="B544" s="99">
        <f t="shared" si="78"/>
        <v>0</v>
      </c>
      <c r="C544" s="113">
        <f>+'OEE REA'!D1055</f>
        <v>0</v>
      </c>
      <c r="D544" s="242" t="s">
        <v>2346</v>
      </c>
      <c r="E544" s="109" t="e">
        <f>VLOOKUP(A544,'OEE REA'!A:AO,13,FALSE)</f>
        <v>#N/A</v>
      </c>
      <c r="F544" s="110" t="e">
        <f>VLOOKUP(A544,'OEE REA'!A:AO,11,FALSE)</f>
        <v>#N/A</v>
      </c>
      <c r="G544" s="111" t="str">
        <f t="shared" si="84"/>
        <v/>
      </c>
      <c r="H544" s="110" t="e">
        <f>VLOOKUP(A544,'OEE REA'!A:AO,14,FALSE)</f>
        <v>#N/A</v>
      </c>
      <c r="I544" s="106"/>
      <c r="J544" s="99"/>
      <c r="K544" s="99"/>
      <c r="L544" s="107"/>
      <c r="M544" s="112" t="str">
        <f t="shared" si="81"/>
        <v/>
      </c>
      <c r="N544" s="103" t="str">
        <f t="shared" si="82"/>
        <v/>
      </c>
      <c r="O544" s="103">
        <f>IFERROR('OEE REA'!J1055*'SPEED FACTOR REA'!L544,"")</f>
        <v>0</v>
      </c>
      <c r="P544" s="250" t="str">
        <f t="shared" si="83"/>
        <v/>
      </c>
      <c r="R544" s="70" t="e">
        <f t="shared" si="79"/>
        <v>#VALUE!</v>
      </c>
    </row>
    <row r="545" spans="1:18" ht="20.25" x14ac:dyDescent="0.25">
      <c r="A545" s="246">
        <f>+'OEE REA'!A1056</f>
        <v>0</v>
      </c>
      <c r="B545" s="99">
        <f t="shared" ref="B545:B608" si="85">WEEKNUM(C545)</f>
        <v>0</v>
      </c>
      <c r="C545" s="113">
        <f>+'OEE REA'!D1056</f>
        <v>0</v>
      </c>
      <c r="D545" s="242" t="s">
        <v>2347</v>
      </c>
      <c r="E545" s="109" t="e">
        <f>VLOOKUP(A545,'OEE REA'!A:AO,13,FALSE)</f>
        <v>#N/A</v>
      </c>
      <c r="F545" s="110" t="e">
        <f>VLOOKUP(A545,'OEE REA'!A:AO,11,FALSE)</f>
        <v>#N/A</v>
      </c>
      <c r="G545" s="111" t="str">
        <f t="shared" ref="G545:G608" si="86">IFERROR(E545/H545*60,"")</f>
        <v/>
      </c>
      <c r="H545" s="110" t="e">
        <f>VLOOKUP(A545,'OEE REA'!A:AO,14,FALSE)</f>
        <v>#N/A</v>
      </c>
      <c r="I545" s="106"/>
      <c r="J545" s="99"/>
      <c r="K545" s="99"/>
      <c r="L545" s="107"/>
      <c r="M545" s="112" t="str">
        <f t="shared" si="81"/>
        <v/>
      </c>
      <c r="N545" s="103" t="str">
        <f t="shared" si="82"/>
        <v/>
      </c>
      <c r="O545" s="103">
        <f>IFERROR('OEE REA'!J1056*'SPEED FACTOR REA'!L545,"")</f>
        <v>0</v>
      </c>
      <c r="P545" s="250" t="str">
        <f t="shared" si="83"/>
        <v/>
      </c>
      <c r="R545" s="70" t="e">
        <f t="shared" ref="R545:R608" si="87">G545/O545</f>
        <v>#VALUE!</v>
      </c>
    </row>
    <row r="546" spans="1:18" ht="20.25" x14ac:dyDescent="0.25">
      <c r="A546" s="246">
        <f>+'OEE REA'!A1057</f>
        <v>0</v>
      </c>
      <c r="B546" s="99">
        <f t="shared" si="85"/>
        <v>0</v>
      </c>
      <c r="C546" s="113">
        <f>+'OEE REA'!D1057</f>
        <v>0</v>
      </c>
      <c r="D546" s="242" t="s">
        <v>2348</v>
      </c>
      <c r="E546" s="109" t="e">
        <f>VLOOKUP(A546,'OEE REA'!A:AO,13,FALSE)</f>
        <v>#N/A</v>
      </c>
      <c r="F546" s="110" t="e">
        <f>VLOOKUP(A546,'OEE REA'!A:AO,11,FALSE)</f>
        <v>#N/A</v>
      </c>
      <c r="G546" s="111" t="str">
        <f t="shared" si="86"/>
        <v/>
      </c>
      <c r="H546" s="110" t="e">
        <f>VLOOKUP(A546,'OEE REA'!A:AO,14,FALSE)</f>
        <v>#N/A</v>
      </c>
      <c r="I546" s="106"/>
      <c r="J546" s="99"/>
      <c r="K546" s="99"/>
      <c r="L546" s="107"/>
      <c r="M546" s="112" t="str">
        <f t="shared" si="81"/>
        <v/>
      </c>
      <c r="N546" s="103" t="str">
        <f t="shared" si="82"/>
        <v/>
      </c>
      <c r="O546" s="103">
        <f>IFERROR('OEE REA'!J1057*'SPEED FACTOR REA'!L546,"")</f>
        <v>0</v>
      </c>
      <c r="P546" s="250" t="str">
        <f t="shared" si="83"/>
        <v/>
      </c>
      <c r="R546" s="70" t="e">
        <f t="shared" si="87"/>
        <v>#VALUE!</v>
      </c>
    </row>
    <row r="547" spans="1:18" ht="20.25" x14ac:dyDescent="0.25">
      <c r="A547" s="246">
        <f>+'OEE REA'!A1058</f>
        <v>0</v>
      </c>
      <c r="B547" s="99">
        <f t="shared" si="85"/>
        <v>0</v>
      </c>
      <c r="C547" s="113">
        <f>+'OEE REA'!D1058</f>
        <v>0</v>
      </c>
      <c r="D547" s="242" t="s">
        <v>2349</v>
      </c>
      <c r="E547" s="109" t="e">
        <f>VLOOKUP(A547,'OEE REA'!A:AO,13,FALSE)</f>
        <v>#N/A</v>
      </c>
      <c r="F547" s="110" t="e">
        <f>VLOOKUP(A547,'OEE REA'!A:AO,11,FALSE)</f>
        <v>#N/A</v>
      </c>
      <c r="G547" s="111" t="str">
        <f t="shared" si="86"/>
        <v/>
      </c>
      <c r="H547" s="110" t="e">
        <f>VLOOKUP(A547,'OEE REA'!A:AO,14,FALSE)</f>
        <v>#N/A</v>
      </c>
      <c r="I547" s="106"/>
      <c r="J547" s="99"/>
      <c r="K547" s="99"/>
      <c r="L547" s="107"/>
      <c r="M547" s="112" t="str">
        <f t="shared" si="81"/>
        <v/>
      </c>
      <c r="N547" s="103" t="str">
        <f t="shared" si="82"/>
        <v/>
      </c>
      <c r="O547" s="103">
        <f>IFERROR('OEE REA'!J1058*'SPEED FACTOR REA'!L547,"")</f>
        <v>0</v>
      </c>
      <c r="P547" s="250" t="str">
        <f t="shared" si="83"/>
        <v/>
      </c>
      <c r="R547" s="70" t="e">
        <f t="shared" si="87"/>
        <v>#VALUE!</v>
      </c>
    </row>
    <row r="548" spans="1:18" ht="20.25" x14ac:dyDescent="0.25">
      <c r="A548" s="246">
        <f>+'OEE REA'!A1059</f>
        <v>0</v>
      </c>
      <c r="B548" s="99">
        <f t="shared" si="85"/>
        <v>0</v>
      </c>
      <c r="C548" s="113">
        <f>+'OEE REA'!D1059</f>
        <v>0</v>
      </c>
      <c r="D548" s="242" t="s">
        <v>2350</v>
      </c>
      <c r="E548" s="109" t="e">
        <f>VLOOKUP(A548,'OEE REA'!A:AO,13,FALSE)</f>
        <v>#N/A</v>
      </c>
      <c r="F548" s="110" t="e">
        <f>VLOOKUP(A548,'OEE REA'!A:AO,11,FALSE)</f>
        <v>#N/A</v>
      </c>
      <c r="G548" s="111" t="str">
        <f t="shared" si="86"/>
        <v/>
      </c>
      <c r="H548" s="110" t="e">
        <f>VLOOKUP(A548,'OEE REA'!A:AO,14,FALSE)</f>
        <v>#N/A</v>
      </c>
      <c r="I548" s="106"/>
      <c r="J548" s="99"/>
      <c r="K548" s="99"/>
      <c r="L548" s="107"/>
      <c r="M548" s="112" t="str">
        <f t="shared" si="81"/>
        <v/>
      </c>
      <c r="N548" s="103" t="str">
        <f t="shared" si="82"/>
        <v/>
      </c>
      <c r="O548" s="103">
        <f>IFERROR('OEE REA'!J1059*'SPEED FACTOR REA'!L548,"")</f>
        <v>0</v>
      </c>
      <c r="P548" s="250" t="str">
        <f t="shared" si="83"/>
        <v/>
      </c>
      <c r="R548" s="70" t="e">
        <f t="shared" si="87"/>
        <v>#VALUE!</v>
      </c>
    </row>
    <row r="549" spans="1:18" ht="20.25" x14ac:dyDescent="0.25">
      <c r="A549" s="246">
        <f>+'OEE REA'!A1060</f>
        <v>0</v>
      </c>
      <c r="B549" s="99">
        <f t="shared" si="85"/>
        <v>0</v>
      </c>
      <c r="C549" s="113">
        <f>+'OEE REA'!D1060</f>
        <v>0</v>
      </c>
      <c r="D549" s="242" t="s">
        <v>2351</v>
      </c>
      <c r="E549" s="109" t="e">
        <f>VLOOKUP(A549,'OEE REA'!A:AO,13,FALSE)</f>
        <v>#N/A</v>
      </c>
      <c r="F549" s="110" t="e">
        <f>VLOOKUP(A549,'OEE REA'!A:AO,11,FALSE)</f>
        <v>#N/A</v>
      </c>
      <c r="G549" s="111" t="str">
        <f t="shared" si="86"/>
        <v/>
      </c>
      <c r="H549" s="110" t="e">
        <f>VLOOKUP(A549,'OEE REA'!A:AO,14,FALSE)</f>
        <v>#N/A</v>
      </c>
      <c r="I549" s="106"/>
      <c r="J549" s="99"/>
      <c r="K549" s="99"/>
      <c r="L549" s="107"/>
      <c r="M549" s="112" t="str">
        <f t="shared" si="81"/>
        <v/>
      </c>
      <c r="N549" s="103" t="str">
        <f t="shared" si="82"/>
        <v/>
      </c>
      <c r="O549" s="103">
        <f>IFERROR('OEE REA'!J1060*'SPEED FACTOR REA'!L549,"")</f>
        <v>0</v>
      </c>
      <c r="P549" s="250" t="str">
        <f t="shared" si="83"/>
        <v/>
      </c>
      <c r="R549" s="70" t="e">
        <f t="shared" si="87"/>
        <v>#VALUE!</v>
      </c>
    </row>
    <row r="550" spans="1:18" ht="20.25" x14ac:dyDescent="0.25">
      <c r="A550" s="246">
        <f>+'OEE REA'!A1061</f>
        <v>0</v>
      </c>
      <c r="B550" s="99">
        <f t="shared" si="85"/>
        <v>0</v>
      </c>
      <c r="C550" s="113">
        <f>+'OEE REA'!D1061</f>
        <v>0</v>
      </c>
      <c r="D550" s="242" t="s">
        <v>2352</v>
      </c>
      <c r="E550" s="109" t="e">
        <f>VLOOKUP(A550,'OEE REA'!A:AO,13,FALSE)</f>
        <v>#N/A</v>
      </c>
      <c r="F550" s="110" t="e">
        <f>VLOOKUP(A550,'OEE REA'!A:AO,11,FALSE)</f>
        <v>#N/A</v>
      </c>
      <c r="G550" s="111" t="str">
        <f t="shared" si="86"/>
        <v/>
      </c>
      <c r="H550" s="110" t="e">
        <f>VLOOKUP(A550,'OEE REA'!A:AO,14,FALSE)</f>
        <v>#N/A</v>
      </c>
      <c r="I550" s="106"/>
      <c r="J550" s="99"/>
      <c r="K550" s="99"/>
      <c r="L550" s="107"/>
      <c r="M550" s="112" t="str">
        <f t="shared" si="81"/>
        <v/>
      </c>
      <c r="N550" s="103" t="str">
        <f t="shared" si="82"/>
        <v/>
      </c>
      <c r="O550" s="103">
        <f>IFERROR('OEE REA'!J1061*'SPEED FACTOR REA'!L550,"")</f>
        <v>0</v>
      </c>
      <c r="P550" s="250" t="str">
        <f t="shared" si="83"/>
        <v/>
      </c>
      <c r="R550" s="70" t="e">
        <f t="shared" si="87"/>
        <v>#VALUE!</v>
      </c>
    </row>
    <row r="551" spans="1:18" ht="20.25" x14ac:dyDescent="0.25">
      <c r="A551" s="246">
        <f>+'OEE REA'!A1062</f>
        <v>0</v>
      </c>
      <c r="B551" s="99">
        <f t="shared" si="85"/>
        <v>0</v>
      </c>
      <c r="C551" s="113">
        <f>+'OEE REA'!D1062</f>
        <v>0</v>
      </c>
      <c r="D551" s="242" t="s">
        <v>2353</v>
      </c>
      <c r="E551" s="109" t="e">
        <f>VLOOKUP(A551,'OEE REA'!A:AO,13,FALSE)</f>
        <v>#N/A</v>
      </c>
      <c r="F551" s="110" t="e">
        <f>VLOOKUP(A551,'OEE REA'!A:AO,11,FALSE)</f>
        <v>#N/A</v>
      </c>
      <c r="G551" s="111" t="str">
        <f t="shared" si="86"/>
        <v/>
      </c>
      <c r="H551" s="110" t="e">
        <f>VLOOKUP(A551,'OEE REA'!A:AO,14,FALSE)</f>
        <v>#N/A</v>
      </c>
      <c r="I551" s="106"/>
      <c r="J551" s="99"/>
      <c r="K551" s="99"/>
      <c r="L551" s="107"/>
      <c r="M551" s="112" t="str">
        <f t="shared" si="81"/>
        <v/>
      </c>
      <c r="N551" s="103" t="str">
        <f t="shared" si="82"/>
        <v/>
      </c>
      <c r="O551" s="103">
        <f>IFERROR('OEE REA'!J1062*'SPEED FACTOR REA'!L551,"")</f>
        <v>0</v>
      </c>
      <c r="P551" s="250" t="str">
        <f t="shared" si="83"/>
        <v/>
      </c>
      <c r="R551" s="70" t="e">
        <f t="shared" si="87"/>
        <v>#VALUE!</v>
      </c>
    </row>
    <row r="552" spans="1:18" ht="20.25" x14ac:dyDescent="0.25">
      <c r="A552" s="246">
        <f>+'OEE REA'!A1063</f>
        <v>0</v>
      </c>
      <c r="B552" s="99">
        <f t="shared" si="85"/>
        <v>0</v>
      </c>
      <c r="C552" s="113">
        <f>+'OEE REA'!D1063</f>
        <v>0</v>
      </c>
      <c r="D552" s="242" t="s">
        <v>2354</v>
      </c>
      <c r="E552" s="109" t="e">
        <f>VLOOKUP(A552,'OEE REA'!A:AO,13,FALSE)</f>
        <v>#N/A</v>
      </c>
      <c r="F552" s="110" t="e">
        <f>VLOOKUP(A552,'OEE REA'!A:AO,11,FALSE)</f>
        <v>#N/A</v>
      </c>
      <c r="G552" s="111" t="str">
        <f t="shared" si="86"/>
        <v/>
      </c>
      <c r="H552" s="110" t="e">
        <f>VLOOKUP(A552,'OEE REA'!A:AO,14,FALSE)</f>
        <v>#N/A</v>
      </c>
      <c r="I552" s="106"/>
      <c r="J552" s="99"/>
      <c r="K552" s="99"/>
      <c r="L552" s="107"/>
      <c r="M552" s="112" t="str">
        <f t="shared" si="81"/>
        <v/>
      </c>
      <c r="N552" s="103" t="str">
        <f t="shared" si="82"/>
        <v/>
      </c>
      <c r="O552" s="103">
        <f>IFERROR('OEE REA'!J1063*'SPEED FACTOR REA'!L552,"")</f>
        <v>0</v>
      </c>
      <c r="P552" s="250" t="str">
        <f t="shared" si="83"/>
        <v/>
      </c>
      <c r="R552" s="70" t="e">
        <f t="shared" si="87"/>
        <v>#VALUE!</v>
      </c>
    </row>
    <row r="553" spans="1:18" ht="20.25" x14ac:dyDescent="0.25">
      <c r="A553" s="246">
        <f>+'OEE REA'!A1064</f>
        <v>0</v>
      </c>
      <c r="B553" s="99">
        <f t="shared" si="85"/>
        <v>0</v>
      </c>
      <c r="C553" s="113">
        <f>+'OEE REA'!D1064</f>
        <v>0</v>
      </c>
      <c r="D553" s="242" t="s">
        <v>2355</v>
      </c>
      <c r="E553" s="109" t="e">
        <f>VLOOKUP(A553,'OEE REA'!A:AO,13,FALSE)</f>
        <v>#N/A</v>
      </c>
      <c r="F553" s="110" t="e">
        <f>VLOOKUP(A553,'OEE REA'!A:AO,11,FALSE)</f>
        <v>#N/A</v>
      </c>
      <c r="G553" s="111" t="str">
        <f t="shared" si="86"/>
        <v/>
      </c>
      <c r="H553" s="110" t="e">
        <f>VLOOKUP(A553,'OEE REA'!A:AO,14,FALSE)</f>
        <v>#N/A</v>
      </c>
      <c r="I553" s="106"/>
      <c r="J553" s="99"/>
      <c r="K553" s="99"/>
      <c r="L553" s="107"/>
      <c r="M553" s="112" t="str">
        <f t="shared" si="81"/>
        <v/>
      </c>
      <c r="N553" s="103" t="str">
        <f t="shared" si="82"/>
        <v/>
      </c>
      <c r="O553" s="103">
        <f>IFERROR('OEE REA'!J1064*'SPEED FACTOR REA'!L553,"")</f>
        <v>0</v>
      </c>
      <c r="P553" s="250" t="str">
        <f t="shared" si="83"/>
        <v/>
      </c>
      <c r="R553" s="70" t="e">
        <f t="shared" si="87"/>
        <v>#VALUE!</v>
      </c>
    </row>
    <row r="554" spans="1:18" ht="20.25" x14ac:dyDescent="0.25">
      <c r="A554" s="246">
        <f>+'OEE REA'!A1065</f>
        <v>0</v>
      </c>
      <c r="B554" s="99">
        <f t="shared" si="85"/>
        <v>0</v>
      </c>
      <c r="C554" s="113">
        <f>+'OEE REA'!D1065</f>
        <v>0</v>
      </c>
      <c r="D554" s="242" t="s">
        <v>2356</v>
      </c>
      <c r="E554" s="109" t="e">
        <f>VLOOKUP(A554,'OEE REA'!A:AO,13,FALSE)</f>
        <v>#N/A</v>
      </c>
      <c r="F554" s="110" t="e">
        <f>VLOOKUP(A554,'OEE REA'!A:AO,11,FALSE)</f>
        <v>#N/A</v>
      </c>
      <c r="G554" s="111" t="str">
        <f t="shared" si="86"/>
        <v/>
      </c>
      <c r="H554" s="110" t="e">
        <f>VLOOKUP(A554,'OEE REA'!A:AO,14,FALSE)</f>
        <v>#N/A</v>
      </c>
      <c r="I554" s="106"/>
      <c r="J554" s="99"/>
      <c r="K554" s="99"/>
      <c r="L554" s="107"/>
      <c r="M554" s="112" t="str">
        <f t="shared" si="81"/>
        <v/>
      </c>
      <c r="N554" s="103" t="str">
        <f t="shared" si="82"/>
        <v/>
      </c>
      <c r="O554" s="103">
        <f>IFERROR('OEE REA'!J1065*'SPEED FACTOR REA'!L554,"")</f>
        <v>0</v>
      </c>
      <c r="P554" s="250" t="str">
        <f t="shared" si="83"/>
        <v/>
      </c>
      <c r="R554" s="70" t="e">
        <f t="shared" si="87"/>
        <v>#VALUE!</v>
      </c>
    </row>
    <row r="555" spans="1:18" ht="20.25" x14ac:dyDescent="0.25">
      <c r="A555" s="246">
        <f>+'OEE REA'!A1066</f>
        <v>0</v>
      </c>
      <c r="B555" s="99">
        <f t="shared" si="85"/>
        <v>0</v>
      </c>
      <c r="C555" s="113">
        <f>+'OEE REA'!D1066</f>
        <v>0</v>
      </c>
      <c r="D555" s="242" t="s">
        <v>2357</v>
      </c>
      <c r="E555" s="109" t="e">
        <f>VLOOKUP(A555,'OEE REA'!A:AO,13,FALSE)</f>
        <v>#N/A</v>
      </c>
      <c r="F555" s="110" t="e">
        <f>VLOOKUP(A555,'OEE REA'!A:AO,11,FALSE)</f>
        <v>#N/A</v>
      </c>
      <c r="G555" s="111" t="str">
        <f t="shared" si="86"/>
        <v/>
      </c>
      <c r="H555" s="110" t="e">
        <f>VLOOKUP(A555,'OEE REA'!A:AO,14,FALSE)</f>
        <v>#N/A</v>
      </c>
      <c r="I555" s="106"/>
      <c r="J555" s="99"/>
      <c r="K555" s="99"/>
      <c r="L555" s="107"/>
      <c r="M555" s="112" t="str">
        <f t="shared" si="81"/>
        <v/>
      </c>
      <c r="N555" s="103" t="str">
        <f t="shared" si="82"/>
        <v/>
      </c>
      <c r="O555" s="103">
        <f>IFERROR('OEE REA'!J1066*'SPEED FACTOR REA'!L555,"")</f>
        <v>0</v>
      </c>
      <c r="P555" s="250" t="str">
        <f t="shared" si="83"/>
        <v/>
      </c>
      <c r="R555" s="70" t="e">
        <f t="shared" si="87"/>
        <v>#VALUE!</v>
      </c>
    </row>
    <row r="556" spans="1:18" ht="20.25" x14ac:dyDescent="0.25">
      <c r="A556" s="246">
        <f>+'OEE REA'!A1067</f>
        <v>0</v>
      </c>
      <c r="B556" s="99">
        <f t="shared" si="85"/>
        <v>0</v>
      </c>
      <c r="C556" s="113">
        <f>+'OEE REA'!D1067</f>
        <v>0</v>
      </c>
      <c r="D556" s="242" t="s">
        <v>2358</v>
      </c>
      <c r="E556" s="109" t="e">
        <f>VLOOKUP(A556,'OEE REA'!A:AO,13,FALSE)</f>
        <v>#N/A</v>
      </c>
      <c r="F556" s="110" t="e">
        <f>VLOOKUP(A556,'OEE REA'!A:AO,11,FALSE)</f>
        <v>#N/A</v>
      </c>
      <c r="G556" s="111" t="str">
        <f t="shared" si="86"/>
        <v/>
      </c>
      <c r="H556" s="110" t="e">
        <f>VLOOKUP(A556,'OEE REA'!A:AO,14,FALSE)</f>
        <v>#N/A</v>
      </c>
      <c r="I556" s="106"/>
      <c r="J556" s="99"/>
      <c r="K556" s="99"/>
      <c r="L556" s="107"/>
      <c r="M556" s="112" t="str">
        <f t="shared" si="81"/>
        <v/>
      </c>
      <c r="N556" s="103" t="str">
        <f t="shared" si="82"/>
        <v/>
      </c>
      <c r="O556" s="103">
        <f>IFERROR('OEE REA'!J1067*'SPEED FACTOR REA'!L556,"")</f>
        <v>0</v>
      </c>
      <c r="P556" s="250" t="str">
        <f t="shared" si="83"/>
        <v/>
      </c>
      <c r="R556" s="70" t="e">
        <f t="shared" si="87"/>
        <v>#VALUE!</v>
      </c>
    </row>
    <row r="557" spans="1:18" ht="20.25" x14ac:dyDescent="0.25">
      <c r="A557" s="246">
        <f>+'OEE REA'!A1068</f>
        <v>0</v>
      </c>
      <c r="B557" s="99">
        <f t="shared" si="85"/>
        <v>0</v>
      </c>
      <c r="C557" s="113">
        <f>+'OEE REA'!D1068</f>
        <v>0</v>
      </c>
      <c r="D557" s="242" t="s">
        <v>2359</v>
      </c>
      <c r="E557" s="109" t="e">
        <f>VLOOKUP(A557,'OEE REA'!A:AO,13,FALSE)</f>
        <v>#N/A</v>
      </c>
      <c r="F557" s="110" t="e">
        <f>VLOOKUP(A557,'OEE REA'!A:AO,11,FALSE)</f>
        <v>#N/A</v>
      </c>
      <c r="G557" s="111" t="str">
        <f t="shared" si="86"/>
        <v/>
      </c>
      <c r="H557" s="110" t="e">
        <f>VLOOKUP(A557,'OEE REA'!A:AO,14,FALSE)</f>
        <v>#N/A</v>
      </c>
      <c r="I557" s="106"/>
      <c r="J557" s="99"/>
      <c r="K557" s="99"/>
      <c r="L557" s="107"/>
      <c r="M557" s="112" t="str">
        <f t="shared" si="81"/>
        <v/>
      </c>
      <c r="N557" s="103" t="str">
        <f t="shared" si="82"/>
        <v/>
      </c>
      <c r="O557" s="103">
        <f>IFERROR('OEE REA'!J1068*'SPEED FACTOR REA'!L557,"")</f>
        <v>0</v>
      </c>
      <c r="P557" s="250" t="str">
        <f t="shared" si="83"/>
        <v/>
      </c>
      <c r="R557" s="70" t="e">
        <f t="shared" si="87"/>
        <v>#VALUE!</v>
      </c>
    </row>
    <row r="558" spans="1:18" ht="20.25" x14ac:dyDescent="0.25">
      <c r="A558" s="246">
        <f>+'OEE REA'!A1069</f>
        <v>0</v>
      </c>
      <c r="B558" s="99">
        <f t="shared" si="85"/>
        <v>0</v>
      </c>
      <c r="C558" s="113">
        <f>+'OEE REA'!D1069</f>
        <v>0</v>
      </c>
      <c r="D558" s="242" t="s">
        <v>2360</v>
      </c>
      <c r="E558" s="109" t="e">
        <f>VLOOKUP(A558,'OEE REA'!A:AO,13,FALSE)</f>
        <v>#N/A</v>
      </c>
      <c r="F558" s="110" t="e">
        <f>VLOOKUP(A558,'OEE REA'!A:AO,11,FALSE)</f>
        <v>#N/A</v>
      </c>
      <c r="G558" s="111" t="str">
        <f t="shared" si="86"/>
        <v/>
      </c>
      <c r="H558" s="110" t="e">
        <f>VLOOKUP(A558,'OEE REA'!A:AO,14,FALSE)</f>
        <v>#N/A</v>
      </c>
      <c r="I558" s="106"/>
      <c r="J558" s="99"/>
      <c r="K558" s="99"/>
      <c r="L558" s="107"/>
      <c r="M558" s="112" t="str">
        <f t="shared" ref="M558:M621" si="88">IFERROR(G558*L558,"")</f>
        <v/>
      </c>
      <c r="N558" s="103" t="str">
        <f t="shared" ref="N558:N621" si="89">IFERROR(F558*L558,"")</f>
        <v/>
      </c>
      <c r="O558" s="103">
        <f>IFERROR('OEE REA'!J1069*'SPEED FACTOR REA'!L558,"")</f>
        <v>0</v>
      </c>
      <c r="P558" s="250" t="str">
        <f t="shared" ref="P558:P621" si="90">IFERROR(N558/M558,"")</f>
        <v/>
      </c>
      <c r="R558" s="70" t="e">
        <f t="shared" si="87"/>
        <v>#VALUE!</v>
      </c>
    </row>
    <row r="559" spans="1:18" ht="20.25" x14ac:dyDescent="0.25">
      <c r="A559" s="246">
        <f>+'OEE REA'!A1070</f>
        <v>0</v>
      </c>
      <c r="B559" s="99">
        <f t="shared" si="85"/>
        <v>0</v>
      </c>
      <c r="C559" s="113">
        <f>+'OEE REA'!D1070</f>
        <v>0</v>
      </c>
      <c r="D559" s="242" t="s">
        <v>2361</v>
      </c>
      <c r="E559" s="109" t="e">
        <f>VLOOKUP(A559,'OEE REA'!A:AO,13,FALSE)</f>
        <v>#N/A</v>
      </c>
      <c r="F559" s="110" t="e">
        <f>VLOOKUP(A559,'OEE REA'!A:AO,11,FALSE)</f>
        <v>#N/A</v>
      </c>
      <c r="G559" s="111" t="str">
        <f t="shared" si="86"/>
        <v/>
      </c>
      <c r="H559" s="110" t="e">
        <f>VLOOKUP(A559,'OEE REA'!A:AO,14,FALSE)</f>
        <v>#N/A</v>
      </c>
      <c r="I559" s="106"/>
      <c r="J559" s="99"/>
      <c r="K559" s="99"/>
      <c r="L559" s="107"/>
      <c r="M559" s="112" t="str">
        <f t="shared" si="88"/>
        <v/>
      </c>
      <c r="N559" s="103" t="str">
        <f t="shared" si="89"/>
        <v/>
      </c>
      <c r="O559" s="103">
        <f>IFERROR('OEE REA'!J1070*'SPEED FACTOR REA'!L559,"")</f>
        <v>0</v>
      </c>
      <c r="P559" s="250" t="str">
        <f t="shared" si="90"/>
        <v/>
      </c>
      <c r="R559" s="70" t="e">
        <f t="shared" si="87"/>
        <v>#VALUE!</v>
      </c>
    </row>
    <row r="560" spans="1:18" ht="20.25" x14ac:dyDescent="0.25">
      <c r="A560" s="246">
        <f>+'OEE REA'!A1071</f>
        <v>0</v>
      </c>
      <c r="B560" s="99">
        <f t="shared" si="85"/>
        <v>0</v>
      </c>
      <c r="C560" s="113">
        <f>+'OEE REA'!D1071</f>
        <v>0</v>
      </c>
      <c r="D560" s="242" t="s">
        <v>2362</v>
      </c>
      <c r="E560" s="109" t="e">
        <f>VLOOKUP(A560,'OEE REA'!A:AO,13,FALSE)</f>
        <v>#N/A</v>
      </c>
      <c r="F560" s="110" t="e">
        <f>VLOOKUP(A560,'OEE REA'!A:AO,11,FALSE)</f>
        <v>#N/A</v>
      </c>
      <c r="G560" s="111" t="str">
        <f t="shared" si="86"/>
        <v/>
      </c>
      <c r="H560" s="110" t="e">
        <f>VLOOKUP(A560,'OEE REA'!A:AO,14,FALSE)</f>
        <v>#N/A</v>
      </c>
      <c r="I560" s="106"/>
      <c r="J560" s="99"/>
      <c r="K560" s="99"/>
      <c r="L560" s="107"/>
      <c r="M560" s="112" t="str">
        <f t="shared" si="88"/>
        <v/>
      </c>
      <c r="N560" s="103" t="str">
        <f t="shared" si="89"/>
        <v/>
      </c>
      <c r="O560" s="103">
        <f>IFERROR('OEE REA'!J1071*'SPEED FACTOR REA'!L560,"")</f>
        <v>0</v>
      </c>
      <c r="P560" s="250" t="str">
        <f t="shared" si="90"/>
        <v/>
      </c>
      <c r="R560" s="70" t="e">
        <f t="shared" si="87"/>
        <v>#VALUE!</v>
      </c>
    </row>
    <row r="561" spans="1:18" ht="20.25" x14ac:dyDescent="0.25">
      <c r="A561" s="246">
        <f>+'OEE REA'!A1072</f>
        <v>0</v>
      </c>
      <c r="B561" s="99">
        <f t="shared" si="85"/>
        <v>0</v>
      </c>
      <c r="C561" s="113">
        <f>+'OEE REA'!D1072</f>
        <v>0</v>
      </c>
      <c r="D561" s="242" t="s">
        <v>2363</v>
      </c>
      <c r="E561" s="109" t="e">
        <f>VLOOKUP(A561,'OEE REA'!A:AO,13,FALSE)</f>
        <v>#N/A</v>
      </c>
      <c r="F561" s="110" t="e">
        <f>VLOOKUP(A561,'OEE REA'!A:AO,11,FALSE)</f>
        <v>#N/A</v>
      </c>
      <c r="G561" s="111" t="str">
        <f t="shared" si="86"/>
        <v/>
      </c>
      <c r="H561" s="110" t="e">
        <f>VLOOKUP(A561,'OEE REA'!A:AO,14,FALSE)</f>
        <v>#N/A</v>
      </c>
      <c r="I561" s="106"/>
      <c r="J561" s="99"/>
      <c r="K561" s="99"/>
      <c r="L561" s="107"/>
      <c r="M561" s="112" t="str">
        <f t="shared" si="88"/>
        <v/>
      </c>
      <c r="N561" s="103" t="str">
        <f t="shared" si="89"/>
        <v/>
      </c>
      <c r="O561" s="103">
        <f>IFERROR('OEE REA'!J1072*'SPEED FACTOR REA'!L561,"")</f>
        <v>0</v>
      </c>
      <c r="P561" s="250" t="str">
        <f t="shared" si="90"/>
        <v/>
      </c>
      <c r="R561" s="70" t="e">
        <f t="shared" si="87"/>
        <v>#VALUE!</v>
      </c>
    </row>
    <row r="562" spans="1:18" ht="20.25" x14ac:dyDescent="0.25">
      <c r="A562" s="246">
        <f>+'OEE REA'!A1073</f>
        <v>0</v>
      </c>
      <c r="B562" s="99">
        <f t="shared" si="85"/>
        <v>0</v>
      </c>
      <c r="C562" s="113">
        <f>+'OEE REA'!D1073</f>
        <v>0</v>
      </c>
      <c r="D562" s="242" t="s">
        <v>2364</v>
      </c>
      <c r="E562" s="109" t="e">
        <f>VLOOKUP(A562,'OEE REA'!A:AO,13,FALSE)</f>
        <v>#N/A</v>
      </c>
      <c r="F562" s="110" t="e">
        <f>VLOOKUP(A562,'OEE REA'!A:AO,11,FALSE)</f>
        <v>#N/A</v>
      </c>
      <c r="G562" s="111" t="str">
        <f t="shared" si="86"/>
        <v/>
      </c>
      <c r="H562" s="110" t="e">
        <f>VLOOKUP(A562,'OEE REA'!A:AO,14,FALSE)</f>
        <v>#N/A</v>
      </c>
      <c r="I562" s="106"/>
      <c r="J562" s="99"/>
      <c r="K562" s="99"/>
      <c r="L562" s="107"/>
      <c r="M562" s="112" t="str">
        <f t="shared" si="88"/>
        <v/>
      </c>
      <c r="N562" s="103" t="str">
        <f t="shared" si="89"/>
        <v/>
      </c>
      <c r="O562" s="103">
        <f>IFERROR('OEE REA'!J1073*'SPEED FACTOR REA'!L562,"")</f>
        <v>0</v>
      </c>
      <c r="P562" s="250" t="str">
        <f t="shared" si="90"/>
        <v/>
      </c>
      <c r="R562" s="70" t="e">
        <f t="shared" si="87"/>
        <v>#VALUE!</v>
      </c>
    </row>
    <row r="563" spans="1:18" ht="20.25" x14ac:dyDescent="0.25">
      <c r="A563" s="246">
        <f>+'OEE REA'!A1074</f>
        <v>0</v>
      </c>
      <c r="B563" s="99">
        <f t="shared" si="85"/>
        <v>0</v>
      </c>
      <c r="C563" s="113">
        <f>+'OEE REA'!D1074</f>
        <v>0</v>
      </c>
      <c r="D563" s="242" t="s">
        <v>2365</v>
      </c>
      <c r="E563" s="109" t="e">
        <f>VLOOKUP(A563,'OEE REA'!A:AO,13,FALSE)</f>
        <v>#N/A</v>
      </c>
      <c r="F563" s="110" t="e">
        <f>VLOOKUP(A563,'OEE REA'!A:AO,11,FALSE)</f>
        <v>#N/A</v>
      </c>
      <c r="G563" s="111" t="str">
        <f t="shared" si="86"/>
        <v/>
      </c>
      <c r="H563" s="110" t="e">
        <f>VLOOKUP(A563,'OEE REA'!A:AO,14,FALSE)</f>
        <v>#N/A</v>
      </c>
      <c r="I563" s="106"/>
      <c r="J563" s="99"/>
      <c r="K563" s="99"/>
      <c r="L563" s="107"/>
      <c r="M563" s="112" t="str">
        <f t="shared" si="88"/>
        <v/>
      </c>
      <c r="N563" s="103" t="str">
        <f t="shared" si="89"/>
        <v/>
      </c>
      <c r="O563" s="103">
        <f>IFERROR('OEE REA'!J1074*'SPEED FACTOR REA'!L563,"")</f>
        <v>0</v>
      </c>
      <c r="P563" s="250" t="str">
        <f t="shared" si="90"/>
        <v/>
      </c>
      <c r="R563" s="70" t="e">
        <f t="shared" si="87"/>
        <v>#VALUE!</v>
      </c>
    </row>
    <row r="564" spans="1:18" ht="20.25" x14ac:dyDescent="0.25">
      <c r="A564" s="246">
        <f>+'OEE REA'!A1075</f>
        <v>0</v>
      </c>
      <c r="B564" s="99">
        <f t="shared" si="85"/>
        <v>0</v>
      </c>
      <c r="C564" s="113">
        <f>+'OEE REA'!D1075</f>
        <v>0</v>
      </c>
      <c r="D564" s="242" t="s">
        <v>2366</v>
      </c>
      <c r="E564" s="109" t="e">
        <f>VLOOKUP(A564,'OEE REA'!A:AO,13,FALSE)</f>
        <v>#N/A</v>
      </c>
      <c r="F564" s="110" t="e">
        <f>VLOOKUP(A564,'OEE REA'!A:AO,11,FALSE)</f>
        <v>#N/A</v>
      </c>
      <c r="G564" s="111" t="str">
        <f t="shared" si="86"/>
        <v/>
      </c>
      <c r="H564" s="110" t="e">
        <f>VLOOKUP(A564,'OEE REA'!A:AO,14,FALSE)</f>
        <v>#N/A</v>
      </c>
      <c r="I564" s="106"/>
      <c r="J564" s="99"/>
      <c r="K564" s="99"/>
      <c r="L564" s="107"/>
      <c r="M564" s="112" t="str">
        <f t="shared" si="88"/>
        <v/>
      </c>
      <c r="N564" s="103" t="str">
        <f t="shared" si="89"/>
        <v/>
      </c>
      <c r="O564" s="103">
        <f>IFERROR('OEE REA'!J1075*'SPEED FACTOR REA'!L564,"")</f>
        <v>0</v>
      </c>
      <c r="P564" s="250" t="str">
        <f t="shared" si="90"/>
        <v/>
      </c>
      <c r="R564" s="70" t="e">
        <f t="shared" si="87"/>
        <v>#VALUE!</v>
      </c>
    </row>
    <row r="565" spans="1:18" ht="20.25" x14ac:dyDescent="0.25">
      <c r="A565" s="246">
        <f>+'OEE REA'!A1076</f>
        <v>0</v>
      </c>
      <c r="B565" s="99">
        <f t="shared" si="85"/>
        <v>0</v>
      </c>
      <c r="C565" s="113">
        <f>+'OEE REA'!D1076</f>
        <v>0</v>
      </c>
      <c r="D565" s="242" t="s">
        <v>2367</v>
      </c>
      <c r="E565" s="109" t="e">
        <f>VLOOKUP(A565,'OEE REA'!A:AO,13,FALSE)</f>
        <v>#N/A</v>
      </c>
      <c r="F565" s="110" t="e">
        <f>VLOOKUP(A565,'OEE REA'!A:AO,11,FALSE)</f>
        <v>#N/A</v>
      </c>
      <c r="G565" s="111" t="str">
        <f t="shared" si="86"/>
        <v/>
      </c>
      <c r="H565" s="110" t="e">
        <f>VLOOKUP(A565,'OEE REA'!A:AO,14,FALSE)</f>
        <v>#N/A</v>
      </c>
      <c r="I565" s="106"/>
      <c r="J565" s="99"/>
      <c r="K565" s="99"/>
      <c r="L565" s="107"/>
      <c r="M565" s="112" t="str">
        <f t="shared" si="88"/>
        <v/>
      </c>
      <c r="N565" s="103" t="str">
        <f t="shared" si="89"/>
        <v/>
      </c>
      <c r="O565" s="103">
        <f>IFERROR('OEE REA'!J1076*'SPEED FACTOR REA'!L565,"")</f>
        <v>0</v>
      </c>
      <c r="P565" s="250" t="str">
        <f t="shared" si="90"/>
        <v/>
      </c>
      <c r="R565" s="70" t="e">
        <f t="shared" si="87"/>
        <v>#VALUE!</v>
      </c>
    </row>
    <row r="566" spans="1:18" ht="20.25" x14ac:dyDescent="0.25">
      <c r="A566" s="246">
        <f>+'OEE REA'!A1077</f>
        <v>0</v>
      </c>
      <c r="B566" s="99">
        <f t="shared" si="85"/>
        <v>0</v>
      </c>
      <c r="C566" s="113">
        <f>+'OEE REA'!D1077</f>
        <v>0</v>
      </c>
      <c r="D566" s="242" t="s">
        <v>2368</v>
      </c>
      <c r="E566" s="109" t="e">
        <f>VLOOKUP(A566,'OEE REA'!A:AO,13,FALSE)</f>
        <v>#N/A</v>
      </c>
      <c r="F566" s="110" t="e">
        <f>VLOOKUP(A566,'OEE REA'!A:AO,11,FALSE)</f>
        <v>#N/A</v>
      </c>
      <c r="G566" s="111" t="str">
        <f t="shared" si="86"/>
        <v/>
      </c>
      <c r="H566" s="110" t="e">
        <f>VLOOKUP(A566,'OEE REA'!A:AO,14,FALSE)</f>
        <v>#N/A</v>
      </c>
      <c r="I566" s="106"/>
      <c r="J566" s="99"/>
      <c r="K566" s="99"/>
      <c r="L566" s="107"/>
      <c r="M566" s="112" t="str">
        <f t="shared" si="88"/>
        <v/>
      </c>
      <c r="N566" s="103" t="str">
        <f t="shared" si="89"/>
        <v/>
      </c>
      <c r="O566" s="103">
        <f>IFERROR('OEE REA'!J1077*'SPEED FACTOR REA'!L566,"")</f>
        <v>0</v>
      </c>
      <c r="P566" s="250" t="str">
        <f t="shared" si="90"/>
        <v/>
      </c>
      <c r="R566" s="70" t="e">
        <f t="shared" si="87"/>
        <v>#VALUE!</v>
      </c>
    </row>
    <row r="567" spans="1:18" ht="20.25" x14ac:dyDescent="0.25">
      <c r="A567" s="246">
        <f>+'OEE REA'!A1078</f>
        <v>0</v>
      </c>
      <c r="B567" s="99">
        <f t="shared" si="85"/>
        <v>0</v>
      </c>
      <c r="C567" s="113">
        <f>+'OEE REA'!D1078</f>
        <v>0</v>
      </c>
      <c r="D567" s="242" t="s">
        <v>2369</v>
      </c>
      <c r="E567" s="109" t="e">
        <f>VLOOKUP(A567,'OEE REA'!A:AO,13,FALSE)</f>
        <v>#N/A</v>
      </c>
      <c r="F567" s="110" t="e">
        <f>VLOOKUP(A567,'OEE REA'!A:AO,11,FALSE)</f>
        <v>#N/A</v>
      </c>
      <c r="G567" s="111" t="str">
        <f t="shared" si="86"/>
        <v/>
      </c>
      <c r="H567" s="110" t="e">
        <f>VLOOKUP(A567,'OEE REA'!A:AO,14,FALSE)</f>
        <v>#N/A</v>
      </c>
      <c r="I567" s="106"/>
      <c r="J567" s="99"/>
      <c r="K567" s="99"/>
      <c r="L567" s="107"/>
      <c r="M567" s="112" t="str">
        <f t="shared" si="88"/>
        <v/>
      </c>
      <c r="N567" s="103" t="str">
        <f t="shared" si="89"/>
        <v/>
      </c>
      <c r="O567" s="103">
        <f>IFERROR('OEE REA'!J1078*'SPEED FACTOR REA'!L567,"")</f>
        <v>0</v>
      </c>
      <c r="P567" s="250" t="str">
        <f t="shared" si="90"/>
        <v/>
      </c>
      <c r="R567" s="70" t="e">
        <f t="shared" si="87"/>
        <v>#VALUE!</v>
      </c>
    </row>
    <row r="568" spans="1:18" ht="20.25" x14ac:dyDescent="0.25">
      <c r="A568" s="246">
        <f>+'OEE REA'!A1079</f>
        <v>0</v>
      </c>
      <c r="B568" s="99">
        <f t="shared" si="85"/>
        <v>0</v>
      </c>
      <c r="C568" s="113">
        <f>+'OEE REA'!D1079</f>
        <v>0</v>
      </c>
      <c r="D568" s="242" t="s">
        <v>2370</v>
      </c>
      <c r="E568" s="109" t="e">
        <f>VLOOKUP(A568,'OEE REA'!A:AO,13,FALSE)</f>
        <v>#N/A</v>
      </c>
      <c r="F568" s="110" t="e">
        <f>VLOOKUP(A568,'OEE REA'!A:AO,11,FALSE)</f>
        <v>#N/A</v>
      </c>
      <c r="G568" s="111" t="str">
        <f t="shared" si="86"/>
        <v/>
      </c>
      <c r="H568" s="110" t="e">
        <f>VLOOKUP(A568,'OEE REA'!A:AO,14,FALSE)</f>
        <v>#N/A</v>
      </c>
      <c r="I568" s="106"/>
      <c r="J568" s="99"/>
      <c r="K568" s="99"/>
      <c r="L568" s="107"/>
      <c r="M568" s="112" t="str">
        <f t="shared" si="88"/>
        <v/>
      </c>
      <c r="N568" s="103" t="str">
        <f t="shared" si="89"/>
        <v/>
      </c>
      <c r="O568" s="103">
        <f>IFERROR('OEE REA'!J1079*'SPEED FACTOR REA'!L568,"")</f>
        <v>0</v>
      </c>
      <c r="P568" s="250" t="str">
        <f t="shared" si="90"/>
        <v/>
      </c>
      <c r="R568" s="70" t="e">
        <f t="shared" si="87"/>
        <v>#VALUE!</v>
      </c>
    </row>
    <row r="569" spans="1:18" ht="20.25" x14ac:dyDescent="0.25">
      <c r="A569" s="246">
        <f>+'OEE REA'!A1080</f>
        <v>0</v>
      </c>
      <c r="B569" s="99">
        <f t="shared" si="85"/>
        <v>0</v>
      </c>
      <c r="C569" s="113">
        <f>+'OEE REA'!D1080</f>
        <v>0</v>
      </c>
      <c r="D569" s="242" t="s">
        <v>2371</v>
      </c>
      <c r="E569" s="109" t="e">
        <f>VLOOKUP(A569,'OEE REA'!A:AO,13,FALSE)</f>
        <v>#N/A</v>
      </c>
      <c r="F569" s="110" t="e">
        <f>VLOOKUP(A569,'OEE REA'!A:AO,11,FALSE)</f>
        <v>#N/A</v>
      </c>
      <c r="G569" s="111" t="str">
        <f t="shared" si="86"/>
        <v/>
      </c>
      <c r="H569" s="110" t="e">
        <f>VLOOKUP(A569,'OEE REA'!A:AO,14,FALSE)</f>
        <v>#N/A</v>
      </c>
      <c r="I569" s="106"/>
      <c r="J569" s="99"/>
      <c r="K569" s="99"/>
      <c r="L569" s="107"/>
      <c r="M569" s="112" t="str">
        <f t="shared" si="88"/>
        <v/>
      </c>
      <c r="N569" s="103" t="str">
        <f t="shared" si="89"/>
        <v/>
      </c>
      <c r="O569" s="103">
        <f>IFERROR('OEE REA'!J1080*'SPEED FACTOR REA'!L569,"")</f>
        <v>0</v>
      </c>
      <c r="P569" s="250" t="str">
        <f t="shared" si="90"/>
        <v/>
      </c>
      <c r="R569" s="70" t="e">
        <f t="shared" si="87"/>
        <v>#VALUE!</v>
      </c>
    </row>
    <row r="570" spans="1:18" ht="20.25" x14ac:dyDescent="0.25">
      <c r="A570" s="246">
        <f>+'OEE REA'!A1081</f>
        <v>0</v>
      </c>
      <c r="B570" s="99">
        <f t="shared" si="85"/>
        <v>0</v>
      </c>
      <c r="C570" s="113">
        <f>+'OEE REA'!D1081</f>
        <v>0</v>
      </c>
      <c r="D570" s="242" t="s">
        <v>2372</v>
      </c>
      <c r="E570" s="109" t="e">
        <f>VLOOKUP(A570,'OEE REA'!A:AO,13,FALSE)</f>
        <v>#N/A</v>
      </c>
      <c r="F570" s="110" t="e">
        <f>VLOOKUP(A570,'OEE REA'!A:AO,11,FALSE)</f>
        <v>#N/A</v>
      </c>
      <c r="G570" s="111" t="str">
        <f t="shared" si="86"/>
        <v/>
      </c>
      <c r="H570" s="110" t="e">
        <f>VLOOKUP(A570,'OEE REA'!A:AO,14,FALSE)</f>
        <v>#N/A</v>
      </c>
      <c r="I570" s="106"/>
      <c r="J570" s="99"/>
      <c r="K570" s="99"/>
      <c r="L570" s="107"/>
      <c r="M570" s="112" t="str">
        <f t="shared" si="88"/>
        <v/>
      </c>
      <c r="N570" s="103" t="str">
        <f t="shared" si="89"/>
        <v/>
      </c>
      <c r="O570" s="103">
        <f>IFERROR('OEE REA'!J1081*'SPEED FACTOR REA'!L570,"")</f>
        <v>0</v>
      </c>
      <c r="P570" s="250" t="str">
        <f t="shared" si="90"/>
        <v/>
      </c>
      <c r="R570" s="70" t="e">
        <f t="shared" si="87"/>
        <v>#VALUE!</v>
      </c>
    </row>
    <row r="571" spans="1:18" ht="20.25" x14ac:dyDescent="0.25">
      <c r="A571" s="246">
        <f>+'OEE REA'!A1082</f>
        <v>0</v>
      </c>
      <c r="B571" s="99">
        <f t="shared" si="85"/>
        <v>0</v>
      </c>
      <c r="C571" s="113">
        <f>+'OEE REA'!D1082</f>
        <v>0</v>
      </c>
      <c r="D571" s="242" t="s">
        <v>2373</v>
      </c>
      <c r="E571" s="109" t="e">
        <f>VLOOKUP(A571,'OEE REA'!A:AO,13,FALSE)</f>
        <v>#N/A</v>
      </c>
      <c r="F571" s="110" t="e">
        <f>VLOOKUP(A571,'OEE REA'!A:AO,11,FALSE)</f>
        <v>#N/A</v>
      </c>
      <c r="G571" s="111" t="str">
        <f t="shared" si="86"/>
        <v/>
      </c>
      <c r="H571" s="110" t="e">
        <f>VLOOKUP(A571,'OEE REA'!A:AO,14,FALSE)</f>
        <v>#N/A</v>
      </c>
      <c r="I571" s="106"/>
      <c r="J571" s="99"/>
      <c r="K571" s="99"/>
      <c r="L571" s="107"/>
      <c r="M571" s="112" t="str">
        <f t="shared" si="88"/>
        <v/>
      </c>
      <c r="N571" s="103" t="str">
        <f t="shared" si="89"/>
        <v/>
      </c>
      <c r="O571" s="103">
        <f>IFERROR('OEE REA'!J1082*'SPEED FACTOR REA'!L571,"")</f>
        <v>0</v>
      </c>
      <c r="P571" s="250" t="str">
        <f t="shared" si="90"/>
        <v/>
      </c>
      <c r="R571" s="70" t="e">
        <f t="shared" si="87"/>
        <v>#VALUE!</v>
      </c>
    </row>
    <row r="572" spans="1:18" ht="20.25" x14ac:dyDescent="0.25">
      <c r="A572" s="246">
        <f>+'OEE REA'!A1083</f>
        <v>0</v>
      </c>
      <c r="B572" s="99">
        <f t="shared" si="85"/>
        <v>0</v>
      </c>
      <c r="C572" s="113">
        <f>+'OEE REA'!D1083</f>
        <v>0</v>
      </c>
      <c r="D572" s="242" t="s">
        <v>2374</v>
      </c>
      <c r="E572" s="109" t="e">
        <f>VLOOKUP(A572,'OEE REA'!A:AO,13,FALSE)</f>
        <v>#N/A</v>
      </c>
      <c r="F572" s="110" t="e">
        <f>VLOOKUP(A572,'OEE REA'!A:AO,11,FALSE)</f>
        <v>#N/A</v>
      </c>
      <c r="G572" s="111" t="str">
        <f t="shared" si="86"/>
        <v/>
      </c>
      <c r="H572" s="110" t="e">
        <f>VLOOKUP(A572,'OEE REA'!A:AO,14,FALSE)</f>
        <v>#N/A</v>
      </c>
      <c r="I572" s="106"/>
      <c r="J572" s="99"/>
      <c r="K572" s="99"/>
      <c r="L572" s="107"/>
      <c r="M572" s="112" t="str">
        <f t="shared" si="88"/>
        <v/>
      </c>
      <c r="N572" s="103" t="str">
        <f t="shared" si="89"/>
        <v/>
      </c>
      <c r="O572" s="103">
        <f>IFERROR('OEE REA'!J1083*'SPEED FACTOR REA'!L572,"")</f>
        <v>0</v>
      </c>
      <c r="P572" s="250" t="str">
        <f t="shared" si="90"/>
        <v/>
      </c>
      <c r="R572" s="70" t="e">
        <f t="shared" si="87"/>
        <v>#VALUE!</v>
      </c>
    </row>
    <row r="573" spans="1:18" ht="20.25" x14ac:dyDescent="0.25">
      <c r="A573" s="246">
        <f>+'OEE REA'!A1084</f>
        <v>0</v>
      </c>
      <c r="B573" s="99">
        <f t="shared" si="85"/>
        <v>0</v>
      </c>
      <c r="C573" s="113">
        <f>+'OEE REA'!D1084</f>
        <v>0</v>
      </c>
      <c r="D573" s="242" t="s">
        <v>2375</v>
      </c>
      <c r="E573" s="109" t="e">
        <f>VLOOKUP(A573,'OEE REA'!A:AO,13,FALSE)</f>
        <v>#N/A</v>
      </c>
      <c r="F573" s="110" t="e">
        <f>VLOOKUP(A573,'OEE REA'!A:AO,11,FALSE)</f>
        <v>#N/A</v>
      </c>
      <c r="G573" s="111" t="str">
        <f t="shared" si="86"/>
        <v/>
      </c>
      <c r="H573" s="110" t="e">
        <f>VLOOKUP(A573,'OEE REA'!A:AO,14,FALSE)</f>
        <v>#N/A</v>
      </c>
      <c r="I573" s="106"/>
      <c r="J573" s="99"/>
      <c r="K573" s="99"/>
      <c r="L573" s="107"/>
      <c r="M573" s="112" t="str">
        <f t="shared" si="88"/>
        <v/>
      </c>
      <c r="N573" s="103" t="str">
        <f t="shared" si="89"/>
        <v/>
      </c>
      <c r="O573" s="103">
        <f>IFERROR('OEE REA'!J1084*'SPEED FACTOR REA'!L573,"")</f>
        <v>0</v>
      </c>
      <c r="P573" s="250" t="str">
        <f t="shared" si="90"/>
        <v/>
      </c>
      <c r="R573" s="70" t="e">
        <f t="shared" si="87"/>
        <v>#VALUE!</v>
      </c>
    </row>
    <row r="574" spans="1:18" ht="20.25" x14ac:dyDescent="0.25">
      <c r="A574" s="246">
        <f>+'OEE REA'!A1085</f>
        <v>0</v>
      </c>
      <c r="B574" s="99">
        <f t="shared" si="85"/>
        <v>0</v>
      </c>
      <c r="C574" s="113">
        <f>+'OEE REA'!D1085</f>
        <v>0</v>
      </c>
      <c r="D574" s="242" t="s">
        <v>2376</v>
      </c>
      <c r="E574" s="109" t="e">
        <f>VLOOKUP(A574,'OEE REA'!A:AO,13,FALSE)</f>
        <v>#N/A</v>
      </c>
      <c r="F574" s="110" t="e">
        <f>VLOOKUP(A574,'OEE REA'!A:AO,11,FALSE)</f>
        <v>#N/A</v>
      </c>
      <c r="G574" s="111" t="str">
        <f t="shared" si="86"/>
        <v/>
      </c>
      <c r="H574" s="110" t="e">
        <f>VLOOKUP(A574,'OEE REA'!A:AO,14,FALSE)</f>
        <v>#N/A</v>
      </c>
      <c r="I574" s="106"/>
      <c r="J574" s="99"/>
      <c r="K574" s="99"/>
      <c r="L574" s="107"/>
      <c r="M574" s="112" t="str">
        <f t="shared" si="88"/>
        <v/>
      </c>
      <c r="N574" s="103" t="str">
        <f t="shared" si="89"/>
        <v/>
      </c>
      <c r="O574" s="103">
        <f>IFERROR('OEE REA'!J1085*'SPEED FACTOR REA'!L574,"")</f>
        <v>0</v>
      </c>
      <c r="P574" s="250" t="str">
        <f t="shared" si="90"/>
        <v/>
      </c>
      <c r="R574" s="70" t="e">
        <f t="shared" si="87"/>
        <v>#VALUE!</v>
      </c>
    </row>
    <row r="575" spans="1:18" ht="20.25" x14ac:dyDescent="0.25">
      <c r="A575" s="246">
        <f>+'OEE REA'!A1086</f>
        <v>0</v>
      </c>
      <c r="B575" s="99">
        <f t="shared" si="85"/>
        <v>0</v>
      </c>
      <c r="C575" s="113">
        <f>+'OEE REA'!D1086</f>
        <v>0</v>
      </c>
      <c r="D575" s="242" t="s">
        <v>2377</v>
      </c>
      <c r="E575" s="109" t="e">
        <f>VLOOKUP(A575,'OEE REA'!A:AO,13,FALSE)</f>
        <v>#N/A</v>
      </c>
      <c r="F575" s="110" t="e">
        <f>VLOOKUP(A575,'OEE REA'!A:AO,11,FALSE)</f>
        <v>#N/A</v>
      </c>
      <c r="G575" s="111" t="str">
        <f t="shared" si="86"/>
        <v/>
      </c>
      <c r="H575" s="110" t="e">
        <f>VLOOKUP(A575,'OEE REA'!A:AO,14,FALSE)</f>
        <v>#N/A</v>
      </c>
      <c r="I575" s="106"/>
      <c r="J575" s="99"/>
      <c r="K575" s="99"/>
      <c r="L575" s="107"/>
      <c r="M575" s="112" t="str">
        <f t="shared" si="88"/>
        <v/>
      </c>
      <c r="N575" s="103" t="str">
        <f t="shared" si="89"/>
        <v/>
      </c>
      <c r="O575" s="103">
        <f>IFERROR('OEE REA'!J1086*'SPEED FACTOR REA'!L575,"")</f>
        <v>0</v>
      </c>
      <c r="P575" s="250" t="str">
        <f t="shared" si="90"/>
        <v/>
      </c>
      <c r="R575" s="70" t="e">
        <f t="shared" si="87"/>
        <v>#VALUE!</v>
      </c>
    </row>
    <row r="576" spans="1:18" ht="20.25" x14ac:dyDescent="0.25">
      <c r="A576" s="246">
        <f>+'OEE REA'!A1087</f>
        <v>0</v>
      </c>
      <c r="B576" s="99">
        <f t="shared" si="85"/>
        <v>0</v>
      </c>
      <c r="C576" s="113">
        <f>+'OEE REA'!D1087</f>
        <v>0</v>
      </c>
      <c r="D576" s="242" t="s">
        <v>2378</v>
      </c>
      <c r="E576" s="109" t="e">
        <f>VLOOKUP(A576,'OEE REA'!A:AO,13,FALSE)</f>
        <v>#N/A</v>
      </c>
      <c r="F576" s="110" t="e">
        <f>VLOOKUP(A576,'OEE REA'!A:AO,11,FALSE)</f>
        <v>#N/A</v>
      </c>
      <c r="G576" s="111" t="str">
        <f t="shared" si="86"/>
        <v/>
      </c>
      <c r="H576" s="110" t="e">
        <f>VLOOKUP(A576,'OEE REA'!A:AO,14,FALSE)</f>
        <v>#N/A</v>
      </c>
      <c r="I576" s="106"/>
      <c r="J576" s="99"/>
      <c r="K576" s="99"/>
      <c r="L576" s="107"/>
      <c r="M576" s="112" t="str">
        <f t="shared" si="88"/>
        <v/>
      </c>
      <c r="N576" s="103" t="str">
        <f t="shared" si="89"/>
        <v/>
      </c>
      <c r="O576" s="103">
        <f>IFERROR('OEE REA'!J1087*'SPEED FACTOR REA'!L576,"")</f>
        <v>0</v>
      </c>
      <c r="P576" s="250" t="str">
        <f t="shared" si="90"/>
        <v/>
      </c>
      <c r="R576" s="70" t="e">
        <f t="shared" si="87"/>
        <v>#VALUE!</v>
      </c>
    </row>
    <row r="577" spans="1:18" ht="20.25" x14ac:dyDescent="0.25">
      <c r="A577" s="246">
        <f>+'OEE REA'!A1088</f>
        <v>0</v>
      </c>
      <c r="B577" s="99">
        <f t="shared" si="85"/>
        <v>0</v>
      </c>
      <c r="C577" s="113">
        <f>+'OEE REA'!D1088</f>
        <v>0</v>
      </c>
      <c r="D577" s="242" t="s">
        <v>2379</v>
      </c>
      <c r="E577" s="109" t="e">
        <f>VLOOKUP(A577,'OEE REA'!A:AO,13,FALSE)</f>
        <v>#N/A</v>
      </c>
      <c r="F577" s="110" t="e">
        <f>VLOOKUP(A577,'OEE REA'!A:AO,11,FALSE)</f>
        <v>#N/A</v>
      </c>
      <c r="G577" s="111" t="str">
        <f t="shared" si="86"/>
        <v/>
      </c>
      <c r="H577" s="110" t="e">
        <f>VLOOKUP(A577,'OEE REA'!A:AO,14,FALSE)</f>
        <v>#N/A</v>
      </c>
      <c r="I577" s="106"/>
      <c r="J577" s="99"/>
      <c r="K577" s="99"/>
      <c r="L577" s="107"/>
      <c r="M577" s="112" t="str">
        <f t="shared" si="88"/>
        <v/>
      </c>
      <c r="N577" s="103" t="str">
        <f t="shared" si="89"/>
        <v/>
      </c>
      <c r="O577" s="103">
        <f>IFERROR('OEE REA'!J1088*'SPEED FACTOR REA'!L577,"")</f>
        <v>0</v>
      </c>
      <c r="P577" s="250" t="str">
        <f t="shared" si="90"/>
        <v/>
      </c>
      <c r="R577" s="70" t="e">
        <f t="shared" si="87"/>
        <v>#VALUE!</v>
      </c>
    </row>
    <row r="578" spans="1:18" ht="20.25" x14ac:dyDescent="0.25">
      <c r="A578" s="246">
        <f>+'OEE REA'!A1089</f>
        <v>0</v>
      </c>
      <c r="B578" s="99">
        <f t="shared" si="85"/>
        <v>0</v>
      </c>
      <c r="C578" s="113">
        <f>+'OEE REA'!D1089</f>
        <v>0</v>
      </c>
      <c r="D578" s="242" t="s">
        <v>2380</v>
      </c>
      <c r="E578" s="109" t="e">
        <f>VLOOKUP(A578,'OEE REA'!A:AO,13,FALSE)</f>
        <v>#N/A</v>
      </c>
      <c r="F578" s="110" t="e">
        <f>VLOOKUP(A578,'OEE REA'!A:AO,11,FALSE)</f>
        <v>#N/A</v>
      </c>
      <c r="G578" s="111" t="str">
        <f t="shared" si="86"/>
        <v/>
      </c>
      <c r="H578" s="110" t="e">
        <f>VLOOKUP(A578,'OEE REA'!A:AO,14,FALSE)</f>
        <v>#N/A</v>
      </c>
      <c r="I578" s="106"/>
      <c r="J578" s="99"/>
      <c r="K578" s="99"/>
      <c r="L578" s="107"/>
      <c r="M578" s="112" t="str">
        <f t="shared" si="88"/>
        <v/>
      </c>
      <c r="N578" s="103" t="str">
        <f t="shared" si="89"/>
        <v/>
      </c>
      <c r="O578" s="103">
        <f>IFERROR('OEE REA'!J1089*'SPEED FACTOR REA'!L578,"")</f>
        <v>0</v>
      </c>
      <c r="P578" s="250" t="str">
        <f t="shared" si="90"/>
        <v/>
      </c>
      <c r="R578" s="70" t="e">
        <f t="shared" si="87"/>
        <v>#VALUE!</v>
      </c>
    </row>
    <row r="579" spans="1:18" ht="20.25" x14ac:dyDescent="0.25">
      <c r="A579" s="246">
        <f>+'OEE REA'!A1090</f>
        <v>0</v>
      </c>
      <c r="B579" s="99">
        <f t="shared" si="85"/>
        <v>0</v>
      </c>
      <c r="C579" s="113">
        <f>+'OEE REA'!D1090</f>
        <v>0</v>
      </c>
      <c r="D579" s="242" t="s">
        <v>2381</v>
      </c>
      <c r="E579" s="109" t="e">
        <f>VLOOKUP(A579,'OEE REA'!A:AO,13,FALSE)</f>
        <v>#N/A</v>
      </c>
      <c r="F579" s="110" t="e">
        <f>VLOOKUP(A579,'OEE REA'!A:AO,11,FALSE)</f>
        <v>#N/A</v>
      </c>
      <c r="G579" s="111" t="str">
        <f t="shared" si="86"/>
        <v/>
      </c>
      <c r="H579" s="110" t="e">
        <f>VLOOKUP(A579,'OEE REA'!A:AO,14,FALSE)</f>
        <v>#N/A</v>
      </c>
      <c r="I579" s="106"/>
      <c r="J579" s="99"/>
      <c r="K579" s="99"/>
      <c r="L579" s="107"/>
      <c r="M579" s="112" t="str">
        <f t="shared" si="88"/>
        <v/>
      </c>
      <c r="N579" s="103" t="str">
        <f t="shared" si="89"/>
        <v/>
      </c>
      <c r="O579" s="103">
        <f>IFERROR('OEE REA'!J1090*'SPEED FACTOR REA'!L579,"")</f>
        <v>0</v>
      </c>
      <c r="P579" s="250" t="str">
        <f t="shared" si="90"/>
        <v/>
      </c>
      <c r="R579" s="70" t="e">
        <f t="shared" si="87"/>
        <v>#VALUE!</v>
      </c>
    </row>
    <row r="580" spans="1:18" ht="20.25" x14ac:dyDescent="0.25">
      <c r="A580" s="246">
        <f>+'OEE REA'!A1091</f>
        <v>0</v>
      </c>
      <c r="B580" s="99">
        <f t="shared" si="85"/>
        <v>0</v>
      </c>
      <c r="C580" s="113">
        <f>+'OEE REA'!D1091</f>
        <v>0</v>
      </c>
      <c r="D580" s="242" t="s">
        <v>2382</v>
      </c>
      <c r="E580" s="109" t="e">
        <f>VLOOKUP(A580,'OEE REA'!A:AO,13,FALSE)</f>
        <v>#N/A</v>
      </c>
      <c r="F580" s="110" t="e">
        <f>VLOOKUP(A580,'OEE REA'!A:AO,11,FALSE)</f>
        <v>#N/A</v>
      </c>
      <c r="G580" s="111" t="str">
        <f t="shared" si="86"/>
        <v/>
      </c>
      <c r="H580" s="110" t="e">
        <f>VLOOKUP(A580,'OEE REA'!A:AO,14,FALSE)</f>
        <v>#N/A</v>
      </c>
      <c r="I580" s="106"/>
      <c r="J580" s="99"/>
      <c r="K580" s="99"/>
      <c r="L580" s="107"/>
      <c r="M580" s="112" t="str">
        <f t="shared" si="88"/>
        <v/>
      </c>
      <c r="N580" s="103" t="str">
        <f t="shared" si="89"/>
        <v/>
      </c>
      <c r="O580" s="103">
        <f>IFERROR('OEE REA'!J1091*'SPEED FACTOR REA'!L580,"")</f>
        <v>0</v>
      </c>
      <c r="P580" s="250" t="str">
        <f t="shared" si="90"/>
        <v/>
      </c>
      <c r="R580" s="70" t="e">
        <f t="shared" si="87"/>
        <v>#VALUE!</v>
      </c>
    </row>
    <row r="581" spans="1:18" ht="20.25" x14ac:dyDescent="0.25">
      <c r="A581" s="246">
        <f>+'OEE REA'!A1092</f>
        <v>0</v>
      </c>
      <c r="B581" s="99">
        <f t="shared" si="85"/>
        <v>0</v>
      </c>
      <c r="C581" s="113">
        <f>+'OEE REA'!D1092</f>
        <v>0</v>
      </c>
      <c r="D581" s="242" t="s">
        <v>2383</v>
      </c>
      <c r="E581" s="109" t="e">
        <f>VLOOKUP(A581,'OEE REA'!A:AO,13,FALSE)</f>
        <v>#N/A</v>
      </c>
      <c r="F581" s="110" t="e">
        <f>VLOOKUP(A581,'OEE REA'!A:AO,11,FALSE)</f>
        <v>#N/A</v>
      </c>
      <c r="G581" s="111" t="str">
        <f t="shared" si="86"/>
        <v/>
      </c>
      <c r="H581" s="110" t="e">
        <f>VLOOKUP(A581,'OEE REA'!A:AO,14,FALSE)</f>
        <v>#N/A</v>
      </c>
      <c r="I581" s="106"/>
      <c r="J581" s="99"/>
      <c r="K581" s="99"/>
      <c r="L581" s="107"/>
      <c r="M581" s="112" t="str">
        <f t="shared" si="88"/>
        <v/>
      </c>
      <c r="N581" s="103" t="str">
        <f t="shared" si="89"/>
        <v/>
      </c>
      <c r="O581" s="103">
        <f>IFERROR('OEE REA'!J1092*'SPEED FACTOR REA'!L581,"")</f>
        <v>0</v>
      </c>
      <c r="P581" s="250" t="str">
        <f t="shared" si="90"/>
        <v/>
      </c>
      <c r="R581" s="70" t="e">
        <f t="shared" si="87"/>
        <v>#VALUE!</v>
      </c>
    </row>
    <row r="582" spans="1:18" ht="20.25" x14ac:dyDescent="0.25">
      <c r="A582" s="246">
        <f>+'OEE REA'!A1093</f>
        <v>0</v>
      </c>
      <c r="B582" s="99">
        <f t="shared" si="85"/>
        <v>0</v>
      </c>
      <c r="C582" s="113">
        <f>+'OEE REA'!D1093</f>
        <v>0</v>
      </c>
      <c r="D582" s="242" t="s">
        <v>2384</v>
      </c>
      <c r="E582" s="109" t="e">
        <f>VLOOKUP(A582,'OEE REA'!A:AO,13,FALSE)</f>
        <v>#N/A</v>
      </c>
      <c r="F582" s="110" t="e">
        <f>VLOOKUP(A582,'OEE REA'!A:AO,11,FALSE)</f>
        <v>#N/A</v>
      </c>
      <c r="G582" s="111" t="str">
        <f t="shared" si="86"/>
        <v/>
      </c>
      <c r="H582" s="110" t="e">
        <f>VLOOKUP(A582,'OEE REA'!A:AO,14,FALSE)</f>
        <v>#N/A</v>
      </c>
      <c r="I582" s="106"/>
      <c r="J582" s="99"/>
      <c r="K582" s="99"/>
      <c r="L582" s="107"/>
      <c r="M582" s="112" t="str">
        <f t="shared" si="88"/>
        <v/>
      </c>
      <c r="N582" s="103" t="str">
        <f t="shared" si="89"/>
        <v/>
      </c>
      <c r="O582" s="103">
        <f>IFERROR('OEE REA'!J1093*'SPEED FACTOR REA'!L582,"")</f>
        <v>0</v>
      </c>
      <c r="P582" s="250" t="str">
        <f t="shared" si="90"/>
        <v/>
      </c>
      <c r="R582" s="70" t="e">
        <f t="shared" si="87"/>
        <v>#VALUE!</v>
      </c>
    </row>
    <row r="583" spans="1:18" ht="20.25" x14ac:dyDescent="0.25">
      <c r="A583" s="246">
        <f>+'OEE REA'!A1094</f>
        <v>0</v>
      </c>
      <c r="B583" s="99">
        <f t="shared" si="85"/>
        <v>0</v>
      </c>
      <c r="C583" s="113">
        <f>+'OEE REA'!D1094</f>
        <v>0</v>
      </c>
      <c r="D583" s="242" t="s">
        <v>2385</v>
      </c>
      <c r="E583" s="109" t="e">
        <f>VLOOKUP(A583,'OEE REA'!A:AO,13,FALSE)</f>
        <v>#N/A</v>
      </c>
      <c r="F583" s="110" t="e">
        <f>VLOOKUP(A583,'OEE REA'!A:AO,11,FALSE)</f>
        <v>#N/A</v>
      </c>
      <c r="G583" s="111" t="str">
        <f t="shared" si="86"/>
        <v/>
      </c>
      <c r="H583" s="110" t="e">
        <f>VLOOKUP(A583,'OEE REA'!A:AO,14,FALSE)</f>
        <v>#N/A</v>
      </c>
      <c r="I583" s="106"/>
      <c r="J583" s="99"/>
      <c r="K583" s="99"/>
      <c r="L583" s="107"/>
      <c r="M583" s="112" t="str">
        <f t="shared" si="88"/>
        <v/>
      </c>
      <c r="N583" s="103" t="str">
        <f t="shared" si="89"/>
        <v/>
      </c>
      <c r="O583" s="103">
        <f>IFERROR('OEE REA'!J1094*'SPEED FACTOR REA'!L583,"")</f>
        <v>0</v>
      </c>
      <c r="P583" s="250" t="str">
        <f t="shared" si="90"/>
        <v/>
      </c>
      <c r="R583" s="70" t="e">
        <f t="shared" si="87"/>
        <v>#VALUE!</v>
      </c>
    </row>
    <row r="584" spans="1:18" ht="20.25" x14ac:dyDescent="0.25">
      <c r="A584" s="246">
        <f>+'OEE REA'!A1095</f>
        <v>0</v>
      </c>
      <c r="B584" s="99">
        <f t="shared" si="85"/>
        <v>0</v>
      </c>
      <c r="C584" s="113">
        <f>+'OEE REA'!D1095</f>
        <v>0</v>
      </c>
      <c r="D584" s="242" t="s">
        <v>2386</v>
      </c>
      <c r="E584" s="109" t="e">
        <f>VLOOKUP(A584,'OEE REA'!A:AO,13,FALSE)</f>
        <v>#N/A</v>
      </c>
      <c r="F584" s="110" t="e">
        <f>VLOOKUP(A584,'OEE REA'!A:AO,11,FALSE)</f>
        <v>#N/A</v>
      </c>
      <c r="G584" s="111" t="str">
        <f t="shared" si="86"/>
        <v/>
      </c>
      <c r="H584" s="110" t="e">
        <f>VLOOKUP(A584,'OEE REA'!A:AO,14,FALSE)</f>
        <v>#N/A</v>
      </c>
      <c r="I584" s="106"/>
      <c r="J584" s="99"/>
      <c r="K584" s="99"/>
      <c r="L584" s="107"/>
      <c r="M584" s="112" t="str">
        <f t="shared" si="88"/>
        <v/>
      </c>
      <c r="N584" s="103" t="str">
        <f t="shared" si="89"/>
        <v/>
      </c>
      <c r="O584" s="103">
        <f>IFERROR('OEE REA'!J1095*'SPEED FACTOR REA'!L584,"")</f>
        <v>0</v>
      </c>
      <c r="P584" s="250" t="str">
        <f t="shared" si="90"/>
        <v/>
      </c>
      <c r="R584" s="70" t="e">
        <f t="shared" si="87"/>
        <v>#VALUE!</v>
      </c>
    </row>
    <row r="585" spans="1:18" ht="20.25" x14ac:dyDescent="0.25">
      <c r="A585" s="246">
        <f>+'OEE REA'!A1096</f>
        <v>0</v>
      </c>
      <c r="B585" s="99">
        <f t="shared" si="85"/>
        <v>0</v>
      </c>
      <c r="C585" s="113">
        <f>+'OEE REA'!D1096</f>
        <v>0</v>
      </c>
      <c r="D585" s="242" t="s">
        <v>2387</v>
      </c>
      <c r="E585" s="109" t="e">
        <f>VLOOKUP(A585,'OEE REA'!A:AO,13,FALSE)</f>
        <v>#N/A</v>
      </c>
      <c r="F585" s="110" t="e">
        <f>VLOOKUP(A585,'OEE REA'!A:AO,11,FALSE)</f>
        <v>#N/A</v>
      </c>
      <c r="G585" s="111" t="str">
        <f t="shared" si="86"/>
        <v/>
      </c>
      <c r="H585" s="110" t="e">
        <f>VLOOKUP(A585,'OEE REA'!A:AO,14,FALSE)</f>
        <v>#N/A</v>
      </c>
      <c r="I585" s="106"/>
      <c r="J585" s="99"/>
      <c r="K585" s="99"/>
      <c r="L585" s="107"/>
      <c r="M585" s="112" t="str">
        <f t="shared" si="88"/>
        <v/>
      </c>
      <c r="N585" s="103" t="str">
        <f t="shared" si="89"/>
        <v/>
      </c>
      <c r="O585" s="103">
        <f>IFERROR('OEE REA'!J1096*'SPEED FACTOR REA'!L585,"")</f>
        <v>0</v>
      </c>
      <c r="P585" s="250" t="str">
        <f t="shared" si="90"/>
        <v/>
      </c>
      <c r="R585" s="70" t="e">
        <f t="shared" si="87"/>
        <v>#VALUE!</v>
      </c>
    </row>
    <row r="586" spans="1:18" ht="20.25" x14ac:dyDescent="0.25">
      <c r="A586" s="246">
        <f>+'OEE REA'!A1097</f>
        <v>0</v>
      </c>
      <c r="B586" s="99">
        <f t="shared" si="85"/>
        <v>0</v>
      </c>
      <c r="C586" s="113">
        <f>+'OEE REA'!D1097</f>
        <v>0</v>
      </c>
      <c r="D586" s="242" t="s">
        <v>2388</v>
      </c>
      <c r="E586" s="109" t="e">
        <f>VLOOKUP(A586,'OEE REA'!A:AO,13,FALSE)</f>
        <v>#N/A</v>
      </c>
      <c r="F586" s="110" t="e">
        <f>VLOOKUP(A586,'OEE REA'!A:AO,11,FALSE)</f>
        <v>#N/A</v>
      </c>
      <c r="G586" s="111" t="str">
        <f t="shared" si="86"/>
        <v/>
      </c>
      <c r="H586" s="110" t="e">
        <f>VLOOKUP(A586,'OEE REA'!A:AO,14,FALSE)</f>
        <v>#N/A</v>
      </c>
      <c r="I586" s="106"/>
      <c r="J586" s="99"/>
      <c r="K586" s="99"/>
      <c r="L586" s="107"/>
      <c r="M586" s="112" t="str">
        <f t="shared" si="88"/>
        <v/>
      </c>
      <c r="N586" s="103" t="str">
        <f t="shared" si="89"/>
        <v/>
      </c>
      <c r="O586" s="103">
        <f>IFERROR('OEE REA'!J1097*'SPEED FACTOR REA'!L586,"")</f>
        <v>0</v>
      </c>
      <c r="P586" s="250" t="str">
        <f t="shared" si="90"/>
        <v/>
      </c>
      <c r="R586" s="70" t="e">
        <f t="shared" si="87"/>
        <v>#VALUE!</v>
      </c>
    </row>
    <row r="587" spans="1:18" ht="20.25" x14ac:dyDescent="0.25">
      <c r="A587" s="246">
        <f>+'OEE REA'!A1098</f>
        <v>0</v>
      </c>
      <c r="B587" s="99">
        <f t="shared" si="85"/>
        <v>0</v>
      </c>
      <c r="C587" s="113">
        <f>+'OEE REA'!D1098</f>
        <v>0</v>
      </c>
      <c r="D587" s="242" t="s">
        <v>2389</v>
      </c>
      <c r="E587" s="109" t="e">
        <f>VLOOKUP(A587,'OEE REA'!A:AO,13,FALSE)</f>
        <v>#N/A</v>
      </c>
      <c r="F587" s="110" t="e">
        <f>VLOOKUP(A587,'OEE REA'!A:AO,11,FALSE)</f>
        <v>#N/A</v>
      </c>
      <c r="G587" s="111" t="str">
        <f t="shared" si="86"/>
        <v/>
      </c>
      <c r="H587" s="110" t="e">
        <f>VLOOKUP(A587,'OEE REA'!A:AO,14,FALSE)</f>
        <v>#N/A</v>
      </c>
      <c r="I587" s="106"/>
      <c r="J587" s="99"/>
      <c r="K587" s="99"/>
      <c r="L587" s="107"/>
      <c r="M587" s="112" t="str">
        <f t="shared" si="88"/>
        <v/>
      </c>
      <c r="N587" s="103" t="str">
        <f t="shared" si="89"/>
        <v/>
      </c>
      <c r="O587" s="103">
        <f>IFERROR('OEE REA'!J1098*'SPEED FACTOR REA'!L587,"")</f>
        <v>0</v>
      </c>
      <c r="P587" s="250" t="str">
        <f t="shared" si="90"/>
        <v/>
      </c>
      <c r="R587" s="70" t="e">
        <f t="shared" si="87"/>
        <v>#VALUE!</v>
      </c>
    </row>
    <row r="588" spans="1:18" ht="20.25" x14ac:dyDescent="0.25">
      <c r="A588" s="246">
        <f>+'OEE REA'!A1099</f>
        <v>0</v>
      </c>
      <c r="B588" s="99">
        <f t="shared" si="85"/>
        <v>0</v>
      </c>
      <c r="C588" s="113">
        <f>+'OEE REA'!D1099</f>
        <v>0</v>
      </c>
      <c r="D588" s="242" t="s">
        <v>2390</v>
      </c>
      <c r="E588" s="109" t="e">
        <f>VLOOKUP(A588,'OEE REA'!A:AO,13,FALSE)</f>
        <v>#N/A</v>
      </c>
      <c r="F588" s="110" t="e">
        <f>VLOOKUP(A588,'OEE REA'!A:AO,11,FALSE)</f>
        <v>#N/A</v>
      </c>
      <c r="G588" s="111" t="str">
        <f t="shared" si="86"/>
        <v/>
      </c>
      <c r="H588" s="110" t="e">
        <f>VLOOKUP(A588,'OEE REA'!A:AO,14,FALSE)</f>
        <v>#N/A</v>
      </c>
      <c r="I588" s="106"/>
      <c r="J588" s="99"/>
      <c r="K588" s="99"/>
      <c r="L588" s="107"/>
      <c r="M588" s="112" t="str">
        <f t="shared" si="88"/>
        <v/>
      </c>
      <c r="N588" s="103" t="str">
        <f t="shared" si="89"/>
        <v/>
      </c>
      <c r="O588" s="103">
        <f>IFERROR('OEE REA'!J1099*'SPEED FACTOR REA'!L588,"")</f>
        <v>0</v>
      </c>
      <c r="P588" s="250" t="str">
        <f t="shared" si="90"/>
        <v/>
      </c>
      <c r="R588" s="70" t="e">
        <f t="shared" si="87"/>
        <v>#VALUE!</v>
      </c>
    </row>
    <row r="589" spans="1:18" ht="20.25" x14ac:dyDescent="0.25">
      <c r="A589" s="246">
        <f>+'OEE REA'!A1100</f>
        <v>0</v>
      </c>
      <c r="B589" s="99">
        <f t="shared" si="85"/>
        <v>0</v>
      </c>
      <c r="C589" s="113">
        <f>+'OEE REA'!D1100</f>
        <v>0</v>
      </c>
      <c r="D589" s="242" t="s">
        <v>2391</v>
      </c>
      <c r="E589" s="109" t="e">
        <f>VLOOKUP(A589,'OEE REA'!A:AO,13,FALSE)</f>
        <v>#N/A</v>
      </c>
      <c r="F589" s="110" t="e">
        <f>VLOOKUP(A589,'OEE REA'!A:AO,11,FALSE)</f>
        <v>#N/A</v>
      </c>
      <c r="G589" s="111" t="str">
        <f t="shared" si="86"/>
        <v/>
      </c>
      <c r="H589" s="110" t="e">
        <f>VLOOKUP(A589,'OEE REA'!A:AO,14,FALSE)</f>
        <v>#N/A</v>
      </c>
      <c r="I589" s="106"/>
      <c r="J589" s="99"/>
      <c r="K589" s="99"/>
      <c r="L589" s="107"/>
      <c r="M589" s="112" t="str">
        <f t="shared" si="88"/>
        <v/>
      </c>
      <c r="N589" s="103" t="str">
        <f t="shared" si="89"/>
        <v/>
      </c>
      <c r="O589" s="103">
        <f>IFERROR('OEE REA'!J1100*'SPEED FACTOR REA'!L589,"")</f>
        <v>0</v>
      </c>
      <c r="P589" s="250" t="str">
        <f t="shared" si="90"/>
        <v/>
      </c>
      <c r="R589" s="70" t="e">
        <f t="shared" si="87"/>
        <v>#VALUE!</v>
      </c>
    </row>
    <row r="590" spans="1:18" ht="20.25" x14ac:dyDescent="0.25">
      <c r="A590" s="246">
        <f>+'OEE REA'!A1101</f>
        <v>0</v>
      </c>
      <c r="B590" s="99">
        <f t="shared" si="85"/>
        <v>0</v>
      </c>
      <c r="C590" s="113">
        <f>+'OEE REA'!D1101</f>
        <v>0</v>
      </c>
      <c r="D590" s="242" t="s">
        <v>2392</v>
      </c>
      <c r="E590" s="109" t="e">
        <f>VLOOKUP(A590,'OEE REA'!A:AO,13,FALSE)</f>
        <v>#N/A</v>
      </c>
      <c r="F590" s="110" t="e">
        <f>VLOOKUP(A590,'OEE REA'!A:AO,11,FALSE)</f>
        <v>#N/A</v>
      </c>
      <c r="G590" s="111" t="str">
        <f t="shared" si="86"/>
        <v/>
      </c>
      <c r="H590" s="110" t="e">
        <f>VLOOKUP(A590,'OEE REA'!A:AO,14,FALSE)</f>
        <v>#N/A</v>
      </c>
      <c r="I590" s="106"/>
      <c r="J590" s="99"/>
      <c r="K590" s="99"/>
      <c r="L590" s="107"/>
      <c r="M590" s="112" t="str">
        <f t="shared" si="88"/>
        <v/>
      </c>
      <c r="N590" s="103" t="str">
        <f t="shared" si="89"/>
        <v/>
      </c>
      <c r="O590" s="103">
        <f>IFERROR('OEE REA'!J1101*'SPEED FACTOR REA'!L590,"")</f>
        <v>0</v>
      </c>
      <c r="P590" s="250" t="str">
        <f t="shared" si="90"/>
        <v/>
      </c>
      <c r="R590" s="70" t="e">
        <f t="shared" si="87"/>
        <v>#VALUE!</v>
      </c>
    </row>
    <row r="591" spans="1:18" ht="20.25" x14ac:dyDescent="0.25">
      <c r="A591" s="246">
        <f>+'OEE REA'!A1102</f>
        <v>0</v>
      </c>
      <c r="B591" s="99">
        <f t="shared" si="85"/>
        <v>0</v>
      </c>
      <c r="C591" s="113">
        <f>+'OEE REA'!D1102</f>
        <v>0</v>
      </c>
      <c r="D591" s="242" t="s">
        <v>2393</v>
      </c>
      <c r="E591" s="109" t="e">
        <f>VLOOKUP(A591,'OEE REA'!A:AO,13,FALSE)</f>
        <v>#N/A</v>
      </c>
      <c r="F591" s="110" t="e">
        <f>VLOOKUP(A591,'OEE REA'!A:AO,11,FALSE)</f>
        <v>#N/A</v>
      </c>
      <c r="G591" s="111" t="str">
        <f t="shared" si="86"/>
        <v/>
      </c>
      <c r="H591" s="110" t="e">
        <f>VLOOKUP(A591,'OEE REA'!A:AO,14,FALSE)</f>
        <v>#N/A</v>
      </c>
      <c r="I591" s="106"/>
      <c r="J591" s="99"/>
      <c r="K591" s="99"/>
      <c r="L591" s="107"/>
      <c r="M591" s="112" t="str">
        <f t="shared" si="88"/>
        <v/>
      </c>
      <c r="N591" s="103" t="str">
        <f t="shared" si="89"/>
        <v/>
      </c>
      <c r="O591" s="103">
        <f>IFERROR('OEE REA'!J1102*'SPEED FACTOR REA'!L591,"")</f>
        <v>0</v>
      </c>
      <c r="P591" s="250" t="str">
        <f t="shared" si="90"/>
        <v/>
      </c>
      <c r="R591" s="70" t="e">
        <f t="shared" si="87"/>
        <v>#VALUE!</v>
      </c>
    </row>
    <row r="592" spans="1:18" ht="20.25" x14ac:dyDescent="0.25">
      <c r="A592" s="246">
        <f>+'OEE REA'!A1103</f>
        <v>0</v>
      </c>
      <c r="B592" s="99">
        <f t="shared" si="85"/>
        <v>0</v>
      </c>
      <c r="C592" s="113">
        <f>+'OEE REA'!D1103</f>
        <v>0</v>
      </c>
      <c r="D592" s="242" t="s">
        <v>2394</v>
      </c>
      <c r="E592" s="109" t="e">
        <f>VLOOKUP(A592,'OEE REA'!A:AO,13,FALSE)</f>
        <v>#N/A</v>
      </c>
      <c r="F592" s="110" t="e">
        <f>VLOOKUP(A592,'OEE REA'!A:AO,11,FALSE)</f>
        <v>#N/A</v>
      </c>
      <c r="G592" s="111" t="str">
        <f t="shared" si="86"/>
        <v/>
      </c>
      <c r="H592" s="110" t="e">
        <f>VLOOKUP(A592,'OEE REA'!A:AO,14,FALSE)</f>
        <v>#N/A</v>
      </c>
      <c r="I592" s="106"/>
      <c r="J592" s="99"/>
      <c r="K592" s="99"/>
      <c r="L592" s="107"/>
      <c r="M592" s="112" t="str">
        <f t="shared" si="88"/>
        <v/>
      </c>
      <c r="N592" s="103" t="str">
        <f t="shared" si="89"/>
        <v/>
      </c>
      <c r="O592" s="103">
        <f>IFERROR('OEE REA'!J1103*'SPEED FACTOR REA'!L592,"")</f>
        <v>0</v>
      </c>
      <c r="P592" s="250" t="str">
        <f t="shared" si="90"/>
        <v/>
      </c>
      <c r="R592" s="70" t="e">
        <f t="shared" si="87"/>
        <v>#VALUE!</v>
      </c>
    </row>
    <row r="593" spans="1:18" ht="20.25" x14ac:dyDescent="0.25">
      <c r="A593" s="246">
        <f>+'OEE REA'!A1104</f>
        <v>0</v>
      </c>
      <c r="B593" s="99">
        <f t="shared" si="85"/>
        <v>0</v>
      </c>
      <c r="C593" s="113">
        <f>+'OEE REA'!D1104</f>
        <v>0</v>
      </c>
      <c r="D593" s="242" t="s">
        <v>2395</v>
      </c>
      <c r="E593" s="109" t="e">
        <f>VLOOKUP(A593,'OEE REA'!A:AO,13,FALSE)</f>
        <v>#N/A</v>
      </c>
      <c r="F593" s="110" t="e">
        <f>VLOOKUP(A593,'OEE REA'!A:AO,11,FALSE)</f>
        <v>#N/A</v>
      </c>
      <c r="G593" s="111" t="str">
        <f t="shared" si="86"/>
        <v/>
      </c>
      <c r="H593" s="110" t="e">
        <f>VLOOKUP(A593,'OEE REA'!A:AO,14,FALSE)</f>
        <v>#N/A</v>
      </c>
      <c r="I593" s="106"/>
      <c r="J593" s="99"/>
      <c r="K593" s="99"/>
      <c r="L593" s="107"/>
      <c r="M593" s="112" t="str">
        <f t="shared" si="88"/>
        <v/>
      </c>
      <c r="N593" s="103" t="str">
        <f t="shared" si="89"/>
        <v/>
      </c>
      <c r="O593" s="103">
        <f>IFERROR('OEE REA'!J1104*'SPEED FACTOR REA'!L593,"")</f>
        <v>0</v>
      </c>
      <c r="P593" s="250" t="str">
        <f t="shared" si="90"/>
        <v/>
      </c>
      <c r="R593" s="70" t="e">
        <f t="shared" si="87"/>
        <v>#VALUE!</v>
      </c>
    </row>
    <row r="594" spans="1:18" ht="20.25" x14ac:dyDescent="0.25">
      <c r="A594" s="246">
        <f>+'OEE REA'!A1105</f>
        <v>0</v>
      </c>
      <c r="B594" s="99">
        <f t="shared" si="85"/>
        <v>0</v>
      </c>
      <c r="C594" s="113">
        <f>+'OEE REA'!D1105</f>
        <v>0</v>
      </c>
      <c r="D594" s="242" t="s">
        <v>2396</v>
      </c>
      <c r="E594" s="109" t="e">
        <f>VLOOKUP(A594,'OEE REA'!A:AO,13,FALSE)</f>
        <v>#N/A</v>
      </c>
      <c r="F594" s="110" t="e">
        <f>VLOOKUP(A594,'OEE REA'!A:AO,11,FALSE)</f>
        <v>#N/A</v>
      </c>
      <c r="G594" s="111" t="str">
        <f t="shared" si="86"/>
        <v/>
      </c>
      <c r="H594" s="110" t="e">
        <f>VLOOKUP(A594,'OEE REA'!A:AO,14,FALSE)</f>
        <v>#N/A</v>
      </c>
      <c r="I594" s="106"/>
      <c r="J594" s="99"/>
      <c r="K594" s="99"/>
      <c r="L594" s="107"/>
      <c r="M594" s="112" t="str">
        <f t="shared" si="88"/>
        <v/>
      </c>
      <c r="N594" s="103" t="str">
        <f t="shared" si="89"/>
        <v/>
      </c>
      <c r="O594" s="103">
        <f>IFERROR('OEE REA'!J1105*'SPEED FACTOR REA'!L594,"")</f>
        <v>0</v>
      </c>
      <c r="P594" s="250" t="str">
        <f t="shared" si="90"/>
        <v/>
      </c>
      <c r="R594" s="70" t="e">
        <f t="shared" si="87"/>
        <v>#VALUE!</v>
      </c>
    </row>
    <row r="595" spans="1:18" ht="20.25" x14ac:dyDescent="0.25">
      <c r="A595" s="246">
        <f>+'OEE REA'!A1106</f>
        <v>0</v>
      </c>
      <c r="B595" s="99">
        <f t="shared" si="85"/>
        <v>0</v>
      </c>
      <c r="C595" s="113">
        <f>+'OEE REA'!D1106</f>
        <v>0</v>
      </c>
      <c r="D595" s="242" t="s">
        <v>2397</v>
      </c>
      <c r="E595" s="109" t="e">
        <f>VLOOKUP(A595,'OEE REA'!A:AO,13,FALSE)</f>
        <v>#N/A</v>
      </c>
      <c r="F595" s="110" t="e">
        <f>VLOOKUP(A595,'OEE REA'!A:AO,11,FALSE)</f>
        <v>#N/A</v>
      </c>
      <c r="G595" s="111" t="str">
        <f t="shared" si="86"/>
        <v/>
      </c>
      <c r="H595" s="110" t="e">
        <f>VLOOKUP(A595,'OEE REA'!A:AO,14,FALSE)</f>
        <v>#N/A</v>
      </c>
      <c r="I595" s="106"/>
      <c r="J595" s="99"/>
      <c r="K595" s="99"/>
      <c r="L595" s="107"/>
      <c r="M595" s="112" t="str">
        <f t="shared" si="88"/>
        <v/>
      </c>
      <c r="N595" s="103" t="str">
        <f t="shared" si="89"/>
        <v/>
      </c>
      <c r="O595" s="103">
        <f>IFERROR('OEE REA'!J1106*'SPEED FACTOR REA'!L595,"")</f>
        <v>0</v>
      </c>
      <c r="P595" s="250" t="str">
        <f t="shared" si="90"/>
        <v/>
      </c>
      <c r="R595" s="70" t="e">
        <f t="shared" si="87"/>
        <v>#VALUE!</v>
      </c>
    </row>
    <row r="596" spans="1:18" ht="20.25" x14ac:dyDescent="0.25">
      <c r="A596" s="246">
        <f>+'OEE REA'!A1107</f>
        <v>0</v>
      </c>
      <c r="B596" s="99">
        <f t="shared" si="85"/>
        <v>0</v>
      </c>
      <c r="C596" s="113">
        <f>+'OEE REA'!D1107</f>
        <v>0</v>
      </c>
      <c r="D596" s="242" t="s">
        <v>2398</v>
      </c>
      <c r="E596" s="109" t="e">
        <f>VLOOKUP(A596,'OEE REA'!A:AO,13,FALSE)</f>
        <v>#N/A</v>
      </c>
      <c r="F596" s="110" t="e">
        <f>VLOOKUP(A596,'OEE REA'!A:AO,11,FALSE)</f>
        <v>#N/A</v>
      </c>
      <c r="G596" s="111" t="str">
        <f t="shared" si="86"/>
        <v/>
      </c>
      <c r="H596" s="110" t="e">
        <f>VLOOKUP(A596,'OEE REA'!A:AO,14,FALSE)</f>
        <v>#N/A</v>
      </c>
      <c r="I596" s="106"/>
      <c r="J596" s="99"/>
      <c r="K596" s="99"/>
      <c r="L596" s="107"/>
      <c r="M596" s="112" t="str">
        <f t="shared" si="88"/>
        <v/>
      </c>
      <c r="N596" s="103" t="str">
        <f t="shared" si="89"/>
        <v/>
      </c>
      <c r="O596" s="103">
        <f>IFERROR('OEE REA'!J1107*'SPEED FACTOR REA'!L596,"")</f>
        <v>0</v>
      </c>
      <c r="P596" s="250" t="str">
        <f t="shared" si="90"/>
        <v/>
      </c>
      <c r="R596" s="70" t="e">
        <f t="shared" si="87"/>
        <v>#VALUE!</v>
      </c>
    </row>
    <row r="597" spans="1:18" ht="20.25" x14ac:dyDescent="0.25">
      <c r="A597" s="246">
        <f>+'OEE REA'!A1108</f>
        <v>0</v>
      </c>
      <c r="B597" s="99">
        <f t="shared" si="85"/>
        <v>0</v>
      </c>
      <c r="C597" s="113">
        <f>+'OEE REA'!D1108</f>
        <v>0</v>
      </c>
      <c r="D597" s="242" t="s">
        <v>2399</v>
      </c>
      <c r="E597" s="109" t="e">
        <f>VLOOKUP(A597,'OEE REA'!A:AO,13,FALSE)</f>
        <v>#N/A</v>
      </c>
      <c r="F597" s="110" t="e">
        <f>VLOOKUP(A597,'OEE REA'!A:AO,11,FALSE)</f>
        <v>#N/A</v>
      </c>
      <c r="G597" s="111" t="str">
        <f t="shared" si="86"/>
        <v/>
      </c>
      <c r="H597" s="110" t="e">
        <f>VLOOKUP(A597,'OEE REA'!A:AO,14,FALSE)</f>
        <v>#N/A</v>
      </c>
      <c r="I597" s="106"/>
      <c r="J597" s="99"/>
      <c r="K597" s="99"/>
      <c r="L597" s="107"/>
      <c r="M597" s="112" t="str">
        <f t="shared" si="88"/>
        <v/>
      </c>
      <c r="N597" s="103" t="str">
        <f t="shared" si="89"/>
        <v/>
      </c>
      <c r="O597" s="103">
        <f>IFERROR('OEE REA'!J1108*'SPEED FACTOR REA'!L597,"")</f>
        <v>0</v>
      </c>
      <c r="P597" s="250" t="str">
        <f t="shared" si="90"/>
        <v/>
      </c>
      <c r="R597" s="70" t="e">
        <f t="shared" si="87"/>
        <v>#VALUE!</v>
      </c>
    </row>
    <row r="598" spans="1:18" ht="20.25" x14ac:dyDescent="0.25">
      <c r="A598" s="246">
        <f>+'OEE REA'!A1109</f>
        <v>0</v>
      </c>
      <c r="B598" s="99">
        <f t="shared" si="85"/>
        <v>0</v>
      </c>
      <c r="C598" s="113">
        <f>+'OEE REA'!D1109</f>
        <v>0</v>
      </c>
      <c r="D598" s="242" t="s">
        <v>2400</v>
      </c>
      <c r="E598" s="109" t="e">
        <f>VLOOKUP(A598,'OEE REA'!A:AO,13,FALSE)</f>
        <v>#N/A</v>
      </c>
      <c r="F598" s="110" t="e">
        <f>VLOOKUP(A598,'OEE REA'!A:AO,11,FALSE)</f>
        <v>#N/A</v>
      </c>
      <c r="G598" s="111" t="str">
        <f t="shared" si="86"/>
        <v/>
      </c>
      <c r="H598" s="110" t="e">
        <f>VLOOKUP(A598,'OEE REA'!A:AO,14,FALSE)</f>
        <v>#N/A</v>
      </c>
      <c r="I598" s="106"/>
      <c r="J598" s="99"/>
      <c r="K598" s="99"/>
      <c r="L598" s="107"/>
      <c r="M598" s="112" t="str">
        <f t="shared" si="88"/>
        <v/>
      </c>
      <c r="N598" s="103" t="str">
        <f t="shared" si="89"/>
        <v/>
      </c>
      <c r="O598" s="103">
        <f>IFERROR('OEE REA'!J1109*'SPEED FACTOR REA'!L598,"")</f>
        <v>0</v>
      </c>
      <c r="P598" s="250" t="str">
        <f t="shared" si="90"/>
        <v/>
      </c>
      <c r="R598" s="70" t="e">
        <f t="shared" si="87"/>
        <v>#VALUE!</v>
      </c>
    </row>
    <row r="599" spans="1:18" ht="20.25" x14ac:dyDescent="0.25">
      <c r="A599" s="246">
        <f>+'OEE REA'!A1110</f>
        <v>0</v>
      </c>
      <c r="B599" s="99">
        <f t="shared" si="85"/>
        <v>0</v>
      </c>
      <c r="C599" s="113">
        <f>+'OEE REA'!D1110</f>
        <v>0</v>
      </c>
      <c r="D599" s="242" t="s">
        <v>2401</v>
      </c>
      <c r="E599" s="109" t="e">
        <f>VLOOKUP(A599,'OEE REA'!A:AO,13,FALSE)</f>
        <v>#N/A</v>
      </c>
      <c r="F599" s="110" t="e">
        <f>VLOOKUP(A599,'OEE REA'!A:AO,11,FALSE)</f>
        <v>#N/A</v>
      </c>
      <c r="G599" s="111" t="str">
        <f t="shared" si="86"/>
        <v/>
      </c>
      <c r="H599" s="110" t="e">
        <f>VLOOKUP(A599,'OEE REA'!A:AO,14,FALSE)</f>
        <v>#N/A</v>
      </c>
      <c r="I599" s="106"/>
      <c r="J599" s="99"/>
      <c r="K599" s="99"/>
      <c r="L599" s="107"/>
      <c r="M599" s="112" t="str">
        <f t="shared" si="88"/>
        <v/>
      </c>
      <c r="N599" s="103" t="str">
        <f t="shared" si="89"/>
        <v/>
      </c>
      <c r="O599" s="103">
        <f>IFERROR('OEE REA'!J1110*'SPEED FACTOR REA'!L599,"")</f>
        <v>0</v>
      </c>
      <c r="P599" s="250" t="str">
        <f t="shared" si="90"/>
        <v/>
      </c>
      <c r="R599" s="70" t="e">
        <f t="shared" si="87"/>
        <v>#VALUE!</v>
      </c>
    </row>
    <row r="600" spans="1:18" ht="20.25" x14ac:dyDescent="0.25">
      <c r="A600" s="246">
        <f>+'OEE REA'!A1111</f>
        <v>0</v>
      </c>
      <c r="B600" s="99">
        <f t="shared" si="85"/>
        <v>0</v>
      </c>
      <c r="C600" s="113">
        <f>+'OEE REA'!D1111</f>
        <v>0</v>
      </c>
      <c r="D600" s="242" t="s">
        <v>2402</v>
      </c>
      <c r="E600" s="109" t="e">
        <f>VLOOKUP(A600,'OEE REA'!A:AO,13,FALSE)</f>
        <v>#N/A</v>
      </c>
      <c r="F600" s="110" t="e">
        <f>VLOOKUP(A600,'OEE REA'!A:AO,11,FALSE)</f>
        <v>#N/A</v>
      </c>
      <c r="G600" s="111" t="str">
        <f t="shared" si="86"/>
        <v/>
      </c>
      <c r="H600" s="110" t="e">
        <f>VLOOKUP(A600,'OEE REA'!A:AO,14,FALSE)</f>
        <v>#N/A</v>
      </c>
      <c r="I600" s="106"/>
      <c r="J600" s="99"/>
      <c r="K600" s="99"/>
      <c r="L600" s="107"/>
      <c r="M600" s="112" t="str">
        <f t="shared" si="88"/>
        <v/>
      </c>
      <c r="N600" s="103" t="str">
        <f t="shared" si="89"/>
        <v/>
      </c>
      <c r="O600" s="103">
        <f>IFERROR('OEE REA'!J1111*'SPEED FACTOR REA'!L600,"")</f>
        <v>0</v>
      </c>
      <c r="P600" s="250" t="str">
        <f t="shared" si="90"/>
        <v/>
      </c>
      <c r="R600" s="70" t="e">
        <f t="shared" si="87"/>
        <v>#VALUE!</v>
      </c>
    </row>
    <row r="601" spans="1:18" ht="20.25" x14ac:dyDescent="0.25">
      <c r="A601" s="246">
        <f>+'OEE REA'!A1112</f>
        <v>0</v>
      </c>
      <c r="B601" s="99">
        <f t="shared" si="85"/>
        <v>0</v>
      </c>
      <c r="C601" s="113">
        <f>+'OEE REA'!D1112</f>
        <v>0</v>
      </c>
      <c r="D601" s="242" t="s">
        <v>2403</v>
      </c>
      <c r="E601" s="109" t="e">
        <f>VLOOKUP(A601,'OEE REA'!A:AO,13,FALSE)</f>
        <v>#N/A</v>
      </c>
      <c r="F601" s="110" t="e">
        <f>VLOOKUP(A601,'OEE REA'!A:AO,11,FALSE)</f>
        <v>#N/A</v>
      </c>
      <c r="G601" s="111" t="str">
        <f t="shared" si="86"/>
        <v/>
      </c>
      <c r="H601" s="110" t="e">
        <f>VLOOKUP(A601,'OEE REA'!A:AO,14,FALSE)</f>
        <v>#N/A</v>
      </c>
      <c r="I601" s="106"/>
      <c r="J601" s="99"/>
      <c r="K601" s="99"/>
      <c r="L601" s="107"/>
      <c r="M601" s="112" t="str">
        <f t="shared" si="88"/>
        <v/>
      </c>
      <c r="N601" s="103" t="str">
        <f t="shared" si="89"/>
        <v/>
      </c>
      <c r="O601" s="103">
        <f>IFERROR('OEE REA'!J1112*'SPEED FACTOR REA'!L601,"")</f>
        <v>0</v>
      </c>
      <c r="P601" s="250" t="str">
        <f t="shared" si="90"/>
        <v/>
      </c>
      <c r="R601" s="70" t="e">
        <f t="shared" si="87"/>
        <v>#VALUE!</v>
      </c>
    </row>
    <row r="602" spans="1:18" ht="20.25" x14ac:dyDescent="0.25">
      <c r="A602" s="246">
        <f>+'OEE REA'!A1113</f>
        <v>0</v>
      </c>
      <c r="B602" s="99">
        <f t="shared" si="85"/>
        <v>0</v>
      </c>
      <c r="C602" s="113">
        <f>+'OEE REA'!D1113</f>
        <v>0</v>
      </c>
      <c r="D602" s="242" t="s">
        <v>2404</v>
      </c>
      <c r="E602" s="109" t="e">
        <f>VLOOKUP(A602,'OEE REA'!A:AO,13,FALSE)</f>
        <v>#N/A</v>
      </c>
      <c r="F602" s="110" t="e">
        <f>VLOOKUP(A602,'OEE REA'!A:AO,11,FALSE)</f>
        <v>#N/A</v>
      </c>
      <c r="G602" s="111" t="str">
        <f t="shared" si="86"/>
        <v/>
      </c>
      <c r="H602" s="110" t="e">
        <f>VLOOKUP(A602,'OEE REA'!A:AO,14,FALSE)</f>
        <v>#N/A</v>
      </c>
      <c r="I602" s="106"/>
      <c r="J602" s="99"/>
      <c r="K602" s="99"/>
      <c r="L602" s="107"/>
      <c r="M602" s="112" t="str">
        <f t="shared" si="88"/>
        <v/>
      </c>
      <c r="N602" s="103" t="str">
        <f t="shared" si="89"/>
        <v/>
      </c>
      <c r="O602" s="103">
        <f>IFERROR('OEE REA'!J1113*'SPEED FACTOR REA'!L602,"")</f>
        <v>0</v>
      </c>
      <c r="P602" s="250" t="str">
        <f t="shared" si="90"/>
        <v/>
      </c>
      <c r="R602" s="70" t="e">
        <f t="shared" si="87"/>
        <v>#VALUE!</v>
      </c>
    </row>
    <row r="603" spans="1:18" ht="20.25" x14ac:dyDescent="0.25">
      <c r="A603" s="246">
        <f>+'OEE REA'!A1114</f>
        <v>0</v>
      </c>
      <c r="B603" s="99">
        <f t="shared" si="85"/>
        <v>0</v>
      </c>
      <c r="C603" s="113">
        <f>+'OEE REA'!D1114</f>
        <v>0</v>
      </c>
      <c r="D603" s="242" t="s">
        <v>2405</v>
      </c>
      <c r="E603" s="109" t="e">
        <f>VLOOKUP(A603,'OEE REA'!A:AO,13,FALSE)</f>
        <v>#N/A</v>
      </c>
      <c r="F603" s="110" t="e">
        <f>VLOOKUP(A603,'OEE REA'!A:AO,11,FALSE)</f>
        <v>#N/A</v>
      </c>
      <c r="G603" s="111" t="str">
        <f t="shared" si="86"/>
        <v/>
      </c>
      <c r="H603" s="110" t="e">
        <f>VLOOKUP(A603,'OEE REA'!A:AO,14,FALSE)</f>
        <v>#N/A</v>
      </c>
      <c r="I603" s="106"/>
      <c r="J603" s="99"/>
      <c r="K603" s="99"/>
      <c r="L603" s="107"/>
      <c r="M603" s="112" t="str">
        <f t="shared" si="88"/>
        <v/>
      </c>
      <c r="N603" s="103" t="str">
        <f t="shared" si="89"/>
        <v/>
      </c>
      <c r="O603" s="103">
        <f>IFERROR('OEE REA'!J1114*'SPEED FACTOR REA'!L603,"")</f>
        <v>0</v>
      </c>
      <c r="P603" s="250" t="str">
        <f t="shared" si="90"/>
        <v/>
      </c>
      <c r="R603" s="70" t="e">
        <f t="shared" si="87"/>
        <v>#VALUE!</v>
      </c>
    </row>
    <row r="604" spans="1:18" ht="20.25" x14ac:dyDescent="0.25">
      <c r="A604" s="246">
        <f>+'OEE REA'!A1115</f>
        <v>0</v>
      </c>
      <c r="B604" s="99">
        <f t="shared" si="85"/>
        <v>0</v>
      </c>
      <c r="C604" s="113">
        <f>+'OEE REA'!D1115</f>
        <v>0</v>
      </c>
      <c r="D604" s="242" t="s">
        <v>2406</v>
      </c>
      <c r="E604" s="109" t="e">
        <f>VLOOKUP(A604,'OEE REA'!A:AO,13,FALSE)</f>
        <v>#N/A</v>
      </c>
      <c r="F604" s="110" t="e">
        <f>VLOOKUP(A604,'OEE REA'!A:AO,11,FALSE)</f>
        <v>#N/A</v>
      </c>
      <c r="G604" s="111" t="str">
        <f t="shared" si="86"/>
        <v/>
      </c>
      <c r="H604" s="110" t="e">
        <f>VLOOKUP(A604,'OEE REA'!A:AO,14,FALSE)</f>
        <v>#N/A</v>
      </c>
      <c r="I604" s="106"/>
      <c r="J604" s="99"/>
      <c r="K604" s="99"/>
      <c r="L604" s="107"/>
      <c r="M604" s="112" t="str">
        <f t="shared" si="88"/>
        <v/>
      </c>
      <c r="N604" s="103" t="str">
        <f t="shared" si="89"/>
        <v/>
      </c>
      <c r="O604" s="103">
        <f>IFERROR('OEE REA'!J1115*'SPEED FACTOR REA'!L604,"")</f>
        <v>0</v>
      </c>
      <c r="P604" s="250" t="str">
        <f t="shared" si="90"/>
        <v/>
      </c>
      <c r="R604" s="70" t="e">
        <f t="shared" si="87"/>
        <v>#VALUE!</v>
      </c>
    </row>
    <row r="605" spans="1:18" ht="20.25" x14ac:dyDescent="0.25">
      <c r="A605" s="246">
        <f>+'OEE REA'!A1116</f>
        <v>0</v>
      </c>
      <c r="B605" s="99">
        <f t="shared" si="85"/>
        <v>0</v>
      </c>
      <c r="C605" s="113">
        <f>+'OEE REA'!D1116</f>
        <v>0</v>
      </c>
      <c r="D605" s="242" t="s">
        <v>2407</v>
      </c>
      <c r="E605" s="109" t="e">
        <f>VLOOKUP(A605,'OEE REA'!A:AO,13,FALSE)</f>
        <v>#N/A</v>
      </c>
      <c r="F605" s="110" t="e">
        <f>VLOOKUP(A605,'OEE REA'!A:AO,11,FALSE)</f>
        <v>#N/A</v>
      </c>
      <c r="G605" s="111" t="str">
        <f t="shared" si="86"/>
        <v/>
      </c>
      <c r="H605" s="110" t="e">
        <f>VLOOKUP(A605,'OEE REA'!A:AO,14,FALSE)</f>
        <v>#N/A</v>
      </c>
      <c r="I605" s="106"/>
      <c r="J605" s="99"/>
      <c r="K605" s="99"/>
      <c r="L605" s="107"/>
      <c r="M605" s="112" t="str">
        <f t="shared" si="88"/>
        <v/>
      </c>
      <c r="N605" s="103" t="str">
        <f t="shared" si="89"/>
        <v/>
      </c>
      <c r="O605" s="103">
        <f>IFERROR('OEE REA'!J1116*'SPEED FACTOR REA'!L605,"")</f>
        <v>0</v>
      </c>
      <c r="P605" s="250" t="str">
        <f t="shared" si="90"/>
        <v/>
      </c>
      <c r="R605" s="70" t="e">
        <f t="shared" si="87"/>
        <v>#VALUE!</v>
      </c>
    </row>
    <row r="606" spans="1:18" ht="20.25" x14ac:dyDescent="0.25">
      <c r="A606" s="246">
        <f>+'OEE REA'!A1117</f>
        <v>0</v>
      </c>
      <c r="B606" s="99">
        <f t="shared" si="85"/>
        <v>0</v>
      </c>
      <c r="C606" s="113">
        <f>+'OEE REA'!D1117</f>
        <v>0</v>
      </c>
      <c r="D606" s="242" t="s">
        <v>2408</v>
      </c>
      <c r="E606" s="109" t="e">
        <f>VLOOKUP(A606,'OEE REA'!A:AO,13,FALSE)</f>
        <v>#N/A</v>
      </c>
      <c r="F606" s="110" t="e">
        <f>VLOOKUP(A606,'OEE REA'!A:AO,11,FALSE)</f>
        <v>#N/A</v>
      </c>
      <c r="G606" s="111" t="str">
        <f t="shared" si="86"/>
        <v/>
      </c>
      <c r="H606" s="110" t="e">
        <f>VLOOKUP(A606,'OEE REA'!A:AO,14,FALSE)</f>
        <v>#N/A</v>
      </c>
      <c r="I606" s="106"/>
      <c r="J606" s="99"/>
      <c r="K606" s="99"/>
      <c r="L606" s="107"/>
      <c r="M606" s="112" t="str">
        <f t="shared" si="88"/>
        <v/>
      </c>
      <c r="N606" s="103" t="str">
        <f t="shared" si="89"/>
        <v/>
      </c>
      <c r="O606" s="103">
        <f>IFERROR('OEE REA'!J1117*'SPEED FACTOR REA'!L606,"")</f>
        <v>0</v>
      </c>
      <c r="P606" s="250" t="str">
        <f t="shared" si="90"/>
        <v/>
      </c>
      <c r="R606" s="70" t="e">
        <f t="shared" si="87"/>
        <v>#VALUE!</v>
      </c>
    </row>
    <row r="607" spans="1:18" ht="20.25" x14ac:dyDescent="0.25">
      <c r="A607" s="246">
        <f>+'OEE REA'!A1118</f>
        <v>0</v>
      </c>
      <c r="B607" s="99">
        <f t="shared" si="85"/>
        <v>0</v>
      </c>
      <c r="C607" s="113">
        <f>+'OEE REA'!D1118</f>
        <v>0</v>
      </c>
      <c r="D607" s="242" t="s">
        <v>2409</v>
      </c>
      <c r="E607" s="109" t="e">
        <f>VLOOKUP(A607,'OEE REA'!A:AO,13,FALSE)</f>
        <v>#N/A</v>
      </c>
      <c r="F607" s="110" t="e">
        <f>VLOOKUP(A607,'OEE REA'!A:AO,11,FALSE)</f>
        <v>#N/A</v>
      </c>
      <c r="G607" s="111" t="str">
        <f t="shared" si="86"/>
        <v/>
      </c>
      <c r="H607" s="110" t="e">
        <f>VLOOKUP(A607,'OEE REA'!A:AO,14,FALSE)</f>
        <v>#N/A</v>
      </c>
      <c r="I607" s="106"/>
      <c r="J607" s="99"/>
      <c r="K607" s="99"/>
      <c r="L607" s="107"/>
      <c r="M607" s="112" t="str">
        <f t="shared" si="88"/>
        <v/>
      </c>
      <c r="N607" s="103" t="str">
        <f t="shared" si="89"/>
        <v/>
      </c>
      <c r="O607" s="103">
        <f>IFERROR('OEE REA'!J1118*'SPEED FACTOR REA'!L607,"")</f>
        <v>0</v>
      </c>
      <c r="P607" s="250" t="str">
        <f t="shared" si="90"/>
        <v/>
      </c>
      <c r="R607" s="70" t="e">
        <f t="shared" si="87"/>
        <v>#VALUE!</v>
      </c>
    </row>
    <row r="608" spans="1:18" ht="20.25" x14ac:dyDescent="0.25">
      <c r="A608" s="246">
        <f>+'OEE REA'!A1119</f>
        <v>0</v>
      </c>
      <c r="B608" s="99">
        <f t="shared" si="85"/>
        <v>0</v>
      </c>
      <c r="C608" s="113">
        <f>+'OEE REA'!D1119</f>
        <v>0</v>
      </c>
      <c r="D608" s="242" t="s">
        <v>2410</v>
      </c>
      <c r="E608" s="109" t="e">
        <f>VLOOKUP(A608,'OEE REA'!A:AO,13,FALSE)</f>
        <v>#N/A</v>
      </c>
      <c r="F608" s="110" t="e">
        <f>VLOOKUP(A608,'OEE REA'!A:AO,11,FALSE)</f>
        <v>#N/A</v>
      </c>
      <c r="G608" s="111" t="str">
        <f t="shared" si="86"/>
        <v/>
      </c>
      <c r="H608" s="110" t="e">
        <f>VLOOKUP(A608,'OEE REA'!A:AO,14,FALSE)</f>
        <v>#N/A</v>
      </c>
      <c r="I608" s="106"/>
      <c r="J608" s="99"/>
      <c r="K608" s="99"/>
      <c r="L608" s="107"/>
      <c r="M608" s="112" t="str">
        <f t="shared" si="88"/>
        <v/>
      </c>
      <c r="N608" s="103" t="str">
        <f t="shared" si="89"/>
        <v/>
      </c>
      <c r="O608" s="103">
        <f>IFERROR('OEE REA'!J1119*'SPEED FACTOR REA'!L608,"")</f>
        <v>0</v>
      </c>
      <c r="P608" s="250" t="str">
        <f t="shared" si="90"/>
        <v/>
      </c>
      <c r="R608" s="70" t="e">
        <f t="shared" si="87"/>
        <v>#VALUE!</v>
      </c>
    </row>
    <row r="609" spans="1:18" ht="20.25" x14ac:dyDescent="0.25">
      <c r="A609" s="246">
        <f>+'OEE REA'!A1120</f>
        <v>0</v>
      </c>
      <c r="B609" s="99">
        <f t="shared" ref="B609:B672" si="91">WEEKNUM(C609)</f>
        <v>0</v>
      </c>
      <c r="C609" s="113">
        <f>+'OEE REA'!D1120</f>
        <v>0</v>
      </c>
      <c r="D609" s="242" t="s">
        <v>2411</v>
      </c>
      <c r="E609" s="109" t="e">
        <f>VLOOKUP(A609,'OEE REA'!A:AO,13,FALSE)</f>
        <v>#N/A</v>
      </c>
      <c r="F609" s="110" t="e">
        <f>VLOOKUP(A609,'OEE REA'!A:AO,11,FALSE)</f>
        <v>#N/A</v>
      </c>
      <c r="G609" s="111" t="str">
        <f t="shared" ref="G609:G672" si="92">IFERROR(E609/H609*60,"")</f>
        <v/>
      </c>
      <c r="H609" s="110" t="e">
        <f>VLOOKUP(A609,'OEE REA'!A:AO,14,FALSE)</f>
        <v>#N/A</v>
      </c>
      <c r="I609" s="106"/>
      <c r="J609" s="99"/>
      <c r="K609" s="99"/>
      <c r="L609" s="107"/>
      <c r="M609" s="112" t="str">
        <f t="shared" si="88"/>
        <v/>
      </c>
      <c r="N609" s="103" t="str">
        <f t="shared" si="89"/>
        <v/>
      </c>
      <c r="O609" s="103">
        <f>IFERROR('OEE REA'!J1120*'SPEED FACTOR REA'!L609,"")</f>
        <v>0</v>
      </c>
      <c r="P609" s="250" t="str">
        <f t="shared" si="90"/>
        <v/>
      </c>
      <c r="R609" s="70" t="e">
        <f t="shared" ref="R609:R672" si="93">G609/O609</f>
        <v>#VALUE!</v>
      </c>
    </row>
    <row r="610" spans="1:18" ht="20.25" x14ac:dyDescent="0.25">
      <c r="A610" s="246">
        <f>+'OEE REA'!A1121</f>
        <v>0</v>
      </c>
      <c r="B610" s="99">
        <f t="shared" si="91"/>
        <v>0</v>
      </c>
      <c r="C610" s="113">
        <f>+'OEE REA'!D1121</f>
        <v>0</v>
      </c>
      <c r="D610" s="242" t="s">
        <v>2412</v>
      </c>
      <c r="E610" s="109" t="e">
        <f>VLOOKUP(A610,'OEE REA'!A:AO,13,FALSE)</f>
        <v>#N/A</v>
      </c>
      <c r="F610" s="110" t="e">
        <f>VLOOKUP(A610,'OEE REA'!A:AO,11,FALSE)</f>
        <v>#N/A</v>
      </c>
      <c r="G610" s="111" t="str">
        <f t="shared" si="92"/>
        <v/>
      </c>
      <c r="H610" s="110" t="e">
        <f>VLOOKUP(A610,'OEE REA'!A:AO,14,FALSE)</f>
        <v>#N/A</v>
      </c>
      <c r="I610" s="106"/>
      <c r="J610" s="99"/>
      <c r="K610" s="99"/>
      <c r="L610" s="107"/>
      <c r="M610" s="112" t="str">
        <f t="shared" si="88"/>
        <v/>
      </c>
      <c r="N610" s="103" t="str">
        <f t="shared" si="89"/>
        <v/>
      </c>
      <c r="O610" s="103">
        <f>IFERROR('OEE REA'!J1121*'SPEED FACTOR REA'!L610,"")</f>
        <v>0</v>
      </c>
      <c r="P610" s="250" t="str">
        <f t="shared" si="90"/>
        <v/>
      </c>
      <c r="R610" s="70" t="e">
        <f t="shared" si="93"/>
        <v>#VALUE!</v>
      </c>
    </row>
    <row r="611" spans="1:18" ht="20.25" x14ac:dyDescent="0.25">
      <c r="A611" s="246">
        <f>+'OEE REA'!A1122</f>
        <v>0</v>
      </c>
      <c r="B611" s="99">
        <f t="shared" si="91"/>
        <v>0</v>
      </c>
      <c r="C611" s="113">
        <f>+'OEE REA'!D1122</f>
        <v>0</v>
      </c>
      <c r="D611" s="242" t="s">
        <v>2413</v>
      </c>
      <c r="E611" s="109" t="e">
        <f>VLOOKUP(A611,'OEE REA'!A:AO,13,FALSE)</f>
        <v>#N/A</v>
      </c>
      <c r="F611" s="110" t="e">
        <f>VLOOKUP(A611,'OEE REA'!A:AO,11,FALSE)</f>
        <v>#N/A</v>
      </c>
      <c r="G611" s="111" t="str">
        <f t="shared" si="92"/>
        <v/>
      </c>
      <c r="H611" s="110" t="e">
        <f>VLOOKUP(A611,'OEE REA'!A:AO,14,FALSE)</f>
        <v>#N/A</v>
      </c>
      <c r="I611" s="106"/>
      <c r="J611" s="99"/>
      <c r="K611" s="99"/>
      <c r="L611" s="107"/>
      <c r="M611" s="112" t="str">
        <f t="shared" si="88"/>
        <v/>
      </c>
      <c r="N611" s="103" t="str">
        <f t="shared" si="89"/>
        <v/>
      </c>
      <c r="O611" s="103">
        <f>IFERROR('OEE REA'!J1122*'SPEED FACTOR REA'!L611,"")</f>
        <v>0</v>
      </c>
      <c r="P611" s="250" t="str">
        <f t="shared" si="90"/>
        <v/>
      </c>
      <c r="R611" s="70" t="e">
        <f t="shared" si="93"/>
        <v>#VALUE!</v>
      </c>
    </row>
    <row r="612" spans="1:18" ht="20.25" x14ac:dyDescent="0.25">
      <c r="A612" s="246">
        <f>+'OEE REA'!A1123</f>
        <v>0</v>
      </c>
      <c r="B612" s="99">
        <f t="shared" si="91"/>
        <v>0</v>
      </c>
      <c r="C612" s="113">
        <f>+'OEE REA'!D1123</f>
        <v>0</v>
      </c>
      <c r="D612" s="242" t="s">
        <v>2414</v>
      </c>
      <c r="E612" s="109" t="e">
        <f>VLOOKUP(A612,'OEE REA'!A:AO,13,FALSE)</f>
        <v>#N/A</v>
      </c>
      <c r="F612" s="110" t="e">
        <f>VLOOKUP(A612,'OEE REA'!A:AO,11,FALSE)</f>
        <v>#N/A</v>
      </c>
      <c r="G612" s="111" t="str">
        <f t="shared" si="92"/>
        <v/>
      </c>
      <c r="H612" s="110" t="e">
        <f>VLOOKUP(A612,'OEE REA'!A:AO,14,FALSE)</f>
        <v>#N/A</v>
      </c>
      <c r="I612" s="106"/>
      <c r="J612" s="99"/>
      <c r="K612" s="99"/>
      <c r="L612" s="107"/>
      <c r="M612" s="112" t="str">
        <f t="shared" si="88"/>
        <v/>
      </c>
      <c r="N612" s="103" t="str">
        <f t="shared" si="89"/>
        <v/>
      </c>
      <c r="O612" s="103">
        <f>IFERROR('OEE REA'!J1123*'SPEED FACTOR REA'!L612,"")</f>
        <v>0</v>
      </c>
      <c r="P612" s="250" t="str">
        <f t="shared" si="90"/>
        <v/>
      </c>
      <c r="R612" s="70" t="e">
        <f t="shared" si="93"/>
        <v>#VALUE!</v>
      </c>
    </row>
    <row r="613" spans="1:18" ht="20.25" x14ac:dyDescent="0.25">
      <c r="A613" s="246">
        <f>+'OEE REA'!A1124</f>
        <v>0</v>
      </c>
      <c r="B613" s="99">
        <f t="shared" si="91"/>
        <v>0</v>
      </c>
      <c r="C613" s="113">
        <f>+'OEE REA'!D1124</f>
        <v>0</v>
      </c>
      <c r="D613" s="242" t="s">
        <v>2415</v>
      </c>
      <c r="E613" s="109" t="e">
        <f>VLOOKUP(A613,'OEE REA'!A:AO,13,FALSE)</f>
        <v>#N/A</v>
      </c>
      <c r="F613" s="110" t="e">
        <f>VLOOKUP(A613,'OEE REA'!A:AO,11,FALSE)</f>
        <v>#N/A</v>
      </c>
      <c r="G613" s="111" t="str">
        <f t="shared" si="92"/>
        <v/>
      </c>
      <c r="H613" s="110" t="e">
        <f>VLOOKUP(A613,'OEE REA'!A:AO,14,FALSE)</f>
        <v>#N/A</v>
      </c>
      <c r="I613" s="106"/>
      <c r="J613" s="99"/>
      <c r="K613" s="99"/>
      <c r="L613" s="107"/>
      <c r="M613" s="112" t="str">
        <f t="shared" si="88"/>
        <v/>
      </c>
      <c r="N613" s="103" t="str">
        <f t="shared" si="89"/>
        <v/>
      </c>
      <c r="O613" s="103">
        <f>IFERROR('OEE REA'!J1124*'SPEED FACTOR REA'!L613,"")</f>
        <v>0</v>
      </c>
      <c r="P613" s="250" t="str">
        <f t="shared" si="90"/>
        <v/>
      </c>
      <c r="R613" s="70" t="e">
        <f t="shared" si="93"/>
        <v>#VALUE!</v>
      </c>
    </row>
    <row r="614" spans="1:18" ht="20.25" x14ac:dyDescent="0.25">
      <c r="A614" s="246">
        <f>+'OEE REA'!A1125</f>
        <v>0</v>
      </c>
      <c r="B614" s="99">
        <f t="shared" si="91"/>
        <v>0</v>
      </c>
      <c r="C614" s="113">
        <f>+'OEE REA'!D1125</f>
        <v>0</v>
      </c>
      <c r="D614" s="242" t="s">
        <v>2416</v>
      </c>
      <c r="E614" s="109" t="e">
        <f>VLOOKUP(A614,'OEE REA'!A:AO,13,FALSE)</f>
        <v>#N/A</v>
      </c>
      <c r="F614" s="110" t="e">
        <f>VLOOKUP(A614,'OEE REA'!A:AO,11,FALSE)</f>
        <v>#N/A</v>
      </c>
      <c r="G614" s="111" t="str">
        <f t="shared" si="92"/>
        <v/>
      </c>
      <c r="H614" s="110" t="e">
        <f>VLOOKUP(A614,'OEE REA'!A:AO,14,FALSE)</f>
        <v>#N/A</v>
      </c>
      <c r="I614" s="106"/>
      <c r="J614" s="99"/>
      <c r="K614" s="99"/>
      <c r="L614" s="107"/>
      <c r="M614" s="112" t="str">
        <f t="shared" si="88"/>
        <v/>
      </c>
      <c r="N614" s="103" t="str">
        <f t="shared" si="89"/>
        <v/>
      </c>
      <c r="O614" s="103">
        <f>IFERROR('OEE REA'!J1125*'SPEED FACTOR REA'!L614,"")</f>
        <v>0</v>
      </c>
      <c r="P614" s="250" t="str">
        <f t="shared" si="90"/>
        <v/>
      </c>
      <c r="R614" s="70" t="e">
        <f t="shared" si="93"/>
        <v>#VALUE!</v>
      </c>
    </row>
    <row r="615" spans="1:18" ht="20.25" x14ac:dyDescent="0.25">
      <c r="A615" s="246">
        <f>+'OEE REA'!A1126</f>
        <v>0</v>
      </c>
      <c r="B615" s="99">
        <f t="shared" si="91"/>
        <v>0</v>
      </c>
      <c r="C615" s="113">
        <f>+'OEE REA'!D1126</f>
        <v>0</v>
      </c>
      <c r="D615" s="242" t="s">
        <v>2417</v>
      </c>
      <c r="E615" s="109" t="e">
        <f>VLOOKUP(A615,'OEE REA'!A:AO,13,FALSE)</f>
        <v>#N/A</v>
      </c>
      <c r="F615" s="110" t="e">
        <f>VLOOKUP(A615,'OEE REA'!A:AO,11,FALSE)</f>
        <v>#N/A</v>
      </c>
      <c r="G615" s="111" t="str">
        <f t="shared" si="92"/>
        <v/>
      </c>
      <c r="H615" s="110" t="e">
        <f>VLOOKUP(A615,'OEE REA'!A:AO,14,FALSE)</f>
        <v>#N/A</v>
      </c>
      <c r="I615" s="106"/>
      <c r="J615" s="99"/>
      <c r="K615" s="99"/>
      <c r="L615" s="107"/>
      <c r="M615" s="112" t="str">
        <f t="shared" si="88"/>
        <v/>
      </c>
      <c r="N615" s="103" t="str">
        <f t="shared" si="89"/>
        <v/>
      </c>
      <c r="O615" s="103">
        <f>IFERROR('OEE REA'!J1126*'SPEED FACTOR REA'!L615,"")</f>
        <v>0</v>
      </c>
      <c r="P615" s="250" t="str">
        <f t="shared" si="90"/>
        <v/>
      </c>
      <c r="R615" s="70" t="e">
        <f t="shared" si="93"/>
        <v>#VALUE!</v>
      </c>
    </row>
    <row r="616" spans="1:18" ht="20.25" x14ac:dyDescent="0.25">
      <c r="A616" s="246">
        <f>+'OEE REA'!A1127</f>
        <v>0</v>
      </c>
      <c r="B616" s="99">
        <f t="shared" si="91"/>
        <v>0</v>
      </c>
      <c r="C616" s="113">
        <f>+'OEE REA'!D1127</f>
        <v>0</v>
      </c>
      <c r="D616" s="242" t="s">
        <v>2418</v>
      </c>
      <c r="E616" s="109" t="e">
        <f>VLOOKUP(A616,'OEE REA'!A:AO,13,FALSE)</f>
        <v>#N/A</v>
      </c>
      <c r="F616" s="110" t="e">
        <f>VLOOKUP(A616,'OEE REA'!A:AO,11,FALSE)</f>
        <v>#N/A</v>
      </c>
      <c r="G616" s="111" t="str">
        <f t="shared" si="92"/>
        <v/>
      </c>
      <c r="H616" s="110" t="e">
        <f>VLOOKUP(A616,'OEE REA'!A:AO,14,FALSE)</f>
        <v>#N/A</v>
      </c>
      <c r="I616" s="106"/>
      <c r="J616" s="99"/>
      <c r="K616" s="99"/>
      <c r="L616" s="107"/>
      <c r="M616" s="112" t="str">
        <f t="shared" si="88"/>
        <v/>
      </c>
      <c r="N616" s="103" t="str">
        <f t="shared" si="89"/>
        <v/>
      </c>
      <c r="O616" s="103">
        <f>IFERROR('OEE REA'!J1127*'SPEED FACTOR REA'!L616,"")</f>
        <v>0</v>
      </c>
      <c r="P616" s="250" t="str">
        <f t="shared" si="90"/>
        <v/>
      </c>
      <c r="R616" s="70" t="e">
        <f t="shared" si="93"/>
        <v>#VALUE!</v>
      </c>
    </row>
    <row r="617" spans="1:18" ht="20.25" x14ac:dyDescent="0.25">
      <c r="A617" s="246">
        <f>+'OEE REA'!A1128</f>
        <v>0</v>
      </c>
      <c r="B617" s="99">
        <f t="shared" si="91"/>
        <v>0</v>
      </c>
      <c r="C617" s="113">
        <f>+'OEE REA'!D1128</f>
        <v>0</v>
      </c>
      <c r="D617" s="242" t="s">
        <v>2419</v>
      </c>
      <c r="E617" s="109" t="e">
        <f>VLOOKUP(A617,'OEE REA'!A:AO,13,FALSE)</f>
        <v>#N/A</v>
      </c>
      <c r="F617" s="110" t="e">
        <f>VLOOKUP(A617,'OEE REA'!A:AO,11,FALSE)</f>
        <v>#N/A</v>
      </c>
      <c r="G617" s="111" t="str">
        <f t="shared" si="92"/>
        <v/>
      </c>
      <c r="H617" s="110" t="e">
        <f>VLOOKUP(A617,'OEE REA'!A:AO,14,FALSE)</f>
        <v>#N/A</v>
      </c>
      <c r="I617" s="106"/>
      <c r="J617" s="99"/>
      <c r="K617" s="99"/>
      <c r="L617" s="107"/>
      <c r="M617" s="112" t="str">
        <f t="shared" si="88"/>
        <v/>
      </c>
      <c r="N617" s="103" t="str">
        <f t="shared" si="89"/>
        <v/>
      </c>
      <c r="O617" s="103">
        <f>IFERROR('OEE REA'!J1128*'SPEED FACTOR REA'!L617,"")</f>
        <v>0</v>
      </c>
      <c r="P617" s="250" t="str">
        <f t="shared" si="90"/>
        <v/>
      </c>
      <c r="R617" s="70" t="e">
        <f t="shared" si="93"/>
        <v>#VALUE!</v>
      </c>
    </row>
    <row r="618" spans="1:18" ht="20.25" x14ac:dyDescent="0.25">
      <c r="A618" s="246">
        <f>+'OEE REA'!A1129</f>
        <v>0</v>
      </c>
      <c r="B618" s="99">
        <f t="shared" si="91"/>
        <v>0</v>
      </c>
      <c r="C618" s="113">
        <f>+'OEE REA'!D1129</f>
        <v>0</v>
      </c>
      <c r="D618" s="242" t="s">
        <v>2420</v>
      </c>
      <c r="E618" s="109" t="e">
        <f>VLOOKUP(A618,'OEE REA'!A:AO,13,FALSE)</f>
        <v>#N/A</v>
      </c>
      <c r="F618" s="110" t="e">
        <f>VLOOKUP(A618,'OEE REA'!A:AO,11,FALSE)</f>
        <v>#N/A</v>
      </c>
      <c r="G618" s="111" t="str">
        <f t="shared" si="92"/>
        <v/>
      </c>
      <c r="H618" s="110" t="e">
        <f>VLOOKUP(A618,'OEE REA'!A:AO,14,FALSE)</f>
        <v>#N/A</v>
      </c>
      <c r="I618" s="106"/>
      <c r="J618" s="99"/>
      <c r="K618" s="99"/>
      <c r="L618" s="107"/>
      <c r="M618" s="112" t="str">
        <f t="shared" si="88"/>
        <v/>
      </c>
      <c r="N618" s="103" t="str">
        <f t="shared" si="89"/>
        <v/>
      </c>
      <c r="O618" s="103">
        <f>IFERROR('OEE REA'!J1129*'SPEED FACTOR REA'!L618,"")</f>
        <v>0</v>
      </c>
      <c r="P618" s="250" t="str">
        <f t="shared" si="90"/>
        <v/>
      </c>
      <c r="R618" s="70" t="e">
        <f t="shared" si="93"/>
        <v>#VALUE!</v>
      </c>
    </row>
    <row r="619" spans="1:18" ht="20.25" x14ac:dyDescent="0.25">
      <c r="A619" s="246">
        <f>+'OEE REA'!A1130</f>
        <v>0</v>
      </c>
      <c r="B619" s="99">
        <f t="shared" si="91"/>
        <v>0</v>
      </c>
      <c r="C619" s="113">
        <f>+'OEE REA'!D1130</f>
        <v>0</v>
      </c>
      <c r="D619" s="242" t="s">
        <v>2421</v>
      </c>
      <c r="E619" s="109" t="e">
        <f>VLOOKUP(A619,'OEE REA'!A:AO,13,FALSE)</f>
        <v>#N/A</v>
      </c>
      <c r="F619" s="110" t="e">
        <f>VLOOKUP(A619,'OEE REA'!A:AO,11,FALSE)</f>
        <v>#N/A</v>
      </c>
      <c r="G619" s="111" t="str">
        <f t="shared" si="92"/>
        <v/>
      </c>
      <c r="H619" s="110" t="e">
        <f>VLOOKUP(A619,'OEE REA'!A:AO,14,FALSE)</f>
        <v>#N/A</v>
      </c>
      <c r="I619" s="106"/>
      <c r="J619" s="99"/>
      <c r="K619" s="99"/>
      <c r="L619" s="107"/>
      <c r="M619" s="112" t="str">
        <f t="shared" si="88"/>
        <v/>
      </c>
      <c r="N619" s="103" t="str">
        <f t="shared" si="89"/>
        <v/>
      </c>
      <c r="O619" s="103">
        <f>IFERROR('OEE REA'!J1130*'SPEED FACTOR REA'!L619,"")</f>
        <v>0</v>
      </c>
      <c r="P619" s="250" t="str">
        <f t="shared" si="90"/>
        <v/>
      </c>
      <c r="R619" s="70" t="e">
        <f t="shared" si="93"/>
        <v>#VALUE!</v>
      </c>
    </row>
    <row r="620" spans="1:18" ht="20.25" x14ac:dyDescent="0.25">
      <c r="A620" s="246">
        <f>+'OEE REA'!A1131</f>
        <v>0</v>
      </c>
      <c r="B620" s="99">
        <f t="shared" si="91"/>
        <v>0</v>
      </c>
      <c r="C620" s="113">
        <f>+'OEE REA'!D1131</f>
        <v>0</v>
      </c>
      <c r="D620" s="242" t="s">
        <v>2422</v>
      </c>
      <c r="E620" s="109" t="e">
        <f>VLOOKUP(A620,'OEE REA'!A:AO,13,FALSE)</f>
        <v>#N/A</v>
      </c>
      <c r="F620" s="110" t="e">
        <f>VLOOKUP(A620,'OEE REA'!A:AO,11,FALSE)</f>
        <v>#N/A</v>
      </c>
      <c r="G620" s="111" t="str">
        <f t="shared" si="92"/>
        <v/>
      </c>
      <c r="H620" s="110" t="e">
        <f>VLOOKUP(A620,'OEE REA'!A:AO,14,FALSE)</f>
        <v>#N/A</v>
      </c>
      <c r="I620" s="106"/>
      <c r="J620" s="99"/>
      <c r="K620" s="99"/>
      <c r="L620" s="107"/>
      <c r="M620" s="112" t="str">
        <f t="shared" si="88"/>
        <v/>
      </c>
      <c r="N620" s="103" t="str">
        <f t="shared" si="89"/>
        <v/>
      </c>
      <c r="O620" s="103">
        <f>IFERROR('OEE REA'!J1131*'SPEED FACTOR REA'!L620,"")</f>
        <v>0</v>
      </c>
      <c r="P620" s="250" t="str">
        <f t="shared" si="90"/>
        <v/>
      </c>
      <c r="R620" s="70" t="e">
        <f t="shared" si="93"/>
        <v>#VALUE!</v>
      </c>
    </row>
    <row r="621" spans="1:18" ht="20.25" x14ac:dyDescent="0.25">
      <c r="A621" s="246">
        <f>+'OEE REA'!A1132</f>
        <v>0</v>
      </c>
      <c r="B621" s="99">
        <f t="shared" si="91"/>
        <v>0</v>
      </c>
      <c r="C621" s="113">
        <f>+'OEE REA'!D1132</f>
        <v>0</v>
      </c>
      <c r="D621" s="242" t="s">
        <v>2423</v>
      </c>
      <c r="E621" s="109" t="e">
        <f>VLOOKUP(A621,'OEE REA'!A:AO,13,FALSE)</f>
        <v>#N/A</v>
      </c>
      <c r="F621" s="110" t="e">
        <f>VLOOKUP(A621,'OEE REA'!A:AO,11,FALSE)</f>
        <v>#N/A</v>
      </c>
      <c r="G621" s="111" t="str">
        <f t="shared" si="92"/>
        <v/>
      </c>
      <c r="H621" s="110" t="e">
        <f>VLOOKUP(A621,'OEE REA'!A:AO,14,FALSE)</f>
        <v>#N/A</v>
      </c>
      <c r="I621" s="106"/>
      <c r="J621" s="99"/>
      <c r="K621" s="99"/>
      <c r="L621" s="107"/>
      <c r="M621" s="112" t="str">
        <f t="shared" si="88"/>
        <v/>
      </c>
      <c r="N621" s="103" t="str">
        <f t="shared" si="89"/>
        <v/>
      </c>
      <c r="O621" s="103">
        <f>IFERROR('OEE REA'!J1132*'SPEED FACTOR REA'!L621,"")</f>
        <v>0</v>
      </c>
      <c r="P621" s="250" t="str">
        <f t="shared" si="90"/>
        <v/>
      </c>
      <c r="R621" s="70" t="e">
        <f t="shared" si="93"/>
        <v>#VALUE!</v>
      </c>
    </row>
    <row r="622" spans="1:18" ht="20.25" x14ac:dyDescent="0.25">
      <c r="A622" s="246">
        <f>+'OEE REA'!A1133</f>
        <v>0</v>
      </c>
      <c r="B622" s="99">
        <f t="shared" si="91"/>
        <v>0</v>
      </c>
      <c r="C622" s="113">
        <f>+'OEE REA'!D1133</f>
        <v>0</v>
      </c>
      <c r="D622" s="242" t="s">
        <v>2424</v>
      </c>
      <c r="E622" s="109" t="e">
        <f>VLOOKUP(A622,'OEE REA'!A:AO,13,FALSE)</f>
        <v>#N/A</v>
      </c>
      <c r="F622" s="110" t="e">
        <f>VLOOKUP(A622,'OEE REA'!A:AO,11,FALSE)</f>
        <v>#N/A</v>
      </c>
      <c r="G622" s="111" t="str">
        <f t="shared" si="92"/>
        <v/>
      </c>
      <c r="H622" s="110" t="e">
        <f>VLOOKUP(A622,'OEE REA'!A:AO,14,FALSE)</f>
        <v>#N/A</v>
      </c>
      <c r="I622" s="106"/>
      <c r="J622" s="99"/>
      <c r="K622" s="99"/>
      <c r="L622" s="107"/>
      <c r="M622" s="112" t="str">
        <f t="shared" ref="M622:M677" si="94">IFERROR(G622*L622,"")</f>
        <v/>
      </c>
      <c r="N622" s="103" t="str">
        <f t="shared" ref="N622:N677" si="95">IFERROR(F622*L622,"")</f>
        <v/>
      </c>
      <c r="O622" s="103">
        <f>IFERROR('OEE REA'!J1133*'SPEED FACTOR REA'!L622,"")</f>
        <v>0</v>
      </c>
      <c r="P622" s="250" t="str">
        <f t="shared" ref="P622:P677" si="96">IFERROR(N622/M622,"")</f>
        <v/>
      </c>
      <c r="R622" s="70" t="e">
        <f t="shared" si="93"/>
        <v>#VALUE!</v>
      </c>
    </row>
    <row r="623" spans="1:18" ht="20.25" x14ac:dyDescent="0.25">
      <c r="A623" s="246">
        <f>+'OEE REA'!A1134</f>
        <v>0</v>
      </c>
      <c r="B623" s="99">
        <f t="shared" si="91"/>
        <v>0</v>
      </c>
      <c r="C623" s="113">
        <f>+'OEE REA'!D1134</f>
        <v>0</v>
      </c>
      <c r="D623" s="242" t="s">
        <v>2425</v>
      </c>
      <c r="E623" s="109" t="e">
        <f>VLOOKUP(A623,'OEE REA'!A:AO,13,FALSE)</f>
        <v>#N/A</v>
      </c>
      <c r="F623" s="110" t="e">
        <f>VLOOKUP(A623,'OEE REA'!A:AO,11,FALSE)</f>
        <v>#N/A</v>
      </c>
      <c r="G623" s="111" t="str">
        <f t="shared" si="92"/>
        <v/>
      </c>
      <c r="H623" s="110" t="e">
        <f>VLOOKUP(A623,'OEE REA'!A:AO,14,FALSE)</f>
        <v>#N/A</v>
      </c>
      <c r="I623" s="106"/>
      <c r="J623" s="99"/>
      <c r="K623" s="99"/>
      <c r="L623" s="107"/>
      <c r="M623" s="112" t="str">
        <f t="shared" si="94"/>
        <v/>
      </c>
      <c r="N623" s="103" t="str">
        <f t="shared" si="95"/>
        <v/>
      </c>
      <c r="O623" s="103">
        <f>IFERROR('OEE REA'!J1134*'SPEED FACTOR REA'!L623,"")</f>
        <v>0</v>
      </c>
      <c r="P623" s="250" t="str">
        <f t="shared" si="96"/>
        <v/>
      </c>
      <c r="R623" s="70" t="e">
        <f t="shared" si="93"/>
        <v>#VALUE!</v>
      </c>
    </row>
    <row r="624" spans="1:18" ht="20.25" x14ac:dyDescent="0.25">
      <c r="A624" s="246">
        <f>+'OEE REA'!A1135</f>
        <v>0</v>
      </c>
      <c r="B624" s="99">
        <f t="shared" si="91"/>
        <v>0</v>
      </c>
      <c r="C624" s="113">
        <f>+'OEE REA'!D1135</f>
        <v>0</v>
      </c>
      <c r="D624" s="242" t="s">
        <v>2426</v>
      </c>
      <c r="E624" s="109" t="e">
        <f>VLOOKUP(A624,'OEE REA'!A:AO,13,FALSE)</f>
        <v>#N/A</v>
      </c>
      <c r="F624" s="110" t="e">
        <f>VLOOKUP(A624,'OEE REA'!A:AO,11,FALSE)</f>
        <v>#N/A</v>
      </c>
      <c r="G624" s="111" t="str">
        <f t="shared" si="92"/>
        <v/>
      </c>
      <c r="H624" s="110" t="e">
        <f>VLOOKUP(A624,'OEE REA'!A:AO,14,FALSE)</f>
        <v>#N/A</v>
      </c>
      <c r="I624" s="106"/>
      <c r="J624" s="99"/>
      <c r="K624" s="99"/>
      <c r="L624" s="107"/>
      <c r="M624" s="112" t="str">
        <f t="shared" si="94"/>
        <v/>
      </c>
      <c r="N624" s="103" t="str">
        <f t="shared" si="95"/>
        <v/>
      </c>
      <c r="O624" s="103">
        <f>IFERROR('OEE REA'!J1135*'SPEED FACTOR REA'!L624,"")</f>
        <v>0</v>
      </c>
      <c r="P624" s="250" t="str">
        <f t="shared" si="96"/>
        <v/>
      </c>
      <c r="R624" s="70" t="e">
        <f t="shared" si="93"/>
        <v>#VALUE!</v>
      </c>
    </row>
    <row r="625" spans="1:18" ht="20.25" x14ac:dyDescent="0.25">
      <c r="A625" s="246">
        <f>+'OEE REA'!A1136</f>
        <v>0</v>
      </c>
      <c r="B625" s="99">
        <f t="shared" si="91"/>
        <v>0</v>
      </c>
      <c r="C625" s="113">
        <f>+'OEE REA'!D1136</f>
        <v>0</v>
      </c>
      <c r="D625" s="242" t="s">
        <v>2427</v>
      </c>
      <c r="E625" s="109" t="e">
        <f>VLOOKUP(A625,'OEE REA'!A:AO,13,FALSE)</f>
        <v>#N/A</v>
      </c>
      <c r="F625" s="110" t="e">
        <f>VLOOKUP(A625,'OEE REA'!A:AO,11,FALSE)</f>
        <v>#N/A</v>
      </c>
      <c r="G625" s="111" t="str">
        <f t="shared" si="92"/>
        <v/>
      </c>
      <c r="H625" s="110" t="e">
        <f>VLOOKUP(A625,'OEE REA'!A:AO,14,FALSE)</f>
        <v>#N/A</v>
      </c>
      <c r="I625" s="106"/>
      <c r="J625" s="99"/>
      <c r="K625" s="99"/>
      <c r="L625" s="107"/>
      <c r="M625" s="112" t="str">
        <f t="shared" si="94"/>
        <v/>
      </c>
      <c r="N625" s="103" t="str">
        <f t="shared" si="95"/>
        <v/>
      </c>
      <c r="O625" s="103">
        <f>IFERROR('OEE REA'!J1136*'SPEED FACTOR REA'!L625,"")</f>
        <v>0</v>
      </c>
      <c r="P625" s="250" t="str">
        <f t="shared" si="96"/>
        <v/>
      </c>
      <c r="R625" s="70" t="e">
        <f t="shared" si="93"/>
        <v>#VALUE!</v>
      </c>
    </row>
    <row r="626" spans="1:18" ht="20.25" x14ac:dyDescent="0.25">
      <c r="A626" s="246">
        <f>+'OEE REA'!A1137</f>
        <v>0</v>
      </c>
      <c r="B626" s="99">
        <f t="shared" si="91"/>
        <v>0</v>
      </c>
      <c r="C626" s="113">
        <f>+'OEE REA'!D1137</f>
        <v>0</v>
      </c>
      <c r="D626" s="242" t="s">
        <v>2428</v>
      </c>
      <c r="E626" s="109" t="e">
        <f>VLOOKUP(A626,'OEE REA'!A:AO,13,FALSE)</f>
        <v>#N/A</v>
      </c>
      <c r="F626" s="110" t="e">
        <f>VLOOKUP(A626,'OEE REA'!A:AO,11,FALSE)</f>
        <v>#N/A</v>
      </c>
      <c r="G626" s="111" t="str">
        <f t="shared" si="92"/>
        <v/>
      </c>
      <c r="H626" s="110" t="e">
        <f>VLOOKUP(A626,'OEE REA'!A:AO,14,FALSE)</f>
        <v>#N/A</v>
      </c>
      <c r="I626" s="106"/>
      <c r="J626" s="99"/>
      <c r="K626" s="99"/>
      <c r="L626" s="107"/>
      <c r="M626" s="112" t="str">
        <f t="shared" si="94"/>
        <v/>
      </c>
      <c r="N626" s="103" t="str">
        <f t="shared" si="95"/>
        <v/>
      </c>
      <c r="O626" s="103">
        <f>IFERROR('OEE REA'!J1137*'SPEED FACTOR REA'!L626,"")</f>
        <v>0</v>
      </c>
      <c r="P626" s="250" t="str">
        <f t="shared" si="96"/>
        <v/>
      </c>
      <c r="R626" s="70" t="e">
        <f t="shared" si="93"/>
        <v>#VALUE!</v>
      </c>
    </row>
    <row r="627" spans="1:18" ht="20.25" x14ac:dyDescent="0.25">
      <c r="A627" s="246">
        <f>+'OEE REA'!A1138</f>
        <v>0</v>
      </c>
      <c r="B627" s="99">
        <f t="shared" si="91"/>
        <v>0</v>
      </c>
      <c r="C627" s="113">
        <f>+'OEE REA'!D1138</f>
        <v>0</v>
      </c>
      <c r="D627" s="242" t="s">
        <v>2429</v>
      </c>
      <c r="E627" s="109" t="e">
        <f>VLOOKUP(A627,'OEE REA'!A:AO,13,FALSE)</f>
        <v>#N/A</v>
      </c>
      <c r="F627" s="110" t="e">
        <f>VLOOKUP(A627,'OEE REA'!A:AO,11,FALSE)</f>
        <v>#N/A</v>
      </c>
      <c r="G627" s="111" t="str">
        <f t="shared" si="92"/>
        <v/>
      </c>
      <c r="H627" s="110" t="e">
        <f>VLOOKUP(A627,'OEE REA'!A:AO,14,FALSE)</f>
        <v>#N/A</v>
      </c>
      <c r="I627" s="106"/>
      <c r="J627" s="99"/>
      <c r="K627" s="99"/>
      <c r="L627" s="107"/>
      <c r="M627" s="112" t="str">
        <f t="shared" si="94"/>
        <v/>
      </c>
      <c r="N627" s="103" t="str">
        <f t="shared" si="95"/>
        <v/>
      </c>
      <c r="O627" s="103">
        <f>IFERROR('OEE REA'!J1138*'SPEED FACTOR REA'!L627,"")</f>
        <v>0</v>
      </c>
      <c r="P627" s="250" t="str">
        <f t="shared" si="96"/>
        <v/>
      </c>
      <c r="R627" s="70" t="e">
        <f t="shared" si="93"/>
        <v>#VALUE!</v>
      </c>
    </row>
    <row r="628" spans="1:18" ht="20.25" x14ac:dyDescent="0.25">
      <c r="A628" s="246">
        <f>+'OEE REA'!A1139</f>
        <v>0</v>
      </c>
      <c r="B628" s="99">
        <f t="shared" si="91"/>
        <v>0</v>
      </c>
      <c r="C628" s="113">
        <f>+'OEE REA'!D1139</f>
        <v>0</v>
      </c>
      <c r="D628" s="242" t="s">
        <v>2430</v>
      </c>
      <c r="E628" s="109" t="e">
        <f>VLOOKUP(A628,'OEE REA'!A:AO,13,FALSE)</f>
        <v>#N/A</v>
      </c>
      <c r="F628" s="110" t="e">
        <f>VLOOKUP(A628,'OEE REA'!A:AO,11,FALSE)</f>
        <v>#N/A</v>
      </c>
      <c r="G628" s="111" t="str">
        <f t="shared" si="92"/>
        <v/>
      </c>
      <c r="H628" s="110" t="e">
        <f>VLOOKUP(A628,'OEE REA'!A:AO,14,FALSE)</f>
        <v>#N/A</v>
      </c>
      <c r="I628" s="106"/>
      <c r="J628" s="99"/>
      <c r="K628" s="99"/>
      <c r="L628" s="107"/>
      <c r="M628" s="112" t="str">
        <f t="shared" si="94"/>
        <v/>
      </c>
      <c r="N628" s="103" t="str">
        <f t="shared" si="95"/>
        <v/>
      </c>
      <c r="O628" s="103">
        <f>IFERROR('OEE REA'!J1139*'SPEED FACTOR REA'!L628,"")</f>
        <v>0</v>
      </c>
      <c r="P628" s="250" t="str">
        <f t="shared" si="96"/>
        <v/>
      </c>
      <c r="R628" s="70" t="e">
        <f t="shared" si="93"/>
        <v>#VALUE!</v>
      </c>
    </row>
    <row r="629" spans="1:18" ht="20.25" x14ac:dyDescent="0.25">
      <c r="A629" s="246">
        <f>+'OEE REA'!A1140</f>
        <v>0</v>
      </c>
      <c r="B629" s="99">
        <f t="shared" si="91"/>
        <v>0</v>
      </c>
      <c r="C629" s="113">
        <f>+'OEE REA'!D1140</f>
        <v>0</v>
      </c>
      <c r="D629" s="242" t="s">
        <v>2431</v>
      </c>
      <c r="E629" s="109" t="e">
        <f>VLOOKUP(A629,'OEE REA'!A:AO,13,FALSE)</f>
        <v>#N/A</v>
      </c>
      <c r="F629" s="110" t="e">
        <f>VLOOKUP(A629,'OEE REA'!A:AO,11,FALSE)</f>
        <v>#N/A</v>
      </c>
      <c r="G629" s="111" t="str">
        <f t="shared" si="92"/>
        <v/>
      </c>
      <c r="H629" s="110" t="e">
        <f>VLOOKUP(A629,'OEE REA'!A:AO,14,FALSE)</f>
        <v>#N/A</v>
      </c>
      <c r="I629" s="106"/>
      <c r="J629" s="99"/>
      <c r="K629" s="99"/>
      <c r="L629" s="107"/>
      <c r="M629" s="112" t="str">
        <f t="shared" si="94"/>
        <v/>
      </c>
      <c r="N629" s="103" t="str">
        <f t="shared" si="95"/>
        <v/>
      </c>
      <c r="O629" s="103">
        <f>IFERROR('OEE REA'!J1140*'SPEED FACTOR REA'!L629,"")</f>
        <v>0</v>
      </c>
      <c r="P629" s="250" t="str">
        <f t="shared" si="96"/>
        <v/>
      </c>
      <c r="R629" s="70" t="e">
        <f t="shared" si="93"/>
        <v>#VALUE!</v>
      </c>
    </row>
    <row r="630" spans="1:18" ht="20.25" x14ac:dyDescent="0.25">
      <c r="A630" s="246">
        <f>+'OEE REA'!A1141</f>
        <v>0</v>
      </c>
      <c r="B630" s="99">
        <f t="shared" si="91"/>
        <v>0</v>
      </c>
      <c r="C630" s="113">
        <f>+'OEE REA'!D1141</f>
        <v>0</v>
      </c>
      <c r="D630" s="242" t="s">
        <v>2432</v>
      </c>
      <c r="E630" s="109" t="e">
        <f>VLOOKUP(A630,'OEE REA'!A:AO,13,FALSE)</f>
        <v>#N/A</v>
      </c>
      <c r="F630" s="110" t="e">
        <f>VLOOKUP(A630,'OEE REA'!A:AO,11,FALSE)</f>
        <v>#N/A</v>
      </c>
      <c r="G630" s="111" t="str">
        <f t="shared" si="92"/>
        <v/>
      </c>
      <c r="H630" s="110" t="e">
        <f>VLOOKUP(A630,'OEE REA'!A:AO,14,FALSE)</f>
        <v>#N/A</v>
      </c>
      <c r="I630" s="106"/>
      <c r="J630" s="99"/>
      <c r="K630" s="99"/>
      <c r="L630" s="107"/>
      <c r="M630" s="112" t="str">
        <f t="shared" si="94"/>
        <v/>
      </c>
      <c r="N630" s="103" t="str">
        <f t="shared" si="95"/>
        <v/>
      </c>
      <c r="O630" s="103">
        <f>IFERROR('OEE REA'!J1141*'SPEED FACTOR REA'!L630,"")</f>
        <v>0</v>
      </c>
      <c r="P630" s="250" t="str">
        <f t="shared" si="96"/>
        <v/>
      </c>
      <c r="R630" s="70" t="e">
        <f t="shared" si="93"/>
        <v>#VALUE!</v>
      </c>
    </row>
    <row r="631" spans="1:18" ht="20.25" x14ac:dyDescent="0.25">
      <c r="A631" s="246">
        <f>+'OEE REA'!A1142</f>
        <v>0</v>
      </c>
      <c r="B631" s="99">
        <f t="shared" si="91"/>
        <v>0</v>
      </c>
      <c r="C631" s="113">
        <f>+'OEE REA'!D1142</f>
        <v>0</v>
      </c>
      <c r="D631" s="242" t="s">
        <v>2433</v>
      </c>
      <c r="E631" s="109" t="e">
        <f>VLOOKUP(A631,'OEE REA'!A:AO,13,FALSE)</f>
        <v>#N/A</v>
      </c>
      <c r="F631" s="110" t="e">
        <f>VLOOKUP(A631,'OEE REA'!A:AO,11,FALSE)</f>
        <v>#N/A</v>
      </c>
      <c r="G631" s="111" t="str">
        <f t="shared" si="92"/>
        <v/>
      </c>
      <c r="H631" s="110" t="e">
        <f>VLOOKUP(A631,'OEE REA'!A:AO,14,FALSE)</f>
        <v>#N/A</v>
      </c>
      <c r="I631" s="106"/>
      <c r="J631" s="99"/>
      <c r="K631" s="99"/>
      <c r="L631" s="107"/>
      <c r="M631" s="112" t="str">
        <f t="shared" si="94"/>
        <v/>
      </c>
      <c r="N631" s="103" t="str">
        <f t="shared" si="95"/>
        <v/>
      </c>
      <c r="O631" s="103">
        <f>IFERROR('OEE REA'!J1142*'SPEED FACTOR REA'!L631,"")</f>
        <v>0</v>
      </c>
      <c r="P631" s="250" t="str">
        <f t="shared" si="96"/>
        <v/>
      </c>
      <c r="R631" s="70" t="e">
        <f t="shared" si="93"/>
        <v>#VALUE!</v>
      </c>
    </row>
    <row r="632" spans="1:18" ht="20.25" x14ac:dyDescent="0.25">
      <c r="A632" s="246">
        <f>+'OEE REA'!A1143</f>
        <v>0</v>
      </c>
      <c r="B632" s="99">
        <f t="shared" si="91"/>
        <v>0</v>
      </c>
      <c r="C632" s="113">
        <f>+'OEE REA'!D1143</f>
        <v>0</v>
      </c>
      <c r="D632" s="242" t="s">
        <v>2434</v>
      </c>
      <c r="E632" s="109" t="e">
        <f>VLOOKUP(A632,'OEE REA'!A:AO,13,FALSE)</f>
        <v>#N/A</v>
      </c>
      <c r="F632" s="110" t="e">
        <f>VLOOKUP(A632,'OEE REA'!A:AO,11,FALSE)</f>
        <v>#N/A</v>
      </c>
      <c r="G632" s="111" t="str">
        <f t="shared" si="92"/>
        <v/>
      </c>
      <c r="H632" s="110" t="e">
        <f>VLOOKUP(A632,'OEE REA'!A:AO,14,FALSE)</f>
        <v>#N/A</v>
      </c>
      <c r="I632" s="106"/>
      <c r="J632" s="99"/>
      <c r="K632" s="99"/>
      <c r="L632" s="107"/>
      <c r="M632" s="112" t="str">
        <f t="shared" si="94"/>
        <v/>
      </c>
      <c r="N632" s="103" t="str">
        <f t="shared" si="95"/>
        <v/>
      </c>
      <c r="O632" s="103">
        <f>IFERROR('OEE REA'!J1143*'SPEED FACTOR REA'!L632,"")</f>
        <v>0</v>
      </c>
      <c r="P632" s="250" t="str">
        <f t="shared" si="96"/>
        <v/>
      </c>
      <c r="R632" s="70" t="e">
        <f t="shared" si="93"/>
        <v>#VALUE!</v>
      </c>
    </row>
    <row r="633" spans="1:18" ht="20.25" x14ac:dyDescent="0.25">
      <c r="A633" s="246">
        <f>+'OEE REA'!A1144</f>
        <v>0</v>
      </c>
      <c r="B633" s="99">
        <f t="shared" si="91"/>
        <v>0</v>
      </c>
      <c r="C633" s="113">
        <f>+'OEE REA'!D1144</f>
        <v>0</v>
      </c>
      <c r="D633" s="242" t="s">
        <v>2435</v>
      </c>
      <c r="E633" s="109" t="e">
        <f>VLOOKUP(A633,'OEE REA'!A:AO,13,FALSE)</f>
        <v>#N/A</v>
      </c>
      <c r="F633" s="110" t="e">
        <f>VLOOKUP(A633,'OEE REA'!A:AO,11,FALSE)</f>
        <v>#N/A</v>
      </c>
      <c r="G633" s="111" t="str">
        <f t="shared" si="92"/>
        <v/>
      </c>
      <c r="H633" s="110" t="e">
        <f>VLOOKUP(A633,'OEE REA'!A:AO,14,FALSE)</f>
        <v>#N/A</v>
      </c>
      <c r="I633" s="106"/>
      <c r="J633" s="99"/>
      <c r="K633" s="99"/>
      <c r="L633" s="107"/>
      <c r="M633" s="112" t="str">
        <f t="shared" si="94"/>
        <v/>
      </c>
      <c r="N633" s="103" t="str">
        <f t="shared" si="95"/>
        <v/>
      </c>
      <c r="O633" s="103">
        <f>IFERROR('OEE REA'!J1144*'SPEED FACTOR REA'!L633,"")</f>
        <v>0</v>
      </c>
      <c r="P633" s="250" t="str">
        <f t="shared" si="96"/>
        <v/>
      </c>
      <c r="R633" s="70" t="e">
        <f t="shared" si="93"/>
        <v>#VALUE!</v>
      </c>
    </row>
    <row r="634" spans="1:18" ht="20.25" x14ac:dyDescent="0.25">
      <c r="A634" s="246">
        <f>+'OEE REA'!A1145</f>
        <v>0</v>
      </c>
      <c r="B634" s="99">
        <f t="shared" si="91"/>
        <v>0</v>
      </c>
      <c r="C634" s="113">
        <f>+'OEE REA'!D1145</f>
        <v>0</v>
      </c>
      <c r="D634" s="242" t="s">
        <v>2436</v>
      </c>
      <c r="E634" s="109" t="e">
        <f>VLOOKUP(A634,'OEE REA'!A:AO,13,FALSE)</f>
        <v>#N/A</v>
      </c>
      <c r="F634" s="110" t="e">
        <f>VLOOKUP(A634,'OEE REA'!A:AO,11,FALSE)</f>
        <v>#N/A</v>
      </c>
      <c r="G634" s="111" t="str">
        <f t="shared" si="92"/>
        <v/>
      </c>
      <c r="H634" s="110" t="e">
        <f>VLOOKUP(A634,'OEE REA'!A:AO,14,FALSE)</f>
        <v>#N/A</v>
      </c>
      <c r="I634" s="106"/>
      <c r="J634" s="99"/>
      <c r="K634" s="99"/>
      <c r="L634" s="107"/>
      <c r="M634" s="112" t="str">
        <f t="shared" si="94"/>
        <v/>
      </c>
      <c r="N634" s="103" t="str">
        <f t="shared" si="95"/>
        <v/>
      </c>
      <c r="O634" s="103">
        <f>IFERROR('OEE REA'!J1145*'SPEED FACTOR REA'!L634,"")</f>
        <v>0</v>
      </c>
      <c r="P634" s="250" t="str">
        <f t="shared" si="96"/>
        <v/>
      </c>
      <c r="R634" s="70" t="e">
        <f t="shared" si="93"/>
        <v>#VALUE!</v>
      </c>
    </row>
    <row r="635" spans="1:18" ht="20.25" x14ac:dyDescent="0.25">
      <c r="A635" s="246">
        <f>+'OEE REA'!A1146</f>
        <v>0</v>
      </c>
      <c r="B635" s="99">
        <f t="shared" si="91"/>
        <v>0</v>
      </c>
      <c r="C635" s="113">
        <f>+'OEE REA'!D1146</f>
        <v>0</v>
      </c>
      <c r="D635" s="242" t="s">
        <v>2437</v>
      </c>
      <c r="E635" s="109" t="e">
        <f>VLOOKUP(A635,'OEE REA'!A:AO,13,FALSE)</f>
        <v>#N/A</v>
      </c>
      <c r="F635" s="110" t="e">
        <f>VLOOKUP(A635,'OEE REA'!A:AO,11,FALSE)</f>
        <v>#N/A</v>
      </c>
      <c r="G635" s="111" t="str">
        <f t="shared" si="92"/>
        <v/>
      </c>
      <c r="H635" s="110" t="e">
        <f>VLOOKUP(A635,'OEE REA'!A:AO,14,FALSE)</f>
        <v>#N/A</v>
      </c>
      <c r="I635" s="106"/>
      <c r="J635" s="99"/>
      <c r="K635" s="99"/>
      <c r="L635" s="107"/>
      <c r="M635" s="112" t="str">
        <f t="shared" si="94"/>
        <v/>
      </c>
      <c r="N635" s="103" t="str">
        <f t="shared" si="95"/>
        <v/>
      </c>
      <c r="O635" s="103">
        <f>IFERROR('OEE REA'!J1146*'SPEED FACTOR REA'!L635,"")</f>
        <v>0</v>
      </c>
      <c r="P635" s="250" t="str">
        <f t="shared" si="96"/>
        <v/>
      </c>
      <c r="R635" s="70" t="e">
        <f t="shared" si="93"/>
        <v>#VALUE!</v>
      </c>
    </row>
    <row r="636" spans="1:18" ht="20.25" x14ac:dyDescent="0.25">
      <c r="A636" s="246">
        <f>+'OEE REA'!A1147</f>
        <v>0</v>
      </c>
      <c r="B636" s="99">
        <f t="shared" si="91"/>
        <v>0</v>
      </c>
      <c r="C636" s="113">
        <f>+'OEE REA'!D1147</f>
        <v>0</v>
      </c>
      <c r="D636" s="242" t="s">
        <v>2438</v>
      </c>
      <c r="E636" s="109" t="e">
        <f>VLOOKUP(A636,'OEE REA'!A:AO,13,FALSE)</f>
        <v>#N/A</v>
      </c>
      <c r="F636" s="110" t="e">
        <f>VLOOKUP(A636,'OEE REA'!A:AO,11,FALSE)</f>
        <v>#N/A</v>
      </c>
      <c r="G636" s="111" t="str">
        <f t="shared" si="92"/>
        <v/>
      </c>
      <c r="H636" s="110" t="e">
        <f>VLOOKUP(A636,'OEE REA'!A:AO,14,FALSE)</f>
        <v>#N/A</v>
      </c>
      <c r="I636" s="106"/>
      <c r="J636" s="99"/>
      <c r="K636" s="99"/>
      <c r="L636" s="107"/>
      <c r="M636" s="112" t="str">
        <f t="shared" si="94"/>
        <v/>
      </c>
      <c r="N636" s="103" t="str">
        <f t="shared" si="95"/>
        <v/>
      </c>
      <c r="O636" s="103">
        <f>IFERROR('OEE REA'!J1147*'SPEED FACTOR REA'!L636,"")</f>
        <v>0</v>
      </c>
      <c r="P636" s="250" t="str">
        <f t="shared" si="96"/>
        <v/>
      </c>
      <c r="R636" s="70" t="e">
        <f t="shared" si="93"/>
        <v>#VALUE!</v>
      </c>
    </row>
    <row r="637" spans="1:18" ht="20.25" x14ac:dyDescent="0.25">
      <c r="A637" s="246">
        <f>+'OEE REA'!A1148</f>
        <v>0</v>
      </c>
      <c r="B637" s="99">
        <f t="shared" si="91"/>
        <v>0</v>
      </c>
      <c r="C637" s="113">
        <f>+'OEE REA'!D1148</f>
        <v>0</v>
      </c>
      <c r="D637" s="242" t="s">
        <v>2439</v>
      </c>
      <c r="E637" s="109" t="e">
        <f>VLOOKUP(A637,'OEE REA'!A:AO,13,FALSE)</f>
        <v>#N/A</v>
      </c>
      <c r="F637" s="110" t="e">
        <f>VLOOKUP(A637,'OEE REA'!A:AO,11,FALSE)</f>
        <v>#N/A</v>
      </c>
      <c r="G637" s="111" t="str">
        <f t="shared" si="92"/>
        <v/>
      </c>
      <c r="H637" s="110" t="e">
        <f>VLOOKUP(A637,'OEE REA'!A:AO,14,FALSE)</f>
        <v>#N/A</v>
      </c>
      <c r="I637" s="106"/>
      <c r="J637" s="99"/>
      <c r="K637" s="99"/>
      <c r="L637" s="107"/>
      <c r="M637" s="112" t="str">
        <f t="shared" si="94"/>
        <v/>
      </c>
      <c r="N637" s="103" t="str">
        <f t="shared" si="95"/>
        <v/>
      </c>
      <c r="O637" s="103">
        <f>IFERROR('OEE REA'!J1148*'SPEED FACTOR REA'!L637,"")</f>
        <v>0</v>
      </c>
      <c r="P637" s="250" t="str">
        <f t="shared" si="96"/>
        <v/>
      </c>
      <c r="R637" s="70" t="e">
        <f t="shared" si="93"/>
        <v>#VALUE!</v>
      </c>
    </row>
    <row r="638" spans="1:18" ht="20.25" x14ac:dyDescent="0.25">
      <c r="A638" s="246">
        <f>+'OEE REA'!A1149</f>
        <v>0</v>
      </c>
      <c r="B638" s="99">
        <f t="shared" si="91"/>
        <v>0</v>
      </c>
      <c r="C638" s="113">
        <f>+'OEE REA'!D1149</f>
        <v>0</v>
      </c>
      <c r="D638" s="242" t="s">
        <v>2440</v>
      </c>
      <c r="E638" s="109" t="e">
        <f>VLOOKUP(A638,'OEE REA'!A:AO,13,FALSE)</f>
        <v>#N/A</v>
      </c>
      <c r="F638" s="110" t="e">
        <f>VLOOKUP(A638,'OEE REA'!A:AO,11,FALSE)</f>
        <v>#N/A</v>
      </c>
      <c r="G638" s="111" t="str">
        <f t="shared" si="92"/>
        <v/>
      </c>
      <c r="H638" s="110" t="e">
        <f>VLOOKUP(A638,'OEE REA'!A:AO,14,FALSE)</f>
        <v>#N/A</v>
      </c>
      <c r="I638" s="106"/>
      <c r="J638" s="99"/>
      <c r="K638" s="99"/>
      <c r="L638" s="107"/>
      <c r="M638" s="112" t="str">
        <f t="shared" si="94"/>
        <v/>
      </c>
      <c r="N638" s="103" t="str">
        <f t="shared" si="95"/>
        <v/>
      </c>
      <c r="O638" s="103">
        <f>IFERROR('OEE REA'!J1149*'SPEED FACTOR REA'!L638,"")</f>
        <v>0</v>
      </c>
      <c r="P638" s="250" t="str">
        <f t="shared" si="96"/>
        <v/>
      </c>
      <c r="R638" s="70" t="e">
        <f t="shared" si="93"/>
        <v>#VALUE!</v>
      </c>
    </row>
    <row r="639" spans="1:18" ht="20.25" x14ac:dyDescent="0.25">
      <c r="A639" s="246">
        <f>+'OEE REA'!A1150</f>
        <v>0</v>
      </c>
      <c r="B639" s="99">
        <f t="shared" si="91"/>
        <v>0</v>
      </c>
      <c r="C639" s="113">
        <f>+'OEE REA'!D1150</f>
        <v>0</v>
      </c>
      <c r="D639" s="242" t="s">
        <v>2441</v>
      </c>
      <c r="E639" s="109" t="e">
        <f>VLOOKUP(A639,'OEE REA'!A:AO,13,FALSE)</f>
        <v>#N/A</v>
      </c>
      <c r="F639" s="110" t="e">
        <f>VLOOKUP(A639,'OEE REA'!A:AO,11,FALSE)</f>
        <v>#N/A</v>
      </c>
      <c r="G639" s="111" t="str">
        <f t="shared" si="92"/>
        <v/>
      </c>
      <c r="H639" s="110" t="e">
        <f>VLOOKUP(A639,'OEE REA'!A:AO,14,FALSE)</f>
        <v>#N/A</v>
      </c>
      <c r="I639" s="106"/>
      <c r="J639" s="99"/>
      <c r="K639" s="99"/>
      <c r="L639" s="107"/>
      <c r="M639" s="112" t="str">
        <f t="shared" si="94"/>
        <v/>
      </c>
      <c r="N639" s="103" t="str">
        <f t="shared" si="95"/>
        <v/>
      </c>
      <c r="O639" s="103">
        <f>IFERROR('OEE REA'!J1150*'SPEED FACTOR REA'!L639,"")</f>
        <v>0</v>
      </c>
      <c r="P639" s="250" t="str">
        <f t="shared" si="96"/>
        <v/>
      </c>
      <c r="R639" s="70" t="e">
        <f t="shared" si="93"/>
        <v>#VALUE!</v>
      </c>
    </row>
    <row r="640" spans="1:18" ht="20.25" x14ac:dyDescent="0.25">
      <c r="A640" s="246">
        <f>+'OEE REA'!A1151</f>
        <v>0</v>
      </c>
      <c r="B640" s="99">
        <f t="shared" si="91"/>
        <v>0</v>
      </c>
      <c r="C640" s="113">
        <f>+'OEE REA'!D1151</f>
        <v>0</v>
      </c>
      <c r="D640" s="242" t="s">
        <v>2442</v>
      </c>
      <c r="E640" s="109" t="e">
        <f>VLOOKUP(A640,'OEE REA'!A:AO,13,FALSE)</f>
        <v>#N/A</v>
      </c>
      <c r="F640" s="110" t="e">
        <f>VLOOKUP(A640,'OEE REA'!A:AO,11,FALSE)</f>
        <v>#N/A</v>
      </c>
      <c r="G640" s="111" t="str">
        <f t="shared" si="92"/>
        <v/>
      </c>
      <c r="H640" s="110" t="e">
        <f>VLOOKUP(A640,'OEE REA'!A:AO,14,FALSE)</f>
        <v>#N/A</v>
      </c>
      <c r="I640" s="106"/>
      <c r="J640" s="99"/>
      <c r="K640" s="99"/>
      <c r="L640" s="107"/>
      <c r="M640" s="112" t="str">
        <f t="shared" si="94"/>
        <v/>
      </c>
      <c r="N640" s="103" t="str">
        <f t="shared" si="95"/>
        <v/>
      </c>
      <c r="O640" s="103">
        <f>IFERROR('OEE REA'!J1151*'SPEED FACTOR REA'!L640,"")</f>
        <v>0</v>
      </c>
      <c r="P640" s="250" t="str">
        <f t="shared" si="96"/>
        <v/>
      </c>
      <c r="R640" s="70" t="e">
        <f t="shared" si="93"/>
        <v>#VALUE!</v>
      </c>
    </row>
    <row r="641" spans="1:18" ht="20.25" x14ac:dyDescent="0.25">
      <c r="A641" s="246">
        <f>+'OEE REA'!A1152</f>
        <v>0</v>
      </c>
      <c r="B641" s="99">
        <f t="shared" si="91"/>
        <v>0</v>
      </c>
      <c r="C641" s="113">
        <f>+'OEE REA'!D1152</f>
        <v>0</v>
      </c>
      <c r="D641" s="242" t="s">
        <v>2443</v>
      </c>
      <c r="E641" s="109" t="e">
        <f>VLOOKUP(A641,'OEE REA'!A:AO,13,FALSE)</f>
        <v>#N/A</v>
      </c>
      <c r="F641" s="110" t="e">
        <f>VLOOKUP(A641,'OEE REA'!A:AO,11,FALSE)</f>
        <v>#N/A</v>
      </c>
      <c r="G641" s="111" t="str">
        <f t="shared" si="92"/>
        <v/>
      </c>
      <c r="H641" s="110" t="e">
        <f>VLOOKUP(A641,'OEE REA'!A:AO,14,FALSE)</f>
        <v>#N/A</v>
      </c>
      <c r="I641" s="106"/>
      <c r="J641" s="99"/>
      <c r="K641" s="99"/>
      <c r="L641" s="107"/>
      <c r="M641" s="112" t="str">
        <f t="shared" si="94"/>
        <v/>
      </c>
      <c r="N641" s="103" t="str">
        <f t="shared" si="95"/>
        <v/>
      </c>
      <c r="O641" s="103">
        <f>IFERROR('OEE REA'!J1152*'SPEED FACTOR REA'!L641,"")</f>
        <v>0</v>
      </c>
      <c r="P641" s="250" t="str">
        <f t="shared" si="96"/>
        <v/>
      </c>
      <c r="R641" s="70" t="e">
        <f t="shared" si="93"/>
        <v>#VALUE!</v>
      </c>
    </row>
    <row r="642" spans="1:18" ht="20.25" x14ac:dyDescent="0.25">
      <c r="A642" s="246">
        <f>+'OEE REA'!A1153</f>
        <v>0</v>
      </c>
      <c r="B642" s="99">
        <f t="shared" si="91"/>
        <v>0</v>
      </c>
      <c r="C642" s="113">
        <f>+'OEE REA'!D1153</f>
        <v>0</v>
      </c>
      <c r="D642" s="242" t="s">
        <v>2444</v>
      </c>
      <c r="E642" s="109" t="e">
        <f>VLOOKUP(A642,'OEE REA'!A:AO,13,FALSE)</f>
        <v>#N/A</v>
      </c>
      <c r="F642" s="110" t="e">
        <f>VLOOKUP(A642,'OEE REA'!A:AO,11,FALSE)</f>
        <v>#N/A</v>
      </c>
      <c r="G642" s="111" t="str">
        <f t="shared" si="92"/>
        <v/>
      </c>
      <c r="H642" s="110" t="e">
        <f>VLOOKUP(A642,'OEE REA'!A:AO,14,FALSE)</f>
        <v>#N/A</v>
      </c>
      <c r="I642" s="106"/>
      <c r="J642" s="99"/>
      <c r="K642" s="99"/>
      <c r="L642" s="107"/>
      <c r="M642" s="112" t="str">
        <f t="shared" si="94"/>
        <v/>
      </c>
      <c r="N642" s="103" t="str">
        <f t="shared" si="95"/>
        <v/>
      </c>
      <c r="O642" s="103">
        <f>IFERROR('OEE REA'!J1153*'SPEED FACTOR REA'!L642,"")</f>
        <v>0</v>
      </c>
      <c r="P642" s="250" t="str">
        <f t="shared" si="96"/>
        <v/>
      </c>
      <c r="R642" s="70" t="e">
        <f t="shared" si="93"/>
        <v>#VALUE!</v>
      </c>
    </row>
    <row r="643" spans="1:18" ht="20.25" x14ac:dyDescent="0.25">
      <c r="A643" s="246">
        <f>+'OEE REA'!A1154</f>
        <v>0</v>
      </c>
      <c r="B643" s="99">
        <f t="shared" si="91"/>
        <v>0</v>
      </c>
      <c r="C643" s="113">
        <f>+'OEE REA'!D1154</f>
        <v>0</v>
      </c>
      <c r="D643" s="242" t="s">
        <v>2445</v>
      </c>
      <c r="E643" s="109" t="e">
        <f>VLOOKUP(A643,'OEE REA'!A:AO,13,FALSE)</f>
        <v>#N/A</v>
      </c>
      <c r="F643" s="110" t="e">
        <f>VLOOKUP(A643,'OEE REA'!A:AO,11,FALSE)</f>
        <v>#N/A</v>
      </c>
      <c r="G643" s="111" t="str">
        <f t="shared" si="92"/>
        <v/>
      </c>
      <c r="H643" s="110" t="e">
        <f>VLOOKUP(A643,'OEE REA'!A:AO,14,FALSE)</f>
        <v>#N/A</v>
      </c>
      <c r="I643" s="106"/>
      <c r="J643" s="99"/>
      <c r="K643" s="99"/>
      <c r="L643" s="107"/>
      <c r="M643" s="112" t="str">
        <f t="shared" si="94"/>
        <v/>
      </c>
      <c r="N643" s="103" t="str">
        <f t="shared" si="95"/>
        <v/>
      </c>
      <c r="O643" s="103">
        <f>IFERROR('OEE REA'!J1154*'SPEED FACTOR REA'!L643,"")</f>
        <v>0</v>
      </c>
      <c r="P643" s="250" t="str">
        <f t="shared" si="96"/>
        <v/>
      </c>
      <c r="R643" s="70" t="e">
        <f t="shared" si="93"/>
        <v>#VALUE!</v>
      </c>
    </row>
    <row r="644" spans="1:18" ht="20.25" x14ac:dyDescent="0.25">
      <c r="A644" s="246">
        <f>+'OEE REA'!A1155</f>
        <v>0</v>
      </c>
      <c r="B644" s="99">
        <f t="shared" si="91"/>
        <v>0</v>
      </c>
      <c r="C644" s="113">
        <f>+'OEE REA'!D1155</f>
        <v>0</v>
      </c>
      <c r="D644" s="242" t="s">
        <v>2446</v>
      </c>
      <c r="E644" s="109" t="e">
        <f>VLOOKUP(A644,'OEE REA'!A:AO,13,FALSE)</f>
        <v>#N/A</v>
      </c>
      <c r="F644" s="110" t="e">
        <f>VLOOKUP(A644,'OEE REA'!A:AO,11,FALSE)</f>
        <v>#N/A</v>
      </c>
      <c r="G644" s="111" t="str">
        <f t="shared" si="92"/>
        <v/>
      </c>
      <c r="H644" s="110" t="e">
        <f>VLOOKUP(A644,'OEE REA'!A:AO,14,FALSE)</f>
        <v>#N/A</v>
      </c>
      <c r="I644" s="106"/>
      <c r="J644" s="99"/>
      <c r="K644" s="99"/>
      <c r="L644" s="107"/>
      <c r="M644" s="112" t="str">
        <f t="shared" si="94"/>
        <v/>
      </c>
      <c r="N644" s="103" t="str">
        <f t="shared" si="95"/>
        <v/>
      </c>
      <c r="O644" s="103">
        <f>IFERROR('OEE REA'!J1155*'SPEED FACTOR REA'!L644,"")</f>
        <v>0</v>
      </c>
      <c r="P644" s="250" t="str">
        <f t="shared" si="96"/>
        <v/>
      </c>
      <c r="R644" s="70" t="e">
        <f t="shared" si="93"/>
        <v>#VALUE!</v>
      </c>
    </row>
    <row r="645" spans="1:18" ht="20.25" x14ac:dyDescent="0.25">
      <c r="A645" s="246">
        <f>+'OEE REA'!A1156</f>
        <v>0</v>
      </c>
      <c r="B645" s="99">
        <f t="shared" si="91"/>
        <v>0</v>
      </c>
      <c r="C645" s="113">
        <f>+'OEE REA'!D1156</f>
        <v>0</v>
      </c>
      <c r="D645" s="242" t="s">
        <v>2447</v>
      </c>
      <c r="E645" s="109" t="e">
        <f>VLOOKUP(A645,'OEE REA'!A:AO,13,FALSE)</f>
        <v>#N/A</v>
      </c>
      <c r="F645" s="110" t="e">
        <f>VLOOKUP(A645,'OEE REA'!A:AO,11,FALSE)</f>
        <v>#N/A</v>
      </c>
      <c r="G645" s="111" t="str">
        <f t="shared" si="92"/>
        <v/>
      </c>
      <c r="H645" s="110" t="e">
        <f>VLOOKUP(A645,'OEE REA'!A:AO,14,FALSE)</f>
        <v>#N/A</v>
      </c>
      <c r="I645" s="106"/>
      <c r="J645" s="99"/>
      <c r="K645" s="99"/>
      <c r="L645" s="107"/>
      <c r="M645" s="112" t="str">
        <f t="shared" si="94"/>
        <v/>
      </c>
      <c r="N645" s="103" t="str">
        <f t="shared" si="95"/>
        <v/>
      </c>
      <c r="O645" s="103">
        <f>IFERROR('OEE REA'!J1156*'SPEED FACTOR REA'!L645,"")</f>
        <v>0</v>
      </c>
      <c r="P645" s="250" t="str">
        <f t="shared" si="96"/>
        <v/>
      </c>
      <c r="R645" s="70" t="e">
        <f t="shared" si="93"/>
        <v>#VALUE!</v>
      </c>
    </row>
    <row r="646" spans="1:18" ht="20.25" x14ac:dyDescent="0.25">
      <c r="A646" s="246">
        <f>+'OEE REA'!A1157</f>
        <v>0</v>
      </c>
      <c r="B646" s="99">
        <f t="shared" si="91"/>
        <v>0</v>
      </c>
      <c r="C646" s="113">
        <f>+'OEE REA'!D1157</f>
        <v>0</v>
      </c>
      <c r="D646" s="242" t="s">
        <v>2448</v>
      </c>
      <c r="E646" s="109" t="e">
        <f>VLOOKUP(A646,'OEE REA'!A:AO,13,FALSE)</f>
        <v>#N/A</v>
      </c>
      <c r="F646" s="110" t="e">
        <f>VLOOKUP(A646,'OEE REA'!A:AO,11,FALSE)</f>
        <v>#N/A</v>
      </c>
      <c r="G646" s="111" t="str">
        <f t="shared" si="92"/>
        <v/>
      </c>
      <c r="H646" s="110" t="e">
        <f>VLOOKUP(A646,'OEE REA'!A:AO,14,FALSE)</f>
        <v>#N/A</v>
      </c>
      <c r="I646" s="106"/>
      <c r="J646" s="99"/>
      <c r="K646" s="99"/>
      <c r="L646" s="107"/>
      <c r="M646" s="112" t="str">
        <f t="shared" si="94"/>
        <v/>
      </c>
      <c r="N646" s="103" t="str">
        <f t="shared" si="95"/>
        <v/>
      </c>
      <c r="O646" s="103">
        <f>IFERROR('OEE REA'!J1157*'SPEED FACTOR REA'!L646,"")</f>
        <v>0</v>
      </c>
      <c r="P646" s="250" t="str">
        <f t="shared" si="96"/>
        <v/>
      </c>
      <c r="R646" s="70" t="e">
        <f t="shared" si="93"/>
        <v>#VALUE!</v>
      </c>
    </row>
    <row r="647" spans="1:18" ht="20.25" x14ac:dyDescent="0.25">
      <c r="A647" s="246">
        <f>+'OEE REA'!A1158</f>
        <v>0</v>
      </c>
      <c r="B647" s="99">
        <f t="shared" si="91"/>
        <v>0</v>
      </c>
      <c r="C647" s="113">
        <f>+'OEE REA'!D1158</f>
        <v>0</v>
      </c>
      <c r="D647" s="242" t="s">
        <v>2449</v>
      </c>
      <c r="E647" s="109" t="e">
        <f>VLOOKUP(A647,'OEE REA'!A:AO,13,FALSE)</f>
        <v>#N/A</v>
      </c>
      <c r="F647" s="110" t="e">
        <f>VLOOKUP(A647,'OEE REA'!A:AO,11,FALSE)</f>
        <v>#N/A</v>
      </c>
      <c r="G647" s="111" t="str">
        <f t="shared" si="92"/>
        <v/>
      </c>
      <c r="H647" s="110" t="e">
        <f>VLOOKUP(A647,'OEE REA'!A:AO,14,FALSE)</f>
        <v>#N/A</v>
      </c>
      <c r="I647" s="106"/>
      <c r="J647" s="99"/>
      <c r="K647" s="99"/>
      <c r="L647" s="107"/>
      <c r="M647" s="112" t="str">
        <f t="shared" si="94"/>
        <v/>
      </c>
      <c r="N647" s="103" t="str">
        <f t="shared" si="95"/>
        <v/>
      </c>
      <c r="O647" s="103">
        <f>IFERROR('OEE REA'!J1158*'SPEED FACTOR REA'!L647,"")</f>
        <v>0</v>
      </c>
      <c r="P647" s="250" t="str">
        <f t="shared" si="96"/>
        <v/>
      </c>
      <c r="R647" s="70" t="e">
        <f t="shared" si="93"/>
        <v>#VALUE!</v>
      </c>
    </row>
    <row r="648" spans="1:18" ht="20.25" x14ac:dyDescent="0.25">
      <c r="A648" s="246">
        <f>+'OEE REA'!A1159</f>
        <v>0</v>
      </c>
      <c r="B648" s="99">
        <f t="shared" si="91"/>
        <v>0</v>
      </c>
      <c r="C648" s="113">
        <f>+'OEE REA'!D1159</f>
        <v>0</v>
      </c>
      <c r="D648" s="242" t="s">
        <v>2450</v>
      </c>
      <c r="E648" s="109" t="e">
        <f>VLOOKUP(A648,'OEE REA'!A:AO,13,FALSE)</f>
        <v>#N/A</v>
      </c>
      <c r="F648" s="110" t="e">
        <f>VLOOKUP(A648,'OEE REA'!A:AO,11,FALSE)</f>
        <v>#N/A</v>
      </c>
      <c r="G648" s="111" t="str">
        <f t="shared" si="92"/>
        <v/>
      </c>
      <c r="H648" s="110" t="e">
        <f>VLOOKUP(A648,'OEE REA'!A:AO,14,FALSE)</f>
        <v>#N/A</v>
      </c>
      <c r="I648" s="106"/>
      <c r="J648" s="99"/>
      <c r="K648" s="99"/>
      <c r="L648" s="107"/>
      <c r="M648" s="112" t="str">
        <f t="shared" si="94"/>
        <v/>
      </c>
      <c r="N648" s="103" t="str">
        <f t="shared" si="95"/>
        <v/>
      </c>
      <c r="O648" s="103">
        <f>IFERROR('OEE REA'!J1159*'SPEED FACTOR REA'!L648,"")</f>
        <v>0</v>
      </c>
      <c r="P648" s="250" t="str">
        <f t="shared" si="96"/>
        <v/>
      </c>
      <c r="R648" s="70" t="e">
        <f t="shared" si="93"/>
        <v>#VALUE!</v>
      </c>
    </row>
    <row r="649" spans="1:18" ht="20.25" x14ac:dyDescent="0.25">
      <c r="A649" s="246">
        <f>+'OEE REA'!A1160</f>
        <v>0</v>
      </c>
      <c r="B649" s="99">
        <f t="shared" si="91"/>
        <v>0</v>
      </c>
      <c r="C649" s="113">
        <f>+'OEE REA'!D1160</f>
        <v>0</v>
      </c>
      <c r="D649" s="242" t="s">
        <v>2451</v>
      </c>
      <c r="E649" s="109" t="e">
        <f>VLOOKUP(A649,'OEE REA'!A:AO,13,FALSE)</f>
        <v>#N/A</v>
      </c>
      <c r="F649" s="110" t="e">
        <f>VLOOKUP(A649,'OEE REA'!A:AO,11,FALSE)</f>
        <v>#N/A</v>
      </c>
      <c r="G649" s="111" t="str">
        <f t="shared" si="92"/>
        <v/>
      </c>
      <c r="H649" s="110" t="e">
        <f>VLOOKUP(A649,'OEE REA'!A:AO,14,FALSE)</f>
        <v>#N/A</v>
      </c>
      <c r="I649" s="106"/>
      <c r="J649" s="99"/>
      <c r="K649" s="99"/>
      <c r="L649" s="107"/>
      <c r="M649" s="112" t="str">
        <f t="shared" si="94"/>
        <v/>
      </c>
      <c r="N649" s="103" t="str">
        <f t="shared" si="95"/>
        <v/>
      </c>
      <c r="O649" s="103">
        <f>IFERROR('OEE REA'!J1160*'SPEED FACTOR REA'!L649,"")</f>
        <v>0</v>
      </c>
      <c r="P649" s="250" t="str">
        <f t="shared" si="96"/>
        <v/>
      </c>
      <c r="R649" s="70" t="e">
        <f t="shared" si="93"/>
        <v>#VALUE!</v>
      </c>
    </row>
    <row r="650" spans="1:18" ht="20.25" x14ac:dyDescent="0.25">
      <c r="A650" s="246">
        <f>+'OEE REA'!A1161</f>
        <v>0</v>
      </c>
      <c r="B650" s="99">
        <f t="shared" si="91"/>
        <v>0</v>
      </c>
      <c r="C650" s="113">
        <f>+'OEE REA'!D1161</f>
        <v>0</v>
      </c>
      <c r="D650" s="242" t="s">
        <v>2452</v>
      </c>
      <c r="E650" s="109" t="e">
        <f>VLOOKUP(A650,'OEE REA'!A:AO,13,FALSE)</f>
        <v>#N/A</v>
      </c>
      <c r="F650" s="110" t="e">
        <f>VLOOKUP(A650,'OEE REA'!A:AO,11,FALSE)</f>
        <v>#N/A</v>
      </c>
      <c r="G650" s="111" t="str">
        <f t="shared" si="92"/>
        <v/>
      </c>
      <c r="H650" s="110" t="e">
        <f>VLOOKUP(A650,'OEE REA'!A:AO,14,FALSE)</f>
        <v>#N/A</v>
      </c>
      <c r="I650" s="106"/>
      <c r="J650" s="99"/>
      <c r="K650" s="99"/>
      <c r="L650" s="107"/>
      <c r="M650" s="112" t="str">
        <f t="shared" si="94"/>
        <v/>
      </c>
      <c r="N650" s="103" t="str">
        <f t="shared" si="95"/>
        <v/>
      </c>
      <c r="O650" s="103">
        <f>IFERROR('OEE REA'!J1161*'SPEED FACTOR REA'!L650,"")</f>
        <v>0</v>
      </c>
      <c r="P650" s="250" t="str">
        <f t="shared" si="96"/>
        <v/>
      </c>
      <c r="R650" s="70" t="e">
        <f t="shared" si="93"/>
        <v>#VALUE!</v>
      </c>
    </row>
    <row r="651" spans="1:18" ht="20.25" x14ac:dyDescent="0.25">
      <c r="A651" s="246">
        <f>+'OEE REA'!A1162</f>
        <v>0</v>
      </c>
      <c r="B651" s="99">
        <f t="shared" si="91"/>
        <v>0</v>
      </c>
      <c r="C651" s="113">
        <f>+'OEE REA'!D1162</f>
        <v>0</v>
      </c>
      <c r="D651" s="242" t="s">
        <v>2453</v>
      </c>
      <c r="E651" s="109" t="e">
        <f>VLOOKUP(A651,'OEE REA'!A:AO,13,FALSE)</f>
        <v>#N/A</v>
      </c>
      <c r="F651" s="110" t="e">
        <f>VLOOKUP(A651,'OEE REA'!A:AO,11,FALSE)</f>
        <v>#N/A</v>
      </c>
      <c r="G651" s="111" t="str">
        <f t="shared" si="92"/>
        <v/>
      </c>
      <c r="H651" s="110" t="e">
        <f>VLOOKUP(A651,'OEE REA'!A:AO,14,FALSE)</f>
        <v>#N/A</v>
      </c>
      <c r="I651" s="106"/>
      <c r="J651" s="99"/>
      <c r="K651" s="99"/>
      <c r="L651" s="107"/>
      <c r="M651" s="112" t="str">
        <f t="shared" si="94"/>
        <v/>
      </c>
      <c r="N651" s="103" t="str">
        <f t="shared" si="95"/>
        <v/>
      </c>
      <c r="O651" s="103">
        <f>IFERROR('OEE REA'!J1162*'SPEED FACTOR REA'!L651,"")</f>
        <v>0</v>
      </c>
      <c r="P651" s="250" t="str">
        <f t="shared" si="96"/>
        <v/>
      </c>
      <c r="R651" s="70" t="e">
        <f t="shared" si="93"/>
        <v>#VALUE!</v>
      </c>
    </row>
    <row r="652" spans="1:18" ht="20.25" x14ac:dyDescent="0.25">
      <c r="A652" s="246">
        <f>+'OEE REA'!A1163</f>
        <v>0</v>
      </c>
      <c r="B652" s="99">
        <f t="shared" si="91"/>
        <v>0</v>
      </c>
      <c r="C652" s="113">
        <f>+'OEE REA'!D1163</f>
        <v>0</v>
      </c>
      <c r="D652" s="242" t="s">
        <v>2454</v>
      </c>
      <c r="E652" s="109" t="e">
        <f>VLOOKUP(A652,'OEE REA'!A:AO,13,FALSE)</f>
        <v>#N/A</v>
      </c>
      <c r="F652" s="110" t="e">
        <f>VLOOKUP(A652,'OEE REA'!A:AO,11,FALSE)</f>
        <v>#N/A</v>
      </c>
      <c r="G652" s="111" t="str">
        <f t="shared" si="92"/>
        <v/>
      </c>
      <c r="H652" s="110" t="e">
        <f>VLOOKUP(A652,'OEE REA'!A:AO,14,FALSE)</f>
        <v>#N/A</v>
      </c>
      <c r="I652" s="106"/>
      <c r="J652" s="99"/>
      <c r="K652" s="99"/>
      <c r="L652" s="107"/>
      <c r="M652" s="112" t="str">
        <f t="shared" si="94"/>
        <v/>
      </c>
      <c r="N652" s="103" t="str">
        <f t="shared" si="95"/>
        <v/>
      </c>
      <c r="O652" s="103">
        <f>IFERROR('OEE REA'!J1163*'SPEED FACTOR REA'!L652,"")</f>
        <v>0</v>
      </c>
      <c r="P652" s="250" t="str">
        <f t="shared" si="96"/>
        <v/>
      </c>
      <c r="R652" s="70" t="e">
        <f t="shared" si="93"/>
        <v>#VALUE!</v>
      </c>
    </row>
    <row r="653" spans="1:18" ht="20.25" x14ac:dyDescent="0.25">
      <c r="A653" s="246">
        <f>+'OEE REA'!A1164</f>
        <v>0</v>
      </c>
      <c r="B653" s="99">
        <f t="shared" si="91"/>
        <v>0</v>
      </c>
      <c r="C653" s="113">
        <f>+'OEE REA'!D1164</f>
        <v>0</v>
      </c>
      <c r="D653" s="242" t="s">
        <v>2455</v>
      </c>
      <c r="E653" s="109" t="e">
        <f>VLOOKUP(A653,'OEE REA'!A:AO,13,FALSE)</f>
        <v>#N/A</v>
      </c>
      <c r="F653" s="110" t="e">
        <f>VLOOKUP(A653,'OEE REA'!A:AO,11,FALSE)</f>
        <v>#N/A</v>
      </c>
      <c r="G653" s="111" t="str">
        <f t="shared" si="92"/>
        <v/>
      </c>
      <c r="H653" s="110" t="e">
        <f>VLOOKUP(A653,'OEE REA'!A:AO,14,FALSE)</f>
        <v>#N/A</v>
      </c>
      <c r="I653" s="106"/>
      <c r="J653" s="99"/>
      <c r="K653" s="99"/>
      <c r="L653" s="107"/>
      <c r="M653" s="112" t="str">
        <f t="shared" si="94"/>
        <v/>
      </c>
      <c r="N653" s="103" t="str">
        <f t="shared" si="95"/>
        <v/>
      </c>
      <c r="O653" s="103">
        <f>IFERROR('OEE REA'!J1164*'SPEED FACTOR REA'!L653,"")</f>
        <v>0</v>
      </c>
      <c r="P653" s="250" t="str">
        <f t="shared" si="96"/>
        <v/>
      </c>
      <c r="R653" s="70" t="e">
        <f t="shared" si="93"/>
        <v>#VALUE!</v>
      </c>
    </row>
    <row r="654" spans="1:18" ht="20.25" x14ac:dyDescent="0.25">
      <c r="A654" s="246">
        <f>+'OEE REA'!A1165</f>
        <v>0</v>
      </c>
      <c r="B654" s="99">
        <f t="shared" si="91"/>
        <v>0</v>
      </c>
      <c r="C654" s="113">
        <f>+'OEE REA'!D1165</f>
        <v>0</v>
      </c>
      <c r="D654" s="242" t="s">
        <v>2456</v>
      </c>
      <c r="E654" s="109" t="e">
        <f>VLOOKUP(A654,'OEE REA'!A:AO,13,FALSE)</f>
        <v>#N/A</v>
      </c>
      <c r="F654" s="110" t="e">
        <f>VLOOKUP(A654,'OEE REA'!A:AO,11,FALSE)</f>
        <v>#N/A</v>
      </c>
      <c r="G654" s="111" t="str">
        <f t="shared" si="92"/>
        <v/>
      </c>
      <c r="H654" s="110" t="e">
        <f>VLOOKUP(A654,'OEE REA'!A:AO,14,FALSE)</f>
        <v>#N/A</v>
      </c>
      <c r="I654" s="106"/>
      <c r="J654" s="99"/>
      <c r="K654" s="99"/>
      <c r="L654" s="107"/>
      <c r="M654" s="112" t="str">
        <f t="shared" si="94"/>
        <v/>
      </c>
      <c r="N654" s="103" t="str">
        <f t="shared" si="95"/>
        <v/>
      </c>
      <c r="O654" s="103">
        <f>IFERROR('OEE REA'!J1165*'SPEED FACTOR REA'!L654,"")</f>
        <v>0</v>
      </c>
      <c r="P654" s="250" t="str">
        <f t="shared" si="96"/>
        <v/>
      </c>
      <c r="R654" s="70" t="e">
        <f t="shared" si="93"/>
        <v>#VALUE!</v>
      </c>
    </row>
    <row r="655" spans="1:18" ht="20.25" x14ac:dyDescent="0.25">
      <c r="A655" s="246">
        <f>+'OEE REA'!A1166</f>
        <v>0</v>
      </c>
      <c r="B655" s="99">
        <f t="shared" si="91"/>
        <v>0</v>
      </c>
      <c r="C655" s="113">
        <f>+'OEE REA'!D1166</f>
        <v>0</v>
      </c>
      <c r="D655" s="242" t="s">
        <v>2457</v>
      </c>
      <c r="E655" s="109" t="e">
        <f>VLOOKUP(A655,'OEE REA'!A:AO,13,FALSE)</f>
        <v>#N/A</v>
      </c>
      <c r="F655" s="110" t="e">
        <f>VLOOKUP(A655,'OEE REA'!A:AO,11,FALSE)</f>
        <v>#N/A</v>
      </c>
      <c r="G655" s="111" t="str">
        <f t="shared" si="92"/>
        <v/>
      </c>
      <c r="H655" s="110" t="e">
        <f>VLOOKUP(A655,'OEE REA'!A:AO,14,FALSE)</f>
        <v>#N/A</v>
      </c>
      <c r="I655" s="106"/>
      <c r="J655" s="99"/>
      <c r="K655" s="99"/>
      <c r="L655" s="107"/>
      <c r="M655" s="112" t="str">
        <f t="shared" si="94"/>
        <v/>
      </c>
      <c r="N655" s="103" t="str">
        <f t="shared" si="95"/>
        <v/>
      </c>
      <c r="O655" s="103">
        <f>IFERROR('OEE REA'!J1166*'SPEED FACTOR REA'!L655,"")</f>
        <v>0</v>
      </c>
      <c r="P655" s="250" t="str">
        <f t="shared" si="96"/>
        <v/>
      </c>
      <c r="R655" s="70" t="e">
        <f t="shared" si="93"/>
        <v>#VALUE!</v>
      </c>
    </row>
    <row r="656" spans="1:18" ht="20.25" x14ac:dyDescent="0.25">
      <c r="A656" s="246">
        <f>+'OEE REA'!A1167</f>
        <v>0</v>
      </c>
      <c r="B656" s="99">
        <f t="shared" si="91"/>
        <v>0</v>
      </c>
      <c r="C656" s="113">
        <f>+'OEE REA'!D1167</f>
        <v>0</v>
      </c>
      <c r="D656" s="242" t="s">
        <v>2458</v>
      </c>
      <c r="E656" s="109" t="e">
        <f>VLOOKUP(A656,'OEE REA'!A:AO,13,FALSE)</f>
        <v>#N/A</v>
      </c>
      <c r="F656" s="110" t="e">
        <f>VLOOKUP(A656,'OEE REA'!A:AO,11,FALSE)</f>
        <v>#N/A</v>
      </c>
      <c r="G656" s="111" t="str">
        <f t="shared" si="92"/>
        <v/>
      </c>
      <c r="H656" s="110" t="e">
        <f>VLOOKUP(A656,'OEE REA'!A:AO,14,FALSE)</f>
        <v>#N/A</v>
      </c>
      <c r="I656" s="106"/>
      <c r="J656" s="99"/>
      <c r="K656" s="99"/>
      <c r="L656" s="107"/>
      <c r="M656" s="112" t="str">
        <f t="shared" si="94"/>
        <v/>
      </c>
      <c r="N656" s="103" t="str">
        <f t="shared" si="95"/>
        <v/>
      </c>
      <c r="O656" s="103">
        <f>IFERROR('OEE REA'!J1167*'SPEED FACTOR REA'!L656,"")</f>
        <v>0</v>
      </c>
      <c r="P656" s="250" t="str">
        <f t="shared" si="96"/>
        <v/>
      </c>
      <c r="R656" s="70" t="e">
        <f t="shared" si="93"/>
        <v>#VALUE!</v>
      </c>
    </row>
    <row r="657" spans="1:18" ht="20.25" x14ac:dyDescent="0.25">
      <c r="A657" s="246">
        <f>+'OEE REA'!A1168</f>
        <v>0</v>
      </c>
      <c r="B657" s="99">
        <f t="shared" si="91"/>
        <v>0</v>
      </c>
      <c r="C657" s="113">
        <f>+'OEE REA'!D1168</f>
        <v>0</v>
      </c>
      <c r="D657" s="242" t="s">
        <v>2459</v>
      </c>
      <c r="E657" s="109" t="e">
        <f>VLOOKUP(A657,'OEE REA'!A:AO,13,FALSE)</f>
        <v>#N/A</v>
      </c>
      <c r="F657" s="110" t="e">
        <f>VLOOKUP(A657,'OEE REA'!A:AO,11,FALSE)</f>
        <v>#N/A</v>
      </c>
      <c r="G657" s="111" t="str">
        <f t="shared" si="92"/>
        <v/>
      </c>
      <c r="H657" s="110" t="e">
        <f>VLOOKUP(A657,'OEE REA'!A:AO,14,FALSE)</f>
        <v>#N/A</v>
      </c>
      <c r="I657" s="106"/>
      <c r="J657" s="99"/>
      <c r="K657" s="99"/>
      <c r="L657" s="107"/>
      <c r="M657" s="112" t="str">
        <f t="shared" si="94"/>
        <v/>
      </c>
      <c r="N657" s="103" t="str">
        <f t="shared" si="95"/>
        <v/>
      </c>
      <c r="O657" s="103">
        <f>IFERROR('OEE REA'!J1168*'SPEED FACTOR REA'!L657,"")</f>
        <v>0</v>
      </c>
      <c r="P657" s="250" t="str">
        <f t="shared" si="96"/>
        <v/>
      </c>
      <c r="R657" s="70" t="e">
        <f t="shared" si="93"/>
        <v>#VALUE!</v>
      </c>
    </row>
    <row r="658" spans="1:18" ht="20.25" x14ac:dyDescent="0.25">
      <c r="A658" s="246">
        <f>+'OEE REA'!A1169</f>
        <v>0</v>
      </c>
      <c r="B658" s="99">
        <f t="shared" si="91"/>
        <v>0</v>
      </c>
      <c r="C658" s="113">
        <f>+'OEE REA'!D1169</f>
        <v>0</v>
      </c>
      <c r="D658" s="242" t="s">
        <v>2460</v>
      </c>
      <c r="E658" s="109" t="e">
        <f>VLOOKUP(A658,'OEE REA'!A:AO,13,FALSE)</f>
        <v>#N/A</v>
      </c>
      <c r="F658" s="110" t="e">
        <f>VLOOKUP(A658,'OEE REA'!A:AO,11,FALSE)</f>
        <v>#N/A</v>
      </c>
      <c r="G658" s="111" t="str">
        <f t="shared" si="92"/>
        <v/>
      </c>
      <c r="H658" s="110" t="e">
        <f>VLOOKUP(A658,'OEE REA'!A:AO,14,FALSE)</f>
        <v>#N/A</v>
      </c>
      <c r="I658" s="106"/>
      <c r="J658" s="99"/>
      <c r="K658" s="99"/>
      <c r="L658" s="107"/>
      <c r="M658" s="112" t="str">
        <f t="shared" si="94"/>
        <v/>
      </c>
      <c r="N658" s="103" t="str">
        <f t="shared" si="95"/>
        <v/>
      </c>
      <c r="O658" s="103">
        <f>IFERROR('OEE REA'!J1169*'SPEED FACTOR REA'!L658,"")</f>
        <v>0</v>
      </c>
      <c r="P658" s="250" t="str">
        <f t="shared" si="96"/>
        <v/>
      </c>
      <c r="R658" s="70" t="e">
        <f t="shared" si="93"/>
        <v>#VALUE!</v>
      </c>
    </row>
    <row r="659" spans="1:18" ht="20.25" x14ac:dyDescent="0.25">
      <c r="A659" s="246">
        <f>+'OEE REA'!A1170</f>
        <v>0</v>
      </c>
      <c r="B659" s="99">
        <f t="shared" si="91"/>
        <v>0</v>
      </c>
      <c r="C659" s="113">
        <f>+'OEE REA'!D1170</f>
        <v>0</v>
      </c>
      <c r="D659" s="242" t="s">
        <v>2461</v>
      </c>
      <c r="E659" s="109" t="e">
        <f>VLOOKUP(A659,'OEE REA'!A:AO,13,FALSE)</f>
        <v>#N/A</v>
      </c>
      <c r="F659" s="110" t="e">
        <f>VLOOKUP(A659,'OEE REA'!A:AO,11,FALSE)</f>
        <v>#N/A</v>
      </c>
      <c r="G659" s="111" t="str">
        <f t="shared" si="92"/>
        <v/>
      </c>
      <c r="H659" s="110" t="e">
        <f>VLOOKUP(A659,'OEE REA'!A:AO,14,FALSE)</f>
        <v>#N/A</v>
      </c>
      <c r="I659" s="106"/>
      <c r="J659" s="99"/>
      <c r="K659" s="99"/>
      <c r="L659" s="107"/>
      <c r="M659" s="112" t="str">
        <f t="shared" si="94"/>
        <v/>
      </c>
      <c r="N659" s="103" t="str">
        <f t="shared" si="95"/>
        <v/>
      </c>
      <c r="O659" s="103">
        <f>IFERROR('OEE REA'!J1170*'SPEED FACTOR REA'!L659,"")</f>
        <v>0</v>
      </c>
      <c r="P659" s="250" t="str">
        <f t="shared" si="96"/>
        <v/>
      </c>
      <c r="R659" s="70" t="e">
        <f t="shared" si="93"/>
        <v>#VALUE!</v>
      </c>
    </row>
    <row r="660" spans="1:18" ht="20.25" x14ac:dyDescent="0.25">
      <c r="A660" s="246">
        <f>+'OEE REA'!A1171</f>
        <v>0</v>
      </c>
      <c r="B660" s="99">
        <f t="shared" si="91"/>
        <v>0</v>
      </c>
      <c r="C660" s="113">
        <f>+'OEE REA'!D1171</f>
        <v>0</v>
      </c>
      <c r="D660" s="242" t="s">
        <v>2462</v>
      </c>
      <c r="E660" s="109" t="e">
        <f>VLOOKUP(A660,'OEE REA'!A:AO,13,FALSE)</f>
        <v>#N/A</v>
      </c>
      <c r="F660" s="110" t="e">
        <f>VLOOKUP(A660,'OEE REA'!A:AO,11,FALSE)</f>
        <v>#N/A</v>
      </c>
      <c r="G660" s="111" t="str">
        <f t="shared" si="92"/>
        <v/>
      </c>
      <c r="H660" s="110" t="e">
        <f>VLOOKUP(A660,'OEE REA'!A:AO,14,FALSE)</f>
        <v>#N/A</v>
      </c>
      <c r="I660" s="106"/>
      <c r="J660" s="99"/>
      <c r="K660" s="99"/>
      <c r="L660" s="107"/>
      <c r="M660" s="112" t="str">
        <f t="shared" si="94"/>
        <v/>
      </c>
      <c r="N660" s="103" t="str">
        <f t="shared" si="95"/>
        <v/>
      </c>
      <c r="O660" s="103">
        <f>IFERROR('OEE REA'!J1171*'SPEED FACTOR REA'!L660,"")</f>
        <v>0</v>
      </c>
      <c r="P660" s="250" t="str">
        <f t="shared" si="96"/>
        <v/>
      </c>
      <c r="R660" s="70" t="e">
        <f t="shared" si="93"/>
        <v>#VALUE!</v>
      </c>
    </row>
    <row r="661" spans="1:18" ht="20.25" x14ac:dyDescent="0.25">
      <c r="A661" s="246">
        <f>+'OEE REA'!A1172</f>
        <v>0</v>
      </c>
      <c r="B661" s="99">
        <f t="shared" si="91"/>
        <v>0</v>
      </c>
      <c r="C661" s="113">
        <f>+'OEE REA'!D1172</f>
        <v>0</v>
      </c>
      <c r="D661" s="242" t="s">
        <v>2463</v>
      </c>
      <c r="E661" s="109" t="e">
        <f>VLOOKUP(A661,'OEE REA'!A:AO,13,FALSE)</f>
        <v>#N/A</v>
      </c>
      <c r="F661" s="110" t="e">
        <f>VLOOKUP(A661,'OEE REA'!A:AO,11,FALSE)</f>
        <v>#N/A</v>
      </c>
      <c r="G661" s="111" t="str">
        <f t="shared" si="92"/>
        <v/>
      </c>
      <c r="H661" s="110" t="e">
        <f>VLOOKUP(A661,'OEE REA'!A:AO,14,FALSE)</f>
        <v>#N/A</v>
      </c>
      <c r="I661" s="106"/>
      <c r="J661" s="99"/>
      <c r="K661" s="99"/>
      <c r="L661" s="107"/>
      <c r="M661" s="112" t="str">
        <f t="shared" si="94"/>
        <v/>
      </c>
      <c r="N661" s="103" t="str">
        <f t="shared" si="95"/>
        <v/>
      </c>
      <c r="O661" s="103">
        <f>IFERROR('OEE REA'!J1172*'SPEED FACTOR REA'!L661,"")</f>
        <v>0</v>
      </c>
      <c r="P661" s="250" t="str">
        <f t="shared" si="96"/>
        <v/>
      </c>
      <c r="R661" s="70" t="e">
        <f t="shared" si="93"/>
        <v>#VALUE!</v>
      </c>
    </row>
    <row r="662" spans="1:18" ht="20.25" x14ac:dyDescent="0.25">
      <c r="A662" s="246">
        <f>+'OEE REA'!A1173</f>
        <v>0</v>
      </c>
      <c r="B662" s="99">
        <f t="shared" si="91"/>
        <v>0</v>
      </c>
      <c r="C662" s="113">
        <f>+'OEE REA'!D1173</f>
        <v>0</v>
      </c>
      <c r="D662" s="242" t="s">
        <v>2464</v>
      </c>
      <c r="E662" s="109" t="e">
        <f>VLOOKUP(A662,'OEE REA'!A:AO,13,FALSE)</f>
        <v>#N/A</v>
      </c>
      <c r="F662" s="110" t="e">
        <f>VLOOKUP(A662,'OEE REA'!A:AO,11,FALSE)</f>
        <v>#N/A</v>
      </c>
      <c r="G662" s="111" t="str">
        <f t="shared" si="92"/>
        <v/>
      </c>
      <c r="H662" s="110" t="e">
        <f>VLOOKUP(A662,'OEE REA'!A:AO,14,FALSE)</f>
        <v>#N/A</v>
      </c>
      <c r="I662" s="106"/>
      <c r="J662" s="99"/>
      <c r="K662" s="99"/>
      <c r="L662" s="107"/>
      <c r="M662" s="112" t="str">
        <f t="shared" si="94"/>
        <v/>
      </c>
      <c r="N662" s="103" t="str">
        <f t="shared" si="95"/>
        <v/>
      </c>
      <c r="O662" s="103">
        <f>IFERROR('OEE REA'!J1173*'SPEED FACTOR REA'!L662,"")</f>
        <v>0</v>
      </c>
      <c r="P662" s="250" t="str">
        <f t="shared" si="96"/>
        <v/>
      </c>
      <c r="R662" s="70" t="e">
        <f t="shared" si="93"/>
        <v>#VALUE!</v>
      </c>
    </row>
    <row r="663" spans="1:18" ht="20.25" x14ac:dyDescent="0.25">
      <c r="A663" s="246">
        <f>+'OEE REA'!A1174</f>
        <v>0</v>
      </c>
      <c r="B663" s="99">
        <f t="shared" si="91"/>
        <v>0</v>
      </c>
      <c r="C663" s="113">
        <f>+'OEE REA'!D1174</f>
        <v>0</v>
      </c>
      <c r="D663" s="242" t="s">
        <v>2465</v>
      </c>
      <c r="E663" s="109" t="e">
        <f>VLOOKUP(A663,'OEE REA'!A:AO,13,FALSE)</f>
        <v>#N/A</v>
      </c>
      <c r="F663" s="110" t="e">
        <f>VLOOKUP(A663,'OEE REA'!A:AO,11,FALSE)</f>
        <v>#N/A</v>
      </c>
      <c r="G663" s="111" t="str">
        <f t="shared" si="92"/>
        <v/>
      </c>
      <c r="H663" s="110" t="e">
        <f>VLOOKUP(A663,'OEE REA'!A:AO,14,FALSE)</f>
        <v>#N/A</v>
      </c>
      <c r="I663" s="106"/>
      <c r="J663" s="99"/>
      <c r="K663" s="99"/>
      <c r="L663" s="107"/>
      <c r="M663" s="112" t="str">
        <f t="shared" si="94"/>
        <v/>
      </c>
      <c r="N663" s="103" t="str">
        <f t="shared" si="95"/>
        <v/>
      </c>
      <c r="O663" s="103">
        <f>IFERROR('OEE REA'!J1174*'SPEED FACTOR REA'!L663,"")</f>
        <v>0</v>
      </c>
      <c r="P663" s="250" t="str">
        <f t="shared" si="96"/>
        <v/>
      </c>
      <c r="R663" s="70" t="e">
        <f t="shared" si="93"/>
        <v>#VALUE!</v>
      </c>
    </row>
    <row r="664" spans="1:18" ht="20.25" x14ac:dyDescent="0.25">
      <c r="A664" s="246">
        <f>+'OEE REA'!A1175</f>
        <v>0</v>
      </c>
      <c r="B664" s="99">
        <f t="shared" si="91"/>
        <v>0</v>
      </c>
      <c r="C664" s="113">
        <f>+'OEE REA'!D1175</f>
        <v>0</v>
      </c>
      <c r="D664" s="242" t="s">
        <v>2466</v>
      </c>
      <c r="E664" s="109" t="e">
        <f>VLOOKUP(A664,'OEE REA'!A:AO,13,FALSE)</f>
        <v>#N/A</v>
      </c>
      <c r="F664" s="110" t="e">
        <f>VLOOKUP(A664,'OEE REA'!A:AO,11,FALSE)</f>
        <v>#N/A</v>
      </c>
      <c r="G664" s="111" t="str">
        <f t="shared" si="92"/>
        <v/>
      </c>
      <c r="H664" s="110" t="e">
        <f>VLOOKUP(A664,'OEE REA'!A:AO,14,FALSE)</f>
        <v>#N/A</v>
      </c>
      <c r="I664" s="106"/>
      <c r="J664" s="99"/>
      <c r="K664" s="99"/>
      <c r="L664" s="107"/>
      <c r="M664" s="112" t="str">
        <f t="shared" si="94"/>
        <v/>
      </c>
      <c r="N664" s="103" t="str">
        <f t="shared" si="95"/>
        <v/>
      </c>
      <c r="O664" s="103">
        <f>IFERROR('OEE REA'!J1175*'SPEED FACTOR REA'!L664,"")</f>
        <v>0</v>
      </c>
      <c r="P664" s="250" t="str">
        <f t="shared" si="96"/>
        <v/>
      </c>
      <c r="R664" s="70" t="e">
        <f t="shared" si="93"/>
        <v>#VALUE!</v>
      </c>
    </row>
    <row r="665" spans="1:18" ht="20.25" x14ac:dyDescent="0.25">
      <c r="A665" s="246">
        <f>+'OEE REA'!A1176</f>
        <v>0</v>
      </c>
      <c r="B665" s="99">
        <f t="shared" si="91"/>
        <v>0</v>
      </c>
      <c r="C665" s="113">
        <f>+'OEE REA'!D1176</f>
        <v>0</v>
      </c>
      <c r="D665" s="242" t="s">
        <v>2467</v>
      </c>
      <c r="E665" s="109" t="e">
        <f>VLOOKUP(A665,'OEE REA'!A:AO,13,FALSE)</f>
        <v>#N/A</v>
      </c>
      <c r="F665" s="110" t="e">
        <f>VLOOKUP(A665,'OEE REA'!A:AO,11,FALSE)</f>
        <v>#N/A</v>
      </c>
      <c r="G665" s="111" t="str">
        <f t="shared" si="92"/>
        <v/>
      </c>
      <c r="H665" s="110" t="e">
        <f>VLOOKUP(A665,'OEE REA'!A:AO,14,FALSE)</f>
        <v>#N/A</v>
      </c>
      <c r="I665" s="106"/>
      <c r="J665" s="99"/>
      <c r="K665" s="99"/>
      <c r="L665" s="107"/>
      <c r="M665" s="112" t="str">
        <f t="shared" si="94"/>
        <v/>
      </c>
      <c r="N665" s="103" t="str">
        <f t="shared" si="95"/>
        <v/>
      </c>
      <c r="O665" s="103">
        <f>IFERROR('OEE REA'!J1176*'SPEED FACTOR REA'!L665,"")</f>
        <v>0</v>
      </c>
      <c r="P665" s="250" t="str">
        <f t="shared" si="96"/>
        <v/>
      </c>
      <c r="R665" s="70" t="e">
        <f t="shared" si="93"/>
        <v>#VALUE!</v>
      </c>
    </row>
    <row r="666" spans="1:18" ht="20.25" x14ac:dyDescent="0.25">
      <c r="A666" s="246">
        <f>+'OEE REA'!A1177</f>
        <v>0</v>
      </c>
      <c r="B666" s="99">
        <f t="shared" si="91"/>
        <v>0</v>
      </c>
      <c r="C666" s="113">
        <f>+'OEE REA'!D1177</f>
        <v>0</v>
      </c>
      <c r="D666" s="242" t="s">
        <v>2468</v>
      </c>
      <c r="E666" s="109" t="e">
        <f>VLOOKUP(A666,'OEE REA'!A:AO,13,FALSE)</f>
        <v>#N/A</v>
      </c>
      <c r="F666" s="110" t="e">
        <f>VLOOKUP(A666,'OEE REA'!A:AO,11,FALSE)</f>
        <v>#N/A</v>
      </c>
      <c r="G666" s="111" t="str">
        <f t="shared" si="92"/>
        <v/>
      </c>
      <c r="H666" s="110" t="e">
        <f>VLOOKUP(A666,'OEE REA'!A:AO,14,FALSE)</f>
        <v>#N/A</v>
      </c>
      <c r="I666" s="106"/>
      <c r="J666" s="99"/>
      <c r="K666" s="99"/>
      <c r="L666" s="107"/>
      <c r="M666" s="112" t="str">
        <f t="shared" si="94"/>
        <v/>
      </c>
      <c r="N666" s="103" t="str">
        <f t="shared" si="95"/>
        <v/>
      </c>
      <c r="O666" s="103">
        <f>IFERROR('OEE REA'!J1177*'SPEED FACTOR REA'!L666,"")</f>
        <v>0</v>
      </c>
      <c r="P666" s="250" t="str">
        <f t="shared" si="96"/>
        <v/>
      </c>
      <c r="R666" s="70" t="e">
        <f t="shared" si="93"/>
        <v>#VALUE!</v>
      </c>
    </row>
    <row r="667" spans="1:18" ht="20.25" x14ac:dyDescent="0.25">
      <c r="A667" s="246">
        <f>+'OEE REA'!A1178</f>
        <v>0</v>
      </c>
      <c r="B667" s="99">
        <f t="shared" si="91"/>
        <v>0</v>
      </c>
      <c r="C667" s="113">
        <f>+'OEE REA'!D1178</f>
        <v>0</v>
      </c>
      <c r="D667" s="242" t="s">
        <v>2469</v>
      </c>
      <c r="E667" s="109" t="e">
        <f>VLOOKUP(A667,'OEE REA'!A:AO,13,FALSE)</f>
        <v>#N/A</v>
      </c>
      <c r="F667" s="110" t="e">
        <f>VLOOKUP(A667,'OEE REA'!A:AO,11,FALSE)</f>
        <v>#N/A</v>
      </c>
      <c r="G667" s="111" t="str">
        <f t="shared" si="92"/>
        <v/>
      </c>
      <c r="H667" s="110" t="e">
        <f>VLOOKUP(A667,'OEE REA'!A:AO,14,FALSE)</f>
        <v>#N/A</v>
      </c>
      <c r="I667" s="106"/>
      <c r="J667" s="99"/>
      <c r="K667" s="99"/>
      <c r="L667" s="107"/>
      <c r="M667" s="112" t="str">
        <f t="shared" si="94"/>
        <v/>
      </c>
      <c r="N667" s="103" t="str">
        <f t="shared" si="95"/>
        <v/>
      </c>
      <c r="O667" s="103">
        <f>IFERROR('OEE REA'!J1178*'SPEED FACTOR REA'!L667,"")</f>
        <v>0</v>
      </c>
      <c r="P667" s="250" t="str">
        <f t="shared" si="96"/>
        <v/>
      </c>
      <c r="R667" s="70" t="e">
        <f t="shared" si="93"/>
        <v>#VALUE!</v>
      </c>
    </row>
    <row r="668" spans="1:18" ht="20.25" x14ac:dyDescent="0.25">
      <c r="A668" s="246">
        <f>+'OEE REA'!A1179</f>
        <v>0</v>
      </c>
      <c r="B668" s="99">
        <f t="shared" si="91"/>
        <v>0</v>
      </c>
      <c r="C668" s="113">
        <f>+'OEE REA'!D1179</f>
        <v>0</v>
      </c>
      <c r="D668" s="242" t="s">
        <v>2470</v>
      </c>
      <c r="E668" s="109" t="e">
        <f>VLOOKUP(A668,'OEE REA'!A:AO,13,FALSE)</f>
        <v>#N/A</v>
      </c>
      <c r="F668" s="110" t="e">
        <f>VLOOKUP(A668,'OEE REA'!A:AO,11,FALSE)</f>
        <v>#N/A</v>
      </c>
      <c r="G668" s="111" t="str">
        <f t="shared" si="92"/>
        <v/>
      </c>
      <c r="H668" s="110" t="e">
        <f>VLOOKUP(A668,'OEE REA'!A:AO,14,FALSE)</f>
        <v>#N/A</v>
      </c>
      <c r="I668" s="106"/>
      <c r="J668" s="99"/>
      <c r="K668" s="99"/>
      <c r="L668" s="107"/>
      <c r="M668" s="112" t="str">
        <f t="shared" si="94"/>
        <v/>
      </c>
      <c r="N668" s="103" t="str">
        <f t="shared" si="95"/>
        <v/>
      </c>
      <c r="O668" s="103">
        <f>IFERROR('OEE REA'!J1179*'SPEED FACTOR REA'!L668,"")</f>
        <v>0</v>
      </c>
      <c r="P668" s="250" t="str">
        <f t="shared" si="96"/>
        <v/>
      </c>
      <c r="R668" s="70" t="e">
        <f t="shared" si="93"/>
        <v>#VALUE!</v>
      </c>
    </row>
    <row r="669" spans="1:18" ht="20.25" x14ac:dyDescent="0.25">
      <c r="A669" s="246">
        <f>+'OEE REA'!A1180</f>
        <v>0</v>
      </c>
      <c r="B669" s="99">
        <f t="shared" si="91"/>
        <v>0</v>
      </c>
      <c r="C669" s="113">
        <f>+'OEE REA'!D1180</f>
        <v>0</v>
      </c>
      <c r="D669" s="242" t="s">
        <v>2471</v>
      </c>
      <c r="E669" s="109" t="e">
        <f>VLOOKUP(A669,'OEE REA'!A:AO,13,FALSE)</f>
        <v>#N/A</v>
      </c>
      <c r="F669" s="110" t="e">
        <f>VLOOKUP(A669,'OEE REA'!A:AO,11,FALSE)</f>
        <v>#N/A</v>
      </c>
      <c r="G669" s="111" t="str">
        <f t="shared" si="92"/>
        <v/>
      </c>
      <c r="H669" s="110" t="e">
        <f>VLOOKUP(A669,'OEE REA'!A:AO,14,FALSE)</f>
        <v>#N/A</v>
      </c>
      <c r="I669" s="106"/>
      <c r="J669" s="99"/>
      <c r="K669" s="99"/>
      <c r="L669" s="107"/>
      <c r="M669" s="112" t="str">
        <f t="shared" si="94"/>
        <v/>
      </c>
      <c r="N669" s="103" t="str">
        <f t="shared" si="95"/>
        <v/>
      </c>
      <c r="O669" s="103">
        <f>IFERROR('OEE REA'!J1180*'SPEED FACTOR REA'!L669,"")</f>
        <v>0</v>
      </c>
      <c r="P669" s="250" t="str">
        <f t="shared" si="96"/>
        <v/>
      </c>
      <c r="R669" s="70" t="e">
        <f t="shared" si="93"/>
        <v>#VALUE!</v>
      </c>
    </row>
    <row r="670" spans="1:18" ht="20.25" x14ac:dyDescent="0.25">
      <c r="A670" s="246">
        <f>+'OEE REA'!A1181</f>
        <v>0</v>
      </c>
      <c r="B670" s="99">
        <f t="shared" si="91"/>
        <v>0</v>
      </c>
      <c r="C670" s="113">
        <f>+'OEE REA'!D1181</f>
        <v>0</v>
      </c>
      <c r="D670" s="242" t="s">
        <v>2472</v>
      </c>
      <c r="E670" s="109" t="e">
        <f>VLOOKUP(A670,'OEE REA'!A:AO,13,FALSE)</f>
        <v>#N/A</v>
      </c>
      <c r="F670" s="110" t="e">
        <f>VLOOKUP(A670,'OEE REA'!A:AO,11,FALSE)</f>
        <v>#N/A</v>
      </c>
      <c r="G670" s="111" t="str">
        <f t="shared" si="92"/>
        <v/>
      </c>
      <c r="H670" s="110" t="e">
        <f>VLOOKUP(A670,'OEE REA'!A:AO,14,FALSE)</f>
        <v>#N/A</v>
      </c>
      <c r="I670" s="106"/>
      <c r="J670" s="99"/>
      <c r="K670" s="99"/>
      <c r="L670" s="107"/>
      <c r="M670" s="112" t="str">
        <f t="shared" si="94"/>
        <v/>
      </c>
      <c r="N670" s="103" t="str">
        <f t="shared" si="95"/>
        <v/>
      </c>
      <c r="O670" s="103">
        <f>IFERROR('OEE REA'!J1181*'SPEED FACTOR REA'!L670,"")</f>
        <v>0</v>
      </c>
      <c r="P670" s="250" t="str">
        <f t="shared" si="96"/>
        <v/>
      </c>
      <c r="R670" s="70" t="e">
        <f t="shared" si="93"/>
        <v>#VALUE!</v>
      </c>
    </row>
    <row r="671" spans="1:18" ht="20.25" x14ac:dyDescent="0.25">
      <c r="A671" s="246">
        <f>+'OEE REA'!A1182</f>
        <v>0</v>
      </c>
      <c r="B671" s="99">
        <f t="shared" si="91"/>
        <v>0</v>
      </c>
      <c r="C671" s="113">
        <f>+'OEE REA'!D1182</f>
        <v>0</v>
      </c>
      <c r="D671" s="242" t="s">
        <v>2473</v>
      </c>
      <c r="E671" s="109" t="e">
        <f>VLOOKUP(A671,'OEE REA'!A:AO,13,FALSE)</f>
        <v>#N/A</v>
      </c>
      <c r="F671" s="110" t="e">
        <f>VLOOKUP(A671,'OEE REA'!A:AO,11,FALSE)</f>
        <v>#N/A</v>
      </c>
      <c r="G671" s="111" t="str">
        <f t="shared" si="92"/>
        <v/>
      </c>
      <c r="H671" s="110" t="e">
        <f>VLOOKUP(A671,'OEE REA'!A:AO,14,FALSE)</f>
        <v>#N/A</v>
      </c>
      <c r="I671" s="106"/>
      <c r="J671" s="99"/>
      <c r="K671" s="99"/>
      <c r="L671" s="107"/>
      <c r="M671" s="112" t="str">
        <f t="shared" si="94"/>
        <v/>
      </c>
      <c r="N671" s="103" t="str">
        <f t="shared" si="95"/>
        <v/>
      </c>
      <c r="O671" s="103">
        <f>IFERROR('OEE REA'!J1182*'SPEED FACTOR REA'!L671,"")</f>
        <v>0</v>
      </c>
      <c r="P671" s="250" t="str">
        <f t="shared" si="96"/>
        <v/>
      </c>
      <c r="R671" s="70" t="e">
        <f t="shared" si="93"/>
        <v>#VALUE!</v>
      </c>
    </row>
    <row r="672" spans="1:18" ht="20.25" x14ac:dyDescent="0.25">
      <c r="A672" s="246">
        <f>+'OEE REA'!A1183</f>
        <v>0</v>
      </c>
      <c r="B672" s="99">
        <f t="shared" si="91"/>
        <v>0</v>
      </c>
      <c r="C672" s="113">
        <f>+'OEE REA'!D1183</f>
        <v>0</v>
      </c>
      <c r="D672" s="242" t="s">
        <v>2474</v>
      </c>
      <c r="E672" s="109" t="e">
        <f>VLOOKUP(A672,'OEE REA'!A:AO,13,FALSE)</f>
        <v>#N/A</v>
      </c>
      <c r="F672" s="110" t="e">
        <f>VLOOKUP(A672,'OEE REA'!A:AO,11,FALSE)</f>
        <v>#N/A</v>
      </c>
      <c r="G672" s="111" t="str">
        <f t="shared" si="92"/>
        <v/>
      </c>
      <c r="H672" s="110" t="e">
        <f>VLOOKUP(A672,'OEE REA'!A:AO,14,FALSE)</f>
        <v>#N/A</v>
      </c>
      <c r="I672" s="106"/>
      <c r="J672" s="99"/>
      <c r="K672" s="99"/>
      <c r="L672" s="107"/>
      <c r="M672" s="112" t="str">
        <f t="shared" si="94"/>
        <v/>
      </c>
      <c r="N672" s="103" t="str">
        <f t="shared" si="95"/>
        <v/>
      </c>
      <c r="O672" s="103">
        <f>IFERROR('OEE REA'!J1183*'SPEED FACTOR REA'!L672,"")</f>
        <v>0</v>
      </c>
      <c r="P672" s="250" t="str">
        <f t="shared" si="96"/>
        <v/>
      </c>
      <c r="R672" s="70" t="e">
        <f t="shared" si="93"/>
        <v>#VALUE!</v>
      </c>
    </row>
    <row r="673" spans="1:18" ht="20.25" x14ac:dyDescent="0.25">
      <c r="A673" s="246">
        <f>+'OEE REA'!A1184</f>
        <v>0</v>
      </c>
      <c r="B673" s="99">
        <f t="shared" ref="B673:B678" si="97">WEEKNUM(C673)</f>
        <v>0</v>
      </c>
      <c r="C673" s="113">
        <f>+'OEE REA'!D1184</f>
        <v>0</v>
      </c>
      <c r="D673" s="242" t="s">
        <v>2475</v>
      </c>
      <c r="E673" s="109" t="e">
        <f>VLOOKUP(A673,'OEE REA'!A:AO,13,FALSE)</f>
        <v>#N/A</v>
      </c>
      <c r="F673" s="110" t="e">
        <f>VLOOKUP(A673,'OEE REA'!A:AO,11,FALSE)</f>
        <v>#N/A</v>
      </c>
      <c r="G673" s="111" t="str">
        <f t="shared" ref="G673:G678" si="98">IFERROR(E673/H673*60,"")</f>
        <v/>
      </c>
      <c r="H673" s="110" t="e">
        <f>VLOOKUP(A673,'OEE REA'!A:AO,14,FALSE)</f>
        <v>#N/A</v>
      </c>
      <c r="I673" s="106"/>
      <c r="J673" s="99"/>
      <c r="K673" s="99"/>
      <c r="L673" s="107"/>
      <c r="M673" s="112" t="str">
        <f t="shared" si="94"/>
        <v/>
      </c>
      <c r="N673" s="103" t="str">
        <f t="shared" si="95"/>
        <v/>
      </c>
      <c r="O673" s="103">
        <f>IFERROR('OEE REA'!J1184*'SPEED FACTOR REA'!L673,"")</f>
        <v>0</v>
      </c>
      <c r="P673" s="250" t="str">
        <f t="shared" si="96"/>
        <v/>
      </c>
      <c r="R673" s="70" t="e">
        <f t="shared" ref="R673:R678" si="99">G673/O673</f>
        <v>#VALUE!</v>
      </c>
    </row>
    <row r="674" spans="1:18" ht="20.25" x14ac:dyDescent="0.25">
      <c r="A674" s="246">
        <f>+'OEE REA'!A1185</f>
        <v>0</v>
      </c>
      <c r="B674" s="99">
        <f t="shared" si="97"/>
        <v>0</v>
      </c>
      <c r="C674" s="113">
        <f>+'OEE REA'!D1185</f>
        <v>0</v>
      </c>
      <c r="D674" s="242" t="s">
        <v>2476</v>
      </c>
      <c r="E674" s="109" t="e">
        <f>VLOOKUP(A674,'OEE REA'!A:AO,13,FALSE)</f>
        <v>#N/A</v>
      </c>
      <c r="F674" s="110" t="e">
        <f>VLOOKUP(A674,'OEE REA'!A:AO,11,FALSE)</f>
        <v>#N/A</v>
      </c>
      <c r="G674" s="111" t="str">
        <f t="shared" si="98"/>
        <v/>
      </c>
      <c r="H674" s="110" t="e">
        <f>VLOOKUP(A674,'OEE REA'!A:AO,14,FALSE)</f>
        <v>#N/A</v>
      </c>
      <c r="I674" s="106"/>
      <c r="J674" s="99"/>
      <c r="K674" s="99"/>
      <c r="L674" s="107"/>
      <c r="M674" s="112" t="str">
        <f t="shared" si="94"/>
        <v/>
      </c>
      <c r="N674" s="103" t="str">
        <f t="shared" si="95"/>
        <v/>
      </c>
      <c r="O674" s="103">
        <f>IFERROR('OEE REA'!J1185*'SPEED FACTOR REA'!L674,"")</f>
        <v>0</v>
      </c>
      <c r="P674" s="250" t="str">
        <f t="shared" si="96"/>
        <v/>
      </c>
      <c r="R674" s="70" t="e">
        <f t="shared" si="99"/>
        <v>#VALUE!</v>
      </c>
    </row>
    <row r="675" spans="1:18" ht="20.25" x14ac:dyDescent="0.25">
      <c r="A675" s="246">
        <f>+'OEE REA'!A1186</f>
        <v>0</v>
      </c>
      <c r="B675" s="99">
        <f t="shared" si="97"/>
        <v>0</v>
      </c>
      <c r="C675" s="113">
        <f>+'OEE REA'!D1186</f>
        <v>0</v>
      </c>
      <c r="D675" s="242" t="s">
        <v>2477</v>
      </c>
      <c r="E675" s="109" t="e">
        <f>VLOOKUP(A675,'OEE REA'!A:AO,13,FALSE)</f>
        <v>#N/A</v>
      </c>
      <c r="F675" s="110" t="e">
        <f>VLOOKUP(A675,'OEE REA'!A:AO,11,FALSE)</f>
        <v>#N/A</v>
      </c>
      <c r="G675" s="111" t="str">
        <f t="shared" si="98"/>
        <v/>
      </c>
      <c r="H675" s="110" t="e">
        <f>VLOOKUP(A675,'OEE REA'!A:AO,14,FALSE)</f>
        <v>#N/A</v>
      </c>
      <c r="I675" s="106"/>
      <c r="J675" s="99"/>
      <c r="K675" s="99"/>
      <c r="L675" s="107"/>
      <c r="M675" s="112" t="str">
        <f t="shared" si="94"/>
        <v/>
      </c>
      <c r="N675" s="103" t="str">
        <f t="shared" si="95"/>
        <v/>
      </c>
      <c r="O675" s="103">
        <f>IFERROR('OEE REA'!J1186*'SPEED FACTOR REA'!L675,"")</f>
        <v>0</v>
      </c>
      <c r="P675" s="250" t="str">
        <f t="shared" si="96"/>
        <v/>
      </c>
      <c r="R675" s="70" t="e">
        <f t="shared" si="99"/>
        <v>#VALUE!</v>
      </c>
    </row>
    <row r="676" spans="1:18" ht="20.25" x14ac:dyDescent="0.25">
      <c r="A676" s="246">
        <f>+'OEE REA'!A1187</f>
        <v>0</v>
      </c>
      <c r="B676" s="99">
        <f t="shared" si="97"/>
        <v>0</v>
      </c>
      <c r="C676" s="113">
        <f>+'OEE REA'!D1187</f>
        <v>0</v>
      </c>
      <c r="D676" s="242" t="s">
        <v>2478</v>
      </c>
      <c r="E676" s="109" t="e">
        <f>VLOOKUP(A676,'OEE REA'!A:AO,13,FALSE)</f>
        <v>#N/A</v>
      </c>
      <c r="F676" s="110" t="e">
        <f>VLOOKUP(A676,'OEE REA'!A:AO,11,FALSE)</f>
        <v>#N/A</v>
      </c>
      <c r="G676" s="111" t="str">
        <f t="shared" si="98"/>
        <v/>
      </c>
      <c r="H676" s="110" t="e">
        <f>VLOOKUP(A676,'OEE REA'!A:AO,14,FALSE)</f>
        <v>#N/A</v>
      </c>
      <c r="I676" s="106"/>
      <c r="J676" s="99"/>
      <c r="K676" s="99"/>
      <c r="L676" s="107"/>
      <c r="M676" s="112" t="str">
        <f t="shared" si="94"/>
        <v/>
      </c>
      <c r="N676" s="103" t="str">
        <f t="shared" si="95"/>
        <v/>
      </c>
      <c r="O676" s="103">
        <f>IFERROR('OEE REA'!J1187*'SPEED FACTOR REA'!L676,"")</f>
        <v>0</v>
      </c>
      <c r="P676" s="250" t="str">
        <f t="shared" si="96"/>
        <v/>
      </c>
      <c r="R676" s="70" t="e">
        <f t="shared" si="99"/>
        <v>#VALUE!</v>
      </c>
    </row>
    <row r="677" spans="1:18" ht="20.25" x14ac:dyDescent="0.25">
      <c r="A677" s="246">
        <f>+'OEE REA'!A1188</f>
        <v>0</v>
      </c>
      <c r="B677" s="99">
        <f t="shared" si="97"/>
        <v>0</v>
      </c>
      <c r="C677" s="113">
        <f>+'OEE REA'!D1188</f>
        <v>0</v>
      </c>
      <c r="D677" s="242" t="s">
        <v>2479</v>
      </c>
      <c r="E677" s="109" t="e">
        <f>VLOOKUP(A677,'OEE REA'!A:AO,13,FALSE)</f>
        <v>#N/A</v>
      </c>
      <c r="F677" s="110" t="e">
        <f>VLOOKUP(A677,'OEE REA'!A:AO,11,FALSE)</f>
        <v>#N/A</v>
      </c>
      <c r="G677" s="111" t="str">
        <f t="shared" si="98"/>
        <v/>
      </c>
      <c r="H677" s="110" t="e">
        <f>VLOOKUP(A677,'OEE REA'!A:AO,14,FALSE)</f>
        <v>#N/A</v>
      </c>
      <c r="I677" s="106"/>
      <c r="J677" s="99"/>
      <c r="K677" s="99"/>
      <c r="L677" s="107"/>
      <c r="M677" s="112" t="str">
        <f t="shared" si="94"/>
        <v/>
      </c>
      <c r="N677" s="103" t="str">
        <f t="shared" si="95"/>
        <v/>
      </c>
      <c r="O677" s="103">
        <f>IFERROR('OEE REA'!J1188*'SPEED FACTOR REA'!L677,"")</f>
        <v>0</v>
      </c>
      <c r="P677" s="250" t="str">
        <f t="shared" si="96"/>
        <v/>
      </c>
      <c r="R677" s="70" t="e">
        <f t="shared" si="99"/>
        <v>#VALUE!</v>
      </c>
    </row>
    <row r="678" spans="1:18" ht="20.25" x14ac:dyDescent="0.25">
      <c r="A678" s="246">
        <f>+'OEE REA'!A1189</f>
        <v>0</v>
      </c>
      <c r="B678" s="99">
        <f t="shared" si="97"/>
        <v>0</v>
      </c>
      <c r="C678" s="113">
        <f>+'OEE REA'!D1189</f>
        <v>0</v>
      </c>
      <c r="D678" s="242" t="s">
        <v>2480</v>
      </c>
      <c r="E678" s="109" t="e">
        <f>VLOOKUP(A678,'OEE REA'!A:AO,13,FALSE)</f>
        <v>#N/A</v>
      </c>
      <c r="F678" s="110" t="e">
        <f>VLOOKUP(A678,'OEE REA'!A:AO,11,FALSE)</f>
        <v>#N/A</v>
      </c>
      <c r="G678" s="111" t="str">
        <f t="shared" si="98"/>
        <v/>
      </c>
      <c r="H678" s="110" t="e">
        <f>VLOOKUP(A678,'OEE REA'!A:AO,14,FALSE)</f>
        <v>#N/A</v>
      </c>
      <c r="I678" s="106"/>
      <c r="J678" s="99"/>
      <c r="K678" s="99"/>
      <c r="L678" s="107"/>
      <c r="M678" s="112" t="str">
        <f t="shared" ref="M678" si="100">IFERROR(G678*L678,"")</f>
        <v/>
      </c>
      <c r="N678" s="103" t="str">
        <f t="shared" ref="N678" si="101">IFERROR(F678*L678,"")</f>
        <v/>
      </c>
      <c r="O678" s="103">
        <f>IFERROR('OEE REA'!J1189*'SPEED FACTOR REA'!L678,"")</f>
        <v>0</v>
      </c>
      <c r="P678" s="250" t="str">
        <f t="shared" ref="P678" si="102">IFERROR(N678/M678,"")</f>
        <v/>
      </c>
      <c r="R678" s="70" t="e">
        <f t="shared" si="99"/>
        <v>#VALUE!</v>
      </c>
    </row>
    <row r="682" spans="1:18" x14ac:dyDescent="0.35">
      <c r="M682" s="98">
        <f>SUBTOTAL(9,M66:M681)/60</f>
        <v>0</v>
      </c>
      <c r="N682" s="98">
        <f t="shared" ref="N682:O682" si="103">SUBTOTAL(9,N66:N681)/60</f>
        <v>0</v>
      </c>
      <c r="O682" s="98">
        <f t="shared" si="103"/>
        <v>0</v>
      </c>
    </row>
  </sheetData>
  <sheetProtection formatCells="0" formatColumns="0" formatRows="0" insertColumns="0" insertRows="0" insertHyperlinks="0" deleteColumns="0" deleteRows="0" sort="0" autoFilter="0" pivotTables="0"/>
  <autoFilter ref="A1:S678" xr:uid="{00000000-0009-0000-0000-00000C000000}"/>
  <phoneticPr fontId="6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1">
    <tabColor rgb="FF0066FF"/>
    <pageSetUpPr fitToPage="1"/>
  </sheetPr>
  <dimension ref="A1:BH562"/>
  <sheetViews>
    <sheetView showGridLines="0" tabSelected="1" zoomScale="68" zoomScaleNormal="68" workbookViewId="0">
      <pane xSplit="4" ySplit="2" topLeftCell="Q458" activePane="bottomRight" state="frozen"/>
      <selection activeCell="M29" sqref="M29"/>
      <selection pane="topRight" activeCell="M29" sqref="M29"/>
      <selection pane="bottomLeft" activeCell="M29" sqref="M29"/>
      <selection pane="bottomRight" activeCell="AX466" sqref="AX466:AX471"/>
    </sheetView>
  </sheetViews>
  <sheetFormatPr baseColWidth="10" defaultColWidth="11.42578125" defaultRowHeight="18.75" outlineLevelCol="1" x14ac:dyDescent="0.3"/>
  <cols>
    <col min="1" max="1" width="7.140625" hidden="1" customWidth="1"/>
    <col min="2" max="2" width="34" style="241" bestFit="1" customWidth="1"/>
    <col min="3" max="3" width="6.85546875" style="294" customWidth="1"/>
    <col min="4" max="4" width="9.85546875" style="5" customWidth="1"/>
    <col min="5" max="5" width="8.7109375" style="49" customWidth="1"/>
    <col min="6" max="6" width="9.140625" style="49" customWidth="1"/>
    <col min="7" max="7" width="8.42578125" style="49" customWidth="1"/>
    <col min="8" max="8" width="9.5703125" style="9" customWidth="1"/>
    <col min="9" max="9" width="7.5703125" style="9" customWidth="1"/>
    <col min="10" max="10" width="8.85546875" style="9" customWidth="1"/>
    <col min="11" max="11" width="7.7109375" style="10" customWidth="1"/>
    <col min="12" max="12" width="9.42578125" style="87" customWidth="1"/>
    <col min="13" max="13" width="11.28515625" style="49" customWidth="1"/>
    <col min="14" max="14" width="5.5703125" style="9" customWidth="1"/>
    <col min="15" max="15" width="10.28515625" style="9" customWidth="1"/>
    <col min="16" max="16" width="11.140625" style="87" customWidth="1"/>
    <col min="17" max="17" width="13.5703125" style="9" customWidth="1"/>
    <col min="18" max="18" width="12.140625" style="9" customWidth="1"/>
    <col min="19" max="19" width="5" style="264" customWidth="1" outlineLevel="1"/>
    <col min="20" max="20" width="4" style="264" customWidth="1" outlineLevel="1"/>
    <col min="21" max="21" width="3.5703125" style="264" customWidth="1" outlineLevel="1"/>
    <col min="22" max="23" width="4.28515625" style="264" customWidth="1" outlineLevel="1"/>
    <col min="24" max="24" width="4.140625" style="264" customWidth="1" outlineLevel="1"/>
    <col min="25" max="25" width="5.7109375" style="264" customWidth="1" outlineLevel="1"/>
    <col min="26" max="26" width="5.28515625" style="264" customWidth="1" outlineLevel="1"/>
    <col min="27" max="27" width="3.85546875" style="264" customWidth="1" outlineLevel="1"/>
    <col min="28" max="28" width="5.28515625" style="264" customWidth="1" outlineLevel="1"/>
    <col min="29" max="29" width="5.42578125" style="264" customWidth="1" outlineLevel="1"/>
    <col min="30" max="35" width="6.7109375" style="264" customWidth="1" outlineLevel="1"/>
    <col min="36" max="36" width="7.5703125" style="264" customWidth="1"/>
    <col min="37" max="37" width="10.5703125" style="264" bestFit="1" customWidth="1"/>
    <col min="38" max="38" width="6.7109375" style="266" bestFit="1" customWidth="1"/>
    <col min="39" max="39" width="9.85546875" style="4" customWidth="1"/>
    <col min="40" max="40" width="10.5703125" style="124" customWidth="1"/>
    <col min="41" max="42" width="17" style="9" customWidth="1"/>
    <col min="43" max="52" width="11.42578125" customWidth="1" outlineLevel="1"/>
  </cols>
  <sheetData>
    <row r="1" spans="1:60" ht="17.25" thickTop="1" thickBot="1" x14ac:dyDescent="0.3">
      <c r="A1" s="367" t="s">
        <v>1771</v>
      </c>
      <c r="B1" s="367"/>
      <c r="C1" s="367"/>
      <c r="D1" s="368"/>
      <c r="E1" s="370" t="s">
        <v>5</v>
      </c>
      <c r="F1" s="340"/>
      <c r="G1" s="371"/>
      <c r="H1" s="372" t="s">
        <v>1647</v>
      </c>
      <c r="I1" s="372"/>
      <c r="J1" s="372"/>
      <c r="K1" s="372"/>
      <c r="L1" s="373"/>
      <c r="M1" s="352" t="s">
        <v>1</v>
      </c>
      <c r="N1" s="353"/>
      <c r="O1" s="353"/>
      <c r="P1" s="353"/>
      <c r="Q1" s="354" t="s">
        <v>2</v>
      </c>
      <c r="R1" s="355"/>
      <c r="S1" s="355"/>
      <c r="T1" s="355"/>
      <c r="U1" s="355"/>
      <c r="V1" s="355"/>
      <c r="W1" s="355"/>
      <c r="X1" s="355"/>
      <c r="Y1" s="355"/>
      <c r="Z1" s="355"/>
      <c r="AA1" s="355"/>
      <c r="AB1" s="355"/>
      <c r="AC1" s="355"/>
      <c r="AD1" s="355"/>
      <c r="AE1" s="355"/>
      <c r="AF1" s="355"/>
      <c r="AG1" s="355"/>
      <c r="AH1" s="355"/>
      <c r="AI1" s="355"/>
      <c r="AJ1" s="355"/>
      <c r="AK1" s="355"/>
      <c r="AL1" s="355"/>
      <c r="AM1" s="355"/>
      <c r="AN1" s="369"/>
      <c r="AO1" s="85" t="s">
        <v>10</v>
      </c>
      <c r="AP1" s="254" t="s">
        <v>1775</v>
      </c>
      <c r="BA1" s="365" t="s">
        <v>1795</v>
      </c>
      <c r="BB1" s="366"/>
      <c r="BC1" s="366"/>
      <c r="BD1" s="366"/>
      <c r="BE1" s="366"/>
      <c r="BF1" s="366"/>
      <c r="BG1" s="366"/>
      <c r="BH1" s="366"/>
    </row>
    <row r="2" spans="1:60" s="62" customFormat="1" ht="141.75" thickBot="1" x14ac:dyDescent="0.3">
      <c r="A2" s="13" t="s">
        <v>74</v>
      </c>
      <c r="B2" s="240" t="s">
        <v>1752</v>
      </c>
      <c r="C2" s="293" t="s">
        <v>15</v>
      </c>
      <c r="D2" s="15" t="s">
        <v>12</v>
      </c>
      <c r="E2" s="13" t="s">
        <v>13</v>
      </c>
      <c r="F2" s="13" t="s">
        <v>1773</v>
      </c>
      <c r="G2" s="71" t="s">
        <v>14</v>
      </c>
      <c r="H2" s="60" t="s">
        <v>64</v>
      </c>
      <c r="I2" s="13" t="s">
        <v>1769</v>
      </c>
      <c r="J2" s="13" t="s">
        <v>4</v>
      </c>
      <c r="K2" s="13" t="s">
        <v>3</v>
      </c>
      <c r="L2" s="84" t="s">
        <v>11</v>
      </c>
      <c r="M2" s="60" t="s">
        <v>6</v>
      </c>
      <c r="N2" s="13" t="s">
        <v>7</v>
      </c>
      <c r="O2" s="13" t="s">
        <v>8</v>
      </c>
      <c r="P2" s="84" t="s">
        <v>11</v>
      </c>
      <c r="Q2" s="60" t="s">
        <v>9</v>
      </c>
      <c r="R2" s="13" t="s">
        <v>6</v>
      </c>
      <c r="S2" s="260">
        <v>605</v>
      </c>
      <c r="T2" s="260">
        <v>610</v>
      </c>
      <c r="U2" s="260">
        <v>620</v>
      </c>
      <c r="V2" s="260">
        <v>730</v>
      </c>
      <c r="W2" s="260">
        <v>731</v>
      </c>
      <c r="X2" s="260">
        <v>740</v>
      </c>
      <c r="Y2" s="260">
        <v>750</v>
      </c>
      <c r="Z2" s="328">
        <v>810</v>
      </c>
      <c r="AA2" s="260">
        <v>915</v>
      </c>
      <c r="AB2" s="261" t="s">
        <v>1787</v>
      </c>
      <c r="AC2" s="261" t="s">
        <v>2562</v>
      </c>
      <c r="AD2" s="268" t="s">
        <v>1768</v>
      </c>
      <c r="AE2" s="262" t="s">
        <v>1598</v>
      </c>
      <c r="AF2" s="262" t="s">
        <v>1599</v>
      </c>
      <c r="AG2" s="262" t="s">
        <v>1772</v>
      </c>
      <c r="AH2" s="262" t="s">
        <v>1600</v>
      </c>
      <c r="AI2" s="262" t="s">
        <v>1601</v>
      </c>
      <c r="AJ2" s="259" t="s">
        <v>67</v>
      </c>
      <c r="AK2" s="262" t="s">
        <v>1604</v>
      </c>
      <c r="AL2" s="253" t="s">
        <v>1608</v>
      </c>
      <c r="AM2" s="13" t="s">
        <v>67</v>
      </c>
      <c r="AN2" s="73" t="s">
        <v>11</v>
      </c>
      <c r="AO2" s="60" t="s">
        <v>11</v>
      </c>
      <c r="AP2" s="60" t="s">
        <v>11</v>
      </c>
      <c r="AQ2" s="247"/>
      <c r="AR2" s="247" t="s">
        <v>1780</v>
      </c>
      <c r="AS2" s="62" t="s">
        <v>1781</v>
      </c>
      <c r="AT2" s="62" t="s">
        <v>1784</v>
      </c>
      <c r="AU2" s="62" t="s">
        <v>1782</v>
      </c>
      <c r="AV2" s="247" t="s">
        <v>1785</v>
      </c>
      <c r="AW2" s="62" t="s">
        <v>1783</v>
      </c>
      <c r="AX2" s="62" t="s">
        <v>1707</v>
      </c>
      <c r="BA2" s="280" t="s">
        <v>1794</v>
      </c>
      <c r="BB2" s="288" t="s">
        <v>32</v>
      </c>
      <c r="BC2" s="280" t="s">
        <v>1648</v>
      </c>
      <c r="BD2" s="280" t="s">
        <v>1649</v>
      </c>
      <c r="BE2" s="280" t="s">
        <v>1650</v>
      </c>
      <c r="BF2" s="280" t="s">
        <v>1776</v>
      </c>
      <c r="BG2" s="288" t="s">
        <v>29</v>
      </c>
      <c r="BH2" s="288" t="s">
        <v>30</v>
      </c>
    </row>
    <row r="3" spans="1:60" x14ac:dyDescent="0.3">
      <c r="A3">
        <v>1</v>
      </c>
      <c r="B3" s="241" t="s">
        <v>1803</v>
      </c>
      <c r="C3" s="294">
        <v>1</v>
      </c>
      <c r="D3" s="14">
        <v>45663</v>
      </c>
      <c r="E3" s="7">
        <v>45</v>
      </c>
      <c r="F3" s="7"/>
      <c r="G3" s="66"/>
      <c r="H3" s="59"/>
      <c r="I3" s="59">
        <f>60*5</f>
        <v>300</v>
      </c>
      <c r="J3" s="47">
        <f t="shared" ref="J3" si="0">I3+H3</f>
        <v>300</v>
      </c>
      <c r="K3" s="8">
        <f t="shared" ref="K3:K6" si="1">IFERROR(J3-E3-F3-G3,"")</f>
        <v>255</v>
      </c>
      <c r="L3" s="96">
        <f t="shared" ref="L3:L34" si="2">IFERROR(K3/J3,"")</f>
        <v>0.85</v>
      </c>
      <c r="M3" s="81">
        <v>56</v>
      </c>
      <c r="N3" s="8">
        <v>153</v>
      </c>
      <c r="O3" s="8">
        <v>60</v>
      </c>
      <c r="P3" s="96">
        <f t="shared" ref="P3" si="3">IFERROR((M3/N3*O3)/K3,"")</f>
        <v>8.6120722798923494E-2</v>
      </c>
      <c r="Q3" s="59">
        <f t="shared" ref="Q3" si="4">M3</f>
        <v>56</v>
      </c>
      <c r="R3" s="252">
        <f t="shared" ref="R3:R66" si="5">+Q3+AB3+AC3+AD3</f>
        <v>62</v>
      </c>
      <c r="S3" s="263">
        <v>4</v>
      </c>
      <c r="T3" s="263">
        <v>4</v>
      </c>
      <c r="U3" s="263">
        <v>0</v>
      </c>
      <c r="V3" s="263">
        <v>0</v>
      </c>
      <c r="W3" s="263">
        <v>0</v>
      </c>
      <c r="X3" s="263">
        <v>0</v>
      </c>
      <c r="Y3" s="263">
        <v>0</v>
      </c>
      <c r="Z3" s="263">
        <v>1</v>
      </c>
      <c r="AA3" s="263">
        <v>0</v>
      </c>
      <c r="AB3" s="263">
        <v>5</v>
      </c>
      <c r="AC3" s="263">
        <v>0</v>
      </c>
      <c r="AD3" s="263">
        <v>1</v>
      </c>
      <c r="AE3" s="263"/>
      <c r="AF3" s="263"/>
      <c r="AG3" s="263"/>
      <c r="AH3" s="263"/>
      <c r="AI3" s="263"/>
      <c r="AJ3" s="259"/>
      <c r="AK3" s="263">
        <f t="shared" ref="AK3" si="6">+AD3+AE3+AF3+AG3+AH3+AI3</f>
        <v>1</v>
      </c>
      <c r="AL3" s="265">
        <f t="shared" ref="AL3:AL66" si="7">WEEKNUM(D3,21)</f>
        <v>2</v>
      </c>
      <c r="AM3" s="6">
        <f t="shared" ref="AM3" si="8">AK3</f>
        <v>1</v>
      </c>
      <c r="AN3" s="255">
        <f t="shared" ref="AN3:AN66" si="9">IFERROR(Q3/R3,"")</f>
        <v>0.90322580645161288</v>
      </c>
      <c r="AO3" s="256">
        <f t="shared" ref="AO3:AO66" si="10">IFERROR(AN3*P3*L3,"")</f>
        <v>6.6118490406915448E-2</v>
      </c>
      <c r="AP3" s="257">
        <f t="shared" ref="AP3:AP66" si="11">IFERROR(AM3/R3*1000000,"")</f>
        <v>16129.032258064515</v>
      </c>
      <c r="AQ3" s="263">
        <f t="shared" ref="AQ3:AQ24" si="12">+AB3*0.78</f>
        <v>3.9000000000000004</v>
      </c>
      <c r="AR3" s="263">
        <f t="shared" ref="AR3:AR38" si="13">+AC3*0.2</f>
        <v>0</v>
      </c>
      <c r="AS3" s="263">
        <f t="shared" ref="AS3:AS38" si="14">+AD3*0.1</f>
        <v>0.1</v>
      </c>
      <c r="AT3" s="263">
        <f t="shared" ref="AT3:AT33" si="15">SUM(AQ3:AS3)</f>
        <v>4</v>
      </c>
      <c r="AU3" s="263"/>
      <c r="AV3" s="263"/>
      <c r="AW3" s="263"/>
      <c r="AX3" s="263">
        <f t="shared" ref="AX3:AX33" si="16">+AW3+AU3+AT3+AV3</f>
        <v>4</v>
      </c>
      <c r="BA3" s="282">
        <f t="shared" ref="BA3:BA66" si="17">IFERROR(M3/N3*60,"")</f>
        <v>21.96078431372549</v>
      </c>
      <c r="BB3">
        <v>1</v>
      </c>
      <c r="BC3">
        <f>IFERROR(BA3*BB3,"")</f>
        <v>21.96078431372549</v>
      </c>
      <c r="BD3">
        <f t="shared" ref="BD3:BD66" si="18">IFERROR(BB3*K3,"")</f>
        <v>255</v>
      </c>
      <c r="BE3">
        <f t="shared" ref="BE3:BE66" si="19">J3*BB3</f>
        <v>300</v>
      </c>
      <c r="BF3" s="281">
        <f>BC3/BE3</f>
        <v>7.3202614379084971E-2</v>
      </c>
      <c r="BG3" s="282" t="s">
        <v>2481</v>
      </c>
      <c r="BH3" s="283"/>
    </row>
    <row r="4" spans="1:60" x14ac:dyDescent="0.3">
      <c r="A4">
        <f t="shared" ref="A4:A67" si="20">+A3+1</f>
        <v>2</v>
      </c>
      <c r="B4" s="269" t="s">
        <v>2484</v>
      </c>
      <c r="C4" s="294">
        <v>1</v>
      </c>
      <c r="D4" s="14">
        <v>45663</v>
      </c>
      <c r="E4" s="7"/>
      <c r="F4" s="7"/>
      <c r="G4" s="66"/>
      <c r="H4" s="59"/>
      <c r="I4" s="59">
        <f>60*4</f>
        <v>240</v>
      </c>
      <c r="J4" s="47">
        <f t="shared" ref="J4:J34" si="21">I4+H4</f>
        <v>240</v>
      </c>
      <c r="K4" s="8">
        <f t="shared" si="1"/>
        <v>240</v>
      </c>
      <c r="L4" s="96">
        <f t="shared" si="2"/>
        <v>1</v>
      </c>
      <c r="M4" s="81">
        <v>0</v>
      </c>
      <c r="N4" s="8">
        <v>153</v>
      </c>
      <c r="O4" s="8">
        <v>60</v>
      </c>
      <c r="P4" s="96">
        <f t="shared" ref="P4:P34" si="22">IFERROR((M4/N4*O4)/K4,"")</f>
        <v>0</v>
      </c>
      <c r="Q4" s="59">
        <f t="shared" ref="Q4:Q34" si="23">M4</f>
        <v>0</v>
      </c>
      <c r="R4" s="252">
        <f t="shared" si="5"/>
        <v>0</v>
      </c>
      <c r="S4" s="263"/>
      <c r="T4" s="263"/>
      <c r="U4" s="263"/>
      <c r="V4" s="263"/>
      <c r="W4" s="263"/>
      <c r="X4" s="263"/>
      <c r="Y4" s="263"/>
      <c r="Z4" s="263"/>
      <c r="AA4" s="263"/>
      <c r="AB4" s="263"/>
      <c r="AC4" s="263"/>
      <c r="AD4" s="263"/>
      <c r="AE4" s="263"/>
      <c r="AF4" s="263"/>
      <c r="AG4" s="263"/>
      <c r="AH4" s="263"/>
      <c r="AI4" s="263"/>
      <c r="AJ4" s="259"/>
      <c r="AK4" s="263">
        <f t="shared" ref="AK4:AK34" si="24">+AD4+AE4+AF4+AG4+AH4+AI4</f>
        <v>0</v>
      </c>
      <c r="AL4" s="265">
        <f t="shared" si="7"/>
        <v>2</v>
      </c>
      <c r="AM4" s="6">
        <f t="shared" ref="AM4:AM34" si="25">AK4</f>
        <v>0</v>
      </c>
      <c r="AN4" s="255" t="str">
        <f t="shared" si="9"/>
        <v/>
      </c>
      <c r="AO4" s="256" t="str">
        <f t="shared" si="10"/>
        <v/>
      </c>
      <c r="AP4" s="257" t="str">
        <f t="shared" si="11"/>
        <v/>
      </c>
      <c r="AQ4" s="263">
        <f t="shared" si="12"/>
        <v>0</v>
      </c>
      <c r="AR4" s="263">
        <f t="shared" si="13"/>
        <v>0</v>
      </c>
      <c r="AS4" s="263">
        <f t="shared" si="14"/>
        <v>0</v>
      </c>
      <c r="AT4" s="263">
        <f t="shared" si="15"/>
        <v>0</v>
      </c>
      <c r="AU4" s="263"/>
      <c r="AV4" s="263"/>
      <c r="AW4" s="263"/>
      <c r="AX4" s="263">
        <f t="shared" si="16"/>
        <v>0</v>
      </c>
      <c r="BA4" s="282">
        <f t="shared" si="17"/>
        <v>0</v>
      </c>
      <c r="BB4">
        <v>1</v>
      </c>
      <c r="BC4">
        <f t="shared" ref="BC4:BC34" si="26">IFERROR(BA4*BB4,"")</f>
        <v>0</v>
      </c>
      <c r="BD4">
        <f t="shared" si="18"/>
        <v>240</v>
      </c>
      <c r="BE4">
        <f t="shared" si="19"/>
        <v>240</v>
      </c>
      <c r="BF4" s="281">
        <f t="shared" ref="BF4" si="27">BD4/BE4</f>
        <v>1</v>
      </c>
      <c r="BG4" s="282"/>
      <c r="BH4" s="283"/>
    </row>
    <row r="5" spans="1:60" x14ac:dyDescent="0.3">
      <c r="A5">
        <f t="shared" si="20"/>
        <v>3</v>
      </c>
      <c r="B5" s="269" t="s">
        <v>2485</v>
      </c>
      <c r="C5" s="294">
        <v>2</v>
      </c>
      <c r="D5" s="14">
        <v>45663</v>
      </c>
      <c r="E5" s="7"/>
      <c r="F5" s="7"/>
      <c r="G5" s="66"/>
      <c r="H5" s="59"/>
      <c r="I5" s="59">
        <f>60*6</f>
        <v>360</v>
      </c>
      <c r="J5" s="47">
        <f t="shared" si="21"/>
        <v>360</v>
      </c>
      <c r="K5" s="8">
        <f t="shared" si="1"/>
        <v>360</v>
      </c>
      <c r="L5" s="96">
        <f t="shared" si="2"/>
        <v>1</v>
      </c>
      <c r="M5" s="81">
        <v>377</v>
      </c>
      <c r="N5" s="8">
        <v>153</v>
      </c>
      <c r="O5" s="8">
        <v>60</v>
      </c>
      <c r="P5" s="96">
        <f t="shared" si="22"/>
        <v>0.41067538126361658</v>
      </c>
      <c r="Q5" s="59">
        <f t="shared" si="23"/>
        <v>377</v>
      </c>
      <c r="R5" s="252">
        <f t="shared" si="5"/>
        <v>377</v>
      </c>
      <c r="S5" s="263"/>
      <c r="T5" s="263"/>
      <c r="U5" s="263"/>
      <c r="V5" s="263"/>
      <c r="W5" s="263"/>
      <c r="X5" s="263"/>
      <c r="Y5" s="263"/>
      <c r="Z5" s="263"/>
      <c r="AA5" s="263"/>
      <c r="AB5" s="263"/>
      <c r="AC5" s="263"/>
      <c r="AD5" s="263"/>
      <c r="AE5" s="263"/>
      <c r="AF5" s="263"/>
      <c r="AG5" s="263"/>
      <c r="AH5" s="263"/>
      <c r="AI5" s="263"/>
      <c r="AJ5" s="259"/>
      <c r="AK5" s="263">
        <f t="shared" si="24"/>
        <v>0</v>
      </c>
      <c r="AL5" s="265">
        <f t="shared" si="7"/>
        <v>2</v>
      </c>
      <c r="AM5" s="6">
        <f t="shared" si="25"/>
        <v>0</v>
      </c>
      <c r="AN5" s="255">
        <f t="shared" si="9"/>
        <v>1</v>
      </c>
      <c r="AO5" s="256">
        <f t="shared" si="10"/>
        <v>0.41067538126361658</v>
      </c>
      <c r="AP5" s="257">
        <f t="shared" si="11"/>
        <v>0</v>
      </c>
      <c r="AQ5" s="263">
        <f t="shared" si="12"/>
        <v>0</v>
      </c>
      <c r="AR5" s="263">
        <f t="shared" si="13"/>
        <v>0</v>
      </c>
      <c r="AS5" s="263">
        <f t="shared" si="14"/>
        <v>0</v>
      </c>
      <c r="AT5" s="263">
        <f t="shared" si="15"/>
        <v>0</v>
      </c>
      <c r="AU5" s="263"/>
      <c r="AV5" s="263"/>
      <c r="AW5" s="263"/>
      <c r="AX5" s="263">
        <f t="shared" si="16"/>
        <v>0</v>
      </c>
      <c r="BA5" s="282">
        <f t="shared" si="17"/>
        <v>147.84313725490196</v>
      </c>
      <c r="BB5">
        <v>1</v>
      </c>
      <c r="BC5">
        <f>IFERROR(BA5*BB5,"")</f>
        <v>147.84313725490196</v>
      </c>
      <c r="BD5">
        <f t="shared" si="18"/>
        <v>360</v>
      </c>
      <c r="BE5">
        <f t="shared" si="19"/>
        <v>360</v>
      </c>
      <c r="BF5" s="281">
        <f>BC5/BE5</f>
        <v>0.41067538126361658</v>
      </c>
      <c r="BG5" s="282" t="s">
        <v>2482</v>
      </c>
      <c r="BH5" s="283"/>
    </row>
    <row r="6" spans="1:60" x14ac:dyDescent="0.3">
      <c r="A6">
        <f t="shared" si="20"/>
        <v>4</v>
      </c>
      <c r="B6" s="241" t="s">
        <v>2485</v>
      </c>
      <c r="C6" s="294">
        <v>1</v>
      </c>
      <c r="D6" s="14">
        <v>45664</v>
      </c>
      <c r="E6" s="7">
        <v>30</v>
      </c>
      <c r="F6" s="7"/>
      <c r="G6" s="66"/>
      <c r="H6" s="59"/>
      <c r="I6" s="59">
        <v>600</v>
      </c>
      <c r="J6" s="47">
        <f t="shared" si="21"/>
        <v>600</v>
      </c>
      <c r="K6" s="8">
        <f t="shared" si="1"/>
        <v>570</v>
      </c>
      <c r="L6" s="96">
        <f t="shared" si="2"/>
        <v>0.95</v>
      </c>
      <c r="M6" s="81">
        <v>660</v>
      </c>
      <c r="N6" s="8">
        <v>153</v>
      </c>
      <c r="O6" s="8">
        <v>60</v>
      </c>
      <c r="P6" s="96">
        <f t="shared" si="22"/>
        <v>0.45407636738906088</v>
      </c>
      <c r="Q6" s="59">
        <f t="shared" si="23"/>
        <v>660</v>
      </c>
      <c r="R6" s="252">
        <f t="shared" si="5"/>
        <v>714</v>
      </c>
      <c r="S6" s="263">
        <v>74</v>
      </c>
      <c r="T6" s="263">
        <v>2</v>
      </c>
      <c r="U6" s="263">
        <v>1</v>
      </c>
      <c r="V6" s="263">
        <v>0</v>
      </c>
      <c r="W6" s="263">
        <v>0</v>
      </c>
      <c r="X6" s="263">
        <v>0</v>
      </c>
      <c r="Y6" s="263">
        <v>1</v>
      </c>
      <c r="Z6" s="263">
        <v>0</v>
      </c>
      <c r="AA6" s="263">
        <v>0</v>
      </c>
      <c r="AB6" s="263">
        <v>48</v>
      </c>
      <c r="AC6" s="263">
        <v>1</v>
      </c>
      <c r="AD6" s="263">
        <v>5</v>
      </c>
      <c r="AE6" s="263"/>
      <c r="AF6" s="263"/>
      <c r="AG6" s="263"/>
      <c r="AH6" s="263"/>
      <c r="AI6" s="263"/>
      <c r="AJ6" s="259"/>
      <c r="AK6" s="263">
        <f t="shared" si="24"/>
        <v>5</v>
      </c>
      <c r="AL6" s="265">
        <f t="shared" si="7"/>
        <v>2</v>
      </c>
      <c r="AM6" s="6">
        <f t="shared" si="25"/>
        <v>5</v>
      </c>
      <c r="AN6" s="255">
        <f t="shared" si="9"/>
        <v>0.92436974789915971</v>
      </c>
      <c r="AO6" s="256">
        <f t="shared" si="10"/>
        <v>0.39874773438787281</v>
      </c>
      <c r="AP6" s="257">
        <f t="shared" si="11"/>
        <v>7002.80112044818</v>
      </c>
      <c r="AQ6" s="263">
        <f t="shared" si="12"/>
        <v>37.44</v>
      </c>
      <c r="AR6" s="263">
        <f t="shared" si="13"/>
        <v>0.2</v>
      </c>
      <c r="AS6" s="263">
        <f t="shared" si="14"/>
        <v>0.5</v>
      </c>
      <c r="AT6" s="263">
        <f t="shared" si="15"/>
        <v>38.14</v>
      </c>
      <c r="AU6" s="263"/>
      <c r="AV6" s="263"/>
      <c r="AW6" s="263"/>
      <c r="AX6" s="263">
        <f t="shared" si="16"/>
        <v>38.14</v>
      </c>
      <c r="BA6" s="282">
        <f t="shared" si="17"/>
        <v>258.8235294117647</v>
      </c>
      <c r="BB6">
        <v>1</v>
      </c>
      <c r="BC6">
        <f t="shared" si="26"/>
        <v>258.8235294117647</v>
      </c>
      <c r="BD6">
        <f t="shared" si="18"/>
        <v>570</v>
      </c>
      <c r="BE6">
        <f t="shared" si="19"/>
        <v>600</v>
      </c>
      <c r="BF6" s="281">
        <f t="shared" ref="BF6:BF34" si="28">BC6/BE6</f>
        <v>0.43137254901960781</v>
      </c>
      <c r="BG6" s="282" t="s">
        <v>2481</v>
      </c>
      <c r="BH6" s="283"/>
    </row>
    <row r="7" spans="1:60" x14ac:dyDescent="0.3">
      <c r="A7">
        <f t="shared" si="20"/>
        <v>5</v>
      </c>
      <c r="B7" s="241" t="s">
        <v>2485</v>
      </c>
      <c r="C7" s="294">
        <v>2</v>
      </c>
      <c r="D7" s="14">
        <v>45664</v>
      </c>
      <c r="E7" s="7"/>
      <c r="F7" s="7">
        <f>60*4</f>
        <v>240</v>
      </c>
      <c r="G7" s="66"/>
      <c r="H7" s="59"/>
      <c r="I7" s="59">
        <v>540</v>
      </c>
      <c r="J7" s="47">
        <f t="shared" si="21"/>
        <v>540</v>
      </c>
      <c r="K7" s="8">
        <f t="shared" ref="K7:K34" si="29">IFERROR(J7-E7-F7-G7,"")</f>
        <v>300</v>
      </c>
      <c r="L7" s="96">
        <f t="shared" si="2"/>
        <v>0.55555555555555558</v>
      </c>
      <c r="M7" s="81">
        <v>459</v>
      </c>
      <c r="N7" s="8">
        <v>153</v>
      </c>
      <c r="O7" s="8">
        <v>60</v>
      </c>
      <c r="P7" s="96">
        <f t="shared" si="22"/>
        <v>0.6</v>
      </c>
      <c r="Q7" s="59">
        <f t="shared" si="23"/>
        <v>459</v>
      </c>
      <c r="R7" s="252">
        <f t="shared" si="5"/>
        <v>482</v>
      </c>
      <c r="S7" s="263">
        <v>110</v>
      </c>
      <c r="T7" s="263">
        <v>2</v>
      </c>
      <c r="U7" s="263">
        <v>0</v>
      </c>
      <c r="V7" s="263">
        <v>0</v>
      </c>
      <c r="W7" s="263">
        <v>0</v>
      </c>
      <c r="X7" s="263">
        <v>2</v>
      </c>
      <c r="Y7" s="263">
        <v>0</v>
      </c>
      <c r="Z7" s="263">
        <v>1</v>
      </c>
      <c r="AA7" s="263">
        <v>0</v>
      </c>
      <c r="AB7" s="263">
        <v>22</v>
      </c>
      <c r="AC7" s="263">
        <v>0</v>
      </c>
      <c r="AD7" s="263">
        <v>1</v>
      </c>
      <c r="AE7" s="263"/>
      <c r="AF7" s="263"/>
      <c r="AG7" s="263"/>
      <c r="AH7" s="263"/>
      <c r="AI7" s="263"/>
      <c r="AJ7" s="259"/>
      <c r="AK7" s="263">
        <f t="shared" si="24"/>
        <v>1</v>
      </c>
      <c r="AL7" s="265">
        <f t="shared" si="7"/>
        <v>2</v>
      </c>
      <c r="AM7" s="6">
        <f t="shared" si="25"/>
        <v>1</v>
      </c>
      <c r="AN7" s="255">
        <f t="shared" si="9"/>
        <v>0.9522821576763485</v>
      </c>
      <c r="AO7" s="256">
        <f t="shared" si="10"/>
        <v>0.31742738589211617</v>
      </c>
      <c r="AP7" s="257">
        <f t="shared" si="11"/>
        <v>2074.6887966804979</v>
      </c>
      <c r="AQ7" s="263">
        <f t="shared" si="12"/>
        <v>17.16</v>
      </c>
      <c r="AR7" s="263">
        <f t="shared" si="13"/>
        <v>0</v>
      </c>
      <c r="AS7" s="263">
        <f t="shared" si="14"/>
        <v>0.1</v>
      </c>
      <c r="AT7" s="263">
        <f t="shared" si="15"/>
        <v>17.260000000000002</v>
      </c>
      <c r="AU7" s="263"/>
      <c r="AV7" s="263"/>
      <c r="AW7" s="263"/>
      <c r="AX7" s="263">
        <f t="shared" si="16"/>
        <v>17.260000000000002</v>
      </c>
      <c r="BA7" s="282">
        <f t="shared" si="17"/>
        <v>180</v>
      </c>
      <c r="BB7">
        <v>1</v>
      </c>
      <c r="BC7">
        <f t="shared" si="26"/>
        <v>180</v>
      </c>
      <c r="BD7">
        <f t="shared" si="18"/>
        <v>300</v>
      </c>
      <c r="BE7">
        <f t="shared" si="19"/>
        <v>540</v>
      </c>
      <c r="BF7" s="281">
        <f>BC7/BE7</f>
        <v>0.33333333333333331</v>
      </c>
      <c r="BG7" s="282" t="s">
        <v>2482</v>
      </c>
      <c r="BH7" s="283"/>
    </row>
    <row r="8" spans="1:60" x14ac:dyDescent="0.3">
      <c r="A8">
        <f t="shared" si="20"/>
        <v>6</v>
      </c>
      <c r="B8" s="241" t="s">
        <v>2485</v>
      </c>
      <c r="C8" s="294">
        <v>1</v>
      </c>
      <c r="D8" s="14">
        <v>45665</v>
      </c>
      <c r="E8" s="7">
        <v>34</v>
      </c>
      <c r="F8" s="7"/>
      <c r="G8" s="66"/>
      <c r="H8" s="59"/>
      <c r="I8" s="59">
        <v>600</v>
      </c>
      <c r="J8" s="47">
        <f t="shared" si="21"/>
        <v>600</v>
      </c>
      <c r="K8" s="8">
        <f t="shared" si="29"/>
        <v>566</v>
      </c>
      <c r="L8" s="96">
        <f t="shared" si="2"/>
        <v>0.94333333333333336</v>
      </c>
      <c r="M8" s="81">
        <v>1058</v>
      </c>
      <c r="N8" s="8">
        <v>153</v>
      </c>
      <c r="O8" s="8">
        <v>60</v>
      </c>
      <c r="P8" s="96">
        <f t="shared" si="22"/>
        <v>0.73304233354119042</v>
      </c>
      <c r="Q8" s="59">
        <f t="shared" si="23"/>
        <v>1058</v>
      </c>
      <c r="R8" s="252">
        <f t="shared" si="5"/>
        <v>1099</v>
      </c>
      <c r="S8" s="263">
        <v>61</v>
      </c>
      <c r="T8" s="263">
        <v>3</v>
      </c>
      <c r="U8" s="263">
        <v>6</v>
      </c>
      <c r="V8" s="263">
        <v>0</v>
      </c>
      <c r="W8" s="263">
        <v>0</v>
      </c>
      <c r="X8" s="263">
        <v>10</v>
      </c>
      <c r="Y8" s="263">
        <v>0</v>
      </c>
      <c r="Z8" s="263">
        <v>0</v>
      </c>
      <c r="AA8" s="263">
        <v>1</v>
      </c>
      <c r="AB8" s="263">
        <v>35</v>
      </c>
      <c r="AC8" s="263">
        <v>4</v>
      </c>
      <c r="AD8" s="263">
        <v>2</v>
      </c>
      <c r="AE8" s="263"/>
      <c r="AF8" s="263"/>
      <c r="AG8" s="263"/>
      <c r="AH8" s="263"/>
      <c r="AI8" s="263"/>
      <c r="AJ8" s="259"/>
      <c r="AK8" s="263">
        <f t="shared" si="24"/>
        <v>2</v>
      </c>
      <c r="AL8" s="265">
        <f t="shared" si="7"/>
        <v>2</v>
      </c>
      <c r="AM8" s="6">
        <f t="shared" si="25"/>
        <v>2</v>
      </c>
      <c r="AN8" s="255">
        <f t="shared" si="9"/>
        <v>0.96269335759781616</v>
      </c>
      <c r="AO8" s="256">
        <f t="shared" si="10"/>
        <v>0.66570560283561409</v>
      </c>
      <c r="AP8" s="257">
        <f t="shared" si="11"/>
        <v>1819.8362147406733</v>
      </c>
      <c r="AQ8" s="263">
        <f t="shared" si="12"/>
        <v>27.3</v>
      </c>
      <c r="AR8" s="263">
        <f t="shared" si="13"/>
        <v>0.8</v>
      </c>
      <c r="AS8" s="263">
        <f t="shared" si="14"/>
        <v>0.2</v>
      </c>
      <c r="AT8" s="263">
        <f t="shared" si="15"/>
        <v>28.3</v>
      </c>
      <c r="AU8" s="263"/>
      <c r="AV8" s="263"/>
      <c r="AW8" s="263"/>
      <c r="AX8" s="263">
        <f t="shared" si="16"/>
        <v>28.3</v>
      </c>
      <c r="BA8" s="282">
        <f t="shared" si="17"/>
        <v>414.90196078431376</v>
      </c>
      <c r="BB8">
        <v>1</v>
      </c>
      <c r="BC8">
        <f>IFERROR(BA8*BB8,"")</f>
        <v>414.90196078431376</v>
      </c>
      <c r="BD8">
        <f t="shared" si="18"/>
        <v>566</v>
      </c>
      <c r="BE8">
        <f t="shared" si="19"/>
        <v>600</v>
      </c>
      <c r="BF8" s="281">
        <f t="shared" si="28"/>
        <v>0.69150326797385631</v>
      </c>
      <c r="BG8" s="282" t="s">
        <v>2481</v>
      </c>
      <c r="BH8" s="283"/>
    </row>
    <row r="9" spans="1:60" x14ac:dyDescent="0.3">
      <c r="A9">
        <f t="shared" si="20"/>
        <v>7</v>
      </c>
      <c r="B9" s="241" t="s">
        <v>2485</v>
      </c>
      <c r="C9" s="294">
        <v>2</v>
      </c>
      <c r="D9" s="14">
        <v>45665</v>
      </c>
      <c r="E9" s="7"/>
      <c r="F9" s="7"/>
      <c r="G9" s="66"/>
      <c r="H9" s="59"/>
      <c r="I9" s="59">
        <v>540</v>
      </c>
      <c r="J9" s="47">
        <f t="shared" si="21"/>
        <v>540</v>
      </c>
      <c r="K9" s="8">
        <f t="shared" si="29"/>
        <v>540</v>
      </c>
      <c r="L9" s="96">
        <f t="shared" si="2"/>
        <v>1</v>
      </c>
      <c r="M9" s="81">
        <v>1170</v>
      </c>
      <c r="N9" s="8">
        <v>153</v>
      </c>
      <c r="O9" s="8">
        <v>60</v>
      </c>
      <c r="P9" s="96">
        <f t="shared" si="22"/>
        <v>0.84967320261437917</v>
      </c>
      <c r="Q9" s="59">
        <f t="shared" si="23"/>
        <v>1170</v>
      </c>
      <c r="R9" s="252">
        <f t="shared" si="5"/>
        <v>1213</v>
      </c>
      <c r="S9" s="263">
        <v>26</v>
      </c>
      <c r="T9" s="263">
        <v>1</v>
      </c>
      <c r="U9" s="263">
        <v>0</v>
      </c>
      <c r="V9" s="263">
        <v>0</v>
      </c>
      <c r="W9" s="263">
        <v>9</v>
      </c>
      <c r="X9" s="263">
        <v>5</v>
      </c>
      <c r="Y9" s="263">
        <v>0</v>
      </c>
      <c r="Z9" s="263">
        <v>1</v>
      </c>
      <c r="AA9" s="263">
        <v>2</v>
      </c>
      <c r="AB9" s="263">
        <v>31</v>
      </c>
      <c r="AC9" s="263">
        <v>10</v>
      </c>
      <c r="AD9" s="263">
        <v>2</v>
      </c>
      <c r="AE9" s="263"/>
      <c r="AF9" s="263"/>
      <c r="AG9" s="263"/>
      <c r="AH9" s="263"/>
      <c r="AI9" s="263"/>
      <c r="AJ9" s="259"/>
      <c r="AK9" s="263">
        <f t="shared" si="24"/>
        <v>2</v>
      </c>
      <c r="AL9" s="265">
        <f t="shared" si="7"/>
        <v>2</v>
      </c>
      <c r="AM9" s="6">
        <f t="shared" si="25"/>
        <v>2</v>
      </c>
      <c r="AN9" s="255">
        <f t="shared" si="9"/>
        <v>0.96455070074196203</v>
      </c>
      <c r="AO9" s="256">
        <f t="shared" si="10"/>
        <v>0.81955288298336648</v>
      </c>
      <c r="AP9" s="257">
        <f t="shared" si="11"/>
        <v>1648.8046166529266</v>
      </c>
      <c r="AQ9" s="263">
        <f t="shared" si="12"/>
        <v>24.18</v>
      </c>
      <c r="AR9" s="263">
        <f t="shared" si="13"/>
        <v>2</v>
      </c>
      <c r="AS9" s="263">
        <f t="shared" si="14"/>
        <v>0.2</v>
      </c>
      <c r="AT9" s="263">
        <f t="shared" si="15"/>
        <v>26.38</v>
      </c>
      <c r="AU9" s="263"/>
      <c r="AV9" s="263"/>
      <c r="AW9" s="263"/>
      <c r="AX9" s="263">
        <f t="shared" si="16"/>
        <v>26.38</v>
      </c>
      <c r="BA9" s="282">
        <f t="shared" si="17"/>
        <v>458.82352941176475</v>
      </c>
      <c r="BB9">
        <v>1</v>
      </c>
      <c r="BC9">
        <f t="shared" si="26"/>
        <v>458.82352941176475</v>
      </c>
      <c r="BD9">
        <f t="shared" si="18"/>
        <v>540</v>
      </c>
      <c r="BE9">
        <f t="shared" si="19"/>
        <v>540</v>
      </c>
      <c r="BF9" s="281">
        <f t="shared" si="28"/>
        <v>0.84967320261437917</v>
      </c>
      <c r="BG9" s="282" t="s">
        <v>2482</v>
      </c>
      <c r="BH9" s="283"/>
    </row>
    <row r="10" spans="1:60" x14ac:dyDescent="0.3">
      <c r="A10">
        <f t="shared" si="20"/>
        <v>8</v>
      </c>
      <c r="B10" s="241" t="s">
        <v>2485</v>
      </c>
      <c r="C10" s="294">
        <v>1</v>
      </c>
      <c r="D10" s="14">
        <v>45666</v>
      </c>
      <c r="E10" s="7">
        <v>45</v>
      </c>
      <c r="F10" s="7"/>
      <c r="G10" s="66"/>
      <c r="H10" s="59"/>
      <c r="I10" s="59">
        <v>600</v>
      </c>
      <c r="J10" s="47">
        <f t="shared" si="21"/>
        <v>600</v>
      </c>
      <c r="K10" s="8">
        <f t="shared" si="29"/>
        <v>555</v>
      </c>
      <c r="L10" s="96">
        <f t="shared" si="2"/>
        <v>0.92500000000000004</v>
      </c>
      <c r="M10" s="81">
        <v>1208</v>
      </c>
      <c r="N10" s="8">
        <v>153</v>
      </c>
      <c r="O10" s="8">
        <v>60</v>
      </c>
      <c r="P10" s="96">
        <f t="shared" si="22"/>
        <v>0.85355944179473597</v>
      </c>
      <c r="Q10" s="59">
        <f t="shared" si="23"/>
        <v>1208</v>
      </c>
      <c r="R10" s="252">
        <f t="shared" si="5"/>
        <v>1227</v>
      </c>
      <c r="S10" s="263">
        <v>18</v>
      </c>
      <c r="T10" s="263">
        <v>5</v>
      </c>
      <c r="U10" s="263">
        <v>1</v>
      </c>
      <c r="V10" s="263">
        <v>0</v>
      </c>
      <c r="W10" s="263">
        <v>0</v>
      </c>
      <c r="X10" s="263">
        <v>79</v>
      </c>
      <c r="Y10" s="263">
        <v>0</v>
      </c>
      <c r="Z10" s="263">
        <v>1</v>
      </c>
      <c r="AA10" s="263">
        <v>0</v>
      </c>
      <c r="AB10" s="263">
        <v>16</v>
      </c>
      <c r="AC10" s="263">
        <v>1</v>
      </c>
      <c r="AD10" s="263">
        <v>2</v>
      </c>
      <c r="AE10" s="263"/>
      <c r="AF10" s="263"/>
      <c r="AG10" s="263"/>
      <c r="AH10" s="263"/>
      <c r="AI10" s="263"/>
      <c r="AJ10" s="259"/>
      <c r="AK10" s="263">
        <f t="shared" si="24"/>
        <v>2</v>
      </c>
      <c r="AL10" s="265">
        <f t="shared" si="7"/>
        <v>2</v>
      </c>
      <c r="AM10" s="6">
        <f t="shared" si="25"/>
        <v>2</v>
      </c>
      <c r="AN10" s="255">
        <f t="shared" si="9"/>
        <v>0.98451507742461286</v>
      </c>
      <c r="AO10" s="256">
        <f t="shared" si="10"/>
        <v>0.77731647943067483</v>
      </c>
      <c r="AP10" s="257">
        <f t="shared" si="11"/>
        <v>1629.9918500407498</v>
      </c>
      <c r="AQ10" s="263">
        <f t="shared" si="12"/>
        <v>12.48</v>
      </c>
      <c r="AR10" s="263">
        <f t="shared" si="13"/>
        <v>0.2</v>
      </c>
      <c r="AS10" s="263">
        <f t="shared" si="14"/>
        <v>0.2</v>
      </c>
      <c r="AT10" s="263">
        <f t="shared" si="15"/>
        <v>12.879999999999999</v>
      </c>
      <c r="AU10" s="263"/>
      <c r="AV10" s="263"/>
      <c r="AW10" s="263"/>
      <c r="AX10" s="263">
        <f t="shared" si="16"/>
        <v>12.879999999999999</v>
      </c>
      <c r="BA10" s="282">
        <f t="shared" si="17"/>
        <v>473.72549019607845</v>
      </c>
      <c r="BB10">
        <v>1</v>
      </c>
      <c r="BC10">
        <f t="shared" si="26"/>
        <v>473.72549019607845</v>
      </c>
      <c r="BD10">
        <f t="shared" si="18"/>
        <v>555</v>
      </c>
      <c r="BE10">
        <f t="shared" si="19"/>
        <v>600</v>
      </c>
      <c r="BF10" s="281">
        <f t="shared" si="28"/>
        <v>0.7895424836601308</v>
      </c>
      <c r="BG10" s="282" t="s">
        <v>2481</v>
      </c>
      <c r="BH10" s="283"/>
    </row>
    <row r="11" spans="1:60" x14ac:dyDescent="0.3">
      <c r="A11">
        <f t="shared" si="20"/>
        <v>9</v>
      </c>
      <c r="B11" s="241" t="s">
        <v>2485</v>
      </c>
      <c r="C11" s="294">
        <v>2</v>
      </c>
      <c r="D11" s="14">
        <v>45666</v>
      </c>
      <c r="E11" s="7"/>
      <c r="F11" s="7"/>
      <c r="G11" s="66"/>
      <c r="H11" s="59"/>
      <c r="I11" s="59">
        <v>240</v>
      </c>
      <c r="J11" s="47">
        <f t="shared" si="21"/>
        <v>240</v>
      </c>
      <c r="K11" s="8">
        <f t="shared" si="29"/>
        <v>240</v>
      </c>
      <c r="L11" s="96">
        <f t="shared" si="2"/>
        <v>1</v>
      </c>
      <c r="M11" s="81">
        <v>816</v>
      </c>
      <c r="N11" s="8">
        <v>153</v>
      </c>
      <c r="O11" s="8">
        <v>60</v>
      </c>
      <c r="P11" s="96">
        <f t="shared" si="22"/>
        <v>1.3333333333333333</v>
      </c>
      <c r="Q11" s="59">
        <f t="shared" si="23"/>
        <v>816</v>
      </c>
      <c r="R11" s="252">
        <f t="shared" si="5"/>
        <v>837</v>
      </c>
      <c r="S11" s="263">
        <v>9</v>
      </c>
      <c r="T11" s="263">
        <v>0</v>
      </c>
      <c r="U11" s="263">
        <v>2</v>
      </c>
      <c r="V11" s="263">
        <v>0</v>
      </c>
      <c r="W11" s="263">
        <v>0</v>
      </c>
      <c r="X11" s="263">
        <v>59</v>
      </c>
      <c r="Y11" s="263">
        <v>0</v>
      </c>
      <c r="Z11" s="263">
        <v>0</v>
      </c>
      <c r="AA11" s="263">
        <v>0</v>
      </c>
      <c r="AB11" s="263">
        <v>18</v>
      </c>
      <c r="AC11" s="263">
        <v>1</v>
      </c>
      <c r="AD11" s="263">
        <v>2</v>
      </c>
      <c r="AE11" s="263"/>
      <c r="AF11" s="263"/>
      <c r="AG11" s="263"/>
      <c r="AH11" s="263"/>
      <c r="AI11" s="263"/>
      <c r="AJ11" s="259"/>
      <c r="AK11" s="263">
        <f t="shared" si="24"/>
        <v>2</v>
      </c>
      <c r="AL11" s="265">
        <f t="shared" si="7"/>
        <v>2</v>
      </c>
      <c r="AM11" s="6">
        <f t="shared" si="25"/>
        <v>2</v>
      </c>
      <c r="AN11" s="255">
        <f t="shared" si="9"/>
        <v>0.97491039426523296</v>
      </c>
      <c r="AO11" s="256">
        <f t="shared" si="10"/>
        <v>1.2998805256869772</v>
      </c>
      <c r="AP11" s="257">
        <f t="shared" si="11"/>
        <v>2389.4862604540021</v>
      </c>
      <c r="AQ11" s="263">
        <f t="shared" si="12"/>
        <v>14.040000000000001</v>
      </c>
      <c r="AR11" s="263">
        <f t="shared" si="13"/>
        <v>0.2</v>
      </c>
      <c r="AS11" s="263">
        <f t="shared" si="14"/>
        <v>0.2</v>
      </c>
      <c r="AT11" s="263">
        <f t="shared" si="15"/>
        <v>14.44</v>
      </c>
      <c r="AU11" s="263"/>
      <c r="AV11" s="263"/>
      <c r="AW11" s="263"/>
      <c r="AX11" s="263">
        <f t="shared" si="16"/>
        <v>14.44</v>
      </c>
      <c r="BA11" s="282">
        <f t="shared" si="17"/>
        <v>320</v>
      </c>
      <c r="BB11">
        <v>1</v>
      </c>
      <c r="BC11">
        <f t="shared" si="26"/>
        <v>320</v>
      </c>
      <c r="BD11">
        <f t="shared" si="18"/>
        <v>240</v>
      </c>
      <c r="BE11">
        <f t="shared" si="19"/>
        <v>240</v>
      </c>
      <c r="BF11" s="281">
        <f t="shared" si="28"/>
        <v>1.3333333333333333</v>
      </c>
      <c r="BG11" s="282" t="s">
        <v>2482</v>
      </c>
      <c r="BH11" s="283"/>
    </row>
    <row r="12" spans="1:60" x14ac:dyDescent="0.3">
      <c r="A12">
        <f t="shared" si="20"/>
        <v>10</v>
      </c>
      <c r="B12" s="290" t="s">
        <v>2486</v>
      </c>
      <c r="C12" s="294">
        <v>2</v>
      </c>
      <c r="D12" s="14">
        <v>45666</v>
      </c>
      <c r="E12" s="7">
        <v>20</v>
      </c>
      <c r="F12" s="7"/>
      <c r="G12" s="66"/>
      <c r="H12" s="59"/>
      <c r="I12" s="59">
        <v>205</v>
      </c>
      <c r="J12" s="47">
        <f t="shared" si="21"/>
        <v>205</v>
      </c>
      <c r="K12" s="8">
        <f t="shared" si="29"/>
        <v>185</v>
      </c>
      <c r="L12" s="96">
        <f t="shared" si="2"/>
        <v>0.90243902439024393</v>
      </c>
      <c r="M12" s="81">
        <v>114</v>
      </c>
      <c r="N12" s="8">
        <v>153</v>
      </c>
      <c r="O12" s="8">
        <v>60</v>
      </c>
      <c r="P12" s="96">
        <f t="shared" si="22"/>
        <v>0.24165341812400634</v>
      </c>
      <c r="Q12" s="59">
        <f t="shared" si="23"/>
        <v>114</v>
      </c>
      <c r="R12" s="252">
        <f t="shared" si="5"/>
        <v>116</v>
      </c>
      <c r="S12" s="263"/>
      <c r="T12" s="263"/>
      <c r="U12" s="263"/>
      <c r="V12" s="263"/>
      <c r="W12" s="263"/>
      <c r="X12" s="263"/>
      <c r="Y12" s="263"/>
      <c r="Z12" s="263"/>
      <c r="AA12" s="263"/>
      <c r="AB12" s="263"/>
      <c r="AC12" s="263"/>
      <c r="AD12" s="263">
        <v>2</v>
      </c>
      <c r="AE12" s="263"/>
      <c r="AF12" s="263"/>
      <c r="AG12" s="263"/>
      <c r="AH12" s="263"/>
      <c r="AI12" s="263"/>
      <c r="AJ12" s="259"/>
      <c r="AK12" s="263">
        <f t="shared" si="24"/>
        <v>2</v>
      </c>
      <c r="AL12" s="265">
        <f t="shared" si="7"/>
        <v>2</v>
      </c>
      <c r="AM12" s="6">
        <f t="shared" si="25"/>
        <v>2</v>
      </c>
      <c r="AN12" s="255">
        <f t="shared" si="9"/>
        <v>0.98275862068965514</v>
      </c>
      <c r="AO12" s="256">
        <f t="shared" si="10"/>
        <v>0.21431751842873395</v>
      </c>
      <c r="AP12" s="257">
        <f t="shared" si="11"/>
        <v>17241.379310344826</v>
      </c>
      <c r="AQ12" s="263">
        <f t="shared" si="12"/>
        <v>0</v>
      </c>
      <c r="AR12" s="263">
        <f t="shared" si="13"/>
        <v>0</v>
      </c>
      <c r="AS12" s="263">
        <f t="shared" si="14"/>
        <v>0.2</v>
      </c>
      <c r="AT12" s="263">
        <f t="shared" si="15"/>
        <v>0.2</v>
      </c>
      <c r="AU12" s="263"/>
      <c r="AV12" s="263"/>
      <c r="AW12" s="263"/>
      <c r="AX12" s="263">
        <f t="shared" si="16"/>
        <v>0.2</v>
      </c>
      <c r="BA12" s="282">
        <f t="shared" si="17"/>
        <v>44.705882352941174</v>
      </c>
      <c r="BB12">
        <v>1</v>
      </c>
      <c r="BC12">
        <f t="shared" si="26"/>
        <v>44.705882352941174</v>
      </c>
      <c r="BD12">
        <f t="shared" si="18"/>
        <v>185</v>
      </c>
      <c r="BE12">
        <f t="shared" si="19"/>
        <v>205</v>
      </c>
      <c r="BF12" s="281">
        <f t="shared" si="28"/>
        <v>0.21807747489239598</v>
      </c>
      <c r="BG12" s="282" t="s">
        <v>2482</v>
      </c>
      <c r="BH12" s="283"/>
    </row>
    <row r="13" spans="1:60" x14ac:dyDescent="0.3">
      <c r="A13">
        <f t="shared" si="20"/>
        <v>11</v>
      </c>
      <c r="B13" s="290" t="s">
        <v>2487</v>
      </c>
      <c r="C13" s="294">
        <v>1</v>
      </c>
      <c r="D13" s="14">
        <v>45667</v>
      </c>
      <c r="E13" s="7">
        <f>43+60</f>
        <v>103</v>
      </c>
      <c r="F13" s="7"/>
      <c r="G13" s="66"/>
      <c r="H13" s="59"/>
      <c r="I13" s="59">
        <v>600</v>
      </c>
      <c r="J13" s="47">
        <f t="shared" si="21"/>
        <v>600</v>
      </c>
      <c r="K13" s="8">
        <f t="shared" si="29"/>
        <v>497</v>
      </c>
      <c r="L13" s="96">
        <f t="shared" si="2"/>
        <v>0.82833333333333337</v>
      </c>
      <c r="M13" s="81">
        <v>894</v>
      </c>
      <c r="N13" s="8">
        <v>153</v>
      </c>
      <c r="O13" s="8">
        <v>60</v>
      </c>
      <c r="P13" s="96">
        <f t="shared" si="22"/>
        <v>0.70540892413303347</v>
      </c>
      <c r="Q13" s="59">
        <f t="shared" si="23"/>
        <v>894</v>
      </c>
      <c r="R13" s="252">
        <f t="shared" si="5"/>
        <v>961</v>
      </c>
      <c r="S13" s="263">
        <v>28</v>
      </c>
      <c r="T13" s="263">
        <v>3</v>
      </c>
      <c r="U13" s="263">
        <v>2</v>
      </c>
      <c r="V13" s="263">
        <v>2</v>
      </c>
      <c r="W13" s="263">
        <v>0</v>
      </c>
      <c r="X13" s="263">
        <v>76</v>
      </c>
      <c r="Y13" s="263">
        <v>0</v>
      </c>
      <c r="Z13" s="263">
        <v>0</v>
      </c>
      <c r="AA13" s="263">
        <v>1</v>
      </c>
      <c r="AB13" s="263">
        <v>45</v>
      </c>
      <c r="AC13" s="263">
        <v>16</v>
      </c>
      <c r="AD13" s="263">
        <v>6</v>
      </c>
      <c r="AE13" s="263"/>
      <c r="AF13" s="263"/>
      <c r="AG13" s="263"/>
      <c r="AH13" s="263"/>
      <c r="AI13" s="263"/>
      <c r="AJ13" s="259"/>
      <c r="AK13" s="263">
        <f t="shared" si="24"/>
        <v>6</v>
      </c>
      <c r="AL13" s="265">
        <f t="shared" si="7"/>
        <v>2</v>
      </c>
      <c r="AM13" s="6">
        <f t="shared" si="25"/>
        <v>6</v>
      </c>
      <c r="AN13" s="255">
        <f t="shared" si="9"/>
        <v>0.93028095733610827</v>
      </c>
      <c r="AO13" s="256">
        <f t="shared" si="10"/>
        <v>0.54357593193364762</v>
      </c>
      <c r="AP13" s="257">
        <f t="shared" si="11"/>
        <v>6243.4963579604573</v>
      </c>
      <c r="AQ13" s="263">
        <f t="shared" si="12"/>
        <v>35.1</v>
      </c>
      <c r="AR13" s="263">
        <f t="shared" si="13"/>
        <v>3.2</v>
      </c>
      <c r="AS13" s="263">
        <f t="shared" si="14"/>
        <v>0.60000000000000009</v>
      </c>
      <c r="AT13" s="263">
        <f t="shared" si="15"/>
        <v>38.900000000000006</v>
      </c>
      <c r="AU13" s="263"/>
      <c r="AV13" s="263"/>
      <c r="AW13" s="263"/>
      <c r="AX13" s="263">
        <f t="shared" si="16"/>
        <v>38.900000000000006</v>
      </c>
      <c r="BA13" s="282">
        <f t="shared" si="17"/>
        <v>350.58823529411762</v>
      </c>
      <c r="BB13">
        <v>1</v>
      </c>
      <c r="BC13">
        <f t="shared" si="26"/>
        <v>350.58823529411762</v>
      </c>
      <c r="BD13">
        <f t="shared" si="18"/>
        <v>497</v>
      </c>
      <c r="BE13">
        <f t="shared" si="19"/>
        <v>600</v>
      </c>
      <c r="BF13" s="281">
        <f t="shared" si="28"/>
        <v>0.584313725490196</v>
      </c>
      <c r="BG13" s="282" t="s">
        <v>2481</v>
      </c>
      <c r="BH13" s="283"/>
    </row>
    <row r="14" spans="1:60" x14ac:dyDescent="0.3">
      <c r="A14">
        <f t="shared" si="20"/>
        <v>12</v>
      </c>
      <c r="B14" s="241" t="s">
        <v>2488</v>
      </c>
      <c r="C14" s="294">
        <v>2</v>
      </c>
      <c r="D14" s="14">
        <v>45667</v>
      </c>
      <c r="E14" s="7"/>
      <c r="F14" s="7"/>
      <c r="G14" s="66"/>
      <c r="H14" s="59"/>
      <c r="I14" s="59">
        <f>60*4</f>
        <v>240</v>
      </c>
      <c r="J14" s="47">
        <f t="shared" si="21"/>
        <v>240</v>
      </c>
      <c r="K14" s="8">
        <f t="shared" si="29"/>
        <v>240</v>
      </c>
      <c r="L14" s="96">
        <f t="shared" si="2"/>
        <v>1</v>
      </c>
      <c r="M14" s="81">
        <f>253+18</f>
        <v>271</v>
      </c>
      <c r="N14" s="8">
        <v>153</v>
      </c>
      <c r="O14" s="8">
        <v>60</v>
      </c>
      <c r="P14" s="96">
        <f t="shared" si="22"/>
        <v>0.44281045751633985</v>
      </c>
      <c r="Q14" s="59">
        <f t="shared" si="23"/>
        <v>271</v>
      </c>
      <c r="R14" s="252">
        <f t="shared" si="5"/>
        <v>275</v>
      </c>
      <c r="S14" s="263">
        <v>7</v>
      </c>
      <c r="T14" s="263">
        <v>4</v>
      </c>
      <c r="U14" s="263">
        <v>2</v>
      </c>
      <c r="V14" s="263">
        <v>0</v>
      </c>
      <c r="W14" s="263">
        <v>0</v>
      </c>
      <c r="X14" s="263">
        <v>2</v>
      </c>
      <c r="Y14" s="263">
        <v>0</v>
      </c>
      <c r="Z14" s="263">
        <v>0</v>
      </c>
      <c r="AA14" s="263">
        <v>0</v>
      </c>
      <c r="AB14" s="263">
        <v>3</v>
      </c>
      <c r="AC14" s="263">
        <v>0</v>
      </c>
      <c r="AD14" s="263">
        <v>1</v>
      </c>
      <c r="AE14" s="263"/>
      <c r="AF14" s="263"/>
      <c r="AG14" s="263"/>
      <c r="AH14" s="263"/>
      <c r="AI14" s="263"/>
      <c r="AJ14" s="259"/>
      <c r="AK14" s="263">
        <f t="shared" si="24"/>
        <v>1</v>
      </c>
      <c r="AL14" s="265">
        <f t="shared" si="7"/>
        <v>2</v>
      </c>
      <c r="AM14" s="6">
        <f t="shared" si="25"/>
        <v>1</v>
      </c>
      <c r="AN14" s="255">
        <f t="shared" si="9"/>
        <v>0.98545454545454547</v>
      </c>
      <c r="AO14" s="256">
        <f t="shared" si="10"/>
        <v>0.43636957813428401</v>
      </c>
      <c r="AP14" s="257">
        <f t="shared" si="11"/>
        <v>3636.3636363636365</v>
      </c>
      <c r="AQ14" s="263">
        <f t="shared" si="12"/>
        <v>2.34</v>
      </c>
      <c r="AR14" s="263">
        <f t="shared" si="13"/>
        <v>0</v>
      </c>
      <c r="AS14" s="263">
        <f t="shared" si="14"/>
        <v>0.1</v>
      </c>
      <c r="AT14" s="263">
        <f t="shared" si="15"/>
        <v>2.44</v>
      </c>
      <c r="AU14" s="263"/>
      <c r="AV14" s="263"/>
      <c r="AW14" s="263"/>
      <c r="AX14" s="263">
        <f t="shared" si="16"/>
        <v>2.44</v>
      </c>
      <c r="BA14" s="282">
        <f t="shared" si="17"/>
        <v>106.27450980392156</v>
      </c>
      <c r="BB14">
        <v>1</v>
      </c>
      <c r="BC14">
        <f t="shared" si="26"/>
        <v>106.27450980392156</v>
      </c>
      <c r="BD14">
        <f t="shared" si="18"/>
        <v>240</v>
      </c>
      <c r="BE14">
        <f t="shared" si="19"/>
        <v>240</v>
      </c>
      <c r="BF14" s="281">
        <f t="shared" si="28"/>
        <v>0.44281045751633985</v>
      </c>
      <c r="BG14" s="282" t="s">
        <v>2482</v>
      </c>
      <c r="BH14" s="283"/>
    </row>
    <row r="15" spans="1:60" x14ac:dyDescent="0.3">
      <c r="A15">
        <f t="shared" si="20"/>
        <v>13</v>
      </c>
      <c r="B15" s="241" t="s">
        <v>2483</v>
      </c>
      <c r="C15" s="294">
        <v>2</v>
      </c>
      <c r="D15" s="14">
        <v>45667</v>
      </c>
      <c r="E15" s="7"/>
      <c r="F15" s="7"/>
      <c r="G15" s="66"/>
      <c r="H15" s="59"/>
      <c r="I15" s="59">
        <v>205</v>
      </c>
      <c r="J15" s="47">
        <f t="shared" si="21"/>
        <v>205</v>
      </c>
      <c r="K15" s="8">
        <f t="shared" si="29"/>
        <v>205</v>
      </c>
      <c r="L15" s="96">
        <f t="shared" si="2"/>
        <v>1</v>
      </c>
      <c r="M15" s="81">
        <v>0</v>
      </c>
      <c r="N15" s="8">
        <v>153</v>
      </c>
      <c r="O15" s="8">
        <v>60</v>
      </c>
      <c r="P15" s="96">
        <f t="shared" si="22"/>
        <v>0</v>
      </c>
      <c r="Q15" s="59">
        <f t="shared" si="23"/>
        <v>0</v>
      </c>
      <c r="R15" s="252">
        <f t="shared" si="5"/>
        <v>0</v>
      </c>
      <c r="S15" s="263"/>
      <c r="T15" s="263"/>
      <c r="U15" s="263"/>
      <c r="V15" s="263"/>
      <c r="W15" s="263"/>
      <c r="X15" s="263"/>
      <c r="Y15" s="263"/>
      <c r="Z15" s="263"/>
      <c r="AA15" s="263"/>
      <c r="AB15" s="263"/>
      <c r="AC15" s="263"/>
      <c r="AD15" s="263"/>
      <c r="AE15" s="263"/>
      <c r="AF15" s="263"/>
      <c r="AG15" s="263"/>
      <c r="AH15" s="263"/>
      <c r="AI15" s="263"/>
      <c r="AJ15" s="259"/>
      <c r="AK15" s="263">
        <f t="shared" si="24"/>
        <v>0</v>
      </c>
      <c r="AL15" s="265">
        <f t="shared" si="7"/>
        <v>2</v>
      </c>
      <c r="AM15" s="6">
        <f t="shared" si="25"/>
        <v>0</v>
      </c>
      <c r="AN15" s="255" t="str">
        <f t="shared" si="9"/>
        <v/>
      </c>
      <c r="AO15" s="256" t="str">
        <f t="shared" si="10"/>
        <v/>
      </c>
      <c r="AP15" s="257" t="str">
        <f t="shared" si="11"/>
        <v/>
      </c>
      <c r="AQ15" s="263">
        <f t="shared" si="12"/>
        <v>0</v>
      </c>
      <c r="AR15" s="263">
        <f t="shared" si="13"/>
        <v>0</v>
      </c>
      <c r="AS15" s="263">
        <f t="shared" si="14"/>
        <v>0</v>
      </c>
      <c r="AT15" s="263">
        <f t="shared" si="15"/>
        <v>0</v>
      </c>
      <c r="AU15" s="263"/>
      <c r="AV15" s="263"/>
      <c r="AW15" s="263"/>
      <c r="AX15" s="263">
        <f t="shared" si="16"/>
        <v>0</v>
      </c>
      <c r="BA15" s="282">
        <f t="shared" si="17"/>
        <v>0</v>
      </c>
      <c r="BC15">
        <f t="shared" si="26"/>
        <v>0</v>
      </c>
      <c r="BD15">
        <f t="shared" si="18"/>
        <v>0</v>
      </c>
      <c r="BE15">
        <f t="shared" si="19"/>
        <v>0</v>
      </c>
      <c r="BF15" s="281" t="e">
        <f t="shared" si="28"/>
        <v>#DIV/0!</v>
      </c>
      <c r="BG15" s="282"/>
      <c r="BH15" s="283"/>
    </row>
    <row r="16" spans="1:60" x14ac:dyDescent="0.3">
      <c r="A16">
        <f t="shared" si="20"/>
        <v>14</v>
      </c>
      <c r="B16" s="241" t="s">
        <v>2489</v>
      </c>
      <c r="C16" s="294">
        <v>1</v>
      </c>
      <c r="D16" s="14">
        <v>45670</v>
      </c>
      <c r="E16" s="7">
        <f>60*3</f>
        <v>180</v>
      </c>
      <c r="F16" s="7">
        <v>12</v>
      </c>
      <c r="G16" s="66"/>
      <c r="H16" s="59"/>
      <c r="I16" s="59">
        <v>600</v>
      </c>
      <c r="J16" s="47">
        <f t="shared" si="21"/>
        <v>600</v>
      </c>
      <c r="K16" s="8">
        <f t="shared" si="29"/>
        <v>408</v>
      </c>
      <c r="L16" s="96">
        <f t="shared" si="2"/>
        <v>0.68</v>
      </c>
      <c r="M16" s="81">
        <v>756</v>
      </c>
      <c r="N16" s="8">
        <v>153</v>
      </c>
      <c r="O16" s="8">
        <v>60</v>
      </c>
      <c r="P16" s="96">
        <f t="shared" si="22"/>
        <v>0.72664359861591699</v>
      </c>
      <c r="Q16" s="59">
        <f t="shared" si="23"/>
        <v>756</v>
      </c>
      <c r="R16" s="252">
        <f t="shared" si="5"/>
        <v>816</v>
      </c>
      <c r="S16" s="263">
        <v>13</v>
      </c>
      <c r="T16" s="263">
        <v>1</v>
      </c>
      <c r="U16" s="263">
        <v>18</v>
      </c>
      <c r="V16" s="263">
        <v>4</v>
      </c>
      <c r="W16" s="263">
        <v>0</v>
      </c>
      <c r="X16" s="263">
        <v>8</v>
      </c>
      <c r="Y16" s="263">
        <v>1</v>
      </c>
      <c r="Z16" s="263">
        <v>0</v>
      </c>
      <c r="AA16" s="263">
        <v>0</v>
      </c>
      <c r="AB16" s="263">
        <v>41</v>
      </c>
      <c r="AC16" s="263">
        <v>17</v>
      </c>
      <c r="AD16" s="263">
        <v>2</v>
      </c>
      <c r="AE16" s="263"/>
      <c r="AF16" s="263"/>
      <c r="AG16" s="263"/>
      <c r="AH16" s="263"/>
      <c r="AI16" s="263"/>
      <c r="AJ16" s="259"/>
      <c r="AK16" s="263">
        <f t="shared" si="24"/>
        <v>2</v>
      </c>
      <c r="AL16" s="265">
        <f t="shared" si="7"/>
        <v>3</v>
      </c>
      <c r="AM16" s="6">
        <f t="shared" si="25"/>
        <v>2</v>
      </c>
      <c r="AN16" s="255">
        <f t="shared" si="9"/>
        <v>0.92647058823529416</v>
      </c>
      <c r="AO16" s="256">
        <f t="shared" si="10"/>
        <v>0.45778546712802781</v>
      </c>
      <c r="AP16" s="257">
        <f t="shared" si="11"/>
        <v>2450.9803921568628</v>
      </c>
      <c r="AQ16" s="263">
        <f t="shared" si="12"/>
        <v>31.98</v>
      </c>
      <c r="AR16" s="263">
        <f t="shared" si="13"/>
        <v>3.4000000000000004</v>
      </c>
      <c r="AS16" s="263">
        <f t="shared" si="14"/>
        <v>0.2</v>
      </c>
      <c r="AT16" s="263">
        <f t="shared" si="15"/>
        <v>35.580000000000005</v>
      </c>
      <c r="AU16" s="263"/>
      <c r="AV16" s="263"/>
      <c r="AW16" s="263"/>
      <c r="AX16" s="263">
        <f t="shared" si="16"/>
        <v>35.580000000000005</v>
      </c>
      <c r="BA16" s="282">
        <f t="shared" si="17"/>
        <v>296.47058823529414</v>
      </c>
      <c r="BB16">
        <v>1</v>
      </c>
      <c r="BC16">
        <f t="shared" si="26"/>
        <v>296.47058823529414</v>
      </c>
      <c r="BD16">
        <f t="shared" si="18"/>
        <v>408</v>
      </c>
      <c r="BE16">
        <f t="shared" si="19"/>
        <v>600</v>
      </c>
      <c r="BF16" s="281">
        <f t="shared" si="28"/>
        <v>0.49411764705882355</v>
      </c>
      <c r="BG16" s="282" t="s">
        <v>2481</v>
      </c>
      <c r="BH16" s="283"/>
    </row>
    <row r="17" spans="1:60" x14ac:dyDescent="0.3">
      <c r="A17">
        <f t="shared" si="20"/>
        <v>15</v>
      </c>
      <c r="B17" s="241" t="s">
        <v>2489</v>
      </c>
      <c r="C17" s="294">
        <v>2</v>
      </c>
      <c r="D17" s="14">
        <v>45670</v>
      </c>
      <c r="E17" s="7"/>
      <c r="F17" s="7"/>
      <c r="G17" s="66"/>
      <c r="H17" s="59"/>
      <c r="I17" s="59">
        <v>540</v>
      </c>
      <c r="J17" s="47">
        <f t="shared" si="21"/>
        <v>540</v>
      </c>
      <c r="K17" s="8">
        <f t="shared" si="29"/>
        <v>540</v>
      </c>
      <c r="L17" s="96">
        <f t="shared" si="2"/>
        <v>1</v>
      </c>
      <c r="M17" s="81">
        <v>860</v>
      </c>
      <c r="N17" s="8">
        <v>153</v>
      </c>
      <c r="O17" s="8">
        <v>60</v>
      </c>
      <c r="P17" s="96">
        <f t="shared" si="22"/>
        <v>0.62454611474219313</v>
      </c>
      <c r="Q17" s="59">
        <f t="shared" si="23"/>
        <v>860</v>
      </c>
      <c r="R17" s="252">
        <f t="shared" si="5"/>
        <v>969</v>
      </c>
      <c r="S17" s="263">
        <v>13</v>
      </c>
      <c r="T17" s="263">
        <v>2</v>
      </c>
      <c r="U17" s="263">
        <v>2</v>
      </c>
      <c r="V17" s="263">
        <v>3</v>
      </c>
      <c r="W17" s="263">
        <v>0</v>
      </c>
      <c r="X17" s="263">
        <v>6</v>
      </c>
      <c r="Y17" s="263">
        <v>1</v>
      </c>
      <c r="Z17" s="263">
        <v>0</v>
      </c>
      <c r="AA17" s="263">
        <v>0</v>
      </c>
      <c r="AB17" s="263">
        <v>95</v>
      </c>
      <c r="AC17" s="263">
        <v>14</v>
      </c>
      <c r="AD17" s="263">
        <v>0</v>
      </c>
      <c r="AE17" s="263"/>
      <c r="AF17" s="263"/>
      <c r="AG17" s="263"/>
      <c r="AH17" s="263"/>
      <c r="AI17" s="263"/>
      <c r="AJ17" s="259"/>
      <c r="AK17" s="263">
        <f t="shared" si="24"/>
        <v>0</v>
      </c>
      <c r="AL17" s="265">
        <f t="shared" si="7"/>
        <v>3</v>
      </c>
      <c r="AM17" s="6">
        <f t="shared" si="25"/>
        <v>0</v>
      </c>
      <c r="AN17" s="255">
        <f t="shared" si="9"/>
        <v>0.88751289989680082</v>
      </c>
      <c r="AO17" s="256">
        <f t="shared" si="10"/>
        <v>0.55429273341412388</v>
      </c>
      <c r="AP17" s="257">
        <f t="shared" si="11"/>
        <v>0</v>
      </c>
      <c r="AQ17" s="263">
        <f t="shared" si="12"/>
        <v>74.100000000000009</v>
      </c>
      <c r="AR17" s="263">
        <f t="shared" si="13"/>
        <v>2.8000000000000003</v>
      </c>
      <c r="AS17" s="263">
        <f t="shared" si="14"/>
        <v>0</v>
      </c>
      <c r="AT17" s="263">
        <f t="shared" si="15"/>
        <v>76.900000000000006</v>
      </c>
      <c r="AU17" s="263"/>
      <c r="AV17" s="263"/>
      <c r="AW17" s="263"/>
      <c r="AX17" s="263">
        <f t="shared" si="16"/>
        <v>76.900000000000006</v>
      </c>
      <c r="BA17" s="282">
        <f t="shared" si="17"/>
        <v>337.25490196078431</v>
      </c>
      <c r="BB17">
        <v>1</v>
      </c>
      <c r="BC17">
        <f t="shared" si="26"/>
        <v>337.25490196078431</v>
      </c>
      <c r="BD17">
        <f t="shared" si="18"/>
        <v>540</v>
      </c>
      <c r="BE17">
        <f t="shared" si="19"/>
        <v>540</v>
      </c>
      <c r="BF17" s="281">
        <f t="shared" si="28"/>
        <v>0.62454611474219313</v>
      </c>
      <c r="BG17" s="282" t="s">
        <v>2482</v>
      </c>
      <c r="BH17" s="283"/>
    </row>
    <row r="18" spans="1:60" x14ac:dyDescent="0.3">
      <c r="A18">
        <f t="shared" si="20"/>
        <v>16</v>
      </c>
      <c r="B18" s="241" t="s">
        <v>2489</v>
      </c>
      <c r="C18" s="294">
        <v>1</v>
      </c>
      <c r="D18" s="14">
        <v>45671</v>
      </c>
      <c r="E18" s="7">
        <v>41</v>
      </c>
      <c r="F18" s="7"/>
      <c r="G18" s="66"/>
      <c r="H18" s="59"/>
      <c r="I18" s="59">
        <v>600</v>
      </c>
      <c r="J18" s="47">
        <f t="shared" si="21"/>
        <v>600</v>
      </c>
      <c r="K18" s="8">
        <f t="shared" si="29"/>
        <v>559</v>
      </c>
      <c r="L18" s="96">
        <f t="shared" si="2"/>
        <v>0.93166666666666664</v>
      </c>
      <c r="M18" s="81">
        <v>867</v>
      </c>
      <c r="N18" s="8">
        <v>153</v>
      </c>
      <c r="O18" s="8">
        <v>60</v>
      </c>
      <c r="P18" s="96">
        <f t="shared" si="22"/>
        <v>0.60822898032200357</v>
      </c>
      <c r="Q18" s="59">
        <f t="shared" si="23"/>
        <v>867</v>
      </c>
      <c r="R18" s="252">
        <f t="shared" si="5"/>
        <v>952</v>
      </c>
      <c r="S18" s="263">
        <v>6</v>
      </c>
      <c r="T18" s="263">
        <v>1</v>
      </c>
      <c r="U18" s="263">
        <v>34</v>
      </c>
      <c r="V18" s="263">
        <v>0</v>
      </c>
      <c r="W18" s="263">
        <v>0</v>
      </c>
      <c r="X18" s="263">
        <v>2</v>
      </c>
      <c r="Y18" s="263">
        <v>0</v>
      </c>
      <c r="Z18" s="263">
        <v>0</v>
      </c>
      <c r="AA18" s="263">
        <v>0</v>
      </c>
      <c r="AB18" s="263">
        <v>64</v>
      </c>
      <c r="AC18" s="263">
        <v>9</v>
      </c>
      <c r="AD18" s="263">
        <v>12</v>
      </c>
      <c r="AE18" s="263"/>
      <c r="AF18" s="263"/>
      <c r="AG18" s="263"/>
      <c r="AH18" s="263"/>
      <c r="AI18" s="263"/>
      <c r="AJ18" s="259"/>
      <c r="AK18" s="263">
        <f t="shared" si="24"/>
        <v>12</v>
      </c>
      <c r="AL18" s="265">
        <f t="shared" si="7"/>
        <v>3</v>
      </c>
      <c r="AM18" s="6">
        <f t="shared" si="25"/>
        <v>12</v>
      </c>
      <c r="AN18" s="255">
        <f t="shared" si="9"/>
        <v>0.9107142857142857</v>
      </c>
      <c r="AO18" s="256">
        <f t="shared" si="10"/>
        <v>0.51607142857142863</v>
      </c>
      <c r="AP18" s="257">
        <f t="shared" si="11"/>
        <v>12605.042016806723</v>
      </c>
      <c r="AQ18" s="263">
        <f t="shared" si="12"/>
        <v>49.92</v>
      </c>
      <c r="AR18" s="263">
        <f t="shared" si="13"/>
        <v>1.8</v>
      </c>
      <c r="AS18" s="263">
        <f t="shared" si="14"/>
        <v>1.2000000000000002</v>
      </c>
      <c r="AT18" s="263">
        <f t="shared" si="15"/>
        <v>52.92</v>
      </c>
      <c r="AU18" s="263"/>
      <c r="AV18" s="263"/>
      <c r="AW18" s="263"/>
      <c r="AX18" s="263">
        <f t="shared" si="16"/>
        <v>52.92</v>
      </c>
      <c r="BA18" s="282">
        <f t="shared" si="17"/>
        <v>340</v>
      </c>
      <c r="BB18">
        <v>1</v>
      </c>
      <c r="BC18">
        <f t="shared" si="26"/>
        <v>340</v>
      </c>
      <c r="BD18">
        <f t="shared" si="18"/>
        <v>559</v>
      </c>
      <c r="BE18">
        <f t="shared" si="19"/>
        <v>600</v>
      </c>
      <c r="BF18" s="281">
        <f t="shared" si="28"/>
        <v>0.56666666666666665</v>
      </c>
      <c r="BG18" s="282" t="s">
        <v>2481</v>
      </c>
      <c r="BH18" s="283"/>
    </row>
    <row r="19" spans="1:60" x14ac:dyDescent="0.3">
      <c r="A19">
        <f t="shared" si="20"/>
        <v>17</v>
      </c>
      <c r="B19" s="241" t="s">
        <v>2489</v>
      </c>
      <c r="C19" s="294">
        <v>2</v>
      </c>
      <c r="D19" s="14">
        <v>45671</v>
      </c>
      <c r="E19" s="7"/>
      <c r="F19" s="7"/>
      <c r="G19" s="66"/>
      <c r="H19" s="59"/>
      <c r="I19" s="59">
        <v>540</v>
      </c>
      <c r="J19" s="47">
        <f t="shared" si="21"/>
        <v>540</v>
      </c>
      <c r="K19" s="8">
        <f t="shared" si="29"/>
        <v>540</v>
      </c>
      <c r="L19" s="96">
        <f t="shared" si="2"/>
        <v>1</v>
      </c>
      <c r="M19" s="81">
        <v>968</v>
      </c>
      <c r="N19" s="8">
        <v>153</v>
      </c>
      <c r="O19" s="8">
        <v>60</v>
      </c>
      <c r="P19" s="96">
        <f t="shared" si="22"/>
        <v>0.70297748729121268</v>
      </c>
      <c r="Q19" s="59">
        <f t="shared" si="23"/>
        <v>968</v>
      </c>
      <c r="R19" s="252">
        <f t="shared" si="5"/>
        <v>1043</v>
      </c>
      <c r="S19" s="263">
        <v>11</v>
      </c>
      <c r="T19" s="263">
        <v>4</v>
      </c>
      <c r="U19" s="263">
        <v>62</v>
      </c>
      <c r="V19" s="263">
        <v>0</v>
      </c>
      <c r="W19" s="263">
        <v>2</v>
      </c>
      <c r="X19" s="263">
        <v>3</v>
      </c>
      <c r="Y19" s="263">
        <v>0</v>
      </c>
      <c r="Z19" s="263">
        <v>2</v>
      </c>
      <c r="AA19" s="263">
        <v>0</v>
      </c>
      <c r="AB19" s="263">
        <v>63</v>
      </c>
      <c r="AC19" s="263">
        <v>8</v>
      </c>
      <c r="AD19" s="263">
        <v>4</v>
      </c>
      <c r="AE19" s="263"/>
      <c r="AF19" s="263"/>
      <c r="AG19" s="263"/>
      <c r="AH19" s="263"/>
      <c r="AI19" s="263"/>
      <c r="AJ19" s="259"/>
      <c r="AK19" s="263">
        <f t="shared" si="24"/>
        <v>4</v>
      </c>
      <c r="AL19" s="265">
        <f t="shared" si="7"/>
        <v>3</v>
      </c>
      <c r="AM19" s="6">
        <f t="shared" si="25"/>
        <v>4</v>
      </c>
      <c r="AN19" s="255">
        <f t="shared" si="9"/>
        <v>0.92809204218600194</v>
      </c>
      <c r="AO19" s="256">
        <f t="shared" si="10"/>
        <v>0.65242781179088583</v>
      </c>
      <c r="AP19" s="257">
        <f t="shared" si="11"/>
        <v>3835.091083413231</v>
      </c>
      <c r="AQ19" s="263">
        <f t="shared" si="12"/>
        <v>49.14</v>
      </c>
      <c r="AR19" s="263">
        <f t="shared" si="13"/>
        <v>1.6</v>
      </c>
      <c r="AS19" s="263">
        <f t="shared" si="14"/>
        <v>0.4</v>
      </c>
      <c r="AT19" s="263">
        <f t="shared" si="15"/>
        <v>51.14</v>
      </c>
      <c r="AU19" s="263"/>
      <c r="AV19" s="263"/>
      <c r="AW19" s="263"/>
      <c r="AX19" s="263">
        <f t="shared" si="16"/>
        <v>51.14</v>
      </c>
      <c r="BA19" s="282">
        <f t="shared" si="17"/>
        <v>379.60784313725486</v>
      </c>
      <c r="BB19">
        <v>1</v>
      </c>
      <c r="BC19">
        <f t="shared" si="26"/>
        <v>379.60784313725486</v>
      </c>
      <c r="BD19">
        <f t="shared" si="18"/>
        <v>540</v>
      </c>
      <c r="BE19">
        <f t="shared" si="19"/>
        <v>540</v>
      </c>
      <c r="BF19" s="281">
        <f t="shared" si="28"/>
        <v>0.70297748729121268</v>
      </c>
      <c r="BG19" s="282" t="s">
        <v>2482</v>
      </c>
      <c r="BH19" s="283"/>
    </row>
    <row r="20" spans="1:60" x14ac:dyDescent="0.3">
      <c r="A20">
        <f t="shared" si="20"/>
        <v>18</v>
      </c>
      <c r="B20" s="269" t="s">
        <v>2492</v>
      </c>
      <c r="C20" s="294">
        <v>1</v>
      </c>
      <c r="D20" s="14">
        <v>45672</v>
      </c>
      <c r="E20" s="7">
        <v>41</v>
      </c>
      <c r="F20" s="7"/>
      <c r="G20" s="66"/>
      <c r="H20" s="59"/>
      <c r="I20" s="59">
        <f>4.5*60</f>
        <v>270</v>
      </c>
      <c r="J20" s="47">
        <f t="shared" si="21"/>
        <v>270</v>
      </c>
      <c r="K20" s="8">
        <f t="shared" si="29"/>
        <v>229</v>
      </c>
      <c r="L20" s="96">
        <f t="shared" si="2"/>
        <v>0.8481481481481481</v>
      </c>
      <c r="M20" s="81">
        <f>240+171</f>
        <v>411</v>
      </c>
      <c r="N20" s="8">
        <v>153</v>
      </c>
      <c r="O20" s="8">
        <v>60</v>
      </c>
      <c r="P20" s="96">
        <f t="shared" si="22"/>
        <v>0.70382738248137677</v>
      </c>
      <c r="Q20" s="59">
        <f t="shared" si="23"/>
        <v>411</v>
      </c>
      <c r="R20" s="252">
        <f t="shared" si="5"/>
        <v>430</v>
      </c>
      <c r="S20" s="263">
        <v>3</v>
      </c>
      <c r="T20" s="263">
        <v>4</v>
      </c>
      <c r="U20" s="263">
        <v>7</v>
      </c>
      <c r="V20" s="263">
        <v>0</v>
      </c>
      <c r="W20" s="263">
        <v>0</v>
      </c>
      <c r="X20" s="263">
        <v>1</v>
      </c>
      <c r="Y20" s="263">
        <v>0</v>
      </c>
      <c r="Z20" s="263">
        <v>0</v>
      </c>
      <c r="AA20" s="263">
        <v>0</v>
      </c>
      <c r="AB20" s="263">
        <v>13</v>
      </c>
      <c r="AC20" s="263">
        <v>0</v>
      </c>
      <c r="AD20" s="263">
        <v>6</v>
      </c>
      <c r="AE20" s="263"/>
      <c r="AF20" s="263"/>
      <c r="AG20" s="263"/>
      <c r="AH20" s="263"/>
      <c r="AI20" s="263"/>
      <c r="AJ20" s="259"/>
      <c r="AK20" s="263">
        <f t="shared" si="24"/>
        <v>6</v>
      </c>
      <c r="AL20" s="265">
        <f t="shared" si="7"/>
        <v>3</v>
      </c>
      <c r="AM20" s="6">
        <f t="shared" si="25"/>
        <v>6</v>
      </c>
      <c r="AN20" s="255">
        <f t="shared" si="9"/>
        <v>0.95581395348837206</v>
      </c>
      <c r="AO20" s="256">
        <f t="shared" si="10"/>
        <v>0.57057303541571658</v>
      </c>
      <c r="AP20" s="257">
        <f t="shared" si="11"/>
        <v>13953.488372093023</v>
      </c>
      <c r="AQ20" s="263">
        <f t="shared" si="12"/>
        <v>10.14</v>
      </c>
      <c r="AR20" s="263">
        <f t="shared" si="13"/>
        <v>0</v>
      </c>
      <c r="AS20" s="263">
        <f t="shared" si="14"/>
        <v>0.60000000000000009</v>
      </c>
      <c r="AT20" s="263">
        <f t="shared" si="15"/>
        <v>10.74</v>
      </c>
      <c r="AU20" s="263"/>
      <c r="AV20" s="263"/>
      <c r="AW20" s="263"/>
      <c r="AX20" s="263">
        <f t="shared" si="16"/>
        <v>10.74</v>
      </c>
      <c r="BA20" s="282">
        <f t="shared" si="17"/>
        <v>161.17647058823528</v>
      </c>
      <c r="BB20">
        <v>1</v>
      </c>
      <c r="BC20">
        <f t="shared" si="26"/>
        <v>161.17647058823528</v>
      </c>
      <c r="BD20">
        <f t="shared" si="18"/>
        <v>229</v>
      </c>
      <c r="BE20">
        <f t="shared" si="19"/>
        <v>270</v>
      </c>
      <c r="BF20" s="281">
        <f t="shared" si="28"/>
        <v>0.59694989106753804</v>
      </c>
      <c r="BG20" s="282" t="s">
        <v>2481</v>
      </c>
      <c r="BH20" s="283"/>
    </row>
    <row r="21" spans="1:60" x14ac:dyDescent="0.3">
      <c r="A21">
        <f t="shared" si="20"/>
        <v>19</v>
      </c>
      <c r="B21" s="269" t="s">
        <v>2493</v>
      </c>
      <c r="C21" s="294">
        <v>2</v>
      </c>
      <c r="D21" s="14">
        <v>45672</v>
      </c>
      <c r="E21" s="7">
        <v>85</v>
      </c>
      <c r="F21" s="7"/>
      <c r="G21" s="66"/>
      <c r="H21" s="59"/>
      <c r="I21" s="59">
        <f>60*7-60</f>
        <v>360</v>
      </c>
      <c r="J21" s="47">
        <f t="shared" si="21"/>
        <v>360</v>
      </c>
      <c r="K21" s="8">
        <f t="shared" si="29"/>
        <v>275</v>
      </c>
      <c r="L21" s="96">
        <f t="shared" si="2"/>
        <v>0.76388888888888884</v>
      </c>
      <c r="M21" s="81">
        <v>789</v>
      </c>
      <c r="N21" s="8">
        <v>153</v>
      </c>
      <c r="O21" s="8">
        <v>60</v>
      </c>
      <c r="P21" s="96">
        <f t="shared" si="22"/>
        <v>1.1251336898395723</v>
      </c>
      <c r="Q21" s="59">
        <f t="shared" si="23"/>
        <v>789</v>
      </c>
      <c r="R21" s="252">
        <f t="shared" si="5"/>
        <v>857</v>
      </c>
      <c r="S21" s="263">
        <v>2</v>
      </c>
      <c r="T21" s="263">
        <v>0</v>
      </c>
      <c r="U21" s="263">
        <v>0</v>
      </c>
      <c r="V21" s="263">
        <v>0</v>
      </c>
      <c r="W21" s="263">
        <v>0</v>
      </c>
      <c r="X21" s="263">
        <v>5</v>
      </c>
      <c r="Y21" s="263">
        <v>0</v>
      </c>
      <c r="Z21" s="263">
        <v>1</v>
      </c>
      <c r="AA21" s="263">
        <v>0</v>
      </c>
      <c r="AB21" s="263">
        <v>31</v>
      </c>
      <c r="AC21" s="263">
        <v>26</v>
      </c>
      <c r="AD21" s="263">
        <v>11</v>
      </c>
      <c r="AE21" s="263"/>
      <c r="AF21" s="263"/>
      <c r="AG21" s="263"/>
      <c r="AH21" s="263"/>
      <c r="AI21" s="263"/>
      <c r="AJ21" s="259"/>
      <c r="AK21" s="263">
        <f t="shared" si="24"/>
        <v>11</v>
      </c>
      <c r="AL21" s="265">
        <f t="shared" si="7"/>
        <v>3</v>
      </c>
      <c r="AM21" s="6">
        <f t="shared" si="25"/>
        <v>11</v>
      </c>
      <c r="AN21" s="255">
        <f t="shared" si="9"/>
        <v>0.92065344224037338</v>
      </c>
      <c r="AO21" s="256">
        <f t="shared" si="10"/>
        <v>0.79128057290594189</v>
      </c>
      <c r="AP21" s="257">
        <f t="shared" si="11"/>
        <v>12835.472578763127</v>
      </c>
      <c r="AQ21" s="263">
        <f t="shared" si="12"/>
        <v>24.18</v>
      </c>
      <c r="AR21" s="263">
        <f t="shared" si="13"/>
        <v>5.2</v>
      </c>
      <c r="AS21" s="263">
        <f t="shared" si="14"/>
        <v>1.1000000000000001</v>
      </c>
      <c r="AT21" s="263">
        <f t="shared" si="15"/>
        <v>30.48</v>
      </c>
      <c r="AU21" s="263"/>
      <c r="AV21" s="263"/>
      <c r="AW21" s="263"/>
      <c r="AX21" s="263">
        <f t="shared" si="16"/>
        <v>30.48</v>
      </c>
      <c r="BA21" s="282">
        <f t="shared" si="17"/>
        <v>309.41176470588238</v>
      </c>
      <c r="BB21">
        <v>1</v>
      </c>
      <c r="BC21">
        <f t="shared" si="26"/>
        <v>309.41176470588238</v>
      </c>
      <c r="BD21">
        <f t="shared" si="18"/>
        <v>275</v>
      </c>
      <c r="BE21">
        <f t="shared" si="19"/>
        <v>360</v>
      </c>
      <c r="BF21" s="281">
        <f t="shared" si="28"/>
        <v>0.85947712418300659</v>
      </c>
      <c r="BG21" s="282" t="s">
        <v>2482</v>
      </c>
      <c r="BH21" s="283"/>
    </row>
    <row r="22" spans="1:60" x14ac:dyDescent="0.3">
      <c r="A22">
        <f t="shared" si="20"/>
        <v>20</v>
      </c>
      <c r="B22" s="241" t="s">
        <v>2494</v>
      </c>
      <c r="C22" s="294">
        <v>1</v>
      </c>
      <c r="D22" s="14">
        <v>45673</v>
      </c>
      <c r="E22" s="7">
        <v>54</v>
      </c>
      <c r="F22" s="7"/>
      <c r="G22" s="66"/>
      <c r="H22" s="59"/>
      <c r="I22" s="59">
        <v>600</v>
      </c>
      <c r="J22" s="47">
        <f t="shared" si="21"/>
        <v>600</v>
      </c>
      <c r="K22" s="8">
        <f t="shared" si="29"/>
        <v>546</v>
      </c>
      <c r="L22" s="96">
        <f t="shared" si="2"/>
        <v>0.91</v>
      </c>
      <c r="M22" s="81">
        <v>911</v>
      </c>
      <c r="N22" s="8">
        <v>153</v>
      </c>
      <c r="O22" s="8">
        <v>60</v>
      </c>
      <c r="P22" s="96">
        <f t="shared" si="22"/>
        <v>0.65431300725418373</v>
      </c>
      <c r="Q22" s="59">
        <f t="shared" si="23"/>
        <v>911</v>
      </c>
      <c r="R22" s="252">
        <f t="shared" si="5"/>
        <v>1069</v>
      </c>
      <c r="S22" s="263">
        <v>16</v>
      </c>
      <c r="T22" s="263">
        <v>1</v>
      </c>
      <c r="U22" s="263">
        <v>1</v>
      </c>
      <c r="V22" s="263">
        <v>0</v>
      </c>
      <c r="W22" s="263">
        <v>0</v>
      </c>
      <c r="X22" s="263">
        <v>13</v>
      </c>
      <c r="Y22" s="263">
        <v>0</v>
      </c>
      <c r="Z22" s="263">
        <v>1</v>
      </c>
      <c r="AA22" s="263">
        <v>2</v>
      </c>
      <c r="AB22" s="263">
        <v>111</v>
      </c>
      <c r="AC22" s="263">
        <v>31</v>
      </c>
      <c r="AD22" s="263">
        <v>16</v>
      </c>
      <c r="AE22" s="263"/>
      <c r="AF22" s="263"/>
      <c r="AG22" s="263"/>
      <c r="AH22" s="263"/>
      <c r="AI22" s="263"/>
      <c r="AJ22" s="259"/>
      <c r="AK22" s="263">
        <f t="shared" si="24"/>
        <v>16</v>
      </c>
      <c r="AL22" s="265">
        <f t="shared" si="7"/>
        <v>3</v>
      </c>
      <c r="AM22" s="6">
        <f t="shared" si="25"/>
        <v>16</v>
      </c>
      <c r="AN22" s="255">
        <f t="shared" si="9"/>
        <v>0.85219831618334896</v>
      </c>
      <c r="AO22" s="256">
        <f t="shared" si="10"/>
        <v>0.5074200431653797</v>
      </c>
      <c r="AP22" s="257">
        <f t="shared" si="11"/>
        <v>14967.259120673527</v>
      </c>
      <c r="AQ22" s="263">
        <f t="shared" si="12"/>
        <v>86.58</v>
      </c>
      <c r="AR22" s="263">
        <f t="shared" si="13"/>
        <v>6.2</v>
      </c>
      <c r="AS22" s="263">
        <f t="shared" si="14"/>
        <v>1.6</v>
      </c>
      <c r="AT22" s="263">
        <f t="shared" si="15"/>
        <v>94.38</v>
      </c>
      <c r="AU22" s="263"/>
      <c r="AV22" s="263"/>
      <c r="AW22" s="263"/>
      <c r="AX22" s="263">
        <f t="shared" si="16"/>
        <v>94.38</v>
      </c>
      <c r="BA22" s="282">
        <f t="shared" si="17"/>
        <v>357.25490196078431</v>
      </c>
      <c r="BB22">
        <v>1</v>
      </c>
      <c r="BC22">
        <f t="shared" si="26"/>
        <v>357.25490196078431</v>
      </c>
      <c r="BD22">
        <f t="shared" si="18"/>
        <v>546</v>
      </c>
      <c r="BE22">
        <f t="shared" si="19"/>
        <v>600</v>
      </c>
      <c r="BF22" s="281">
        <f t="shared" si="28"/>
        <v>0.59542483660130718</v>
      </c>
      <c r="BG22" s="282" t="s">
        <v>2481</v>
      </c>
      <c r="BH22" s="283"/>
    </row>
    <row r="23" spans="1:60" x14ac:dyDescent="0.3">
      <c r="A23">
        <f t="shared" si="20"/>
        <v>21</v>
      </c>
      <c r="B23" s="241" t="s">
        <v>2494</v>
      </c>
      <c r="C23" s="294">
        <v>2</v>
      </c>
      <c r="D23" s="14">
        <v>45673</v>
      </c>
      <c r="E23" s="7"/>
      <c r="F23" s="7"/>
      <c r="G23" s="66"/>
      <c r="H23" s="59"/>
      <c r="I23" s="59">
        <v>540</v>
      </c>
      <c r="J23" s="47">
        <f t="shared" si="21"/>
        <v>540</v>
      </c>
      <c r="K23" s="8">
        <f t="shared" si="29"/>
        <v>540</v>
      </c>
      <c r="L23" s="96">
        <f t="shared" si="2"/>
        <v>1</v>
      </c>
      <c r="M23" s="81">
        <v>908</v>
      </c>
      <c r="N23" s="8">
        <v>153</v>
      </c>
      <c r="O23" s="8">
        <v>60</v>
      </c>
      <c r="P23" s="96">
        <f t="shared" si="22"/>
        <v>0.65940450254175753</v>
      </c>
      <c r="Q23" s="59">
        <f t="shared" si="23"/>
        <v>908</v>
      </c>
      <c r="R23" s="252">
        <f t="shared" si="5"/>
        <v>960</v>
      </c>
      <c r="S23" s="263">
        <v>9</v>
      </c>
      <c r="T23" s="263">
        <v>1</v>
      </c>
      <c r="U23" s="263">
        <v>0</v>
      </c>
      <c r="V23" s="263">
        <v>0</v>
      </c>
      <c r="W23" s="263">
        <v>0</v>
      </c>
      <c r="X23" s="263">
        <v>8</v>
      </c>
      <c r="Y23" s="263">
        <v>0</v>
      </c>
      <c r="Z23" s="263">
        <v>1</v>
      </c>
      <c r="AA23" s="263">
        <v>0</v>
      </c>
      <c r="AB23" s="263">
        <v>21</v>
      </c>
      <c r="AC23" s="263">
        <v>29</v>
      </c>
      <c r="AD23" s="263">
        <v>2</v>
      </c>
      <c r="AE23" s="263"/>
      <c r="AF23" s="263"/>
      <c r="AG23" s="263"/>
      <c r="AH23" s="263"/>
      <c r="AI23" s="263"/>
      <c r="AJ23" s="259"/>
      <c r="AK23" s="263">
        <f t="shared" si="24"/>
        <v>2</v>
      </c>
      <c r="AL23" s="265">
        <f t="shared" si="7"/>
        <v>3</v>
      </c>
      <c r="AM23" s="6">
        <f t="shared" si="25"/>
        <v>2</v>
      </c>
      <c r="AN23" s="255">
        <f t="shared" si="9"/>
        <v>0.9458333333333333</v>
      </c>
      <c r="AO23" s="256">
        <f t="shared" si="10"/>
        <v>0.62368675865407897</v>
      </c>
      <c r="AP23" s="257">
        <f t="shared" si="11"/>
        <v>2083.3333333333335</v>
      </c>
      <c r="AQ23" s="263">
        <f t="shared" si="12"/>
        <v>16.38</v>
      </c>
      <c r="AR23" s="263">
        <f t="shared" si="13"/>
        <v>5.8000000000000007</v>
      </c>
      <c r="AS23" s="263">
        <f t="shared" si="14"/>
        <v>0.2</v>
      </c>
      <c r="AT23" s="263">
        <f t="shared" si="15"/>
        <v>22.38</v>
      </c>
      <c r="AU23" s="263"/>
      <c r="AV23" s="263"/>
      <c r="AW23" s="263"/>
      <c r="AX23" s="263">
        <f t="shared" si="16"/>
        <v>22.38</v>
      </c>
      <c r="BA23" s="282">
        <f t="shared" si="17"/>
        <v>356.07843137254906</v>
      </c>
      <c r="BB23">
        <v>1</v>
      </c>
      <c r="BC23">
        <f t="shared" si="26"/>
        <v>356.07843137254906</v>
      </c>
      <c r="BD23">
        <f t="shared" si="18"/>
        <v>540</v>
      </c>
      <c r="BE23">
        <f t="shared" si="19"/>
        <v>540</v>
      </c>
      <c r="BF23" s="281">
        <f t="shared" si="28"/>
        <v>0.65940450254175753</v>
      </c>
      <c r="BG23" s="282" t="s">
        <v>2482</v>
      </c>
      <c r="BH23" s="283"/>
    </row>
    <row r="24" spans="1:60" x14ac:dyDescent="0.3">
      <c r="A24">
        <f t="shared" si="20"/>
        <v>22</v>
      </c>
      <c r="B24" s="291" t="s">
        <v>2495</v>
      </c>
      <c r="C24" s="294">
        <v>1</v>
      </c>
      <c r="D24" s="14">
        <v>45674</v>
      </c>
      <c r="E24" s="7">
        <v>43</v>
      </c>
      <c r="F24" s="7"/>
      <c r="G24" s="66"/>
      <c r="H24" s="59"/>
      <c r="I24" s="59">
        <f>5*60</f>
        <v>300</v>
      </c>
      <c r="J24" s="47">
        <f t="shared" si="21"/>
        <v>300</v>
      </c>
      <c r="K24" s="8">
        <f t="shared" si="29"/>
        <v>257</v>
      </c>
      <c r="L24" s="96">
        <f t="shared" si="2"/>
        <v>0.85666666666666669</v>
      </c>
      <c r="M24" s="81">
        <f>102+78+379</f>
        <v>559</v>
      </c>
      <c r="N24" s="8">
        <v>153</v>
      </c>
      <c r="O24" s="8">
        <v>60</v>
      </c>
      <c r="P24" s="96">
        <f t="shared" si="22"/>
        <v>0.85297932402532994</v>
      </c>
      <c r="Q24" s="59">
        <f t="shared" si="23"/>
        <v>559</v>
      </c>
      <c r="R24" s="252">
        <f t="shared" si="5"/>
        <v>559</v>
      </c>
      <c r="S24" s="263"/>
      <c r="T24" s="263"/>
      <c r="U24" s="263"/>
      <c r="V24" s="263"/>
      <c r="W24" s="263"/>
      <c r="X24" s="263"/>
      <c r="Y24" s="263"/>
      <c r="Z24" s="263"/>
      <c r="AA24" s="263"/>
      <c r="AB24" s="263"/>
      <c r="AC24" s="263"/>
      <c r="AD24" s="263"/>
      <c r="AE24" s="263"/>
      <c r="AF24" s="263"/>
      <c r="AG24" s="263"/>
      <c r="AH24" s="263"/>
      <c r="AI24" s="263"/>
      <c r="AJ24" s="259"/>
      <c r="AK24" s="263">
        <f t="shared" si="24"/>
        <v>0</v>
      </c>
      <c r="AL24" s="265">
        <f t="shared" si="7"/>
        <v>3</v>
      </c>
      <c r="AM24" s="6">
        <f t="shared" si="25"/>
        <v>0</v>
      </c>
      <c r="AN24" s="255">
        <f t="shared" si="9"/>
        <v>1</v>
      </c>
      <c r="AO24" s="256">
        <f t="shared" si="10"/>
        <v>0.73071895424836597</v>
      </c>
      <c r="AP24" s="257">
        <f t="shared" si="11"/>
        <v>0</v>
      </c>
      <c r="AQ24" s="263">
        <f t="shared" si="12"/>
        <v>0</v>
      </c>
      <c r="AR24" s="263">
        <f t="shared" si="13"/>
        <v>0</v>
      </c>
      <c r="AS24" s="263">
        <f t="shared" si="14"/>
        <v>0</v>
      </c>
      <c r="AT24" s="263">
        <f t="shared" si="15"/>
        <v>0</v>
      </c>
      <c r="AU24" s="263"/>
      <c r="AV24" s="263"/>
      <c r="AW24" s="263"/>
      <c r="AX24" s="263">
        <f t="shared" si="16"/>
        <v>0</v>
      </c>
      <c r="BA24" s="282">
        <f t="shared" si="17"/>
        <v>219.21568627450981</v>
      </c>
      <c r="BB24">
        <v>1</v>
      </c>
      <c r="BC24">
        <f t="shared" si="26"/>
        <v>219.21568627450981</v>
      </c>
      <c r="BD24">
        <f t="shared" si="18"/>
        <v>257</v>
      </c>
      <c r="BE24">
        <f t="shared" si="19"/>
        <v>300</v>
      </c>
      <c r="BF24" s="281">
        <f t="shared" si="28"/>
        <v>0.73071895424836597</v>
      </c>
      <c r="BG24" s="282" t="s">
        <v>2497</v>
      </c>
      <c r="BH24" s="283"/>
    </row>
    <row r="25" spans="1:60" x14ac:dyDescent="0.3">
      <c r="A25">
        <f t="shared" si="20"/>
        <v>23</v>
      </c>
      <c r="B25" s="241" t="s">
        <v>2496</v>
      </c>
      <c r="C25" s="294">
        <v>2</v>
      </c>
      <c r="D25" s="14">
        <v>45674</v>
      </c>
      <c r="E25" s="7">
        <f>60*3</f>
        <v>180</v>
      </c>
      <c r="F25" s="7"/>
      <c r="G25" s="66"/>
      <c r="H25" s="59"/>
      <c r="I25" s="59">
        <f>60*6</f>
        <v>360</v>
      </c>
      <c r="J25" s="47">
        <f t="shared" si="21"/>
        <v>360</v>
      </c>
      <c r="K25" s="8">
        <f t="shared" si="29"/>
        <v>180</v>
      </c>
      <c r="L25" s="96">
        <f t="shared" si="2"/>
        <v>0.5</v>
      </c>
      <c r="M25" s="81">
        <v>486</v>
      </c>
      <c r="N25" s="8">
        <v>153</v>
      </c>
      <c r="O25" s="8">
        <v>60</v>
      </c>
      <c r="P25" s="96">
        <f t="shared" si="22"/>
        <v>1.0588235294117645</v>
      </c>
      <c r="Q25" s="59">
        <f t="shared" si="23"/>
        <v>486</v>
      </c>
      <c r="R25" s="252">
        <f t="shared" si="5"/>
        <v>560</v>
      </c>
      <c r="S25" s="263">
        <v>32</v>
      </c>
      <c r="T25" s="263">
        <v>1</v>
      </c>
      <c r="U25" s="263">
        <v>36</v>
      </c>
      <c r="V25" s="263">
        <v>0</v>
      </c>
      <c r="W25" s="263">
        <v>0</v>
      </c>
      <c r="X25" s="263">
        <v>5</v>
      </c>
      <c r="Y25" s="263">
        <v>1</v>
      </c>
      <c r="Z25" s="263">
        <v>14</v>
      </c>
      <c r="AA25" s="263">
        <v>0</v>
      </c>
      <c r="AB25" s="263">
        <v>11</v>
      </c>
      <c r="AC25" s="263">
        <v>41</v>
      </c>
      <c r="AD25" s="263">
        <v>22</v>
      </c>
      <c r="AE25" s="263"/>
      <c r="AF25" s="263"/>
      <c r="AG25" s="263"/>
      <c r="AH25" s="263"/>
      <c r="AI25" s="263"/>
      <c r="AJ25" s="259"/>
      <c r="AK25" s="263">
        <f t="shared" si="24"/>
        <v>22</v>
      </c>
      <c r="AL25" s="265">
        <f t="shared" si="7"/>
        <v>3</v>
      </c>
      <c r="AM25" s="6">
        <f t="shared" si="25"/>
        <v>22</v>
      </c>
      <c r="AN25" s="255">
        <f t="shared" si="9"/>
        <v>0.86785714285714288</v>
      </c>
      <c r="AO25" s="256">
        <f t="shared" si="10"/>
        <v>0.45945378151260496</v>
      </c>
      <c r="AP25" s="257">
        <f t="shared" si="11"/>
        <v>39285.714285714283</v>
      </c>
      <c r="AQ25" s="263">
        <f t="shared" ref="AQ25:AQ31" si="30">+AB25*0.5</f>
        <v>5.5</v>
      </c>
      <c r="AR25" s="263">
        <f t="shared" si="13"/>
        <v>8.2000000000000011</v>
      </c>
      <c r="AS25" s="263">
        <f t="shared" si="14"/>
        <v>2.2000000000000002</v>
      </c>
      <c r="AT25" s="263">
        <f t="shared" si="15"/>
        <v>15.900000000000002</v>
      </c>
      <c r="AU25" s="263"/>
      <c r="AV25" s="263"/>
      <c r="AW25" s="263"/>
      <c r="AX25" s="263">
        <f t="shared" si="16"/>
        <v>15.900000000000002</v>
      </c>
      <c r="BA25" s="282">
        <f t="shared" si="17"/>
        <v>190.58823529411762</v>
      </c>
      <c r="BB25">
        <v>1</v>
      </c>
      <c r="BC25">
        <f t="shared" si="26"/>
        <v>190.58823529411762</v>
      </c>
      <c r="BD25">
        <f t="shared" si="18"/>
        <v>180</v>
      </c>
      <c r="BE25">
        <f t="shared" si="19"/>
        <v>360</v>
      </c>
      <c r="BF25" s="281">
        <f t="shared" si="28"/>
        <v>0.52941176470588225</v>
      </c>
      <c r="BG25" s="282" t="s">
        <v>2498</v>
      </c>
      <c r="BH25" s="283"/>
    </row>
    <row r="26" spans="1:60" x14ac:dyDescent="0.3">
      <c r="A26">
        <f t="shared" si="20"/>
        <v>24</v>
      </c>
      <c r="B26" s="241" t="s">
        <v>2499</v>
      </c>
      <c r="C26" s="294">
        <v>1</v>
      </c>
      <c r="D26" s="14">
        <v>45677</v>
      </c>
      <c r="E26" s="7">
        <v>45</v>
      </c>
      <c r="F26" s="7"/>
      <c r="G26" s="66"/>
      <c r="H26" s="59"/>
      <c r="I26" s="59">
        <v>600</v>
      </c>
      <c r="J26" s="47">
        <f t="shared" si="21"/>
        <v>600</v>
      </c>
      <c r="K26" s="8">
        <f t="shared" si="29"/>
        <v>555</v>
      </c>
      <c r="L26" s="96">
        <f t="shared" si="2"/>
        <v>0.92500000000000004</v>
      </c>
      <c r="M26" s="81">
        <v>1248</v>
      </c>
      <c r="N26" s="8">
        <v>153</v>
      </c>
      <c r="O26" s="8">
        <v>60</v>
      </c>
      <c r="P26" s="96">
        <f t="shared" si="22"/>
        <v>0.88182299947005827</v>
      </c>
      <c r="Q26" s="59">
        <f t="shared" si="23"/>
        <v>1248</v>
      </c>
      <c r="R26" s="252">
        <f t="shared" si="5"/>
        <v>1290</v>
      </c>
      <c r="S26" s="263">
        <v>19</v>
      </c>
      <c r="T26" s="263">
        <v>9</v>
      </c>
      <c r="U26" s="263">
        <v>5</v>
      </c>
      <c r="V26" s="263">
        <v>0</v>
      </c>
      <c r="W26" s="263">
        <v>2</v>
      </c>
      <c r="X26" s="263">
        <v>7</v>
      </c>
      <c r="Y26" s="263">
        <v>0</v>
      </c>
      <c r="Z26" s="263">
        <v>1</v>
      </c>
      <c r="AA26" s="263">
        <v>0</v>
      </c>
      <c r="AB26" s="263">
        <v>28</v>
      </c>
      <c r="AC26" s="263">
        <v>3</v>
      </c>
      <c r="AD26" s="263">
        <v>11</v>
      </c>
      <c r="AE26" s="263"/>
      <c r="AF26" s="263"/>
      <c r="AG26" s="263"/>
      <c r="AH26" s="263"/>
      <c r="AI26" s="263"/>
      <c r="AJ26" s="259"/>
      <c r="AK26" s="263">
        <f t="shared" si="24"/>
        <v>11</v>
      </c>
      <c r="AL26" s="265">
        <f t="shared" si="7"/>
        <v>4</v>
      </c>
      <c r="AM26" s="6">
        <f t="shared" si="25"/>
        <v>11</v>
      </c>
      <c r="AN26" s="255">
        <f t="shared" si="9"/>
        <v>0.96744186046511627</v>
      </c>
      <c r="AO26" s="256">
        <f t="shared" si="10"/>
        <v>0.7891290469676242</v>
      </c>
      <c r="AP26" s="257">
        <f t="shared" si="11"/>
        <v>8527.1317829457366</v>
      </c>
      <c r="AQ26" s="263">
        <f t="shared" si="30"/>
        <v>14</v>
      </c>
      <c r="AR26" s="263">
        <f t="shared" si="13"/>
        <v>0.60000000000000009</v>
      </c>
      <c r="AS26" s="263">
        <f>+AD26*0.1</f>
        <v>1.1000000000000001</v>
      </c>
      <c r="AT26" s="263">
        <f>SUM(AQ26:AS26)</f>
        <v>15.7</v>
      </c>
      <c r="AU26" s="263"/>
      <c r="AV26" s="263"/>
      <c r="AW26" s="263"/>
      <c r="AX26" s="263">
        <f t="shared" si="16"/>
        <v>15.7</v>
      </c>
      <c r="BA26" s="282">
        <f t="shared" si="17"/>
        <v>489.41176470588232</v>
      </c>
      <c r="BB26">
        <v>1</v>
      </c>
      <c r="BC26">
        <f t="shared" si="26"/>
        <v>489.41176470588232</v>
      </c>
      <c r="BD26">
        <f t="shared" si="18"/>
        <v>555</v>
      </c>
      <c r="BE26">
        <f t="shared" si="19"/>
        <v>600</v>
      </c>
      <c r="BF26" s="281">
        <f t="shared" si="28"/>
        <v>0.81568627450980391</v>
      </c>
      <c r="BG26" s="282" t="s">
        <v>2497</v>
      </c>
      <c r="BH26" s="283"/>
    </row>
    <row r="27" spans="1:60" x14ac:dyDescent="0.3">
      <c r="A27">
        <f t="shared" si="20"/>
        <v>25</v>
      </c>
      <c r="B27" s="241" t="s">
        <v>2499</v>
      </c>
      <c r="C27" s="294">
        <v>2</v>
      </c>
      <c r="D27" s="14">
        <v>45677</v>
      </c>
      <c r="E27" s="7"/>
      <c r="F27" s="7"/>
      <c r="G27" s="66"/>
      <c r="H27" s="59"/>
      <c r="I27" s="59">
        <v>540</v>
      </c>
      <c r="J27" s="47">
        <f t="shared" si="21"/>
        <v>540</v>
      </c>
      <c r="K27" s="8">
        <f t="shared" si="29"/>
        <v>540</v>
      </c>
      <c r="L27" s="96">
        <f t="shared" si="2"/>
        <v>1</v>
      </c>
      <c r="M27" s="81">
        <v>1166</v>
      </c>
      <c r="N27" s="8">
        <v>153</v>
      </c>
      <c r="O27" s="8">
        <v>60</v>
      </c>
      <c r="P27" s="96">
        <f t="shared" si="22"/>
        <v>0.84676833696441534</v>
      </c>
      <c r="Q27" s="59">
        <f t="shared" si="23"/>
        <v>1166</v>
      </c>
      <c r="R27" s="252">
        <f t="shared" si="5"/>
        <v>1207</v>
      </c>
      <c r="S27" s="263">
        <v>6</v>
      </c>
      <c r="T27" s="263">
        <v>3</v>
      </c>
      <c r="U27" s="263">
        <v>31</v>
      </c>
      <c r="V27" s="263">
        <v>0</v>
      </c>
      <c r="W27" s="263">
        <v>8</v>
      </c>
      <c r="X27" s="263">
        <v>5</v>
      </c>
      <c r="Y27" s="263">
        <v>0</v>
      </c>
      <c r="Z27" s="263">
        <v>2</v>
      </c>
      <c r="AA27" s="263">
        <v>0</v>
      </c>
      <c r="AB27" s="263">
        <v>27</v>
      </c>
      <c r="AC27" s="263">
        <v>13</v>
      </c>
      <c r="AD27" s="263">
        <v>1</v>
      </c>
      <c r="AE27" s="263"/>
      <c r="AF27" s="263"/>
      <c r="AG27" s="263"/>
      <c r="AH27" s="263"/>
      <c r="AI27" s="263"/>
      <c r="AJ27" s="259"/>
      <c r="AK27" s="263">
        <f t="shared" si="24"/>
        <v>1</v>
      </c>
      <c r="AL27" s="265">
        <f t="shared" si="7"/>
        <v>4</v>
      </c>
      <c r="AM27" s="6">
        <f t="shared" si="25"/>
        <v>1</v>
      </c>
      <c r="AN27" s="255">
        <f t="shared" si="9"/>
        <v>0.96603148301574149</v>
      </c>
      <c r="AO27" s="256">
        <f t="shared" si="10"/>
        <v>0.81800487232850727</v>
      </c>
      <c r="AP27" s="257">
        <f t="shared" si="11"/>
        <v>828.50041425020709</v>
      </c>
      <c r="AQ27" s="263">
        <f t="shared" si="30"/>
        <v>13.5</v>
      </c>
      <c r="AR27" s="263">
        <f t="shared" si="13"/>
        <v>2.6</v>
      </c>
      <c r="AS27" s="263">
        <f t="shared" si="14"/>
        <v>0.1</v>
      </c>
      <c r="AT27" s="263">
        <f t="shared" si="15"/>
        <v>16.200000000000003</v>
      </c>
      <c r="AU27" s="263"/>
      <c r="AV27" s="263"/>
      <c r="AW27" s="263"/>
      <c r="AX27" s="263">
        <f t="shared" si="16"/>
        <v>16.200000000000003</v>
      </c>
      <c r="BA27" s="282">
        <f t="shared" si="17"/>
        <v>457.25490196078431</v>
      </c>
      <c r="BB27">
        <v>1</v>
      </c>
      <c r="BC27">
        <f t="shared" si="26"/>
        <v>457.25490196078431</v>
      </c>
      <c r="BD27">
        <f t="shared" si="18"/>
        <v>540</v>
      </c>
      <c r="BE27">
        <f t="shared" si="19"/>
        <v>540</v>
      </c>
      <c r="BF27" s="281">
        <f t="shared" si="28"/>
        <v>0.84676833696441534</v>
      </c>
      <c r="BG27" s="282" t="s">
        <v>2482</v>
      </c>
      <c r="BH27" s="283"/>
    </row>
    <row r="28" spans="1:60" x14ac:dyDescent="0.3">
      <c r="A28">
        <f t="shared" si="20"/>
        <v>26</v>
      </c>
      <c r="B28" s="241" t="s">
        <v>2499</v>
      </c>
      <c r="C28" s="294">
        <v>1</v>
      </c>
      <c r="D28" s="14">
        <v>45678</v>
      </c>
      <c r="E28" s="7">
        <v>45</v>
      </c>
      <c r="F28" s="7"/>
      <c r="G28" s="66"/>
      <c r="H28" s="59"/>
      <c r="I28" s="59">
        <v>600</v>
      </c>
      <c r="J28" s="47">
        <f t="shared" si="21"/>
        <v>600</v>
      </c>
      <c r="K28" s="8">
        <f t="shared" si="29"/>
        <v>555</v>
      </c>
      <c r="L28" s="96">
        <f t="shared" si="2"/>
        <v>0.92500000000000004</v>
      </c>
      <c r="M28" s="81">
        <v>1221</v>
      </c>
      <c r="N28" s="8">
        <v>153</v>
      </c>
      <c r="O28" s="8">
        <v>60</v>
      </c>
      <c r="P28" s="96">
        <f t="shared" si="22"/>
        <v>0.86274509803921562</v>
      </c>
      <c r="Q28" s="59">
        <f t="shared" si="23"/>
        <v>1221</v>
      </c>
      <c r="R28" s="252">
        <f t="shared" si="5"/>
        <v>1250</v>
      </c>
      <c r="S28" s="263">
        <v>17</v>
      </c>
      <c r="T28" s="263">
        <v>50</v>
      </c>
      <c r="U28" s="263">
        <v>3</v>
      </c>
      <c r="V28" s="263">
        <v>0</v>
      </c>
      <c r="W28" s="263">
        <v>0</v>
      </c>
      <c r="X28" s="263">
        <v>9</v>
      </c>
      <c r="Y28" s="263">
        <v>0</v>
      </c>
      <c r="Z28" s="263">
        <v>5</v>
      </c>
      <c r="AA28" s="263">
        <v>0</v>
      </c>
      <c r="AB28" s="263">
        <v>20</v>
      </c>
      <c r="AC28" s="263">
        <v>9</v>
      </c>
      <c r="AD28" s="263">
        <v>0</v>
      </c>
      <c r="AE28" s="263"/>
      <c r="AF28" s="263"/>
      <c r="AG28" s="263"/>
      <c r="AH28" s="263"/>
      <c r="AI28" s="263"/>
      <c r="AJ28" s="259"/>
      <c r="AK28" s="263">
        <f t="shared" si="24"/>
        <v>0</v>
      </c>
      <c r="AL28" s="265">
        <f t="shared" si="7"/>
        <v>4</v>
      </c>
      <c r="AM28" s="6">
        <f t="shared" si="25"/>
        <v>0</v>
      </c>
      <c r="AN28" s="255">
        <f t="shared" si="9"/>
        <v>0.9768</v>
      </c>
      <c r="AO28" s="256">
        <f t="shared" si="10"/>
        <v>0.7795247058823529</v>
      </c>
      <c r="AP28" s="257">
        <f t="shared" si="11"/>
        <v>0</v>
      </c>
      <c r="AQ28" s="263">
        <f t="shared" si="30"/>
        <v>10</v>
      </c>
      <c r="AR28" s="263">
        <f t="shared" si="13"/>
        <v>1.8</v>
      </c>
      <c r="AS28" s="263">
        <f t="shared" si="14"/>
        <v>0</v>
      </c>
      <c r="AT28" s="263">
        <f t="shared" si="15"/>
        <v>11.8</v>
      </c>
      <c r="AU28" s="263"/>
      <c r="AV28" s="263"/>
      <c r="AW28" s="263"/>
      <c r="AX28" s="263">
        <f t="shared" si="16"/>
        <v>11.8</v>
      </c>
      <c r="BA28" s="282">
        <f t="shared" si="17"/>
        <v>478.8235294117647</v>
      </c>
      <c r="BB28">
        <v>1</v>
      </c>
      <c r="BC28">
        <f t="shared" si="26"/>
        <v>478.8235294117647</v>
      </c>
      <c r="BD28">
        <f t="shared" si="18"/>
        <v>555</v>
      </c>
      <c r="BE28">
        <f t="shared" si="19"/>
        <v>600</v>
      </c>
      <c r="BF28" s="281">
        <f t="shared" si="28"/>
        <v>0.79803921568627445</v>
      </c>
      <c r="BG28" s="282" t="s">
        <v>2481</v>
      </c>
      <c r="BH28" s="283"/>
    </row>
    <row r="29" spans="1:60" x14ac:dyDescent="0.3">
      <c r="A29">
        <f t="shared" si="20"/>
        <v>27</v>
      </c>
      <c r="B29" s="241" t="s">
        <v>2499</v>
      </c>
      <c r="C29" s="294">
        <v>2</v>
      </c>
      <c r="D29" s="14">
        <v>45678</v>
      </c>
      <c r="E29" s="7"/>
      <c r="F29" s="7"/>
      <c r="G29" s="66"/>
      <c r="H29" s="59"/>
      <c r="I29" s="59">
        <v>540</v>
      </c>
      <c r="J29" s="47">
        <f t="shared" si="21"/>
        <v>540</v>
      </c>
      <c r="K29" s="8">
        <f t="shared" si="29"/>
        <v>540</v>
      </c>
      <c r="L29" s="96">
        <f t="shared" si="2"/>
        <v>1</v>
      </c>
      <c r="M29" s="81">
        <v>1226</v>
      </c>
      <c r="N29" s="8">
        <v>153</v>
      </c>
      <c r="O29" s="8">
        <v>60</v>
      </c>
      <c r="P29" s="96">
        <f t="shared" si="22"/>
        <v>0.8903413217138707</v>
      </c>
      <c r="Q29" s="59">
        <f t="shared" si="23"/>
        <v>1226</v>
      </c>
      <c r="R29" s="252">
        <f t="shared" si="5"/>
        <v>1246</v>
      </c>
      <c r="S29" s="263">
        <v>9</v>
      </c>
      <c r="T29" s="263">
        <v>4</v>
      </c>
      <c r="U29" s="263">
        <v>0</v>
      </c>
      <c r="V29" s="263">
        <v>0</v>
      </c>
      <c r="W29" s="263">
        <v>4</v>
      </c>
      <c r="X29" s="263">
        <v>4</v>
      </c>
      <c r="Y29" s="263">
        <v>0</v>
      </c>
      <c r="Z29" s="263">
        <v>1</v>
      </c>
      <c r="AA29" s="263">
        <v>1</v>
      </c>
      <c r="AB29" s="263">
        <v>4</v>
      </c>
      <c r="AC29" s="263">
        <v>16</v>
      </c>
      <c r="AD29" s="263">
        <v>0</v>
      </c>
      <c r="AE29" s="263"/>
      <c r="AF29" s="263"/>
      <c r="AG29" s="263"/>
      <c r="AH29" s="263"/>
      <c r="AI29" s="263"/>
      <c r="AJ29" s="259"/>
      <c r="AK29" s="263">
        <f t="shared" si="24"/>
        <v>0</v>
      </c>
      <c r="AL29" s="265">
        <f t="shared" si="7"/>
        <v>4</v>
      </c>
      <c r="AM29" s="6">
        <f t="shared" si="25"/>
        <v>0</v>
      </c>
      <c r="AN29" s="255">
        <f t="shared" si="9"/>
        <v>0.9839486356340289</v>
      </c>
      <c r="AO29" s="256">
        <f t="shared" si="10"/>
        <v>0.87605012874896104</v>
      </c>
      <c r="AP29" s="257">
        <f t="shared" si="11"/>
        <v>0</v>
      </c>
      <c r="AQ29" s="263">
        <f t="shared" si="30"/>
        <v>2</v>
      </c>
      <c r="AR29" s="263">
        <f t="shared" si="13"/>
        <v>3.2</v>
      </c>
      <c r="AS29" s="263">
        <f t="shared" si="14"/>
        <v>0</v>
      </c>
      <c r="AT29" s="263">
        <f t="shared" si="15"/>
        <v>5.2</v>
      </c>
      <c r="AU29" s="263"/>
      <c r="AV29" s="263"/>
      <c r="AW29" s="263"/>
      <c r="AX29" s="263">
        <f t="shared" si="16"/>
        <v>5.2</v>
      </c>
      <c r="BA29" s="282">
        <f t="shared" si="17"/>
        <v>480.78431372549016</v>
      </c>
      <c r="BB29">
        <v>1</v>
      </c>
      <c r="BC29">
        <f t="shared" si="26"/>
        <v>480.78431372549016</v>
      </c>
      <c r="BD29">
        <f t="shared" si="18"/>
        <v>540</v>
      </c>
      <c r="BE29">
        <f t="shared" si="19"/>
        <v>540</v>
      </c>
      <c r="BF29" s="281">
        <f t="shared" si="28"/>
        <v>0.8903413217138707</v>
      </c>
      <c r="BG29" s="282" t="s">
        <v>2482</v>
      </c>
      <c r="BH29" s="283"/>
    </row>
    <row r="30" spans="1:60" x14ac:dyDescent="0.3">
      <c r="A30">
        <f t="shared" si="20"/>
        <v>28</v>
      </c>
      <c r="B30" s="241" t="s">
        <v>2499</v>
      </c>
      <c r="C30" s="294">
        <v>1</v>
      </c>
      <c r="D30" s="14">
        <v>45679</v>
      </c>
      <c r="E30" s="7">
        <v>60</v>
      </c>
      <c r="F30" s="7">
        <f>53+11+17</f>
        <v>81</v>
      </c>
      <c r="G30" s="66"/>
      <c r="H30" s="59"/>
      <c r="I30" s="59">
        <v>600</v>
      </c>
      <c r="J30" s="47">
        <f t="shared" si="21"/>
        <v>600</v>
      </c>
      <c r="K30" s="8">
        <f t="shared" si="29"/>
        <v>459</v>
      </c>
      <c r="L30" s="96">
        <f t="shared" si="2"/>
        <v>0.76500000000000001</v>
      </c>
      <c r="M30" s="81">
        <v>1161</v>
      </c>
      <c r="N30" s="8">
        <v>153</v>
      </c>
      <c r="O30" s="8">
        <v>60</v>
      </c>
      <c r="P30" s="96">
        <f t="shared" si="22"/>
        <v>0.99192618223760087</v>
      </c>
      <c r="Q30" s="59">
        <f t="shared" si="23"/>
        <v>1161</v>
      </c>
      <c r="R30" s="252">
        <f t="shared" si="5"/>
        <v>1193</v>
      </c>
      <c r="S30" s="263">
        <v>3</v>
      </c>
      <c r="T30" s="263">
        <v>3</v>
      </c>
      <c r="U30" s="263">
        <v>6</v>
      </c>
      <c r="V30" s="263">
        <v>0</v>
      </c>
      <c r="W30" s="263">
        <v>0</v>
      </c>
      <c r="X30" s="263">
        <v>17</v>
      </c>
      <c r="Y30" s="263">
        <v>0</v>
      </c>
      <c r="Z30" s="263">
        <v>3</v>
      </c>
      <c r="AA30" s="263">
        <v>1</v>
      </c>
      <c r="AB30" s="263">
        <v>11</v>
      </c>
      <c r="AC30" s="263">
        <v>18</v>
      </c>
      <c r="AD30" s="263">
        <v>3</v>
      </c>
      <c r="AE30" s="263"/>
      <c r="AF30" s="263"/>
      <c r="AG30" s="263"/>
      <c r="AH30" s="263"/>
      <c r="AI30" s="263"/>
      <c r="AJ30" s="259"/>
      <c r="AK30" s="263">
        <f t="shared" si="24"/>
        <v>3</v>
      </c>
      <c r="AL30" s="265">
        <f t="shared" si="7"/>
        <v>4</v>
      </c>
      <c r="AM30" s="6">
        <f t="shared" si="25"/>
        <v>3</v>
      </c>
      <c r="AN30" s="255">
        <f t="shared" si="9"/>
        <v>0.97317686504610224</v>
      </c>
      <c r="AO30" s="256">
        <f t="shared" si="10"/>
        <v>0.73846950347615992</v>
      </c>
      <c r="AP30" s="257">
        <f t="shared" si="11"/>
        <v>2514.6689019279129</v>
      </c>
      <c r="AQ30" s="263">
        <f t="shared" si="30"/>
        <v>5.5</v>
      </c>
      <c r="AR30" s="263">
        <f t="shared" si="13"/>
        <v>3.6</v>
      </c>
      <c r="AS30" s="263">
        <f t="shared" si="14"/>
        <v>0.30000000000000004</v>
      </c>
      <c r="AT30" s="263">
        <f t="shared" si="15"/>
        <v>9.4</v>
      </c>
      <c r="AU30" s="263"/>
      <c r="AV30" s="263"/>
      <c r="AW30" s="263"/>
      <c r="AX30" s="263">
        <f t="shared" si="16"/>
        <v>9.4</v>
      </c>
      <c r="BA30" s="282">
        <f t="shared" si="17"/>
        <v>455.29411764705878</v>
      </c>
      <c r="BB30">
        <v>1</v>
      </c>
      <c r="BC30">
        <f t="shared" si="26"/>
        <v>455.29411764705878</v>
      </c>
      <c r="BD30">
        <f t="shared" si="18"/>
        <v>459</v>
      </c>
      <c r="BE30">
        <f t="shared" si="19"/>
        <v>600</v>
      </c>
      <c r="BF30" s="281">
        <f t="shared" si="28"/>
        <v>0.75882352941176467</v>
      </c>
      <c r="BG30" s="282" t="s">
        <v>2481</v>
      </c>
      <c r="BH30" s="283"/>
    </row>
    <row r="31" spans="1:60" x14ac:dyDescent="0.3">
      <c r="A31">
        <f t="shared" si="20"/>
        <v>29</v>
      </c>
      <c r="B31" s="241" t="s">
        <v>2499</v>
      </c>
      <c r="C31" s="294">
        <v>2</v>
      </c>
      <c r="D31" s="14">
        <v>45679</v>
      </c>
      <c r="E31" s="7"/>
      <c r="F31" s="7">
        <v>60</v>
      </c>
      <c r="G31" s="66"/>
      <c r="H31" s="59"/>
      <c r="I31" s="59">
        <v>540</v>
      </c>
      <c r="J31" s="47">
        <f t="shared" si="21"/>
        <v>540</v>
      </c>
      <c r="K31" s="8">
        <f t="shared" si="29"/>
        <v>480</v>
      </c>
      <c r="L31" s="96">
        <f t="shared" si="2"/>
        <v>0.88888888888888884</v>
      </c>
      <c r="M31" s="81">
        <v>970</v>
      </c>
      <c r="N31" s="8">
        <v>153</v>
      </c>
      <c r="O31" s="8">
        <v>60</v>
      </c>
      <c r="P31" s="96">
        <f t="shared" si="22"/>
        <v>0.79248366013071891</v>
      </c>
      <c r="Q31" s="59">
        <f t="shared" si="23"/>
        <v>970</v>
      </c>
      <c r="R31" s="252">
        <f t="shared" si="5"/>
        <v>1012</v>
      </c>
      <c r="S31" s="263">
        <v>3</v>
      </c>
      <c r="T31" s="263">
        <v>1</v>
      </c>
      <c r="U31" s="263">
        <v>28</v>
      </c>
      <c r="V31" s="263">
        <v>0</v>
      </c>
      <c r="W31" s="263">
        <v>0</v>
      </c>
      <c r="X31" s="263">
        <v>1</v>
      </c>
      <c r="Y31" s="263">
        <v>0</v>
      </c>
      <c r="Z31" s="263">
        <v>8</v>
      </c>
      <c r="AA31" s="263">
        <v>1</v>
      </c>
      <c r="AB31" s="263">
        <v>16</v>
      </c>
      <c r="AC31" s="263">
        <v>23</v>
      </c>
      <c r="AD31" s="263">
        <v>3</v>
      </c>
      <c r="AE31" s="263"/>
      <c r="AF31" s="263"/>
      <c r="AG31" s="263"/>
      <c r="AH31" s="263"/>
      <c r="AI31" s="263"/>
      <c r="AJ31" s="259"/>
      <c r="AK31" s="263">
        <f t="shared" si="24"/>
        <v>3</v>
      </c>
      <c r="AL31" s="265">
        <f t="shared" si="7"/>
        <v>4</v>
      </c>
      <c r="AM31" s="6">
        <f t="shared" si="25"/>
        <v>3</v>
      </c>
      <c r="AN31" s="255">
        <f t="shared" si="9"/>
        <v>0.95849802371541504</v>
      </c>
      <c r="AO31" s="256">
        <f t="shared" si="10"/>
        <v>0.67519468627738022</v>
      </c>
      <c r="AP31" s="257">
        <f t="shared" si="11"/>
        <v>2964.4268774703555</v>
      </c>
      <c r="AQ31" s="263">
        <f t="shared" si="30"/>
        <v>8</v>
      </c>
      <c r="AR31" s="263">
        <f t="shared" si="13"/>
        <v>4.6000000000000005</v>
      </c>
      <c r="AS31" s="263">
        <f t="shared" si="14"/>
        <v>0.30000000000000004</v>
      </c>
      <c r="AT31" s="263">
        <f t="shared" si="15"/>
        <v>12.900000000000002</v>
      </c>
      <c r="AU31" s="263"/>
      <c r="AV31" s="263"/>
      <c r="AW31" s="263"/>
      <c r="AX31" s="263">
        <f t="shared" si="16"/>
        <v>12.900000000000002</v>
      </c>
      <c r="BA31" s="282">
        <f t="shared" si="17"/>
        <v>380.39215686274508</v>
      </c>
      <c r="BB31">
        <v>1</v>
      </c>
      <c r="BC31">
        <f t="shared" si="26"/>
        <v>380.39215686274508</v>
      </c>
      <c r="BD31">
        <f t="shared" si="18"/>
        <v>480</v>
      </c>
      <c r="BE31">
        <f t="shared" si="19"/>
        <v>540</v>
      </c>
      <c r="BF31" s="281">
        <f t="shared" si="28"/>
        <v>0.70442992011619465</v>
      </c>
      <c r="BG31" s="282" t="s">
        <v>2482</v>
      </c>
      <c r="BH31" s="283"/>
    </row>
    <row r="32" spans="1:60" x14ac:dyDescent="0.3">
      <c r="A32">
        <f t="shared" si="20"/>
        <v>30</v>
      </c>
      <c r="B32" s="241" t="s">
        <v>2499</v>
      </c>
      <c r="C32" s="294">
        <v>1</v>
      </c>
      <c r="D32" s="14">
        <v>45680</v>
      </c>
      <c r="E32" s="7">
        <v>45</v>
      </c>
      <c r="F32" s="7"/>
      <c r="G32" s="66"/>
      <c r="H32" s="59"/>
      <c r="I32" s="59">
        <v>600</v>
      </c>
      <c r="J32" s="47">
        <f t="shared" si="21"/>
        <v>600</v>
      </c>
      <c r="K32" s="8">
        <f t="shared" si="29"/>
        <v>555</v>
      </c>
      <c r="L32" s="96">
        <f t="shared" si="2"/>
        <v>0.92500000000000004</v>
      </c>
      <c r="M32" s="81">
        <v>1036</v>
      </c>
      <c r="N32" s="8">
        <v>153</v>
      </c>
      <c r="O32" s="8">
        <v>60</v>
      </c>
      <c r="P32" s="96">
        <f t="shared" si="22"/>
        <v>0.73202614379084963</v>
      </c>
      <c r="Q32" s="59">
        <f t="shared" si="23"/>
        <v>1036</v>
      </c>
      <c r="R32" s="252">
        <f t="shared" si="5"/>
        <v>1048</v>
      </c>
      <c r="S32" s="263">
        <v>20</v>
      </c>
      <c r="T32" s="263">
        <v>5</v>
      </c>
      <c r="U32" s="263">
        <v>63</v>
      </c>
      <c r="V32" s="263">
        <v>0</v>
      </c>
      <c r="W32" s="263">
        <v>2</v>
      </c>
      <c r="X32" s="263">
        <v>6</v>
      </c>
      <c r="Y32" s="263">
        <v>0</v>
      </c>
      <c r="Z32" s="263">
        <v>1</v>
      </c>
      <c r="AA32" s="263">
        <v>0</v>
      </c>
      <c r="AB32" s="263">
        <v>8</v>
      </c>
      <c r="AC32" s="263">
        <v>4</v>
      </c>
      <c r="AD32" s="263">
        <v>0</v>
      </c>
      <c r="AE32" s="263"/>
      <c r="AF32" s="263"/>
      <c r="AG32" s="263"/>
      <c r="AH32" s="263"/>
      <c r="AI32" s="263"/>
      <c r="AJ32" s="259"/>
      <c r="AK32" s="263">
        <f t="shared" si="24"/>
        <v>0</v>
      </c>
      <c r="AL32" s="265">
        <f t="shared" si="7"/>
        <v>4</v>
      </c>
      <c r="AM32" s="6">
        <f t="shared" si="25"/>
        <v>0</v>
      </c>
      <c r="AN32" s="255">
        <f t="shared" si="9"/>
        <v>0.98854961832061072</v>
      </c>
      <c r="AO32" s="256">
        <f t="shared" si="10"/>
        <v>0.66937085266676655</v>
      </c>
      <c r="AP32" s="257">
        <f t="shared" si="11"/>
        <v>0</v>
      </c>
      <c r="AQ32" s="263">
        <f t="shared" ref="AQ32:AQ38" si="31">+AB32*0.5</f>
        <v>4</v>
      </c>
      <c r="AR32" s="263">
        <f t="shared" si="13"/>
        <v>0.8</v>
      </c>
      <c r="AS32" s="263">
        <f t="shared" si="14"/>
        <v>0</v>
      </c>
      <c r="AT32" s="263">
        <f t="shared" si="15"/>
        <v>4.8</v>
      </c>
      <c r="AU32" s="263"/>
      <c r="AV32" s="263"/>
      <c r="AW32" s="263"/>
      <c r="AX32" s="263">
        <f t="shared" si="16"/>
        <v>4.8</v>
      </c>
      <c r="BA32" s="282">
        <f t="shared" si="17"/>
        <v>406.27450980392155</v>
      </c>
      <c r="BB32">
        <v>1</v>
      </c>
      <c r="BC32">
        <f t="shared" si="26"/>
        <v>406.27450980392155</v>
      </c>
      <c r="BD32">
        <f t="shared" si="18"/>
        <v>555</v>
      </c>
      <c r="BE32">
        <f t="shared" si="19"/>
        <v>600</v>
      </c>
      <c r="BF32" s="281">
        <f t="shared" si="28"/>
        <v>0.67712418300653587</v>
      </c>
      <c r="BG32" s="282" t="s">
        <v>2481</v>
      </c>
      <c r="BH32" s="283"/>
    </row>
    <row r="33" spans="1:60" x14ac:dyDescent="0.3">
      <c r="A33">
        <f t="shared" si="20"/>
        <v>31</v>
      </c>
      <c r="B33" s="241" t="s">
        <v>2499</v>
      </c>
      <c r="C33" s="294">
        <v>2</v>
      </c>
      <c r="D33" s="14">
        <v>45680</v>
      </c>
      <c r="E33" s="7"/>
      <c r="F33" s="7">
        <v>210</v>
      </c>
      <c r="G33" s="66"/>
      <c r="H33" s="59"/>
      <c r="I33" s="59">
        <v>540</v>
      </c>
      <c r="J33" s="47">
        <f t="shared" si="21"/>
        <v>540</v>
      </c>
      <c r="K33" s="8">
        <f t="shared" si="29"/>
        <v>330</v>
      </c>
      <c r="L33" s="96">
        <f t="shared" si="2"/>
        <v>0.61111111111111116</v>
      </c>
      <c r="M33" s="81">
        <v>680</v>
      </c>
      <c r="N33" s="8">
        <v>153</v>
      </c>
      <c r="O33" s="8">
        <v>60</v>
      </c>
      <c r="P33" s="96">
        <f t="shared" si="22"/>
        <v>0.80808080808080818</v>
      </c>
      <c r="Q33" s="59">
        <f t="shared" si="23"/>
        <v>680</v>
      </c>
      <c r="R33" s="252">
        <f t="shared" si="5"/>
        <v>719</v>
      </c>
      <c r="S33" s="263">
        <v>19</v>
      </c>
      <c r="T33" s="263">
        <v>2</v>
      </c>
      <c r="U33" s="263">
        <v>28</v>
      </c>
      <c r="V33" s="263">
        <v>0</v>
      </c>
      <c r="W33" s="263">
        <v>0</v>
      </c>
      <c r="X33" s="263">
        <v>3</v>
      </c>
      <c r="Y33" s="263">
        <v>0</v>
      </c>
      <c r="Z33" s="263">
        <v>0</v>
      </c>
      <c r="AA33" s="263">
        <v>0</v>
      </c>
      <c r="AB33" s="263">
        <v>1</v>
      </c>
      <c r="AC33" s="263">
        <v>38</v>
      </c>
      <c r="AD33" s="263">
        <v>0</v>
      </c>
      <c r="AE33" s="263"/>
      <c r="AF33" s="263"/>
      <c r="AG33" s="263"/>
      <c r="AH33" s="263"/>
      <c r="AI33" s="263"/>
      <c r="AJ33" s="259"/>
      <c r="AK33" s="263">
        <f t="shared" si="24"/>
        <v>0</v>
      </c>
      <c r="AL33" s="265">
        <f t="shared" si="7"/>
        <v>4</v>
      </c>
      <c r="AM33" s="6">
        <f t="shared" si="25"/>
        <v>0</v>
      </c>
      <c r="AN33" s="255">
        <f t="shared" si="9"/>
        <v>0.94575799721835885</v>
      </c>
      <c r="AO33" s="256">
        <f t="shared" si="10"/>
        <v>0.46704098628067114</v>
      </c>
      <c r="AP33" s="257">
        <f t="shared" si="11"/>
        <v>0</v>
      </c>
      <c r="AQ33" s="263">
        <f t="shared" si="31"/>
        <v>0.5</v>
      </c>
      <c r="AR33" s="263">
        <f t="shared" si="13"/>
        <v>7.6000000000000005</v>
      </c>
      <c r="AS33" s="263">
        <f t="shared" si="14"/>
        <v>0</v>
      </c>
      <c r="AT33" s="263">
        <f t="shared" si="15"/>
        <v>8.1000000000000014</v>
      </c>
      <c r="AU33" s="263"/>
      <c r="AV33" s="263"/>
      <c r="AW33" s="263"/>
      <c r="AX33" s="263">
        <f t="shared" si="16"/>
        <v>8.1000000000000014</v>
      </c>
      <c r="BA33" s="282">
        <f t="shared" si="17"/>
        <v>266.66666666666669</v>
      </c>
      <c r="BB33">
        <v>1</v>
      </c>
      <c r="BC33">
        <f t="shared" si="26"/>
        <v>266.66666666666669</v>
      </c>
      <c r="BD33">
        <f t="shared" si="18"/>
        <v>330</v>
      </c>
      <c r="BE33">
        <f t="shared" si="19"/>
        <v>540</v>
      </c>
      <c r="BF33" s="281">
        <f t="shared" si="28"/>
        <v>0.49382716049382719</v>
      </c>
      <c r="BG33" s="282" t="s">
        <v>2482</v>
      </c>
      <c r="BH33" s="283"/>
    </row>
    <row r="34" spans="1:60" x14ac:dyDescent="0.3">
      <c r="A34">
        <f t="shared" si="20"/>
        <v>32</v>
      </c>
      <c r="B34" s="241" t="s">
        <v>2499</v>
      </c>
      <c r="C34" s="294">
        <v>1</v>
      </c>
      <c r="D34" s="14">
        <v>45681</v>
      </c>
      <c r="E34" s="7">
        <v>45</v>
      </c>
      <c r="F34" s="7"/>
      <c r="G34" s="66"/>
      <c r="H34" s="59"/>
      <c r="I34" s="59">
        <v>600</v>
      </c>
      <c r="J34" s="47">
        <f t="shared" si="21"/>
        <v>600</v>
      </c>
      <c r="K34" s="8">
        <f t="shared" si="29"/>
        <v>555</v>
      </c>
      <c r="L34" s="96">
        <f t="shared" si="2"/>
        <v>0.92500000000000004</v>
      </c>
      <c r="M34" s="81">
        <v>1148</v>
      </c>
      <c r="N34" s="8">
        <v>153</v>
      </c>
      <c r="O34" s="8">
        <v>60</v>
      </c>
      <c r="P34" s="96">
        <f t="shared" si="22"/>
        <v>0.81116410528175231</v>
      </c>
      <c r="Q34" s="59">
        <f t="shared" si="23"/>
        <v>1148</v>
      </c>
      <c r="R34" s="252">
        <f t="shared" si="5"/>
        <v>1172</v>
      </c>
      <c r="S34" s="263">
        <v>16</v>
      </c>
      <c r="T34" s="263">
        <v>1</v>
      </c>
      <c r="U34" s="263">
        <v>6</v>
      </c>
      <c r="V34" s="263">
        <v>0</v>
      </c>
      <c r="W34" s="263">
        <v>0</v>
      </c>
      <c r="X34" s="263">
        <v>8</v>
      </c>
      <c r="Y34" s="263">
        <v>0</v>
      </c>
      <c r="Z34" s="263">
        <v>3</v>
      </c>
      <c r="AA34" s="263">
        <v>0</v>
      </c>
      <c r="AB34" s="263">
        <v>10</v>
      </c>
      <c r="AC34" s="263">
        <v>9</v>
      </c>
      <c r="AD34" s="263">
        <v>5</v>
      </c>
      <c r="AE34" s="263"/>
      <c r="AF34" s="263"/>
      <c r="AG34" s="263"/>
      <c r="AH34" s="263"/>
      <c r="AI34" s="263"/>
      <c r="AJ34" s="259"/>
      <c r="AK34" s="263">
        <f t="shared" si="24"/>
        <v>5</v>
      </c>
      <c r="AL34" s="265">
        <f t="shared" si="7"/>
        <v>4</v>
      </c>
      <c r="AM34" s="6">
        <f t="shared" si="25"/>
        <v>5</v>
      </c>
      <c r="AN34" s="255">
        <f t="shared" si="9"/>
        <v>0.97952218430034133</v>
      </c>
      <c r="AO34" s="256">
        <f t="shared" si="10"/>
        <v>0.73496174351424304</v>
      </c>
      <c r="AP34" s="257">
        <f t="shared" si="11"/>
        <v>4266.2116040955634</v>
      </c>
      <c r="AQ34" s="263">
        <f t="shared" si="31"/>
        <v>5</v>
      </c>
      <c r="AR34" s="263">
        <f t="shared" si="13"/>
        <v>1.8</v>
      </c>
      <c r="AS34" s="263">
        <f t="shared" si="14"/>
        <v>0.5</v>
      </c>
      <c r="AT34" s="263">
        <f t="shared" ref="AT34:AT38" si="32">SUM(AQ34:AS34)</f>
        <v>7.3</v>
      </c>
      <c r="AU34" s="263"/>
      <c r="AV34" s="263"/>
      <c r="AW34" s="263"/>
      <c r="AX34" s="263">
        <f t="shared" ref="AX34:AX38" si="33">+AW34+AU34+AT34+AV34</f>
        <v>7.3</v>
      </c>
      <c r="BA34" s="282">
        <f t="shared" si="17"/>
        <v>450.19607843137254</v>
      </c>
      <c r="BB34">
        <v>1</v>
      </c>
      <c r="BC34">
        <f t="shared" si="26"/>
        <v>450.19607843137254</v>
      </c>
      <c r="BD34">
        <f t="shared" si="18"/>
        <v>555</v>
      </c>
      <c r="BE34">
        <f t="shared" si="19"/>
        <v>600</v>
      </c>
      <c r="BF34" s="281">
        <f t="shared" si="28"/>
        <v>0.75032679738562091</v>
      </c>
      <c r="BG34" s="282" t="s">
        <v>2481</v>
      </c>
      <c r="BH34" s="283"/>
    </row>
    <row r="35" spans="1:60" x14ac:dyDescent="0.3">
      <c r="A35">
        <f t="shared" si="20"/>
        <v>33</v>
      </c>
      <c r="B35" s="241" t="s">
        <v>2499</v>
      </c>
      <c r="C35" s="294">
        <v>2</v>
      </c>
      <c r="D35" s="14">
        <v>45681</v>
      </c>
      <c r="E35" s="7"/>
      <c r="F35" s="7"/>
      <c r="G35" s="66"/>
      <c r="H35" s="59"/>
      <c r="I35" s="59">
        <v>540</v>
      </c>
      <c r="J35" s="47">
        <f t="shared" ref="J35:J63" si="34">I35+H35</f>
        <v>540</v>
      </c>
      <c r="K35" s="8">
        <f t="shared" ref="K35:K63" si="35">IFERROR(J35-E35-F35-G35,"")</f>
        <v>540</v>
      </c>
      <c r="L35" s="96">
        <f t="shared" ref="L35:L63" si="36">IFERROR(K35/J35,"")</f>
        <v>1</v>
      </c>
      <c r="M35" s="81">
        <v>972</v>
      </c>
      <c r="N35" s="8">
        <v>153</v>
      </c>
      <c r="O35" s="8">
        <v>60</v>
      </c>
      <c r="P35" s="96">
        <f t="shared" ref="P35:P63" si="37">IFERROR((M35/N35*O35)/K35,"")</f>
        <v>0.70588235294117641</v>
      </c>
      <c r="Q35" s="59">
        <f t="shared" ref="Q35:Q63" si="38">M35</f>
        <v>972</v>
      </c>
      <c r="R35" s="252">
        <f t="shared" si="5"/>
        <v>991</v>
      </c>
      <c r="S35" s="263">
        <v>34</v>
      </c>
      <c r="T35" s="263">
        <v>4</v>
      </c>
      <c r="U35" s="263">
        <v>5</v>
      </c>
      <c r="V35" s="263">
        <v>0</v>
      </c>
      <c r="W35" s="263">
        <v>0</v>
      </c>
      <c r="X35" s="263">
        <v>3</v>
      </c>
      <c r="Y35" s="263">
        <v>0</v>
      </c>
      <c r="Z35" s="263">
        <v>15</v>
      </c>
      <c r="AA35" s="263">
        <v>0</v>
      </c>
      <c r="AB35" s="263">
        <v>1</v>
      </c>
      <c r="AC35" s="263">
        <v>15</v>
      </c>
      <c r="AD35" s="263">
        <v>3</v>
      </c>
      <c r="AE35" s="263"/>
      <c r="AF35" s="263"/>
      <c r="AG35" s="263"/>
      <c r="AH35" s="263"/>
      <c r="AI35" s="263"/>
      <c r="AJ35" s="259"/>
      <c r="AK35" s="263">
        <f t="shared" ref="AK35:AK63" si="39">+AD35+AE35+AF35+AG35+AH35+AI35</f>
        <v>3</v>
      </c>
      <c r="AL35" s="265">
        <f t="shared" si="7"/>
        <v>4</v>
      </c>
      <c r="AM35" s="6">
        <f t="shared" ref="AM35:AM63" si="40">AK35</f>
        <v>3</v>
      </c>
      <c r="AN35" s="255">
        <f t="shared" si="9"/>
        <v>0.9808274470232089</v>
      </c>
      <c r="AO35" s="256">
        <f t="shared" si="10"/>
        <v>0.69234878613402973</v>
      </c>
      <c r="AP35" s="257">
        <f t="shared" si="11"/>
        <v>3027.2452068617558</v>
      </c>
      <c r="AQ35" s="263">
        <f t="shared" si="31"/>
        <v>0.5</v>
      </c>
      <c r="AR35" s="263">
        <f t="shared" si="13"/>
        <v>3</v>
      </c>
      <c r="AS35" s="263">
        <f t="shared" si="14"/>
        <v>0.30000000000000004</v>
      </c>
      <c r="AT35" s="263">
        <f t="shared" si="32"/>
        <v>3.8</v>
      </c>
      <c r="AU35" s="263"/>
      <c r="AV35" s="263"/>
      <c r="AW35" s="263"/>
      <c r="AX35" s="263">
        <f t="shared" si="33"/>
        <v>3.8</v>
      </c>
      <c r="BA35" s="282">
        <f t="shared" si="17"/>
        <v>381.17647058823525</v>
      </c>
      <c r="BB35">
        <v>1</v>
      </c>
      <c r="BC35">
        <f t="shared" ref="BC35:BC63" si="41">IFERROR(BA35*BB35,"")</f>
        <v>381.17647058823525</v>
      </c>
      <c r="BD35">
        <f t="shared" si="18"/>
        <v>540</v>
      </c>
      <c r="BE35">
        <f t="shared" si="19"/>
        <v>540</v>
      </c>
      <c r="BF35" s="281">
        <f t="shared" ref="BF35:BF63" si="42">BC35/BE35</f>
        <v>0.70588235294117641</v>
      </c>
      <c r="BG35" s="282" t="s">
        <v>2482</v>
      </c>
      <c r="BH35" s="283"/>
    </row>
    <row r="36" spans="1:60" x14ac:dyDescent="0.3">
      <c r="A36">
        <f t="shared" si="20"/>
        <v>34</v>
      </c>
      <c r="B36" s="241" t="s">
        <v>2499</v>
      </c>
      <c r="C36" s="294">
        <v>1</v>
      </c>
      <c r="D36" s="14">
        <v>45682</v>
      </c>
      <c r="E36" s="7">
        <v>45</v>
      </c>
      <c r="F36" s="7"/>
      <c r="G36" s="66"/>
      <c r="H36" s="59"/>
      <c r="I36" s="59">
        <v>600</v>
      </c>
      <c r="J36" s="47">
        <f t="shared" si="34"/>
        <v>600</v>
      </c>
      <c r="K36" s="8">
        <f t="shared" si="35"/>
        <v>555</v>
      </c>
      <c r="L36" s="96">
        <f t="shared" si="36"/>
        <v>0.92500000000000004</v>
      </c>
      <c r="M36" s="81">
        <v>1009</v>
      </c>
      <c r="N36" s="8">
        <v>153</v>
      </c>
      <c r="O36" s="8">
        <v>60</v>
      </c>
      <c r="P36" s="96">
        <f t="shared" si="37"/>
        <v>0.71294824236000709</v>
      </c>
      <c r="Q36" s="59">
        <f t="shared" si="38"/>
        <v>1009</v>
      </c>
      <c r="R36" s="252">
        <f t="shared" si="5"/>
        <v>1026</v>
      </c>
      <c r="S36" s="263">
        <v>59</v>
      </c>
      <c r="T36" s="263">
        <v>4</v>
      </c>
      <c r="U36" s="263">
        <v>12</v>
      </c>
      <c r="V36" s="263">
        <v>0</v>
      </c>
      <c r="W36" s="263">
        <v>4</v>
      </c>
      <c r="X36" s="263">
        <v>7</v>
      </c>
      <c r="Y36" s="263">
        <v>0</v>
      </c>
      <c r="Z36" s="263">
        <v>1</v>
      </c>
      <c r="AA36" s="263">
        <v>0</v>
      </c>
      <c r="AB36" s="263">
        <v>7</v>
      </c>
      <c r="AC36" s="263">
        <v>7</v>
      </c>
      <c r="AD36" s="263">
        <v>3</v>
      </c>
      <c r="AE36" s="263"/>
      <c r="AF36" s="263"/>
      <c r="AG36" s="263"/>
      <c r="AH36" s="263"/>
      <c r="AI36" s="263"/>
      <c r="AJ36" s="259"/>
      <c r="AK36" s="263">
        <f t="shared" si="39"/>
        <v>3</v>
      </c>
      <c r="AL36" s="265">
        <f t="shared" si="7"/>
        <v>4</v>
      </c>
      <c r="AM36" s="6">
        <f t="shared" si="40"/>
        <v>3</v>
      </c>
      <c r="AN36" s="255">
        <f t="shared" si="9"/>
        <v>0.98343079922027288</v>
      </c>
      <c r="AO36" s="256">
        <f t="shared" si="10"/>
        <v>0.64855011530278128</v>
      </c>
      <c r="AP36" s="257">
        <f t="shared" si="11"/>
        <v>2923.9766081871344</v>
      </c>
      <c r="AQ36" s="263">
        <f t="shared" si="31"/>
        <v>3.5</v>
      </c>
      <c r="AR36" s="263">
        <f t="shared" si="13"/>
        <v>1.4000000000000001</v>
      </c>
      <c r="AS36" s="263">
        <f t="shared" si="14"/>
        <v>0.30000000000000004</v>
      </c>
      <c r="AT36" s="263">
        <f t="shared" si="32"/>
        <v>5.2</v>
      </c>
      <c r="AU36" s="263"/>
      <c r="AV36" s="263"/>
      <c r="AW36" s="263"/>
      <c r="AX36" s="263">
        <f t="shared" si="33"/>
        <v>5.2</v>
      </c>
      <c r="BA36" s="282">
        <f t="shared" si="17"/>
        <v>395.68627450980392</v>
      </c>
      <c r="BB36">
        <v>1</v>
      </c>
      <c r="BC36">
        <f t="shared" si="41"/>
        <v>395.68627450980392</v>
      </c>
      <c r="BD36">
        <f t="shared" si="18"/>
        <v>555</v>
      </c>
      <c r="BE36">
        <f t="shared" si="19"/>
        <v>600</v>
      </c>
      <c r="BF36" s="281">
        <f t="shared" si="42"/>
        <v>0.65947712418300652</v>
      </c>
      <c r="BG36" s="282" t="s">
        <v>2501</v>
      </c>
      <c r="BH36" s="283" t="s">
        <v>2502</v>
      </c>
    </row>
    <row r="37" spans="1:60" x14ac:dyDescent="0.3">
      <c r="A37">
        <f t="shared" si="20"/>
        <v>35</v>
      </c>
      <c r="B37" s="241" t="s">
        <v>2499</v>
      </c>
      <c r="C37" s="294">
        <v>2</v>
      </c>
      <c r="D37" s="14">
        <v>45682</v>
      </c>
      <c r="E37" s="7"/>
      <c r="F37" s="7"/>
      <c r="G37" s="66"/>
      <c r="H37" s="59"/>
      <c r="I37" s="59">
        <v>540</v>
      </c>
      <c r="J37" s="47">
        <f t="shared" si="34"/>
        <v>540</v>
      </c>
      <c r="K37" s="8">
        <f t="shared" si="35"/>
        <v>540</v>
      </c>
      <c r="L37" s="96">
        <f t="shared" si="36"/>
        <v>1</v>
      </c>
      <c r="M37" s="81">
        <v>1030</v>
      </c>
      <c r="N37" s="8">
        <v>153</v>
      </c>
      <c r="O37" s="8">
        <v>60</v>
      </c>
      <c r="P37" s="96">
        <f t="shared" si="37"/>
        <v>0.74800290486565002</v>
      </c>
      <c r="Q37" s="59">
        <f t="shared" si="38"/>
        <v>1030</v>
      </c>
      <c r="R37" s="252">
        <f t="shared" si="5"/>
        <v>1054</v>
      </c>
      <c r="S37" s="263">
        <v>21</v>
      </c>
      <c r="T37" s="263">
        <v>1</v>
      </c>
      <c r="U37" s="263">
        <v>13</v>
      </c>
      <c r="V37" s="263">
        <v>0</v>
      </c>
      <c r="W37" s="263">
        <v>4</v>
      </c>
      <c r="X37" s="263">
        <v>1</v>
      </c>
      <c r="Y37" s="263">
        <v>0</v>
      </c>
      <c r="Z37" s="263">
        <v>0</v>
      </c>
      <c r="AA37" s="263">
        <v>0</v>
      </c>
      <c r="AB37" s="263">
        <v>18</v>
      </c>
      <c r="AC37" s="263">
        <v>1</v>
      </c>
      <c r="AD37" s="263">
        <v>5</v>
      </c>
      <c r="AE37" s="263"/>
      <c r="AF37" s="263"/>
      <c r="AG37" s="263"/>
      <c r="AH37" s="263"/>
      <c r="AI37" s="263"/>
      <c r="AJ37" s="259"/>
      <c r="AK37" s="263">
        <f t="shared" si="39"/>
        <v>5</v>
      </c>
      <c r="AL37" s="265">
        <f t="shared" si="7"/>
        <v>4</v>
      </c>
      <c r="AM37" s="6">
        <f t="shared" si="40"/>
        <v>5</v>
      </c>
      <c r="AN37" s="255">
        <f t="shared" si="9"/>
        <v>0.97722960151802651</v>
      </c>
      <c r="AO37" s="256">
        <f t="shared" si="10"/>
        <v>0.73097058065618548</v>
      </c>
      <c r="AP37" s="257">
        <f t="shared" si="11"/>
        <v>4743.833017077799</v>
      </c>
      <c r="AQ37" s="263">
        <f t="shared" si="31"/>
        <v>9</v>
      </c>
      <c r="AR37" s="263">
        <f t="shared" si="13"/>
        <v>0.2</v>
      </c>
      <c r="AS37" s="263">
        <f t="shared" si="14"/>
        <v>0.5</v>
      </c>
      <c r="AT37" s="263">
        <f t="shared" si="32"/>
        <v>9.6999999999999993</v>
      </c>
      <c r="AU37" s="263"/>
      <c r="AV37" s="263"/>
      <c r="AW37" s="263"/>
      <c r="AX37" s="263">
        <f t="shared" si="33"/>
        <v>9.6999999999999993</v>
      </c>
      <c r="BA37" s="282">
        <f t="shared" si="17"/>
        <v>403.92156862745099</v>
      </c>
      <c r="BB37">
        <v>1</v>
      </c>
      <c r="BC37">
        <f t="shared" si="41"/>
        <v>403.92156862745099</v>
      </c>
      <c r="BD37">
        <f t="shared" si="18"/>
        <v>540</v>
      </c>
      <c r="BE37">
        <f t="shared" si="19"/>
        <v>540</v>
      </c>
      <c r="BF37" s="281">
        <f t="shared" si="42"/>
        <v>0.74800290486565002</v>
      </c>
      <c r="BG37" s="282" t="s">
        <v>2500</v>
      </c>
      <c r="BH37" s="283"/>
    </row>
    <row r="38" spans="1:60" x14ac:dyDescent="0.3">
      <c r="A38">
        <f t="shared" si="20"/>
        <v>36</v>
      </c>
      <c r="B38" s="241" t="s">
        <v>2499</v>
      </c>
      <c r="C38" s="294">
        <v>1</v>
      </c>
      <c r="D38" s="14">
        <v>45684</v>
      </c>
      <c r="E38" s="7">
        <v>45</v>
      </c>
      <c r="F38" s="7"/>
      <c r="G38" s="66"/>
      <c r="H38" s="59"/>
      <c r="I38" s="59">
        <v>600</v>
      </c>
      <c r="J38" s="47">
        <f t="shared" si="34"/>
        <v>600</v>
      </c>
      <c r="K38" s="8">
        <f t="shared" si="35"/>
        <v>555</v>
      </c>
      <c r="L38" s="96">
        <f t="shared" si="36"/>
        <v>0.92500000000000004</v>
      </c>
      <c r="M38" s="81">
        <v>1048</v>
      </c>
      <c r="N38" s="8">
        <v>153</v>
      </c>
      <c r="O38" s="8">
        <v>60</v>
      </c>
      <c r="P38" s="96">
        <f t="shared" si="37"/>
        <v>0.74050521109344636</v>
      </c>
      <c r="Q38" s="59">
        <f t="shared" si="38"/>
        <v>1048</v>
      </c>
      <c r="R38" s="252">
        <f t="shared" si="5"/>
        <v>1101</v>
      </c>
      <c r="S38" s="263">
        <v>59</v>
      </c>
      <c r="T38" s="263">
        <v>9</v>
      </c>
      <c r="U38" s="263">
        <v>10</v>
      </c>
      <c r="V38" s="263">
        <v>0</v>
      </c>
      <c r="W38" s="263">
        <v>4</v>
      </c>
      <c r="X38" s="263">
        <v>8</v>
      </c>
      <c r="Y38" s="263">
        <v>0</v>
      </c>
      <c r="Z38" s="263">
        <v>2</v>
      </c>
      <c r="AA38" s="263">
        <v>1</v>
      </c>
      <c r="AB38" s="263">
        <v>50</v>
      </c>
      <c r="AC38" s="263">
        <v>1</v>
      </c>
      <c r="AD38" s="263">
        <v>2</v>
      </c>
      <c r="AE38" s="263"/>
      <c r="AF38" s="263"/>
      <c r="AG38" s="263"/>
      <c r="AH38" s="263"/>
      <c r="AI38" s="263"/>
      <c r="AJ38" s="259"/>
      <c r="AK38" s="263">
        <f t="shared" si="39"/>
        <v>2</v>
      </c>
      <c r="AL38" s="265">
        <f t="shared" si="7"/>
        <v>5</v>
      </c>
      <c r="AM38" s="6">
        <f t="shared" si="40"/>
        <v>2</v>
      </c>
      <c r="AN38" s="255">
        <f t="shared" si="9"/>
        <v>0.95186194368755672</v>
      </c>
      <c r="AO38" s="256">
        <f t="shared" si="10"/>
        <v>0.65199432482650943</v>
      </c>
      <c r="AP38" s="257">
        <f t="shared" si="11"/>
        <v>1816.5304268846503</v>
      </c>
      <c r="AQ38" s="263">
        <f t="shared" si="31"/>
        <v>25</v>
      </c>
      <c r="AR38" s="263">
        <f t="shared" si="13"/>
        <v>0.2</v>
      </c>
      <c r="AS38" s="263">
        <f t="shared" si="14"/>
        <v>0.2</v>
      </c>
      <c r="AT38" s="263">
        <f t="shared" si="32"/>
        <v>25.4</v>
      </c>
      <c r="AU38" s="263"/>
      <c r="AV38" s="263"/>
      <c r="AW38" s="263"/>
      <c r="AX38" s="263">
        <f t="shared" si="33"/>
        <v>25.4</v>
      </c>
      <c r="BA38" s="282">
        <f t="shared" si="17"/>
        <v>410.98039215686271</v>
      </c>
      <c r="BB38">
        <v>1</v>
      </c>
      <c r="BC38">
        <f t="shared" si="41"/>
        <v>410.98039215686271</v>
      </c>
      <c r="BD38">
        <f t="shared" si="18"/>
        <v>555</v>
      </c>
      <c r="BE38">
        <f t="shared" si="19"/>
        <v>600</v>
      </c>
      <c r="BF38" s="281">
        <f t="shared" si="42"/>
        <v>0.68496732026143781</v>
      </c>
      <c r="BG38" s="282" t="s">
        <v>2481</v>
      </c>
      <c r="BH38" s="283"/>
    </row>
    <row r="39" spans="1:60" x14ac:dyDescent="0.3">
      <c r="A39">
        <f t="shared" si="20"/>
        <v>37</v>
      </c>
      <c r="B39" s="241" t="s">
        <v>2499</v>
      </c>
      <c r="C39" s="294">
        <v>2</v>
      </c>
      <c r="D39" s="14">
        <v>45684</v>
      </c>
      <c r="E39" s="7"/>
      <c r="F39" s="7"/>
      <c r="G39" s="66"/>
      <c r="H39" s="59"/>
      <c r="I39" s="59">
        <v>540</v>
      </c>
      <c r="J39" s="47">
        <f t="shared" si="34"/>
        <v>540</v>
      </c>
      <c r="K39" s="8">
        <f t="shared" si="35"/>
        <v>540</v>
      </c>
      <c r="L39" s="96">
        <f t="shared" si="36"/>
        <v>1</v>
      </c>
      <c r="M39" s="81">
        <v>1030</v>
      </c>
      <c r="N39" s="8">
        <v>153</v>
      </c>
      <c r="O39" s="8">
        <v>60</v>
      </c>
      <c r="P39" s="96">
        <f t="shared" si="37"/>
        <v>0.74800290486565002</v>
      </c>
      <c r="Q39" s="59">
        <f t="shared" si="38"/>
        <v>1030</v>
      </c>
      <c r="R39" s="252">
        <f t="shared" si="5"/>
        <v>1054</v>
      </c>
      <c r="S39" s="263">
        <v>21</v>
      </c>
      <c r="T39" s="263">
        <v>1</v>
      </c>
      <c r="U39" s="263">
        <v>13</v>
      </c>
      <c r="V39" s="263">
        <v>0</v>
      </c>
      <c r="W39" s="263">
        <v>4</v>
      </c>
      <c r="X39" s="263">
        <v>1</v>
      </c>
      <c r="Y39" s="263">
        <v>0</v>
      </c>
      <c r="Z39" s="263">
        <v>0</v>
      </c>
      <c r="AA39" s="263">
        <v>0</v>
      </c>
      <c r="AB39" s="263">
        <v>18</v>
      </c>
      <c r="AC39" s="263">
        <v>1</v>
      </c>
      <c r="AD39" s="263">
        <v>5</v>
      </c>
      <c r="AE39" s="263"/>
      <c r="AF39" s="263"/>
      <c r="AG39" s="263"/>
      <c r="AH39" s="263"/>
      <c r="AI39" s="263"/>
      <c r="AJ39" s="259"/>
      <c r="AK39" s="263">
        <f t="shared" si="39"/>
        <v>5</v>
      </c>
      <c r="AL39" s="265">
        <f t="shared" si="7"/>
        <v>5</v>
      </c>
      <c r="AM39" s="6">
        <f t="shared" si="40"/>
        <v>5</v>
      </c>
      <c r="AN39" s="255">
        <f t="shared" si="9"/>
        <v>0.97722960151802651</v>
      </c>
      <c r="AO39" s="256">
        <f t="shared" si="10"/>
        <v>0.73097058065618548</v>
      </c>
      <c r="AP39" s="257">
        <f t="shared" si="11"/>
        <v>4743.833017077799</v>
      </c>
      <c r="AQ39" s="263">
        <f t="shared" ref="AQ39:AQ63" si="43">+AB39*0.5</f>
        <v>9</v>
      </c>
      <c r="AR39" s="263">
        <f t="shared" ref="AR39:AR63" si="44">+AC39*0.2</f>
        <v>0.2</v>
      </c>
      <c r="AS39" s="263">
        <f t="shared" ref="AS39:AS63" si="45">+AD39*0.1</f>
        <v>0.5</v>
      </c>
      <c r="AT39" s="263">
        <f t="shared" ref="AT39:AT63" si="46">SUM(AQ39:AS39)</f>
        <v>9.6999999999999993</v>
      </c>
      <c r="AU39" s="263"/>
      <c r="AV39" s="263"/>
      <c r="AW39" s="263"/>
      <c r="AX39" s="263">
        <f t="shared" ref="AX39:AX63" si="47">+AW39+AU39+AT39+AV39</f>
        <v>9.6999999999999993</v>
      </c>
      <c r="BA39" s="282">
        <f t="shared" si="17"/>
        <v>403.92156862745099</v>
      </c>
      <c r="BB39">
        <v>1</v>
      </c>
      <c r="BC39">
        <f t="shared" si="41"/>
        <v>403.92156862745099</v>
      </c>
      <c r="BD39">
        <f t="shared" si="18"/>
        <v>540</v>
      </c>
      <c r="BE39">
        <f t="shared" si="19"/>
        <v>540</v>
      </c>
      <c r="BF39" s="281">
        <f t="shared" si="42"/>
        <v>0.74800290486565002</v>
      </c>
      <c r="BG39" s="282" t="s">
        <v>2482</v>
      </c>
      <c r="BH39" s="283"/>
    </row>
    <row r="40" spans="1:60" x14ac:dyDescent="0.3">
      <c r="A40">
        <f t="shared" si="20"/>
        <v>38</v>
      </c>
      <c r="B40" s="241" t="s">
        <v>2499</v>
      </c>
      <c r="C40" s="294">
        <v>1</v>
      </c>
      <c r="D40" s="14">
        <v>45685</v>
      </c>
      <c r="E40" s="7">
        <v>31</v>
      </c>
      <c r="F40" s="7"/>
      <c r="G40" s="66"/>
      <c r="H40" s="59"/>
      <c r="I40" s="59">
        <v>600</v>
      </c>
      <c r="J40" s="47">
        <f t="shared" si="34"/>
        <v>600</v>
      </c>
      <c r="K40" s="8">
        <f t="shared" si="35"/>
        <v>569</v>
      </c>
      <c r="L40" s="96">
        <f t="shared" si="36"/>
        <v>0.94833333333333336</v>
      </c>
      <c r="M40" s="81">
        <v>1379</v>
      </c>
      <c r="N40" s="8">
        <v>153</v>
      </c>
      <c r="O40" s="8">
        <v>60</v>
      </c>
      <c r="P40" s="96">
        <f t="shared" si="37"/>
        <v>0.95041179916606355</v>
      </c>
      <c r="Q40" s="59">
        <f t="shared" si="38"/>
        <v>1379</v>
      </c>
      <c r="R40" s="252">
        <f t="shared" si="5"/>
        <v>1402</v>
      </c>
      <c r="S40" s="263">
        <v>6</v>
      </c>
      <c r="T40" s="263">
        <v>11</v>
      </c>
      <c r="U40" s="263">
        <v>0</v>
      </c>
      <c r="V40" s="263">
        <v>0</v>
      </c>
      <c r="W40" s="263">
        <v>0</v>
      </c>
      <c r="X40" s="263">
        <v>9</v>
      </c>
      <c r="Y40" s="263">
        <v>0</v>
      </c>
      <c r="Z40" s="263">
        <v>19</v>
      </c>
      <c r="AA40" s="263">
        <v>1</v>
      </c>
      <c r="AB40" s="263">
        <v>14</v>
      </c>
      <c r="AC40" s="263">
        <v>1</v>
      </c>
      <c r="AD40" s="263">
        <v>8</v>
      </c>
      <c r="AE40" s="263"/>
      <c r="AF40" s="263"/>
      <c r="AG40" s="263"/>
      <c r="AH40" s="263"/>
      <c r="AI40" s="263"/>
      <c r="AJ40" s="259"/>
      <c r="AK40" s="263">
        <f t="shared" si="39"/>
        <v>8</v>
      </c>
      <c r="AL40" s="265">
        <f t="shared" si="7"/>
        <v>5</v>
      </c>
      <c r="AM40" s="6">
        <f t="shared" si="40"/>
        <v>8</v>
      </c>
      <c r="AN40" s="255">
        <f t="shared" si="9"/>
        <v>0.98359486447931521</v>
      </c>
      <c r="AO40" s="256">
        <f t="shared" si="10"/>
        <v>0.88652112295227159</v>
      </c>
      <c r="AP40" s="257">
        <f t="shared" si="11"/>
        <v>5706.1340941512126</v>
      </c>
      <c r="AQ40" s="263">
        <f t="shared" si="43"/>
        <v>7</v>
      </c>
      <c r="AR40" s="263">
        <f t="shared" si="44"/>
        <v>0.2</v>
      </c>
      <c r="AS40" s="263">
        <f t="shared" si="45"/>
        <v>0.8</v>
      </c>
      <c r="AT40" s="263">
        <f t="shared" si="46"/>
        <v>8</v>
      </c>
      <c r="AU40" s="263"/>
      <c r="AV40" s="263"/>
      <c r="AW40" s="263"/>
      <c r="AX40" s="263">
        <f t="shared" si="47"/>
        <v>8</v>
      </c>
      <c r="BA40" s="282">
        <f t="shared" si="17"/>
        <v>540.78431372549016</v>
      </c>
      <c r="BB40">
        <v>1</v>
      </c>
      <c r="BC40">
        <f t="shared" si="41"/>
        <v>540.78431372549016</v>
      </c>
      <c r="BD40">
        <f t="shared" si="18"/>
        <v>569</v>
      </c>
      <c r="BE40">
        <f t="shared" si="19"/>
        <v>600</v>
      </c>
      <c r="BF40" s="281">
        <f t="shared" si="42"/>
        <v>0.90130718954248357</v>
      </c>
      <c r="BG40" s="282" t="s">
        <v>2481</v>
      </c>
      <c r="BH40" s="283"/>
    </row>
    <row r="41" spans="1:60" x14ac:dyDescent="0.3">
      <c r="A41">
        <f t="shared" si="20"/>
        <v>39</v>
      </c>
      <c r="B41" s="241" t="s">
        <v>2499</v>
      </c>
      <c r="C41" s="294">
        <v>2</v>
      </c>
      <c r="D41" s="14">
        <v>45685</v>
      </c>
      <c r="E41" s="7"/>
      <c r="F41" s="7"/>
      <c r="G41" s="66"/>
      <c r="H41" s="59"/>
      <c r="I41" s="59">
        <v>540</v>
      </c>
      <c r="J41" s="47">
        <f t="shared" si="34"/>
        <v>540</v>
      </c>
      <c r="K41" s="8">
        <f t="shared" si="35"/>
        <v>540</v>
      </c>
      <c r="L41" s="96">
        <f t="shared" si="36"/>
        <v>1</v>
      </c>
      <c r="M41" s="81">
        <v>1141</v>
      </c>
      <c r="N41" s="8">
        <v>153</v>
      </c>
      <c r="O41" s="8">
        <v>60</v>
      </c>
      <c r="P41" s="96">
        <f t="shared" si="37"/>
        <v>0.82861292665214237</v>
      </c>
      <c r="Q41" s="59">
        <f t="shared" si="38"/>
        <v>1141</v>
      </c>
      <c r="R41" s="252">
        <f t="shared" si="5"/>
        <v>1169</v>
      </c>
      <c r="S41" s="263">
        <v>3</v>
      </c>
      <c r="T41" s="263">
        <v>0</v>
      </c>
      <c r="U41" s="263">
        <v>1</v>
      </c>
      <c r="V41" s="263">
        <v>0</v>
      </c>
      <c r="W41" s="263">
        <v>5</v>
      </c>
      <c r="X41" s="263">
        <v>4</v>
      </c>
      <c r="Y41" s="263">
        <v>0</v>
      </c>
      <c r="Z41" s="263">
        <v>10</v>
      </c>
      <c r="AA41" s="263">
        <v>0</v>
      </c>
      <c r="AB41" s="263">
        <v>24</v>
      </c>
      <c r="AC41" s="263">
        <v>1</v>
      </c>
      <c r="AD41" s="263">
        <v>3</v>
      </c>
      <c r="AE41" s="263"/>
      <c r="AF41" s="263"/>
      <c r="AG41" s="263"/>
      <c r="AH41" s="263"/>
      <c r="AI41" s="263"/>
      <c r="AJ41" s="259"/>
      <c r="AK41" s="263">
        <f t="shared" si="39"/>
        <v>3</v>
      </c>
      <c r="AL41" s="265">
        <f t="shared" si="7"/>
        <v>5</v>
      </c>
      <c r="AM41" s="6">
        <f t="shared" si="40"/>
        <v>3</v>
      </c>
      <c r="AN41" s="255">
        <f t="shared" si="9"/>
        <v>0.9760479041916168</v>
      </c>
      <c r="AO41" s="256">
        <f t="shared" si="10"/>
        <v>0.80876591044490542</v>
      </c>
      <c r="AP41" s="257">
        <f t="shared" si="11"/>
        <v>2566.2959794696321</v>
      </c>
      <c r="AQ41" s="263">
        <f t="shared" si="43"/>
        <v>12</v>
      </c>
      <c r="AR41" s="263">
        <f t="shared" si="44"/>
        <v>0.2</v>
      </c>
      <c r="AS41" s="263">
        <f t="shared" si="45"/>
        <v>0.30000000000000004</v>
      </c>
      <c r="AT41" s="263">
        <f t="shared" si="46"/>
        <v>12.5</v>
      </c>
      <c r="AU41" s="263"/>
      <c r="AV41" s="263"/>
      <c r="AW41" s="263"/>
      <c r="AX41" s="263">
        <f t="shared" si="47"/>
        <v>12.5</v>
      </c>
      <c r="BA41" s="282">
        <f t="shared" si="17"/>
        <v>447.45098039215685</v>
      </c>
      <c r="BB41">
        <v>1</v>
      </c>
      <c r="BC41">
        <f t="shared" si="41"/>
        <v>447.45098039215685</v>
      </c>
      <c r="BD41">
        <f t="shared" si="18"/>
        <v>540</v>
      </c>
      <c r="BE41">
        <f t="shared" si="19"/>
        <v>540</v>
      </c>
      <c r="BF41" s="281">
        <f t="shared" si="42"/>
        <v>0.82861292665214237</v>
      </c>
      <c r="BG41" s="282" t="s">
        <v>2482</v>
      </c>
      <c r="BH41" s="283"/>
    </row>
    <row r="42" spans="1:60" x14ac:dyDescent="0.3">
      <c r="A42">
        <f t="shared" si="20"/>
        <v>40</v>
      </c>
      <c r="B42" s="241" t="s">
        <v>2499</v>
      </c>
      <c r="C42" s="294">
        <v>1</v>
      </c>
      <c r="D42" s="14">
        <v>45686</v>
      </c>
      <c r="E42" s="7">
        <v>40</v>
      </c>
      <c r="F42" s="7">
        <f>35+8+15</f>
        <v>58</v>
      </c>
      <c r="G42" s="66"/>
      <c r="H42" s="59"/>
      <c r="I42" s="59">
        <v>600</v>
      </c>
      <c r="J42" s="47">
        <f t="shared" si="34"/>
        <v>600</v>
      </c>
      <c r="K42" s="8">
        <f t="shared" si="35"/>
        <v>502</v>
      </c>
      <c r="L42" s="96">
        <f>IFERROR(K42/J42,"")</f>
        <v>0.83666666666666667</v>
      </c>
      <c r="M42" s="81">
        <v>1076</v>
      </c>
      <c r="N42" s="8">
        <v>153</v>
      </c>
      <c r="O42" s="8">
        <v>60</v>
      </c>
      <c r="P42" s="96">
        <f t="shared" si="37"/>
        <v>0.84055933130224192</v>
      </c>
      <c r="Q42" s="59">
        <f t="shared" si="38"/>
        <v>1076</v>
      </c>
      <c r="R42" s="252">
        <f t="shared" si="5"/>
        <v>1104</v>
      </c>
      <c r="S42" s="263">
        <v>10</v>
      </c>
      <c r="T42" s="263">
        <v>21</v>
      </c>
      <c r="U42" s="263">
        <v>23</v>
      </c>
      <c r="V42" s="263">
        <v>0</v>
      </c>
      <c r="W42" s="263">
        <v>0</v>
      </c>
      <c r="X42" s="263">
        <v>8</v>
      </c>
      <c r="Y42" s="263">
        <v>0</v>
      </c>
      <c r="Z42" s="263">
        <v>6</v>
      </c>
      <c r="AA42" s="263">
        <v>0</v>
      </c>
      <c r="AB42" s="263">
        <v>20</v>
      </c>
      <c r="AC42" s="263">
        <v>2</v>
      </c>
      <c r="AD42" s="263">
        <v>6</v>
      </c>
      <c r="AE42" s="263"/>
      <c r="AF42" s="263"/>
      <c r="AG42" s="263"/>
      <c r="AH42" s="263"/>
      <c r="AI42" s="263"/>
      <c r="AJ42" s="259"/>
      <c r="AK42" s="263">
        <f t="shared" si="39"/>
        <v>6</v>
      </c>
      <c r="AL42" s="265">
        <f t="shared" si="7"/>
        <v>5</v>
      </c>
      <c r="AM42" s="6">
        <f t="shared" si="40"/>
        <v>6</v>
      </c>
      <c r="AN42" s="255">
        <f t="shared" si="9"/>
        <v>0.97463768115942029</v>
      </c>
      <c r="AO42" s="256">
        <f t="shared" si="10"/>
        <v>0.6854314672728995</v>
      </c>
      <c r="AP42" s="257">
        <f t="shared" si="11"/>
        <v>5434.782608695652</v>
      </c>
      <c r="AQ42" s="263">
        <f t="shared" si="43"/>
        <v>10</v>
      </c>
      <c r="AR42" s="263">
        <f t="shared" si="44"/>
        <v>0.4</v>
      </c>
      <c r="AS42" s="263">
        <f t="shared" si="45"/>
        <v>0.60000000000000009</v>
      </c>
      <c r="AT42" s="263">
        <f t="shared" si="46"/>
        <v>11</v>
      </c>
      <c r="AU42" s="263"/>
      <c r="AV42" s="263"/>
      <c r="AW42" s="263"/>
      <c r="AX42" s="263">
        <f t="shared" si="47"/>
        <v>11</v>
      </c>
      <c r="BA42" s="282">
        <f t="shared" si="17"/>
        <v>421.96078431372547</v>
      </c>
      <c r="BB42">
        <v>1</v>
      </c>
      <c r="BC42">
        <f t="shared" si="41"/>
        <v>421.96078431372547</v>
      </c>
      <c r="BD42">
        <f t="shared" si="18"/>
        <v>502</v>
      </c>
      <c r="BE42">
        <f t="shared" si="19"/>
        <v>600</v>
      </c>
      <c r="BF42" s="281">
        <f t="shared" si="42"/>
        <v>0.70326797385620909</v>
      </c>
      <c r="BG42" s="282" t="s">
        <v>2481</v>
      </c>
      <c r="BH42" s="283"/>
    </row>
    <row r="43" spans="1:60" x14ac:dyDescent="0.3">
      <c r="A43">
        <f t="shared" si="20"/>
        <v>41</v>
      </c>
      <c r="B43" s="241" t="s">
        <v>2499</v>
      </c>
      <c r="C43" s="294">
        <v>2</v>
      </c>
      <c r="D43" s="14">
        <v>45686</v>
      </c>
      <c r="E43" s="7"/>
      <c r="F43" s="7"/>
      <c r="G43" s="66"/>
      <c r="H43" s="59"/>
      <c r="I43" s="59">
        <v>540</v>
      </c>
      <c r="J43" s="47">
        <f t="shared" si="34"/>
        <v>540</v>
      </c>
      <c r="K43" s="8">
        <f t="shared" si="35"/>
        <v>540</v>
      </c>
      <c r="L43" s="96">
        <f t="shared" si="36"/>
        <v>1</v>
      </c>
      <c r="M43" s="81">
        <v>1105</v>
      </c>
      <c r="N43" s="8">
        <v>153</v>
      </c>
      <c r="O43" s="8">
        <v>60</v>
      </c>
      <c r="P43" s="96">
        <f t="shared" si="37"/>
        <v>0.80246913580246915</v>
      </c>
      <c r="Q43" s="59">
        <f t="shared" si="38"/>
        <v>1105</v>
      </c>
      <c r="R43" s="252">
        <f t="shared" si="5"/>
        <v>1130</v>
      </c>
      <c r="S43" s="263">
        <v>21</v>
      </c>
      <c r="T43" s="263">
        <v>0</v>
      </c>
      <c r="U43" s="263">
        <v>16</v>
      </c>
      <c r="V43" s="263">
        <v>0</v>
      </c>
      <c r="W43" s="263">
        <v>4</v>
      </c>
      <c r="X43" s="263">
        <v>3</v>
      </c>
      <c r="Y43" s="263">
        <v>0</v>
      </c>
      <c r="Z43" s="263">
        <v>3</v>
      </c>
      <c r="AA43" s="263">
        <v>1</v>
      </c>
      <c r="AB43" s="263">
        <v>22</v>
      </c>
      <c r="AC43" s="263">
        <v>2</v>
      </c>
      <c r="AD43" s="263">
        <v>1</v>
      </c>
      <c r="AE43" s="263"/>
      <c r="AF43" s="263"/>
      <c r="AG43" s="263"/>
      <c r="AH43" s="263"/>
      <c r="AI43" s="263"/>
      <c r="AJ43" s="259"/>
      <c r="AK43" s="263">
        <f t="shared" si="39"/>
        <v>1</v>
      </c>
      <c r="AL43" s="265">
        <f t="shared" si="7"/>
        <v>5</v>
      </c>
      <c r="AM43" s="6">
        <f t="shared" si="40"/>
        <v>1</v>
      </c>
      <c r="AN43" s="255">
        <f t="shared" si="9"/>
        <v>0.97787610619469023</v>
      </c>
      <c r="AO43" s="256">
        <f t="shared" si="10"/>
        <v>0.78471539385993661</v>
      </c>
      <c r="AP43" s="257">
        <f t="shared" si="11"/>
        <v>884.95575221238937</v>
      </c>
      <c r="AQ43" s="263">
        <f t="shared" si="43"/>
        <v>11</v>
      </c>
      <c r="AR43" s="263">
        <f t="shared" si="44"/>
        <v>0.4</v>
      </c>
      <c r="AS43" s="263">
        <f t="shared" si="45"/>
        <v>0.1</v>
      </c>
      <c r="AT43" s="263">
        <f t="shared" si="46"/>
        <v>11.5</v>
      </c>
      <c r="AU43" s="263"/>
      <c r="AV43" s="263"/>
      <c r="AW43" s="263"/>
      <c r="AX43" s="263">
        <f t="shared" si="47"/>
        <v>11.5</v>
      </c>
      <c r="BA43" s="282">
        <f t="shared" si="17"/>
        <v>433.33333333333331</v>
      </c>
      <c r="BB43">
        <v>1</v>
      </c>
      <c r="BC43">
        <f t="shared" si="41"/>
        <v>433.33333333333331</v>
      </c>
      <c r="BD43">
        <f t="shared" si="18"/>
        <v>540</v>
      </c>
      <c r="BE43">
        <f t="shared" si="19"/>
        <v>540</v>
      </c>
      <c r="BF43" s="281">
        <f t="shared" si="42"/>
        <v>0.80246913580246915</v>
      </c>
      <c r="BG43" s="282" t="s">
        <v>2482</v>
      </c>
      <c r="BH43" s="283"/>
    </row>
    <row r="44" spans="1:60" x14ac:dyDescent="0.3">
      <c r="A44">
        <f t="shared" si="20"/>
        <v>42</v>
      </c>
      <c r="B44" s="241" t="s">
        <v>2499</v>
      </c>
      <c r="C44" s="294">
        <v>1</v>
      </c>
      <c r="D44" s="14">
        <v>45687</v>
      </c>
      <c r="E44" s="7">
        <v>40</v>
      </c>
      <c r="F44" s="7"/>
      <c r="G44" s="66"/>
      <c r="H44" s="59"/>
      <c r="I44" s="59">
        <v>540</v>
      </c>
      <c r="J44" s="47">
        <f t="shared" si="34"/>
        <v>540</v>
      </c>
      <c r="K44" s="8">
        <f t="shared" si="35"/>
        <v>500</v>
      </c>
      <c r="L44" s="96">
        <f t="shared" si="36"/>
        <v>0.92592592592592593</v>
      </c>
      <c r="M44" s="81">
        <v>987</v>
      </c>
      <c r="N44" s="8">
        <v>153</v>
      </c>
      <c r="O44" s="8">
        <v>60</v>
      </c>
      <c r="P44" s="96">
        <f t="shared" si="37"/>
        <v>0.77411764705882358</v>
      </c>
      <c r="Q44" s="59">
        <f t="shared" si="38"/>
        <v>987</v>
      </c>
      <c r="R44" s="252">
        <f t="shared" si="5"/>
        <v>1018</v>
      </c>
      <c r="S44" s="263">
        <v>19</v>
      </c>
      <c r="T44" s="263">
        <v>2</v>
      </c>
      <c r="U44" s="263">
        <v>53</v>
      </c>
      <c r="V44" s="263">
        <v>0</v>
      </c>
      <c r="W44" s="263">
        <v>0</v>
      </c>
      <c r="X44" s="263">
        <v>10</v>
      </c>
      <c r="Y44" s="263">
        <v>0</v>
      </c>
      <c r="Z44" s="263">
        <v>0</v>
      </c>
      <c r="AA44" s="263">
        <v>0</v>
      </c>
      <c r="AB44" s="263">
        <v>20</v>
      </c>
      <c r="AC44" s="263">
        <v>4</v>
      </c>
      <c r="AD44" s="263">
        <v>7</v>
      </c>
      <c r="AE44" s="263"/>
      <c r="AF44" s="263"/>
      <c r="AG44" s="263"/>
      <c r="AH44" s="263"/>
      <c r="AI44" s="263"/>
      <c r="AJ44" s="259"/>
      <c r="AK44" s="263">
        <f t="shared" si="39"/>
        <v>7</v>
      </c>
      <c r="AL44" s="265">
        <f t="shared" si="7"/>
        <v>5</v>
      </c>
      <c r="AM44" s="6">
        <f t="shared" si="40"/>
        <v>7</v>
      </c>
      <c r="AN44" s="255">
        <f t="shared" si="9"/>
        <v>0.96954813359528491</v>
      </c>
      <c r="AO44" s="256">
        <f t="shared" si="10"/>
        <v>0.69494844434171843</v>
      </c>
      <c r="AP44" s="257">
        <f t="shared" si="11"/>
        <v>6876.2278978389004</v>
      </c>
      <c r="AQ44" s="263">
        <f t="shared" si="43"/>
        <v>10</v>
      </c>
      <c r="AR44" s="263">
        <f t="shared" si="44"/>
        <v>0.8</v>
      </c>
      <c r="AS44" s="263">
        <f t="shared" si="45"/>
        <v>0.70000000000000007</v>
      </c>
      <c r="AT44" s="263">
        <f t="shared" si="46"/>
        <v>11.5</v>
      </c>
      <c r="AU44" s="263"/>
      <c r="AV44" s="263"/>
      <c r="AW44" s="263"/>
      <c r="AX44" s="263">
        <f t="shared" si="47"/>
        <v>11.5</v>
      </c>
      <c r="BA44" s="282">
        <f t="shared" si="17"/>
        <v>387.05882352941177</v>
      </c>
      <c r="BB44">
        <v>1</v>
      </c>
      <c r="BC44">
        <f t="shared" si="41"/>
        <v>387.05882352941177</v>
      </c>
      <c r="BD44">
        <f t="shared" si="18"/>
        <v>500</v>
      </c>
      <c r="BE44">
        <f t="shared" si="19"/>
        <v>540</v>
      </c>
      <c r="BF44" s="281">
        <f t="shared" si="42"/>
        <v>0.71677559912854028</v>
      </c>
      <c r="BG44" s="282" t="s">
        <v>2481</v>
      </c>
      <c r="BH44" s="283"/>
    </row>
    <row r="45" spans="1:60" x14ac:dyDescent="0.3">
      <c r="A45">
        <f t="shared" si="20"/>
        <v>43</v>
      </c>
      <c r="B45" s="241" t="s">
        <v>2499</v>
      </c>
      <c r="C45" s="294">
        <v>2</v>
      </c>
      <c r="D45" s="14">
        <v>45687</v>
      </c>
      <c r="E45" s="7"/>
      <c r="F45" s="7"/>
      <c r="G45" s="66"/>
      <c r="H45" s="59"/>
      <c r="I45" s="59">
        <v>600</v>
      </c>
      <c r="J45" s="47">
        <f t="shared" si="34"/>
        <v>600</v>
      </c>
      <c r="K45" s="8">
        <f t="shared" si="35"/>
        <v>600</v>
      </c>
      <c r="L45" s="96">
        <f t="shared" si="36"/>
        <v>1</v>
      </c>
      <c r="M45" s="81">
        <v>911</v>
      </c>
      <c r="N45" s="8">
        <v>153</v>
      </c>
      <c r="O45" s="8">
        <v>60</v>
      </c>
      <c r="P45" s="96">
        <f t="shared" si="37"/>
        <v>0.59542483660130718</v>
      </c>
      <c r="Q45" s="59">
        <f t="shared" si="38"/>
        <v>911</v>
      </c>
      <c r="R45" s="252">
        <f t="shared" si="5"/>
        <v>929</v>
      </c>
      <c r="S45" s="263">
        <v>47</v>
      </c>
      <c r="T45" s="263">
        <v>1</v>
      </c>
      <c r="U45" s="263">
        <v>79</v>
      </c>
      <c r="V45" s="263">
        <v>0</v>
      </c>
      <c r="W45" s="263">
        <v>0</v>
      </c>
      <c r="X45" s="263">
        <v>0</v>
      </c>
      <c r="Y45" s="263">
        <v>0</v>
      </c>
      <c r="Z45" s="263">
        <v>1</v>
      </c>
      <c r="AA45" s="263">
        <v>0</v>
      </c>
      <c r="AB45" s="263">
        <v>6</v>
      </c>
      <c r="AC45" s="263">
        <v>9</v>
      </c>
      <c r="AD45" s="263">
        <v>3</v>
      </c>
      <c r="AE45" s="263"/>
      <c r="AF45" s="263"/>
      <c r="AG45" s="263"/>
      <c r="AH45" s="263"/>
      <c r="AI45" s="263"/>
      <c r="AJ45" s="259"/>
      <c r="AK45" s="263">
        <f t="shared" si="39"/>
        <v>3</v>
      </c>
      <c r="AL45" s="265">
        <f t="shared" si="7"/>
        <v>5</v>
      </c>
      <c r="AM45" s="6">
        <f t="shared" si="40"/>
        <v>3</v>
      </c>
      <c r="AN45" s="255">
        <f t="shared" si="9"/>
        <v>0.9806243272335845</v>
      </c>
      <c r="AO45" s="256">
        <f t="shared" si="10"/>
        <v>0.58388807981032387</v>
      </c>
      <c r="AP45" s="257">
        <f t="shared" si="11"/>
        <v>3229.2787944025836</v>
      </c>
      <c r="AQ45" s="263">
        <f t="shared" si="43"/>
        <v>3</v>
      </c>
      <c r="AR45" s="263">
        <f t="shared" si="44"/>
        <v>1.8</v>
      </c>
      <c r="AS45" s="263">
        <f t="shared" si="45"/>
        <v>0.30000000000000004</v>
      </c>
      <c r="AT45" s="263">
        <f t="shared" si="46"/>
        <v>5.0999999999999996</v>
      </c>
      <c r="AU45" s="263"/>
      <c r="AV45" s="263"/>
      <c r="AW45" s="263"/>
      <c r="AX45" s="263">
        <f t="shared" si="47"/>
        <v>5.0999999999999996</v>
      </c>
      <c r="BA45" s="282">
        <f t="shared" si="17"/>
        <v>357.25490196078431</v>
      </c>
      <c r="BB45">
        <v>1</v>
      </c>
      <c r="BC45">
        <f t="shared" si="41"/>
        <v>357.25490196078431</v>
      </c>
      <c r="BD45">
        <f t="shared" si="18"/>
        <v>600</v>
      </c>
      <c r="BE45">
        <f t="shared" si="19"/>
        <v>600</v>
      </c>
      <c r="BF45" s="281">
        <f t="shared" si="42"/>
        <v>0.59542483660130718</v>
      </c>
      <c r="BG45" s="282" t="s">
        <v>2482</v>
      </c>
      <c r="BH45" s="283"/>
    </row>
    <row r="46" spans="1:60" x14ac:dyDescent="0.3">
      <c r="A46">
        <f t="shared" si="20"/>
        <v>44</v>
      </c>
      <c r="B46" s="241" t="s">
        <v>2499</v>
      </c>
      <c r="C46" s="294">
        <v>1</v>
      </c>
      <c r="D46" s="14">
        <v>45688</v>
      </c>
      <c r="E46" s="7">
        <v>40</v>
      </c>
      <c r="F46" s="7"/>
      <c r="G46" s="66"/>
      <c r="H46" s="59"/>
      <c r="I46" s="59">
        <v>540</v>
      </c>
      <c r="J46" s="47">
        <f t="shared" si="34"/>
        <v>540</v>
      </c>
      <c r="K46" s="8">
        <f t="shared" si="35"/>
        <v>500</v>
      </c>
      <c r="L46" s="96">
        <f t="shared" si="36"/>
        <v>0.92592592592592593</v>
      </c>
      <c r="M46" s="81">
        <v>1241</v>
      </c>
      <c r="N46" s="8">
        <v>153</v>
      </c>
      <c r="O46" s="8">
        <v>60</v>
      </c>
      <c r="P46" s="96">
        <f t="shared" si="37"/>
        <v>0.97333333333333327</v>
      </c>
      <c r="Q46" s="59">
        <f t="shared" si="38"/>
        <v>1241</v>
      </c>
      <c r="R46" s="252">
        <f t="shared" si="5"/>
        <v>1293</v>
      </c>
      <c r="S46" s="263">
        <v>37</v>
      </c>
      <c r="T46" s="263">
        <v>2</v>
      </c>
      <c r="U46" s="263">
        <v>9</v>
      </c>
      <c r="V46" s="263">
        <v>0</v>
      </c>
      <c r="W46" s="263">
        <v>13</v>
      </c>
      <c r="X46" s="263">
        <v>13</v>
      </c>
      <c r="Y46" s="263">
        <v>0</v>
      </c>
      <c r="Z46" s="263">
        <v>2</v>
      </c>
      <c r="AA46" s="263">
        <v>0</v>
      </c>
      <c r="AB46" s="263">
        <v>17</v>
      </c>
      <c r="AC46" s="263">
        <v>8</v>
      </c>
      <c r="AD46" s="263">
        <v>27</v>
      </c>
      <c r="AE46" s="263"/>
      <c r="AF46" s="263"/>
      <c r="AG46" s="263"/>
      <c r="AH46" s="263"/>
      <c r="AI46" s="263"/>
      <c r="AJ46" s="259"/>
      <c r="AK46" s="263">
        <f t="shared" si="39"/>
        <v>27</v>
      </c>
      <c r="AL46" s="265">
        <f t="shared" si="7"/>
        <v>5</v>
      </c>
      <c r="AM46" s="6">
        <f t="shared" si="40"/>
        <v>27</v>
      </c>
      <c r="AN46" s="255">
        <f t="shared" si="9"/>
        <v>0.95978344934261406</v>
      </c>
      <c r="AO46" s="256">
        <f t="shared" si="10"/>
        <v>0.86499002224704713</v>
      </c>
      <c r="AP46" s="257">
        <f t="shared" si="11"/>
        <v>20881.670533642689</v>
      </c>
      <c r="AQ46" s="263">
        <f t="shared" si="43"/>
        <v>8.5</v>
      </c>
      <c r="AR46" s="263">
        <f t="shared" si="44"/>
        <v>1.6</v>
      </c>
      <c r="AS46" s="263">
        <f t="shared" si="45"/>
        <v>2.7</v>
      </c>
      <c r="AT46" s="263">
        <f t="shared" si="46"/>
        <v>12.8</v>
      </c>
      <c r="AU46" s="263"/>
      <c r="AV46" s="263"/>
      <c r="AW46" s="263"/>
      <c r="AX46" s="263">
        <f t="shared" si="47"/>
        <v>12.8</v>
      </c>
      <c r="BA46" s="282">
        <f t="shared" si="17"/>
        <v>486.66666666666663</v>
      </c>
      <c r="BB46">
        <v>1</v>
      </c>
      <c r="BC46">
        <f t="shared" si="41"/>
        <v>486.66666666666663</v>
      </c>
      <c r="BD46">
        <f t="shared" si="18"/>
        <v>500</v>
      </c>
      <c r="BE46">
        <f t="shared" si="19"/>
        <v>540</v>
      </c>
      <c r="BF46" s="281">
        <f t="shared" si="42"/>
        <v>0.90123456790123446</v>
      </c>
      <c r="BG46" s="282" t="s">
        <v>2501</v>
      </c>
      <c r="BH46" s="283"/>
    </row>
    <row r="47" spans="1:60" x14ac:dyDescent="0.3">
      <c r="A47">
        <f t="shared" si="20"/>
        <v>45</v>
      </c>
      <c r="B47" s="241" t="s">
        <v>2499</v>
      </c>
      <c r="C47" s="294">
        <v>2</v>
      </c>
      <c r="D47" s="14">
        <v>45688</v>
      </c>
      <c r="E47" s="7"/>
      <c r="F47" s="7"/>
      <c r="G47" s="66"/>
      <c r="H47" s="59"/>
      <c r="I47" s="59">
        <v>600</v>
      </c>
      <c r="J47" s="47">
        <f t="shared" si="34"/>
        <v>600</v>
      </c>
      <c r="K47" s="8">
        <f t="shared" si="35"/>
        <v>600</v>
      </c>
      <c r="L47" s="96">
        <f t="shared" si="36"/>
        <v>1</v>
      </c>
      <c r="M47" s="81">
        <v>1003</v>
      </c>
      <c r="N47" s="8">
        <v>153</v>
      </c>
      <c r="O47" s="8">
        <v>60</v>
      </c>
      <c r="P47" s="96">
        <f t="shared" si="37"/>
        <v>0.65555555555555556</v>
      </c>
      <c r="Q47" s="59">
        <f t="shared" si="38"/>
        <v>1003</v>
      </c>
      <c r="R47" s="252">
        <f t="shared" si="5"/>
        <v>1052</v>
      </c>
      <c r="S47" s="263">
        <v>25</v>
      </c>
      <c r="T47" s="263">
        <v>5</v>
      </c>
      <c r="U47" s="263">
        <v>0</v>
      </c>
      <c r="V47" s="263">
        <v>0</v>
      </c>
      <c r="W47" s="263">
        <v>41</v>
      </c>
      <c r="X47" s="263">
        <v>3</v>
      </c>
      <c r="Y47" s="263">
        <v>0</v>
      </c>
      <c r="Z47" s="263">
        <v>5</v>
      </c>
      <c r="AA47" s="263">
        <v>0</v>
      </c>
      <c r="AB47" s="263">
        <v>9</v>
      </c>
      <c r="AC47" s="263">
        <v>3</v>
      </c>
      <c r="AD47" s="263">
        <v>37</v>
      </c>
      <c r="AE47" s="263"/>
      <c r="AF47" s="263"/>
      <c r="AG47" s="263"/>
      <c r="AH47" s="263"/>
      <c r="AI47" s="263"/>
      <c r="AJ47" s="259"/>
      <c r="AK47" s="263">
        <f t="shared" si="39"/>
        <v>37</v>
      </c>
      <c r="AL47" s="265">
        <f t="shared" si="7"/>
        <v>5</v>
      </c>
      <c r="AM47" s="6">
        <f t="shared" si="40"/>
        <v>37</v>
      </c>
      <c r="AN47" s="255">
        <f t="shared" si="9"/>
        <v>0.95342205323193918</v>
      </c>
      <c r="AO47" s="256">
        <f t="shared" si="10"/>
        <v>0.62502112378538233</v>
      </c>
      <c r="AP47" s="257">
        <f t="shared" si="11"/>
        <v>35171.10266159696</v>
      </c>
      <c r="AQ47" s="263">
        <f t="shared" si="43"/>
        <v>4.5</v>
      </c>
      <c r="AR47" s="263">
        <f t="shared" si="44"/>
        <v>0.60000000000000009</v>
      </c>
      <c r="AS47" s="263">
        <f t="shared" si="45"/>
        <v>3.7</v>
      </c>
      <c r="AT47" s="263">
        <f t="shared" si="46"/>
        <v>8.8000000000000007</v>
      </c>
      <c r="AU47" s="263"/>
      <c r="AV47" s="263"/>
      <c r="AW47" s="263"/>
      <c r="AX47" s="263">
        <f t="shared" si="47"/>
        <v>8.8000000000000007</v>
      </c>
      <c r="BA47" s="282">
        <f t="shared" si="17"/>
        <v>393.33333333333331</v>
      </c>
      <c r="BB47">
        <v>1</v>
      </c>
      <c r="BC47">
        <f t="shared" si="41"/>
        <v>393.33333333333331</v>
      </c>
      <c r="BD47">
        <f t="shared" si="18"/>
        <v>600</v>
      </c>
      <c r="BE47">
        <f t="shared" si="19"/>
        <v>600</v>
      </c>
      <c r="BF47" s="281">
        <f t="shared" si="42"/>
        <v>0.65555555555555556</v>
      </c>
      <c r="BG47" s="282" t="s">
        <v>2482</v>
      </c>
      <c r="BH47" s="283"/>
    </row>
    <row r="48" spans="1:60" x14ac:dyDescent="0.3">
      <c r="A48">
        <f t="shared" si="20"/>
        <v>46</v>
      </c>
      <c r="B48" s="241" t="s">
        <v>2499</v>
      </c>
      <c r="C48" s="294">
        <v>1</v>
      </c>
      <c r="D48" s="14">
        <v>45692</v>
      </c>
      <c r="E48" s="7">
        <v>31</v>
      </c>
      <c r="F48" s="7"/>
      <c r="G48" s="66"/>
      <c r="H48" s="59"/>
      <c r="I48" s="59">
        <v>600</v>
      </c>
      <c r="J48" s="47">
        <f t="shared" si="34"/>
        <v>600</v>
      </c>
      <c r="K48" s="8">
        <f t="shared" si="35"/>
        <v>569</v>
      </c>
      <c r="L48" s="96">
        <f t="shared" si="36"/>
        <v>0.94833333333333336</v>
      </c>
      <c r="M48" s="81">
        <v>1150</v>
      </c>
      <c r="N48" s="8">
        <v>153</v>
      </c>
      <c r="O48" s="8">
        <v>60</v>
      </c>
      <c r="P48" s="96">
        <f t="shared" si="37"/>
        <v>0.79258416899272899</v>
      </c>
      <c r="Q48" s="59">
        <f t="shared" si="38"/>
        <v>1150</v>
      </c>
      <c r="R48" s="252">
        <f t="shared" si="5"/>
        <v>1190</v>
      </c>
      <c r="S48" s="263">
        <v>7</v>
      </c>
      <c r="T48" s="263">
        <v>2</v>
      </c>
      <c r="U48" s="263">
        <v>1</v>
      </c>
      <c r="V48" s="263">
        <v>1</v>
      </c>
      <c r="W48" s="263">
        <v>2</v>
      </c>
      <c r="X48" s="263">
        <v>10</v>
      </c>
      <c r="Y48" s="263">
        <v>0</v>
      </c>
      <c r="Z48" s="263">
        <v>0</v>
      </c>
      <c r="AA48" s="263">
        <v>0</v>
      </c>
      <c r="AB48" s="263">
        <v>25</v>
      </c>
      <c r="AC48" s="263">
        <v>3</v>
      </c>
      <c r="AD48" s="263">
        <v>12</v>
      </c>
      <c r="AE48" s="263"/>
      <c r="AF48" s="263"/>
      <c r="AG48" s="263"/>
      <c r="AH48" s="263"/>
      <c r="AI48" s="263"/>
      <c r="AJ48" s="259"/>
      <c r="AK48" s="263">
        <f t="shared" si="39"/>
        <v>12</v>
      </c>
      <c r="AL48" s="265">
        <f t="shared" si="7"/>
        <v>6</v>
      </c>
      <c r="AM48" s="6">
        <f t="shared" si="40"/>
        <v>12</v>
      </c>
      <c r="AN48" s="255">
        <f t="shared" si="9"/>
        <v>0.96638655462184875</v>
      </c>
      <c r="AO48" s="256">
        <f t="shared" si="10"/>
        <v>0.72636897896413477</v>
      </c>
      <c r="AP48" s="257">
        <f t="shared" si="11"/>
        <v>10084.033613445379</v>
      </c>
      <c r="AQ48" s="263">
        <f>+AB48*0.5</f>
        <v>12.5</v>
      </c>
      <c r="AR48" s="263">
        <f t="shared" si="44"/>
        <v>0.60000000000000009</v>
      </c>
      <c r="AS48" s="263">
        <f t="shared" si="45"/>
        <v>1.2000000000000002</v>
      </c>
      <c r="AT48" s="263">
        <f t="shared" si="46"/>
        <v>14.3</v>
      </c>
      <c r="AU48" s="263"/>
      <c r="AV48" s="263"/>
      <c r="AW48" s="263"/>
      <c r="AX48" s="263">
        <f t="shared" si="47"/>
        <v>14.3</v>
      </c>
      <c r="BA48" s="282">
        <f t="shared" si="17"/>
        <v>450.98039215686276</v>
      </c>
      <c r="BB48">
        <v>1</v>
      </c>
      <c r="BC48">
        <f t="shared" si="41"/>
        <v>450.98039215686276</v>
      </c>
      <c r="BD48">
        <f t="shared" si="18"/>
        <v>569</v>
      </c>
      <c r="BE48">
        <f t="shared" si="19"/>
        <v>600</v>
      </c>
      <c r="BF48" s="281">
        <f t="shared" si="42"/>
        <v>0.75163398692810457</v>
      </c>
      <c r="BG48" s="282" t="s">
        <v>2501</v>
      </c>
      <c r="BH48" s="283" t="s">
        <v>2503</v>
      </c>
    </row>
    <row r="49" spans="1:60" x14ac:dyDescent="0.3">
      <c r="A49">
        <f t="shared" si="20"/>
        <v>47</v>
      </c>
      <c r="B49" s="241" t="s">
        <v>2499</v>
      </c>
      <c r="C49" s="294">
        <v>2</v>
      </c>
      <c r="D49" s="14">
        <v>45692</v>
      </c>
      <c r="E49" s="7"/>
      <c r="F49" s="7"/>
      <c r="G49" s="66"/>
      <c r="H49" s="59"/>
      <c r="I49" s="59">
        <v>540</v>
      </c>
      <c r="J49" s="47">
        <f t="shared" si="34"/>
        <v>540</v>
      </c>
      <c r="K49" s="8">
        <f t="shared" si="35"/>
        <v>540</v>
      </c>
      <c r="L49" s="96">
        <f t="shared" si="36"/>
        <v>1</v>
      </c>
      <c r="M49" s="81">
        <v>1061</v>
      </c>
      <c r="N49" s="8">
        <v>153</v>
      </c>
      <c r="O49" s="8">
        <v>60</v>
      </c>
      <c r="P49" s="96">
        <f t="shared" si="37"/>
        <v>0.77051561365286858</v>
      </c>
      <c r="Q49" s="59">
        <f t="shared" si="38"/>
        <v>1061</v>
      </c>
      <c r="R49" s="252">
        <f t="shared" si="5"/>
        <v>1100</v>
      </c>
      <c r="S49" s="263">
        <v>6</v>
      </c>
      <c r="T49" s="263">
        <v>3</v>
      </c>
      <c r="U49" s="263">
        <v>0</v>
      </c>
      <c r="V49" s="263">
        <v>0</v>
      </c>
      <c r="W49" s="263">
        <v>35</v>
      </c>
      <c r="X49" s="263">
        <v>2</v>
      </c>
      <c r="Y49" s="263">
        <v>0</v>
      </c>
      <c r="Z49" s="263">
        <v>0</v>
      </c>
      <c r="AA49" s="263">
        <v>1</v>
      </c>
      <c r="AB49" s="263">
        <v>10</v>
      </c>
      <c r="AC49" s="263">
        <v>0</v>
      </c>
      <c r="AD49" s="263">
        <v>29</v>
      </c>
      <c r="AE49" s="263"/>
      <c r="AF49" s="263"/>
      <c r="AG49" s="263"/>
      <c r="AH49" s="263"/>
      <c r="AI49" s="263"/>
      <c r="AJ49" s="259"/>
      <c r="AK49" s="263">
        <f t="shared" si="39"/>
        <v>29</v>
      </c>
      <c r="AL49" s="265">
        <f t="shared" si="7"/>
        <v>6</v>
      </c>
      <c r="AM49" s="6">
        <f t="shared" si="40"/>
        <v>29</v>
      </c>
      <c r="AN49" s="255">
        <f t="shared" si="9"/>
        <v>0.96454545454545459</v>
      </c>
      <c r="AO49" s="256">
        <f t="shared" si="10"/>
        <v>0.74319733280517597</v>
      </c>
      <c r="AP49" s="257">
        <f t="shared" si="11"/>
        <v>26363.636363636364</v>
      </c>
      <c r="AQ49" s="263">
        <f t="shared" si="43"/>
        <v>5</v>
      </c>
      <c r="AR49" s="263">
        <f t="shared" si="44"/>
        <v>0</v>
      </c>
      <c r="AS49" s="263">
        <f t="shared" si="45"/>
        <v>2.9000000000000004</v>
      </c>
      <c r="AT49" s="263">
        <f t="shared" si="46"/>
        <v>7.9</v>
      </c>
      <c r="AU49" s="263"/>
      <c r="AV49" s="263"/>
      <c r="AW49" s="263"/>
      <c r="AX49" s="263">
        <f t="shared" si="47"/>
        <v>7.9</v>
      </c>
      <c r="BA49" s="282">
        <f t="shared" si="17"/>
        <v>416.07843137254906</v>
      </c>
      <c r="BB49">
        <v>1</v>
      </c>
      <c r="BC49">
        <f t="shared" si="41"/>
        <v>416.07843137254906</v>
      </c>
      <c r="BD49">
        <f t="shared" si="18"/>
        <v>540</v>
      </c>
      <c r="BE49">
        <f t="shared" si="19"/>
        <v>540</v>
      </c>
      <c r="BF49" s="281">
        <f t="shared" si="42"/>
        <v>0.77051561365286858</v>
      </c>
      <c r="BG49" s="282" t="s">
        <v>2498</v>
      </c>
      <c r="BH49" s="283"/>
    </row>
    <row r="50" spans="1:60" x14ac:dyDescent="0.3">
      <c r="A50">
        <f t="shared" si="20"/>
        <v>48</v>
      </c>
      <c r="B50" s="241" t="s">
        <v>2499</v>
      </c>
      <c r="C50" s="294">
        <v>1</v>
      </c>
      <c r="D50" s="14">
        <v>45693</v>
      </c>
      <c r="E50" s="7">
        <v>45</v>
      </c>
      <c r="F50" s="7"/>
      <c r="G50" s="66"/>
      <c r="H50" s="59"/>
      <c r="I50" s="59">
        <v>600</v>
      </c>
      <c r="J50" s="47">
        <f t="shared" si="34"/>
        <v>600</v>
      </c>
      <c r="K50" s="8">
        <f t="shared" si="35"/>
        <v>555</v>
      </c>
      <c r="L50" s="96">
        <f t="shared" si="36"/>
        <v>0.92500000000000004</v>
      </c>
      <c r="M50" s="81">
        <v>1074</v>
      </c>
      <c r="N50" s="8">
        <v>153</v>
      </c>
      <c r="O50" s="8">
        <v>60</v>
      </c>
      <c r="P50" s="96">
        <f t="shared" si="37"/>
        <v>0.75887652358240598</v>
      </c>
      <c r="Q50" s="59">
        <f t="shared" si="38"/>
        <v>1074</v>
      </c>
      <c r="R50" s="252">
        <f t="shared" si="5"/>
        <v>1151</v>
      </c>
      <c r="S50" s="263">
        <v>10</v>
      </c>
      <c r="T50" s="263">
        <v>0</v>
      </c>
      <c r="U50" s="263">
        <v>0</v>
      </c>
      <c r="V50" s="263">
        <v>0</v>
      </c>
      <c r="W50" s="263">
        <v>4</v>
      </c>
      <c r="X50" s="263">
        <v>7</v>
      </c>
      <c r="Y50" s="263">
        <v>0</v>
      </c>
      <c r="Z50" s="263">
        <v>1</v>
      </c>
      <c r="AA50" s="263">
        <v>0</v>
      </c>
      <c r="AB50" s="263">
        <v>14</v>
      </c>
      <c r="AC50" s="263">
        <v>22</v>
      </c>
      <c r="AD50" s="263">
        <v>41</v>
      </c>
      <c r="AE50" s="263"/>
      <c r="AF50" s="263"/>
      <c r="AG50" s="263"/>
      <c r="AH50" s="263"/>
      <c r="AI50" s="263"/>
      <c r="AJ50" s="259"/>
      <c r="AK50" s="263">
        <f t="shared" si="39"/>
        <v>41</v>
      </c>
      <c r="AL50" s="265">
        <f t="shared" si="7"/>
        <v>6</v>
      </c>
      <c r="AM50" s="6">
        <f t="shared" si="40"/>
        <v>41</v>
      </c>
      <c r="AN50" s="255">
        <f t="shared" si="9"/>
        <v>0.93310165073848828</v>
      </c>
      <c r="AO50" s="256">
        <f t="shared" si="10"/>
        <v>0.65500076659682127</v>
      </c>
      <c r="AP50" s="257">
        <f t="shared" si="11"/>
        <v>35621.198957428322</v>
      </c>
      <c r="AQ50" s="263">
        <f t="shared" si="43"/>
        <v>7</v>
      </c>
      <c r="AR50" s="263">
        <f t="shared" si="44"/>
        <v>4.4000000000000004</v>
      </c>
      <c r="AS50" s="263">
        <f t="shared" si="45"/>
        <v>4.1000000000000005</v>
      </c>
      <c r="AT50" s="263">
        <f t="shared" si="46"/>
        <v>15.5</v>
      </c>
      <c r="AU50" s="263"/>
      <c r="AV50" s="263"/>
      <c r="AW50" s="263"/>
      <c r="AX50" s="263">
        <f t="shared" si="47"/>
        <v>15.5</v>
      </c>
      <c r="BA50" s="282">
        <f t="shared" si="17"/>
        <v>421.1764705882353</v>
      </c>
      <c r="BB50">
        <v>1</v>
      </c>
      <c r="BC50">
        <f t="shared" si="41"/>
        <v>421.1764705882353</v>
      </c>
      <c r="BD50">
        <f t="shared" si="18"/>
        <v>555</v>
      </c>
      <c r="BE50">
        <f t="shared" si="19"/>
        <v>600</v>
      </c>
      <c r="BF50" s="281">
        <f t="shared" si="42"/>
        <v>0.70196078431372555</v>
      </c>
      <c r="BG50" s="282" t="s">
        <v>2481</v>
      </c>
      <c r="BH50" s="283"/>
    </row>
    <row r="51" spans="1:60" x14ac:dyDescent="0.3">
      <c r="A51">
        <f t="shared" si="20"/>
        <v>49</v>
      </c>
      <c r="B51" s="241" t="s">
        <v>2499</v>
      </c>
      <c r="C51" s="294">
        <v>2</v>
      </c>
      <c r="D51" s="14">
        <v>45693</v>
      </c>
      <c r="E51" s="7"/>
      <c r="F51" s="7"/>
      <c r="G51" s="66"/>
      <c r="H51" s="59"/>
      <c r="I51" s="59">
        <v>540</v>
      </c>
      <c r="J51" s="47">
        <f t="shared" si="34"/>
        <v>540</v>
      </c>
      <c r="K51" s="8">
        <f t="shared" si="35"/>
        <v>540</v>
      </c>
      <c r="L51" s="96">
        <f t="shared" si="36"/>
        <v>1</v>
      </c>
      <c r="M51" s="81">
        <v>1120</v>
      </c>
      <c r="N51" s="8">
        <v>153</v>
      </c>
      <c r="O51" s="8">
        <v>60</v>
      </c>
      <c r="P51" s="96">
        <f t="shared" si="37"/>
        <v>0.81336238198983291</v>
      </c>
      <c r="Q51" s="59">
        <f t="shared" si="38"/>
        <v>1120</v>
      </c>
      <c r="R51" s="252">
        <f t="shared" si="5"/>
        <v>1156</v>
      </c>
      <c r="S51" s="263">
        <v>18</v>
      </c>
      <c r="T51" s="263">
        <v>2</v>
      </c>
      <c r="U51" s="263">
        <v>24</v>
      </c>
      <c r="V51" s="263">
        <v>0</v>
      </c>
      <c r="W51" s="263">
        <v>11</v>
      </c>
      <c r="X51" s="263">
        <v>2</v>
      </c>
      <c r="Y51" s="263">
        <v>0</v>
      </c>
      <c r="Z51" s="263">
        <v>0</v>
      </c>
      <c r="AA51" s="263">
        <v>0</v>
      </c>
      <c r="AB51" s="263">
        <v>14</v>
      </c>
      <c r="AC51" s="263">
        <v>5</v>
      </c>
      <c r="AD51" s="263">
        <v>17</v>
      </c>
      <c r="AE51" s="263"/>
      <c r="AF51" s="263"/>
      <c r="AG51" s="263"/>
      <c r="AH51" s="263"/>
      <c r="AI51" s="263"/>
      <c r="AJ51" s="259"/>
      <c r="AK51" s="263">
        <f t="shared" si="39"/>
        <v>17</v>
      </c>
      <c r="AL51" s="265">
        <f t="shared" si="7"/>
        <v>6</v>
      </c>
      <c r="AM51" s="6">
        <f t="shared" si="40"/>
        <v>17</v>
      </c>
      <c r="AN51" s="255">
        <f t="shared" si="9"/>
        <v>0.96885813148788924</v>
      </c>
      <c r="AO51" s="256">
        <f t="shared" si="10"/>
        <v>0.78803275763720837</v>
      </c>
      <c r="AP51" s="257">
        <f t="shared" si="11"/>
        <v>14705.882352941177</v>
      </c>
      <c r="AQ51" s="263">
        <f t="shared" si="43"/>
        <v>7</v>
      </c>
      <c r="AR51" s="263">
        <f t="shared" si="44"/>
        <v>1</v>
      </c>
      <c r="AS51" s="263">
        <f t="shared" si="45"/>
        <v>1.7000000000000002</v>
      </c>
      <c r="AT51" s="263">
        <f t="shared" si="46"/>
        <v>9.6999999999999993</v>
      </c>
      <c r="AU51" s="263"/>
      <c r="AV51" s="263"/>
      <c r="AW51" s="263"/>
      <c r="AX51" s="263">
        <f t="shared" si="47"/>
        <v>9.6999999999999993</v>
      </c>
      <c r="BA51" s="282">
        <f t="shared" si="17"/>
        <v>439.21568627450978</v>
      </c>
      <c r="BB51">
        <v>1</v>
      </c>
      <c r="BC51">
        <f t="shared" si="41"/>
        <v>439.21568627450978</v>
      </c>
      <c r="BD51">
        <f t="shared" si="18"/>
        <v>540</v>
      </c>
      <c r="BE51">
        <f t="shared" si="19"/>
        <v>540</v>
      </c>
      <c r="BF51" s="281">
        <f t="shared" si="42"/>
        <v>0.81336238198983291</v>
      </c>
      <c r="BG51" s="282" t="s">
        <v>2482</v>
      </c>
      <c r="BH51" s="283"/>
    </row>
    <row r="52" spans="1:60" x14ac:dyDescent="0.3">
      <c r="A52">
        <f t="shared" si="20"/>
        <v>50</v>
      </c>
      <c r="B52" s="241" t="s">
        <v>2499</v>
      </c>
      <c r="C52" s="294">
        <v>1</v>
      </c>
      <c r="D52" s="14">
        <v>45694</v>
      </c>
      <c r="E52" s="7">
        <v>45</v>
      </c>
      <c r="F52" s="7"/>
      <c r="G52" s="66"/>
      <c r="H52" s="59"/>
      <c r="I52" s="59">
        <v>600</v>
      </c>
      <c r="J52" s="47">
        <f t="shared" si="34"/>
        <v>600</v>
      </c>
      <c r="K52" s="8">
        <f t="shared" si="35"/>
        <v>555</v>
      </c>
      <c r="L52" s="96">
        <f t="shared" si="36"/>
        <v>0.92500000000000004</v>
      </c>
      <c r="M52" s="81">
        <v>1183</v>
      </c>
      <c r="N52" s="8">
        <v>153</v>
      </c>
      <c r="O52" s="8">
        <v>60</v>
      </c>
      <c r="P52" s="96">
        <f t="shared" si="37"/>
        <v>0.83589471824765949</v>
      </c>
      <c r="Q52" s="59">
        <f t="shared" si="38"/>
        <v>1183</v>
      </c>
      <c r="R52" s="252">
        <f t="shared" si="5"/>
        <v>1209</v>
      </c>
      <c r="S52" s="263">
        <v>23</v>
      </c>
      <c r="T52" s="263">
        <v>3</v>
      </c>
      <c r="U52" s="263">
        <v>1</v>
      </c>
      <c r="V52" s="263">
        <v>0</v>
      </c>
      <c r="W52" s="263">
        <v>0</v>
      </c>
      <c r="X52" s="263">
        <v>4</v>
      </c>
      <c r="Y52" s="263">
        <v>0</v>
      </c>
      <c r="Z52" s="263">
        <v>4</v>
      </c>
      <c r="AA52" s="263">
        <v>0</v>
      </c>
      <c r="AB52" s="263">
        <v>11</v>
      </c>
      <c r="AC52" s="263">
        <v>2</v>
      </c>
      <c r="AD52" s="263">
        <v>13</v>
      </c>
      <c r="AE52" s="263"/>
      <c r="AF52" s="263"/>
      <c r="AG52" s="263"/>
      <c r="AH52" s="263"/>
      <c r="AI52" s="263"/>
      <c r="AJ52" s="259"/>
      <c r="AK52" s="263">
        <f t="shared" si="39"/>
        <v>13</v>
      </c>
      <c r="AL52" s="265">
        <f t="shared" si="7"/>
        <v>6</v>
      </c>
      <c r="AM52" s="6">
        <f t="shared" si="40"/>
        <v>13</v>
      </c>
      <c r="AN52" s="255">
        <f t="shared" si="9"/>
        <v>0.978494623655914</v>
      </c>
      <c r="AO52" s="256">
        <f t="shared" si="10"/>
        <v>0.75657460116663167</v>
      </c>
      <c r="AP52" s="257">
        <f t="shared" si="11"/>
        <v>10752.688172043012</v>
      </c>
      <c r="AQ52" s="263">
        <f t="shared" si="43"/>
        <v>5.5</v>
      </c>
      <c r="AR52" s="263">
        <f t="shared" si="44"/>
        <v>0.4</v>
      </c>
      <c r="AS52" s="263">
        <f t="shared" si="45"/>
        <v>1.3</v>
      </c>
      <c r="AT52" s="263">
        <f t="shared" si="46"/>
        <v>7.2</v>
      </c>
      <c r="AU52" s="263"/>
      <c r="AV52" s="263"/>
      <c r="AW52" s="263"/>
      <c r="AX52" s="263">
        <f t="shared" si="47"/>
        <v>7.2</v>
      </c>
      <c r="BA52" s="282">
        <f t="shared" si="17"/>
        <v>463.92156862745099</v>
      </c>
      <c r="BB52">
        <v>1</v>
      </c>
      <c r="BC52">
        <f t="shared" si="41"/>
        <v>463.92156862745099</v>
      </c>
      <c r="BD52">
        <f t="shared" si="18"/>
        <v>555</v>
      </c>
      <c r="BE52">
        <f t="shared" si="19"/>
        <v>600</v>
      </c>
      <c r="BF52" s="281">
        <f t="shared" si="42"/>
        <v>0.773202614379085</v>
      </c>
      <c r="BG52" s="282" t="s">
        <v>2481</v>
      </c>
      <c r="BH52" s="283"/>
    </row>
    <row r="53" spans="1:60" x14ac:dyDescent="0.3">
      <c r="A53">
        <f t="shared" si="20"/>
        <v>51</v>
      </c>
      <c r="B53" s="241" t="s">
        <v>2499</v>
      </c>
      <c r="C53" s="294">
        <v>2</v>
      </c>
      <c r="D53" s="14">
        <v>45694</v>
      </c>
      <c r="E53" s="7"/>
      <c r="F53" s="7"/>
      <c r="G53" s="66"/>
      <c r="H53" s="59"/>
      <c r="I53" s="59">
        <v>540</v>
      </c>
      <c r="J53" s="47">
        <f t="shared" si="34"/>
        <v>540</v>
      </c>
      <c r="K53" s="8">
        <f t="shared" si="35"/>
        <v>540</v>
      </c>
      <c r="L53" s="96">
        <f t="shared" si="36"/>
        <v>1</v>
      </c>
      <c r="M53" s="81">
        <v>1338</v>
      </c>
      <c r="N53" s="8">
        <v>153</v>
      </c>
      <c r="O53" s="8">
        <v>60</v>
      </c>
      <c r="P53" s="96">
        <f t="shared" si="37"/>
        <v>0.97167755991285387</v>
      </c>
      <c r="Q53" s="59">
        <f t="shared" si="38"/>
        <v>1338</v>
      </c>
      <c r="R53" s="252">
        <f t="shared" si="5"/>
        <v>1358</v>
      </c>
      <c r="S53" s="263">
        <v>38</v>
      </c>
      <c r="T53" s="263">
        <v>0</v>
      </c>
      <c r="U53" s="263">
        <v>0</v>
      </c>
      <c r="V53" s="263">
        <v>0</v>
      </c>
      <c r="W53" s="263">
        <v>6</v>
      </c>
      <c r="X53" s="263">
        <v>1</v>
      </c>
      <c r="Y53" s="263">
        <v>0</v>
      </c>
      <c r="Z53" s="263">
        <v>1</v>
      </c>
      <c r="AA53" s="263">
        <v>1</v>
      </c>
      <c r="AB53" s="263">
        <v>8</v>
      </c>
      <c r="AC53" s="263">
        <v>0</v>
      </c>
      <c r="AD53" s="263">
        <v>12</v>
      </c>
      <c r="AE53" s="263"/>
      <c r="AF53" s="263"/>
      <c r="AG53" s="263"/>
      <c r="AH53" s="263"/>
      <c r="AI53" s="263"/>
      <c r="AJ53" s="259"/>
      <c r="AK53" s="263">
        <f t="shared" si="39"/>
        <v>12</v>
      </c>
      <c r="AL53" s="265">
        <f t="shared" si="7"/>
        <v>6</v>
      </c>
      <c r="AM53" s="6">
        <f t="shared" si="40"/>
        <v>12</v>
      </c>
      <c r="AN53" s="255">
        <f t="shared" si="9"/>
        <v>0.98527245949926368</v>
      </c>
      <c r="AO53" s="256">
        <f t="shared" si="10"/>
        <v>0.9573671392955807</v>
      </c>
      <c r="AP53" s="257">
        <f t="shared" si="11"/>
        <v>8836.5243004418262</v>
      </c>
      <c r="AQ53" s="263">
        <f t="shared" si="43"/>
        <v>4</v>
      </c>
      <c r="AR53" s="263">
        <f t="shared" si="44"/>
        <v>0</v>
      </c>
      <c r="AS53" s="263">
        <f t="shared" si="45"/>
        <v>1.2000000000000002</v>
      </c>
      <c r="AT53" s="263">
        <f t="shared" si="46"/>
        <v>5.2</v>
      </c>
      <c r="AU53" s="263"/>
      <c r="AV53" s="263"/>
      <c r="AW53" s="263"/>
      <c r="AX53" s="263">
        <f t="shared" si="47"/>
        <v>5.2</v>
      </c>
      <c r="BA53" s="282">
        <f t="shared" si="17"/>
        <v>524.7058823529411</v>
      </c>
      <c r="BB53">
        <v>1</v>
      </c>
      <c r="BC53">
        <f t="shared" si="41"/>
        <v>524.7058823529411</v>
      </c>
      <c r="BD53">
        <f t="shared" si="18"/>
        <v>540</v>
      </c>
      <c r="BE53">
        <f t="shared" si="19"/>
        <v>540</v>
      </c>
      <c r="BF53" s="281">
        <f t="shared" si="42"/>
        <v>0.97167755991285387</v>
      </c>
      <c r="BG53" s="282" t="s">
        <v>2482</v>
      </c>
      <c r="BH53" s="283"/>
    </row>
    <row r="54" spans="1:60" x14ac:dyDescent="0.3">
      <c r="A54">
        <f t="shared" si="20"/>
        <v>52</v>
      </c>
      <c r="B54" s="269" t="s">
        <v>2504</v>
      </c>
      <c r="C54" s="294">
        <v>1</v>
      </c>
      <c r="D54" s="14">
        <v>45695</v>
      </c>
      <c r="E54" s="7">
        <f>300</f>
        <v>300</v>
      </c>
      <c r="F54" s="7"/>
      <c r="G54" s="66"/>
      <c r="H54" s="59"/>
      <c r="I54" s="59">
        <v>600</v>
      </c>
      <c r="J54" s="47">
        <f t="shared" si="34"/>
        <v>600</v>
      </c>
      <c r="K54" s="8">
        <f t="shared" si="35"/>
        <v>300</v>
      </c>
      <c r="L54" s="96">
        <f t="shared" si="36"/>
        <v>0.5</v>
      </c>
      <c r="M54" s="81">
        <v>737</v>
      </c>
      <c r="N54" s="8">
        <v>153</v>
      </c>
      <c r="O54" s="8">
        <v>60</v>
      </c>
      <c r="P54" s="96">
        <f t="shared" si="37"/>
        <v>0.96339869281045742</v>
      </c>
      <c r="Q54" s="59">
        <f t="shared" si="38"/>
        <v>737</v>
      </c>
      <c r="R54" s="252">
        <f t="shared" si="5"/>
        <v>751</v>
      </c>
      <c r="S54" s="263">
        <v>3</v>
      </c>
      <c r="T54" s="263">
        <v>1</v>
      </c>
      <c r="U54" s="263">
        <v>0</v>
      </c>
      <c r="V54" s="263">
        <v>0</v>
      </c>
      <c r="W54" s="263">
        <v>4</v>
      </c>
      <c r="X54" s="263">
        <v>1</v>
      </c>
      <c r="Y54" s="263">
        <v>0</v>
      </c>
      <c r="Z54" s="263">
        <v>1</v>
      </c>
      <c r="AA54" s="263">
        <v>0</v>
      </c>
      <c r="AB54" s="263">
        <v>4</v>
      </c>
      <c r="AC54" s="263">
        <v>0</v>
      </c>
      <c r="AD54" s="263">
        <v>10</v>
      </c>
      <c r="AE54" s="263"/>
      <c r="AF54" s="263"/>
      <c r="AG54" s="263"/>
      <c r="AH54" s="263"/>
      <c r="AI54" s="263"/>
      <c r="AJ54" s="259"/>
      <c r="AK54" s="263">
        <f t="shared" si="39"/>
        <v>10</v>
      </c>
      <c r="AL54" s="265">
        <f t="shared" si="7"/>
        <v>6</v>
      </c>
      <c r="AM54" s="6">
        <f t="shared" si="40"/>
        <v>10</v>
      </c>
      <c r="AN54" s="255">
        <f t="shared" si="9"/>
        <v>0.98135818908122507</v>
      </c>
      <c r="AO54" s="256">
        <f t="shared" si="10"/>
        <v>0.472719598269845</v>
      </c>
      <c r="AP54" s="257">
        <f t="shared" si="11"/>
        <v>13315.579227696404</v>
      </c>
      <c r="AQ54" s="263">
        <f t="shared" si="43"/>
        <v>2</v>
      </c>
      <c r="AR54" s="263">
        <f t="shared" si="44"/>
        <v>0</v>
      </c>
      <c r="AS54" s="263">
        <f t="shared" si="45"/>
        <v>1</v>
      </c>
      <c r="AT54" s="263">
        <f t="shared" si="46"/>
        <v>3</v>
      </c>
      <c r="AU54" s="263"/>
      <c r="AV54" s="263"/>
      <c r="AW54" s="263"/>
      <c r="AX54" s="263">
        <f t="shared" si="47"/>
        <v>3</v>
      </c>
      <c r="BA54" s="282">
        <f t="shared" si="17"/>
        <v>289.01960784313724</v>
      </c>
      <c r="BB54">
        <v>1</v>
      </c>
      <c r="BC54">
        <f t="shared" si="41"/>
        <v>289.01960784313724</v>
      </c>
      <c r="BD54">
        <f t="shared" si="18"/>
        <v>300</v>
      </c>
      <c r="BE54">
        <f t="shared" si="19"/>
        <v>600</v>
      </c>
      <c r="BF54" s="281">
        <f t="shared" si="42"/>
        <v>0.48169934640522871</v>
      </c>
      <c r="BG54" s="282" t="s">
        <v>2481</v>
      </c>
      <c r="BH54" s="283"/>
    </row>
    <row r="55" spans="1:60" x14ac:dyDescent="0.3">
      <c r="A55">
        <f t="shared" si="20"/>
        <v>53</v>
      </c>
      <c r="B55" s="241" t="s">
        <v>2505</v>
      </c>
      <c r="C55" s="294">
        <v>2</v>
      </c>
      <c r="D55" s="14">
        <v>45695</v>
      </c>
      <c r="E55" s="7">
        <v>60</v>
      </c>
      <c r="F55" s="7">
        <f>60*3</f>
        <v>180</v>
      </c>
      <c r="G55" s="66"/>
      <c r="H55" s="59"/>
      <c r="I55" s="59">
        <v>540</v>
      </c>
      <c r="J55" s="47">
        <f t="shared" si="34"/>
        <v>540</v>
      </c>
      <c r="K55" s="8">
        <f t="shared" si="35"/>
        <v>300</v>
      </c>
      <c r="L55" s="96">
        <f t="shared" si="36"/>
        <v>0.55555555555555558</v>
      </c>
      <c r="M55" s="81">
        <v>541</v>
      </c>
      <c r="N55" s="8">
        <v>153</v>
      </c>
      <c r="O55" s="8">
        <v>60</v>
      </c>
      <c r="P55" s="96">
        <f t="shared" si="37"/>
        <v>0.70718954248366017</v>
      </c>
      <c r="Q55" s="59">
        <f t="shared" si="38"/>
        <v>541</v>
      </c>
      <c r="R55" s="252">
        <f t="shared" si="5"/>
        <v>568</v>
      </c>
      <c r="S55" s="263">
        <v>16</v>
      </c>
      <c r="T55" s="263">
        <v>0</v>
      </c>
      <c r="U55" s="263">
        <v>0</v>
      </c>
      <c r="V55" s="263">
        <v>0</v>
      </c>
      <c r="W55" s="263">
        <v>7</v>
      </c>
      <c r="X55" s="263">
        <v>12</v>
      </c>
      <c r="Y55" s="263">
        <v>0</v>
      </c>
      <c r="Z55" s="263">
        <v>0</v>
      </c>
      <c r="AA55" s="263">
        <v>0</v>
      </c>
      <c r="AB55" s="263">
        <v>15</v>
      </c>
      <c r="AC55" s="263">
        <v>4</v>
      </c>
      <c r="AD55" s="263">
        <v>8</v>
      </c>
      <c r="AE55" s="263"/>
      <c r="AF55" s="263"/>
      <c r="AG55" s="263"/>
      <c r="AH55" s="263"/>
      <c r="AI55" s="263"/>
      <c r="AJ55" s="259"/>
      <c r="AK55" s="263">
        <f t="shared" si="39"/>
        <v>8</v>
      </c>
      <c r="AL55" s="265">
        <f t="shared" si="7"/>
        <v>6</v>
      </c>
      <c r="AM55" s="6">
        <f t="shared" si="40"/>
        <v>8</v>
      </c>
      <c r="AN55" s="255">
        <f t="shared" si="9"/>
        <v>0.95246478873239437</v>
      </c>
      <c r="AO55" s="256">
        <f t="shared" si="10"/>
        <v>0.37420729898636562</v>
      </c>
      <c r="AP55" s="257">
        <f t="shared" si="11"/>
        <v>14084.507042253521</v>
      </c>
      <c r="AQ55" s="263">
        <f t="shared" si="43"/>
        <v>7.5</v>
      </c>
      <c r="AR55" s="263">
        <f t="shared" si="44"/>
        <v>0.8</v>
      </c>
      <c r="AS55" s="263">
        <f t="shared" si="45"/>
        <v>0.8</v>
      </c>
      <c r="AT55" s="263">
        <f t="shared" si="46"/>
        <v>9.1000000000000014</v>
      </c>
      <c r="AU55" s="263"/>
      <c r="AV55" s="263"/>
      <c r="AW55" s="263"/>
      <c r="AX55" s="263">
        <f t="shared" si="47"/>
        <v>9.1000000000000014</v>
      </c>
      <c r="BA55" s="282">
        <f t="shared" si="17"/>
        <v>212.15686274509804</v>
      </c>
      <c r="BB55">
        <v>1</v>
      </c>
      <c r="BC55">
        <f t="shared" si="41"/>
        <v>212.15686274509804</v>
      </c>
      <c r="BD55">
        <f t="shared" si="18"/>
        <v>300</v>
      </c>
      <c r="BE55">
        <f t="shared" si="19"/>
        <v>540</v>
      </c>
      <c r="BF55" s="281">
        <f t="shared" si="42"/>
        <v>0.39288307915758897</v>
      </c>
      <c r="BG55" s="282" t="s">
        <v>2482</v>
      </c>
      <c r="BH55" s="283"/>
    </row>
    <row r="56" spans="1:60" x14ac:dyDescent="0.3">
      <c r="A56">
        <f t="shared" si="20"/>
        <v>54</v>
      </c>
      <c r="B56" s="241" t="s">
        <v>2505</v>
      </c>
      <c r="C56" s="294">
        <v>1</v>
      </c>
      <c r="D56" s="14">
        <v>45696</v>
      </c>
      <c r="E56" s="7">
        <v>45</v>
      </c>
      <c r="F56" s="7"/>
      <c r="G56" s="66"/>
      <c r="H56" s="59"/>
      <c r="I56" s="59">
        <v>600</v>
      </c>
      <c r="J56" s="47">
        <f t="shared" si="34"/>
        <v>600</v>
      </c>
      <c r="K56" s="8">
        <f t="shared" si="35"/>
        <v>555</v>
      </c>
      <c r="L56" s="96">
        <f t="shared" si="36"/>
        <v>0.92500000000000004</v>
      </c>
      <c r="M56" s="81">
        <v>1193</v>
      </c>
      <c r="N56" s="8">
        <v>153</v>
      </c>
      <c r="O56" s="8">
        <v>60</v>
      </c>
      <c r="P56" s="96">
        <f t="shared" si="37"/>
        <v>0.84296060766648995</v>
      </c>
      <c r="Q56" s="59">
        <f t="shared" si="38"/>
        <v>1193</v>
      </c>
      <c r="R56" s="252">
        <f t="shared" si="5"/>
        <v>1217</v>
      </c>
      <c r="S56" s="263">
        <v>10</v>
      </c>
      <c r="T56" s="263">
        <v>2</v>
      </c>
      <c r="U56" s="263">
        <v>0</v>
      </c>
      <c r="V56" s="263">
        <v>0</v>
      </c>
      <c r="W56" s="263">
        <v>0</v>
      </c>
      <c r="X56" s="263">
        <v>22</v>
      </c>
      <c r="Y56" s="263">
        <v>0</v>
      </c>
      <c r="Z56" s="263">
        <v>3</v>
      </c>
      <c r="AA56" s="263">
        <v>0</v>
      </c>
      <c r="AB56" s="263">
        <v>8</v>
      </c>
      <c r="AC56" s="263">
        <v>7</v>
      </c>
      <c r="AD56" s="263">
        <v>9</v>
      </c>
      <c r="AE56" s="263"/>
      <c r="AF56" s="263"/>
      <c r="AG56" s="263"/>
      <c r="AH56" s="263"/>
      <c r="AI56" s="263"/>
      <c r="AJ56" s="259"/>
      <c r="AK56" s="263">
        <f t="shared" si="39"/>
        <v>9</v>
      </c>
      <c r="AL56" s="265">
        <f t="shared" si="7"/>
        <v>6</v>
      </c>
      <c r="AM56" s="6">
        <f t="shared" si="40"/>
        <v>9</v>
      </c>
      <c r="AN56" s="255">
        <f t="shared" si="9"/>
        <v>0.98027937551355793</v>
      </c>
      <c r="AO56" s="256">
        <f t="shared" si="10"/>
        <v>0.76436163071089847</v>
      </c>
      <c r="AP56" s="257">
        <f t="shared" si="11"/>
        <v>7395.2341824157766</v>
      </c>
      <c r="AQ56" s="263">
        <f t="shared" si="43"/>
        <v>4</v>
      </c>
      <c r="AR56" s="263">
        <f t="shared" si="44"/>
        <v>1.4000000000000001</v>
      </c>
      <c r="AS56" s="263">
        <f t="shared" si="45"/>
        <v>0.9</v>
      </c>
      <c r="AT56" s="263">
        <f t="shared" si="46"/>
        <v>6.3000000000000007</v>
      </c>
      <c r="AU56" s="263"/>
      <c r="AV56" s="263"/>
      <c r="AW56" s="263"/>
      <c r="AX56" s="263">
        <f t="shared" si="47"/>
        <v>6.3000000000000007</v>
      </c>
      <c r="BA56" s="282">
        <f t="shared" si="17"/>
        <v>467.84313725490193</v>
      </c>
      <c r="BB56">
        <v>1</v>
      </c>
      <c r="BC56">
        <f t="shared" si="41"/>
        <v>467.84313725490193</v>
      </c>
      <c r="BD56">
        <f t="shared" si="18"/>
        <v>555</v>
      </c>
      <c r="BE56">
        <f t="shared" si="19"/>
        <v>600</v>
      </c>
      <c r="BF56" s="281">
        <f t="shared" si="42"/>
        <v>0.77973856209150327</v>
      </c>
      <c r="BG56" s="282" t="s">
        <v>2497</v>
      </c>
      <c r="BH56" s="283"/>
    </row>
    <row r="57" spans="1:60" x14ac:dyDescent="0.3">
      <c r="A57">
        <f t="shared" si="20"/>
        <v>55</v>
      </c>
      <c r="B57" s="269" t="s">
        <v>2506</v>
      </c>
      <c r="C57" s="294">
        <v>2</v>
      </c>
      <c r="D57" s="14">
        <v>45696</v>
      </c>
      <c r="E57" s="292"/>
      <c r="F57" s="7"/>
      <c r="G57" s="66"/>
      <c r="H57" s="59"/>
      <c r="I57" s="59">
        <v>112</v>
      </c>
      <c r="J57" s="47">
        <f t="shared" si="34"/>
        <v>112</v>
      </c>
      <c r="K57" s="8">
        <f t="shared" si="35"/>
        <v>112</v>
      </c>
      <c r="L57" s="96">
        <f t="shared" si="36"/>
        <v>1</v>
      </c>
      <c r="M57" s="81">
        <f>216</f>
        <v>216</v>
      </c>
      <c r="N57" s="8">
        <v>153</v>
      </c>
      <c r="O57" s="8">
        <v>60</v>
      </c>
      <c r="P57" s="96">
        <f t="shared" si="37"/>
        <v>0.75630252100840345</v>
      </c>
      <c r="Q57" s="59">
        <f t="shared" si="38"/>
        <v>216</v>
      </c>
      <c r="R57" s="252">
        <f t="shared" si="5"/>
        <v>219</v>
      </c>
      <c r="S57" s="263">
        <v>2</v>
      </c>
      <c r="T57" s="263">
        <v>0</v>
      </c>
      <c r="U57" s="263">
        <v>0</v>
      </c>
      <c r="V57" s="263">
        <v>0</v>
      </c>
      <c r="W57" s="263">
        <v>0</v>
      </c>
      <c r="X57" s="263">
        <v>2</v>
      </c>
      <c r="Y57" s="263">
        <v>0</v>
      </c>
      <c r="Z57" s="263">
        <v>0</v>
      </c>
      <c r="AA57" s="263">
        <v>1</v>
      </c>
      <c r="AB57" s="263">
        <v>1</v>
      </c>
      <c r="AC57" s="263">
        <v>2</v>
      </c>
      <c r="AD57" s="263">
        <v>0</v>
      </c>
      <c r="AE57" s="263"/>
      <c r="AF57" s="263"/>
      <c r="AG57" s="263"/>
      <c r="AH57" s="263"/>
      <c r="AI57" s="263"/>
      <c r="AJ57" s="259"/>
      <c r="AK57" s="263">
        <f t="shared" si="39"/>
        <v>0</v>
      </c>
      <c r="AL57" s="265">
        <f t="shared" si="7"/>
        <v>6</v>
      </c>
      <c r="AM57" s="6">
        <f t="shared" si="40"/>
        <v>0</v>
      </c>
      <c r="AN57" s="255">
        <f t="shared" si="9"/>
        <v>0.98630136986301364</v>
      </c>
      <c r="AO57" s="256">
        <f t="shared" si="10"/>
        <v>0.74594221250143899</v>
      </c>
      <c r="AP57" s="257">
        <f t="shared" si="11"/>
        <v>0</v>
      </c>
      <c r="AQ57" s="263">
        <f t="shared" si="43"/>
        <v>0.5</v>
      </c>
      <c r="AR57" s="263">
        <f t="shared" si="44"/>
        <v>0.4</v>
      </c>
      <c r="AS57" s="263">
        <f t="shared" si="45"/>
        <v>0</v>
      </c>
      <c r="AT57" s="263">
        <f t="shared" si="46"/>
        <v>0.9</v>
      </c>
      <c r="AU57" s="263"/>
      <c r="AV57" s="263"/>
      <c r="AW57" s="263"/>
      <c r="AX57" s="263">
        <f t="shared" si="47"/>
        <v>0.9</v>
      </c>
      <c r="BA57" s="282">
        <f t="shared" si="17"/>
        <v>84.705882352941188</v>
      </c>
      <c r="BB57">
        <v>1</v>
      </c>
      <c r="BC57">
        <f t="shared" si="41"/>
        <v>84.705882352941188</v>
      </c>
      <c r="BD57">
        <f t="shared" si="18"/>
        <v>112</v>
      </c>
      <c r="BE57">
        <f t="shared" si="19"/>
        <v>112</v>
      </c>
      <c r="BF57" s="281">
        <f t="shared" si="42"/>
        <v>0.75630252100840345</v>
      </c>
      <c r="BG57" s="282" t="s">
        <v>2507</v>
      </c>
      <c r="BH57" s="283"/>
    </row>
    <row r="58" spans="1:60" x14ac:dyDescent="0.3">
      <c r="A58">
        <f t="shared" si="20"/>
        <v>56</v>
      </c>
      <c r="B58" s="269" t="s">
        <v>2485</v>
      </c>
      <c r="C58" s="294">
        <v>2</v>
      </c>
      <c r="D58" s="14">
        <v>45696</v>
      </c>
      <c r="E58" s="292">
        <f>120</f>
        <v>120</v>
      </c>
      <c r="F58" s="7"/>
      <c r="G58" s="66"/>
      <c r="H58" s="59"/>
      <c r="I58" s="59">
        <v>310</v>
      </c>
      <c r="J58" s="47">
        <f t="shared" si="34"/>
        <v>310</v>
      </c>
      <c r="K58" s="8">
        <f t="shared" si="35"/>
        <v>190</v>
      </c>
      <c r="L58" s="96">
        <f t="shared" si="36"/>
        <v>0.61290322580645162</v>
      </c>
      <c r="M58" s="81">
        <v>550</v>
      </c>
      <c r="N58" s="8">
        <v>153</v>
      </c>
      <c r="O58" s="8">
        <v>60</v>
      </c>
      <c r="P58" s="96">
        <f t="shared" si="37"/>
        <v>1.1351909184726523</v>
      </c>
      <c r="Q58" s="59">
        <f t="shared" si="38"/>
        <v>550</v>
      </c>
      <c r="R58" s="252">
        <f t="shared" si="5"/>
        <v>562</v>
      </c>
      <c r="S58" s="263">
        <v>7</v>
      </c>
      <c r="T58" s="263">
        <v>0</v>
      </c>
      <c r="U58" s="263">
        <v>0</v>
      </c>
      <c r="V58" s="263">
        <v>0</v>
      </c>
      <c r="W58" s="263">
        <v>0</v>
      </c>
      <c r="X58" s="263">
        <v>0</v>
      </c>
      <c r="Y58" s="263">
        <v>0</v>
      </c>
      <c r="Z58" s="263">
        <v>1</v>
      </c>
      <c r="AA58" s="263">
        <v>0</v>
      </c>
      <c r="AB58" s="263">
        <v>5</v>
      </c>
      <c r="AC58" s="263">
        <v>1</v>
      </c>
      <c r="AD58" s="263">
        <v>6</v>
      </c>
      <c r="AE58" s="263"/>
      <c r="AF58" s="263"/>
      <c r="AG58" s="263"/>
      <c r="AH58" s="263"/>
      <c r="AI58" s="263"/>
      <c r="AJ58" s="259"/>
      <c r="AK58" s="263">
        <f t="shared" si="39"/>
        <v>6</v>
      </c>
      <c r="AL58" s="265">
        <f t="shared" si="7"/>
        <v>6</v>
      </c>
      <c r="AM58" s="6">
        <f t="shared" si="40"/>
        <v>6</v>
      </c>
      <c r="AN58" s="255">
        <f t="shared" si="9"/>
        <v>0.97864768683274017</v>
      </c>
      <c r="AO58" s="256">
        <f t="shared" si="10"/>
        <v>0.68090604396964849</v>
      </c>
      <c r="AP58" s="257">
        <f t="shared" si="11"/>
        <v>10676.156583629894</v>
      </c>
      <c r="AQ58" s="263">
        <f t="shared" si="43"/>
        <v>2.5</v>
      </c>
      <c r="AR58" s="263">
        <f t="shared" si="44"/>
        <v>0.2</v>
      </c>
      <c r="AS58" s="263">
        <f t="shared" si="45"/>
        <v>0.60000000000000009</v>
      </c>
      <c r="AT58" s="263">
        <f t="shared" si="46"/>
        <v>3.3000000000000003</v>
      </c>
      <c r="AU58" s="263"/>
      <c r="AV58" s="263"/>
      <c r="AW58" s="263"/>
      <c r="AX58" s="263">
        <f t="shared" si="47"/>
        <v>3.3000000000000003</v>
      </c>
      <c r="BA58" s="282">
        <f t="shared" si="17"/>
        <v>215.68627450980392</v>
      </c>
      <c r="BB58">
        <v>1</v>
      </c>
      <c r="BC58">
        <f t="shared" si="41"/>
        <v>215.68627450980392</v>
      </c>
      <c r="BD58">
        <f t="shared" si="18"/>
        <v>190</v>
      </c>
      <c r="BE58">
        <f t="shared" si="19"/>
        <v>310</v>
      </c>
      <c r="BF58" s="281">
        <f t="shared" si="42"/>
        <v>0.6957621758380772</v>
      </c>
      <c r="BG58" s="282" t="s">
        <v>2507</v>
      </c>
      <c r="BH58" s="283"/>
    </row>
    <row r="59" spans="1:60" x14ac:dyDescent="0.3">
      <c r="A59">
        <f t="shared" si="20"/>
        <v>57</v>
      </c>
      <c r="B59" s="241" t="s">
        <v>2485</v>
      </c>
      <c r="C59" s="294" t="s">
        <v>2511</v>
      </c>
      <c r="D59" s="14">
        <v>45698</v>
      </c>
      <c r="E59" s="7">
        <v>45</v>
      </c>
      <c r="F59" s="7"/>
      <c r="G59" s="66"/>
      <c r="H59" s="59"/>
      <c r="I59" s="59">
        <v>480</v>
      </c>
      <c r="J59" s="47">
        <f t="shared" si="34"/>
        <v>480</v>
      </c>
      <c r="K59" s="8">
        <f t="shared" si="35"/>
        <v>435</v>
      </c>
      <c r="L59" s="96">
        <f t="shared" si="36"/>
        <v>0.90625</v>
      </c>
      <c r="M59" s="81">
        <v>1020</v>
      </c>
      <c r="N59" s="8">
        <v>153</v>
      </c>
      <c r="O59" s="8">
        <v>60</v>
      </c>
      <c r="P59" s="96">
        <f t="shared" si="37"/>
        <v>0.91954022988505746</v>
      </c>
      <c r="Q59" s="59">
        <f t="shared" si="38"/>
        <v>1020</v>
      </c>
      <c r="R59" s="252">
        <f t="shared" si="5"/>
        <v>1034</v>
      </c>
      <c r="S59" s="263">
        <v>10</v>
      </c>
      <c r="T59" s="263">
        <v>2</v>
      </c>
      <c r="U59" s="263">
        <v>0</v>
      </c>
      <c r="V59" s="263">
        <v>0</v>
      </c>
      <c r="W59" s="263">
        <v>0</v>
      </c>
      <c r="X59" s="263">
        <v>6</v>
      </c>
      <c r="Y59" s="263">
        <v>0</v>
      </c>
      <c r="Z59" s="263">
        <v>0</v>
      </c>
      <c r="AA59" s="263">
        <v>2</v>
      </c>
      <c r="AB59" s="263">
        <v>6</v>
      </c>
      <c r="AC59" s="263">
        <v>2</v>
      </c>
      <c r="AD59" s="263">
        <v>6</v>
      </c>
      <c r="AE59" s="263"/>
      <c r="AF59" s="263"/>
      <c r="AG59" s="263"/>
      <c r="AH59" s="263"/>
      <c r="AI59" s="263"/>
      <c r="AJ59" s="259"/>
      <c r="AK59" s="263">
        <f t="shared" si="39"/>
        <v>6</v>
      </c>
      <c r="AL59" s="265">
        <f t="shared" si="7"/>
        <v>7</v>
      </c>
      <c r="AM59" s="6">
        <f t="shared" si="40"/>
        <v>6</v>
      </c>
      <c r="AN59" s="255">
        <f t="shared" si="9"/>
        <v>0.98646034816247585</v>
      </c>
      <c r="AO59" s="256">
        <f t="shared" si="10"/>
        <v>0.82205029013539654</v>
      </c>
      <c r="AP59" s="257">
        <f t="shared" si="11"/>
        <v>5802.7079303675055</v>
      </c>
      <c r="AQ59" s="263">
        <f t="shared" si="43"/>
        <v>3</v>
      </c>
      <c r="AR59" s="263">
        <f t="shared" si="44"/>
        <v>0.4</v>
      </c>
      <c r="AS59" s="263">
        <f t="shared" si="45"/>
        <v>0.60000000000000009</v>
      </c>
      <c r="AT59" s="263">
        <f t="shared" si="46"/>
        <v>4</v>
      </c>
      <c r="AU59" s="263"/>
      <c r="AV59" s="263"/>
      <c r="AW59" s="263"/>
      <c r="AX59" s="263">
        <f t="shared" si="47"/>
        <v>4</v>
      </c>
      <c r="BA59" s="282">
        <f t="shared" si="17"/>
        <v>400</v>
      </c>
      <c r="BB59">
        <v>1</v>
      </c>
      <c r="BC59">
        <f t="shared" si="41"/>
        <v>400</v>
      </c>
      <c r="BD59">
        <f t="shared" si="18"/>
        <v>435</v>
      </c>
      <c r="BE59">
        <f t="shared" si="19"/>
        <v>480</v>
      </c>
      <c r="BF59" s="281">
        <f t="shared" si="42"/>
        <v>0.83333333333333337</v>
      </c>
      <c r="BG59" s="282" t="s">
        <v>2497</v>
      </c>
      <c r="BH59" s="283"/>
    </row>
    <row r="60" spans="1:60" x14ac:dyDescent="0.3">
      <c r="A60">
        <f t="shared" si="20"/>
        <v>58</v>
      </c>
      <c r="B60" s="241" t="s">
        <v>2485</v>
      </c>
      <c r="C60" s="294" t="s">
        <v>2512</v>
      </c>
      <c r="D60" s="14">
        <v>45698</v>
      </c>
      <c r="E60" s="7"/>
      <c r="F60" s="7">
        <f>60*2</f>
        <v>120</v>
      </c>
      <c r="G60" s="66"/>
      <c r="H60" s="59"/>
      <c r="I60" s="59">
        <v>450</v>
      </c>
      <c r="J60" s="47">
        <f t="shared" si="34"/>
        <v>450</v>
      </c>
      <c r="K60" s="8">
        <f t="shared" si="35"/>
        <v>330</v>
      </c>
      <c r="L60" s="96">
        <f t="shared" si="36"/>
        <v>0.73333333333333328</v>
      </c>
      <c r="M60" s="81">
        <v>923</v>
      </c>
      <c r="N60" s="8">
        <v>153</v>
      </c>
      <c r="O60" s="8">
        <v>60</v>
      </c>
      <c r="P60" s="96">
        <f t="shared" si="37"/>
        <v>1.0968508615567438</v>
      </c>
      <c r="Q60" s="59">
        <f t="shared" si="38"/>
        <v>923</v>
      </c>
      <c r="R60" s="252">
        <f t="shared" si="5"/>
        <v>947</v>
      </c>
      <c r="S60" s="263">
        <v>16</v>
      </c>
      <c r="T60" s="263">
        <v>0</v>
      </c>
      <c r="U60" s="263">
        <v>0</v>
      </c>
      <c r="V60" s="263">
        <v>0</v>
      </c>
      <c r="W60" s="263">
        <v>0</v>
      </c>
      <c r="X60" s="263">
        <v>8</v>
      </c>
      <c r="Y60" s="263">
        <v>0</v>
      </c>
      <c r="Z60" s="263">
        <v>0</v>
      </c>
      <c r="AA60" s="263">
        <v>0</v>
      </c>
      <c r="AB60" s="263">
        <v>17</v>
      </c>
      <c r="AC60" s="263">
        <v>3</v>
      </c>
      <c r="AD60" s="263">
        <v>4</v>
      </c>
      <c r="AE60" s="263"/>
      <c r="AF60" s="263"/>
      <c r="AG60" s="263"/>
      <c r="AH60" s="263"/>
      <c r="AI60" s="263"/>
      <c r="AJ60" s="259"/>
      <c r="AK60" s="263">
        <f t="shared" si="39"/>
        <v>4</v>
      </c>
      <c r="AL60" s="265">
        <f t="shared" si="7"/>
        <v>7</v>
      </c>
      <c r="AM60" s="6">
        <f t="shared" si="40"/>
        <v>4</v>
      </c>
      <c r="AN60" s="255">
        <f t="shared" si="9"/>
        <v>0.97465681098204859</v>
      </c>
      <c r="AO60" s="256">
        <f t="shared" si="10"/>
        <v>0.78397231942172607</v>
      </c>
      <c r="AP60" s="257">
        <f t="shared" si="11"/>
        <v>4223.8648363252369</v>
      </c>
      <c r="AQ60" s="263">
        <f t="shared" si="43"/>
        <v>8.5</v>
      </c>
      <c r="AR60" s="263">
        <f t="shared" si="44"/>
        <v>0.60000000000000009</v>
      </c>
      <c r="AS60" s="263">
        <f t="shared" si="45"/>
        <v>0.4</v>
      </c>
      <c r="AT60" s="263">
        <f t="shared" si="46"/>
        <v>9.5</v>
      </c>
      <c r="AU60" s="263"/>
      <c r="AV60" s="263"/>
      <c r="AW60" s="263"/>
      <c r="AX60" s="263">
        <f t="shared" si="47"/>
        <v>9.5</v>
      </c>
      <c r="BA60" s="282">
        <f t="shared" si="17"/>
        <v>361.96078431372547</v>
      </c>
      <c r="BB60">
        <v>1</v>
      </c>
      <c r="BC60">
        <f t="shared" si="41"/>
        <v>361.96078431372547</v>
      </c>
      <c r="BD60">
        <f t="shared" si="18"/>
        <v>330</v>
      </c>
      <c r="BE60">
        <f t="shared" si="19"/>
        <v>450</v>
      </c>
      <c r="BF60" s="281">
        <f t="shared" si="42"/>
        <v>0.80435729847494553</v>
      </c>
      <c r="BG60" s="282" t="s">
        <v>2482</v>
      </c>
      <c r="BH60" s="283"/>
    </row>
    <row r="61" spans="1:60" x14ac:dyDescent="0.3">
      <c r="A61">
        <f t="shared" si="20"/>
        <v>59</v>
      </c>
      <c r="B61" s="241" t="s">
        <v>2485</v>
      </c>
      <c r="C61" s="294" t="s">
        <v>2513</v>
      </c>
      <c r="D61" s="14">
        <v>45698</v>
      </c>
      <c r="E61" s="7"/>
      <c r="F61" s="7"/>
      <c r="G61" s="66"/>
      <c r="H61" s="59"/>
      <c r="I61" s="59">
        <v>510</v>
      </c>
      <c r="J61" s="47">
        <f t="shared" si="34"/>
        <v>510</v>
      </c>
      <c r="K61" s="8">
        <f t="shared" si="35"/>
        <v>510</v>
      </c>
      <c r="L61" s="96">
        <f t="shared" si="36"/>
        <v>1</v>
      </c>
      <c r="M61" s="81">
        <v>999</v>
      </c>
      <c r="N61" s="8">
        <v>153</v>
      </c>
      <c r="O61" s="8">
        <v>60</v>
      </c>
      <c r="P61" s="96">
        <f t="shared" si="37"/>
        <v>0.76816608996539792</v>
      </c>
      <c r="Q61" s="59">
        <f t="shared" si="38"/>
        <v>999</v>
      </c>
      <c r="R61" s="252">
        <f t="shared" si="5"/>
        <v>1023</v>
      </c>
      <c r="S61" s="263">
        <v>52</v>
      </c>
      <c r="T61" s="263">
        <v>1</v>
      </c>
      <c r="U61" s="263">
        <v>0</v>
      </c>
      <c r="V61" s="263">
        <v>0</v>
      </c>
      <c r="W61" s="263">
        <v>0</v>
      </c>
      <c r="X61" s="263">
        <v>21</v>
      </c>
      <c r="Y61" s="263">
        <v>0</v>
      </c>
      <c r="Z61" s="263">
        <v>1</v>
      </c>
      <c r="AA61" s="263">
        <v>0</v>
      </c>
      <c r="AB61" s="263">
        <v>13</v>
      </c>
      <c r="AC61" s="263">
        <v>4</v>
      </c>
      <c r="AD61" s="263">
        <v>7</v>
      </c>
      <c r="AE61" s="263"/>
      <c r="AF61" s="263"/>
      <c r="AG61" s="263"/>
      <c r="AH61" s="263"/>
      <c r="AI61" s="263"/>
      <c r="AJ61" s="259"/>
      <c r="AK61" s="263">
        <f t="shared" si="39"/>
        <v>7</v>
      </c>
      <c r="AL61" s="265">
        <f t="shared" si="7"/>
        <v>7</v>
      </c>
      <c r="AM61" s="6">
        <f t="shared" si="40"/>
        <v>7</v>
      </c>
      <c r="AN61" s="255">
        <f t="shared" si="9"/>
        <v>0.97653958944281527</v>
      </c>
      <c r="AO61" s="256">
        <f t="shared" si="10"/>
        <v>0.75014459811870238</v>
      </c>
      <c r="AP61" s="257">
        <f t="shared" si="11"/>
        <v>6842.6197458455526</v>
      </c>
      <c r="AQ61" s="263">
        <f t="shared" si="43"/>
        <v>6.5</v>
      </c>
      <c r="AR61" s="263">
        <f t="shared" si="44"/>
        <v>0.8</v>
      </c>
      <c r="AS61" s="263">
        <f t="shared" si="45"/>
        <v>0.70000000000000007</v>
      </c>
      <c r="AT61" s="263">
        <f t="shared" si="46"/>
        <v>8</v>
      </c>
      <c r="AU61" s="263"/>
      <c r="AV61" s="263"/>
      <c r="AW61" s="263"/>
      <c r="AX61" s="263">
        <f t="shared" si="47"/>
        <v>8</v>
      </c>
      <c r="BA61" s="282">
        <f t="shared" si="17"/>
        <v>391.76470588235293</v>
      </c>
      <c r="BB61">
        <v>1</v>
      </c>
      <c r="BC61">
        <f t="shared" si="41"/>
        <v>391.76470588235293</v>
      </c>
      <c r="BD61">
        <f t="shared" si="18"/>
        <v>510</v>
      </c>
      <c r="BE61">
        <f t="shared" si="19"/>
        <v>510</v>
      </c>
      <c r="BF61" s="281">
        <f t="shared" si="42"/>
        <v>0.76816608996539792</v>
      </c>
      <c r="BG61" s="282" t="s">
        <v>2498</v>
      </c>
      <c r="BH61" s="283"/>
    </row>
    <row r="62" spans="1:60" x14ac:dyDescent="0.3">
      <c r="A62">
        <f t="shared" si="20"/>
        <v>60</v>
      </c>
      <c r="B62" s="241" t="s">
        <v>2485</v>
      </c>
      <c r="C62" s="294" t="s">
        <v>2511</v>
      </c>
      <c r="D62" s="14">
        <v>45699</v>
      </c>
      <c r="E62" s="7">
        <v>45</v>
      </c>
      <c r="F62" s="7">
        <f>45+165</f>
        <v>210</v>
      </c>
      <c r="G62" s="66"/>
      <c r="H62" s="59"/>
      <c r="I62" s="59">
        <v>480</v>
      </c>
      <c r="J62" s="47">
        <f t="shared" si="34"/>
        <v>480</v>
      </c>
      <c r="K62" s="8">
        <f t="shared" si="35"/>
        <v>225</v>
      </c>
      <c r="L62" s="96">
        <f t="shared" si="36"/>
        <v>0.46875</v>
      </c>
      <c r="M62" s="81">
        <v>398</v>
      </c>
      <c r="N62" s="8">
        <v>153</v>
      </c>
      <c r="O62" s="8">
        <v>60</v>
      </c>
      <c r="P62" s="96">
        <f t="shared" si="37"/>
        <v>0.69368191721132899</v>
      </c>
      <c r="Q62" s="59">
        <f t="shared" si="38"/>
        <v>398</v>
      </c>
      <c r="R62" s="252">
        <f t="shared" si="5"/>
        <v>411</v>
      </c>
      <c r="S62" s="263">
        <v>109</v>
      </c>
      <c r="T62" s="263">
        <v>2</v>
      </c>
      <c r="U62" s="263">
        <v>0</v>
      </c>
      <c r="V62" s="263">
        <v>0</v>
      </c>
      <c r="W62" s="263">
        <v>2</v>
      </c>
      <c r="X62" s="263">
        <v>9</v>
      </c>
      <c r="Y62" s="263">
        <v>0</v>
      </c>
      <c r="Z62" s="263">
        <v>0</v>
      </c>
      <c r="AA62" s="263">
        <v>0</v>
      </c>
      <c r="AB62" s="263">
        <v>5</v>
      </c>
      <c r="AC62" s="263">
        <v>2</v>
      </c>
      <c r="AD62" s="263">
        <v>6</v>
      </c>
      <c r="AE62" s="263"/>
      <c r="AF62" s="263"/>
      <c r="AG62" s="263"/>
      <c r="AH62" s="263"/>
      <c r="AI62" s="263"/>
      <c r="AJ62" s="259"/>
      <c r="AK62" s="263">
        <f t="shared" si="39"/>
        <v>6</v>
      </c>
      <c r="AL62" s="265">
        <f t="shared" si="7"/>
        <v>7</v>
      </c>
      <c r="AM62" s="6">
        <f t="shared" si="40"/>
        <v>6</v>
      </c>
      <c r="AN62" s="255">
        <f t="shared" si="9"/>
        <v>0.96836982968369834</v>
      </c>
      <c r="AO62" s="256">
        <f t="shared" si="10"/>
        <v>0.31487842501152935</v>
      </c>
      <c r="AP62" s="257">
        <f t="shared" si="11"/>
        <v>14598.5401459854</v>
      </c>
      <c r="AQ62" s="263">
        <f t="shared" si="43"/>
        <v>2.5</v>
      </c>
      <c r="AR62" s="263">
        <f t="shared" si="44"/>
        <v>0.4</v>
      </c>
      <c r="AS62" s="263">
        <f t="shared" si="45"/>
        <v>0.60000000000000009</v>
      </c>
      <c r="AT62" s="263">
        <f t="shared" si="46"/>
        <v>3.5</v>
      </c>
      <c r="AU62" s="263"/>
      <c r="AV62" s="263"/>
      <c r="AW62" s="263"/>
      <c r="AX62" s="263">
        <f t="shared" si="47"/>
        <v>3.5</v>
      </c>
      <c r="BA62" s="282">
        <f t="shared" si="17"/>
        <v>156.07843137254903</v>
      </c>
      <c r="BB62">
        <v>1</v>
      </c>
      <c r="BC62">
        <f t="shared" si="41"/>
        <v>156.07843137254903</v>
      </c>
      <c r="BD62">
        <f t="shared" si="18"/>
        <v>225</v>
      </c>
      <c r="BE62">
        <f t="shared" si="19"/>
        <v>480</v>
      </c>
      <c r="BF62" s="281">
        <f t="shared" si="42"/>
        <v>0.32516339869281047</v>
      </c>
      <c r="BG62" s="282" t="s">
        <v>2497</v>
      </c>
      <c r="BH62" s="283"/>
    </row>
    <row r="63" spans="1:60" x14ac:dyDescent="0.3">
      <c r="A63">
        <f t="shared" si="20"/>
        <v>61</v>
      </c>
      <c r="B63" s="241" t="s">
        <v>2485</v>
      </c>
      <c r="C63" s="294" t="s">
        <v>2512</v>
      </c>
      <c r="D63" s="14">
        <v>45699</v>
      </c>
      <c r="E63" s="7"/>
      <c r="F63" s="7"/>
      <c r="G63" s="66"/>
      <c r="H63" s="59"/>
      <c r="I63" s="59">
        <v>450</v>
      </c>
      <c r="J63" s="47">
        <f t="shared" si="34"/>
        <v>450</v>
      </c>
      <c r="K63" s="8">
        <f t="shared" si="35"/>
        <v>450</v>
      </c>
      <c r="L63" s="96">
        <f t="shared" si="36"/>
        <v>1</v>
      </c>
      <c r="M63" s="81">
        <v>1001</v>
      </c>
      <c r="N63" s="8">
        <v>153</v>
      </c>
      <c r="O63" s="8">
        <v>60</v>
      </c>
      <c r="P63" s="96">
        <f t="shared" si="37"/>
        <v>0.87233115468409583</v>
      </c>
      <c r="Q63" s="59">
        <f t="shared" si="38"/>
        <v>1001</v>
      </c>
      <c r="R63" s="252">
        <f t="shared" si="5"/>
        <v>1011</v>
      </c>
      <c r="S63" s="263">
        <v>22</v>
      </c>
      <c r="T63" s="263">
        <v>2</v>
      </c>
      <c r="U63" s="263">
        <v>2</v>
      </c>
      <c r="V63" s="263">
        <v>0</v>
      </c>
      <c r="W63" s="263">
        <v>115</v>
      </c>
      <c r="X63" s="263">
        <v>0</v>
      </c>
      <c r="Y63" s="263">
        <v>0</v>
      </c>
      <c r="Z63" s="263">
        <v>3</v>
      </c>
      <c r="AA63" s="263">
        <v>13</v>
      </c>
      <c r="AB63" s="263">
        <v>0</v>
      </c>
      <c r="AC63" s="263">
        <v>4</v>
      </c>
      <c r="AD63" s="263">
        <v>6</v>
      </c>
      <c r="AE63" s="263"/>
      <c r="AF63" s="263"/>
      <c r="AG63" s="263"/>
      <c r="AH63" s="263"/>
      <c r="AI63" s="263"/>
      <c r="AJ63" s="259"/>
      <c r="AK63" s="263">
        <f t="shared" si="39"/>
        <v>6</v>
      </c>
      <c r="AL63" s="265">
        <f t="shared" si="7"/>
        <v>7</v>
      </c>
      <c r="AM63" s="6">
        <f t="shared" si="40"/>
        <v>6</v>
      </c>
      <c r="AN63" s="255">
        <f t="shared" si="9"/>
        <v>0.99010880316518302</v>
      </c>
      <c r="AO63" s="256">
        <f t="shared" si="10"/>
        <v>0.86370275552797227</v>
      </c>
      <c r="AP63" s="257">
        <f t="shared" si="11"/>
        <v>5934.718100890208</v>
      </c>
      <c r="AQ63" s="263">
        <f t="shared" si="43"/>
        <v>0</v>
      </c>
      <c r="AR63" s="263">
        <f t="shared" si="44"/>
        <v>0.8</v>
      </c>
      <c r="AS63" s="263">
        <f t="shared" si="45"/>
        <v>0.60000000000000009</v>
      </c>
      <c r="AT63" s="263">
        <f t="shared" si="46"/>
        <v>1.4000000000000001</v>
      </c>
      <c r="AU63" s="263"/>
      <c r="AV63" s="263"/>
      <c r="AW63" s="263"/>
      <c r="AX63" s="263">
        <f t="shared" si="47"/>
        <v>1.4000000000000001</v>
      </c>
      <c r="BA63" s="282">
        <f t="shared" si="17"/>
        <v>392.54901960784315</v>
      </c>
      <c r="BB63">
        <v>1</v>
      </c>
      <c r="BC63">
        <f t="shared" si="41"/>
        <v>392.54901960784315</v>
      </c>
      <c r="BD63">
        <f t="shared" si="18"/>
        <v>450</v>
      </c>
      <c r="BE63">
        <f t="shared" si="19"/>
        <v>450</v>
      </c>
      <c r="BF63" s="281">
        <f t="shared" si="42"/>
        <v>0.87233115468409583</v>
      </c>
      <c r="BG63" s="282" t="s">
        <v>2482</v>
      </c>
      <c r="BH63" s="283"/>
    </row>
    <row r="64" spans="1:60" x14ac:dyDescent="0.3">
      <c r="A64">
        <f t="shared" si="20"/>
        <v>62</v>
      </c>
      <c r="B64" s="241" t="s">
        <v>2485</v>
      </c>
      <c r="C64" s="294" t="s">
        <v>2513</v>
      </c>
      <c r="D64" s="14">
        <v>45699</v>
      </c>
      <c r="E64" s="7"/>
      <c r="F64" s="7"/>
      <c r="G64" s="66"/>
      <c r="H64" s="59"/>
      <c r="I64" s="59">
        <v>510</v>
      </c>
      <c r="J64" s="47">
        <f t="shared" ref="J64:J156" si="48">I64+H64</f>
        <v>510</v>
      </c>
      <c r="K64" s="8">
        <f t="shared" ref="K64:K156" si="49">IFERROR(J64-E64-F64-G64,"")</f>
        <v>510</v>
      </c>
      <c r="L64" s="96">
        <f t="shared" ref="L64:L157" si="50">IFERROR(K64/J64,"")</f>
        <v>1</v>
      </c>
      <c r="M64" s="81">
        <f>795+54+115+62</f>
        <v>1026</v>
      </c>
      <c r="N64" s="8">
        <v>153</v>
      </c>
      <c r="O64" s="8">
        <v>60</v>
      </c>
      <c r="P64" s="96">
        <f t="shared" ref="P64:P156" si="51">IFERROR((M64/N64*O64)/K64,"")</f>
        <v>0.78892733564013839</v>
      </c>
      <c r="Q64" s="59">
        <f t="shared" ref="Q64:Q156" si="52">M64</f>
        <v>1026</v>
      </c>
      <c r="R64" s="252">
        <f t="shared" si="5"/>
        <v>1043</v>
      </c>
      <c r="S64" s="263">
        <v>11</v>
      </c>
      <c r="T64" s="263">
        <v>1</v>
      </c>
      <c r="U64" s="263">
        <v>0</v>
      </c>
      <c r="V64" s="263">
        <v>0</v>
      </c>
      <c r="W64" s="263">
        <v>0</v>
      </c>
      <c r="X64" s="263">
        <v>54</v>
      </c>
      <c r="Y64" s="263">
        <v>0</v>
      </c>
      <c r="Z64" s="263">
        <v>0</v>
      </c>
      <c r="AA64" s="263">
        <v>0</v>
      </c>
      <c r="AB64" s="263">
        <v>10</v>
      </c>
      <c r="AC64" s="263">
        <v>4</v>
      </c>
      <c r="AD64" s="263">
        <v>3</v>
      </c>
      <c r="AE64" s="263"/>
      <c r="AF64" s="263"/>
      <c r="AG64" s="263"/>
      <c r="AH64" s="263"/>
      <c r="AI64" s="263"/>
      <c r="AJ64" s="259"/>
      <c r="AK64" s="263">
        <f t="shared" ref="AK64:AK99" si="53">+AD64+AE64+AF64+AG64+AH64+AI64</f>
        <v>3</v>
      </c>
      <c r="AL64" s="265">
        <f t="shared" si="7"/>
        <v>7</v>
      </c>
      <c r="AM64" s="6">
        <f t="shared" ref="AM64:AM156" si="54">AK64</f>
        <v>3</v>
      </c>
      <c r="AN64" s="255">
        <f t="shared" si="9"/>
        <v>0.98370086289549374</v>
      </c>
      <c r="AO64" s="256">
        <f t="shared" si="10"/>
        <v>0.77606850083104695</v>
      </c>
      <c r="AP64" s="257">
        <f t="shared" si="11"/>
        <v>2876.3183125599235</v>
      </c>
      <c r="AQ64" s="263">
        <f t="shared" ref="AQ64:AQ156" si="55">+AB64*0.5</f>
        <v>5</v>
      </c>
      <c r="AR64" s="263">
        <f t="shared" ref="AR64:AR156" si="56">+AC64*0.2</f>
        <v>0.8</v>
      </c>
      <c r="AS64" s="263">
        <f t="shared" ref="AS64:AS156" si="57">+AD64*0.1</f>
        <v>0.30000000000000004</v>
      </c>
      <c r="AT64" s="263">
        <f t="shared" ref="AT64:AT156" si="58">SUM(AQ64:AS64)</f>
        <v>6.1</v>
      </c>
      <c r="AU64" s="263"/>
      <c r="AV64" s="263"/>
      <c r="AW64" s="263"/>
      <c r="AX64" s="263">
        <f t="shared" ref="AX64:AX156" si="59">+AW64+AU64+AT64+AV64</f>
        <v>6.1</v>
      </c>
      <c r="BA64" s="282">
        <f t="shared" si="17"/>
        <v>402.35294117647061</v>
      </c>
      <c r="BB64">
        <v>1</v>
      </c>
      <c r="BC64">
        <f t="shared" ref="BC64:BC156" si="60">IFERROR(BA64*BB64,"")</f>
        <v>402.35294117647061</v>
      </c>
      <c r="BD64">
        <f t="shared" si="18"/>
        <v>510</v>
      </c>
      <c r="BE64">
        <f t="shared" si="19"/>
        <v>510</v>
      </c>
      <c r="BF64" s="281">
        <f t="shared" ref="BF64:BF156" si="61">BC64/BE64</f>
        <v>0.78892733564013839</v>
      </c>
      <c r="BG64" s="282" t="s">
        <v>2498</v>
      </c>
      <c r="BH64" s="283"/>
    </row>
    <row r="65" spans="1:60" x14ac:dyDescent="0.3">
      <c r="A65">
        <f t="shared" si="20"/>
        <v>63</v>
      </c>
      <c r="B65" s="295" t="s">
        <v>2515</v>
      </c>
      <c r="C65" s="294" t="s">
        <v>2511</v>
      </c>
      <c r="D65" s="14">
        <v>45700</v>
      </c>
      <c r="E65" s="7">
        <v>480</v>
      </c>
      <c r="F65" s="7"/>
      <c r="G65" s="66"/>
      <c r="H65" s="59"/>
      <c r="I65" s="59">
        <v>480</v>
      </c>
      <c r="J65" s="47">
        <f t="shared" si="48"/>
        <v>480</v>
      </c>
      <c r="K65" s="8">
        <f t="shared" si="49"/>
        <v>0</v>
      </c>
      <c r="L65" s="96">
        <f t="shared" si="50"/>
        <v>0</v>
      </c>
      <c r="M65" s="81">
        <v>0</v>
      </c>
      <c r="N65" s="8">
        <v>153</v>
      </c>
      <c r="O65" s="8">
        <v>60</v>
      </c>
      <c r="P65" s="96" t="str">
        <f t="shared" si="51"/>
        <v/>
      </c>
      <c r="Q65" s="59">
        <f t="shared" si="52"/>
        <v>0</v>
      </c>
      <c r="R65" s="252">
        <f t="shared" si="5"/>
        <v>0</v>
      </c>
      <c r="S65" s="263"/>
      <c r="T65" s="263"/>
      <c r="U65" s="263"/>
      <c r="V65" s="263"/>
      <c r="W65" s="263"/>
      <c r="X65" s="263"/>
      <c r="Y65" s="263"/>
      <c r="Z65" s="263"/>
      <c r="AA65" s="263"/>
      <c r="AB65" s="263"/>
      <c r="AC65" s="263"/>
      <c r="AD65" s="263"/>
      <c r="AE65" s="263"/>
      <c r="AF65" s="263"/>
      <c r="AG65" s="263"/>
      <c r="AH65" s="263"/>
      <c r="AI65" s="263"/>
      <c r="AJ65" s="259"/>
      <c r="AK65" s="263">
        <f t="shared" si="53"/>
        <v>0</v>
      </c>
      <c r="AL65" s="265">
        <f t="shared" si="7"/>
        <v>7</v>
      </c>
      <c r="AM65" s="6">
        <f t="shared" si="54"/>
        <v>0</v>
      </c>
      <c r="AN65" s="255" t="str">
        <f t="shared" si="9"/>
        <v/>
      </c>
      <c r="AO65" s="256" t="str">
        <f t="shared" si="10"/>
        <v/>
      </c>
      <c r="AP65" s="257" t="str">
        <f t="shared" si="11"/>
        <v/>
      </c>
      <c r="AQ65" s="263">
        <f t="shared" si="55"/>
        <v>0</v>
      </c>
      <c r="AR65" s="263">
        <f t="shared" si="56"/>
        <v>0</v>
      </c>
      <c r="AS65" s="263">
        <f t="shared" si="57"/>
        <v>0</v>
      </c>
      <c r="AT65" s="263">
        <f t="shared" si="58"/>
        <v>0</v>
      </c>
      <c r="AU65" s="263"/>
      <c r="AV65" s="263"/>
      <c r="AW65" s="263"/>
      <c r="AX65" s="263">
        <f t="shared" si="59"/>
        <v>0</v>
      </c>
      <c r="BA65" s="282">
        <f t="shared" si="17"/>
        <v>0</v>
      </c>
      <c r="BB65">
        <v>0</v>
      </c>
      <c r="BC65">
        <f t="shared" si="60"/>
        <v>0</v>
      </c>
      <c r="BD65">
        <f t="shared" si="18"/>
        <v>0</v>
      </c>
      <c r="BE65">
        <f t="shared" si="19"/>
        <v>0</v>
      </c>
      <c r="BF65" s="281" t="e">
        <f t="shared" si="61"/>
        <v>#DIV/0!</v>
      </c>
      <c r="BG65" s="282" t="s">
        <v>2497</v>
      </c>
      <c r="BH65" s="283"/>
    </row>
    <row r="66" spans="1:60" x14ac:dyDescent="0.3">
      <c r="A66">
        <f t="shared" si="20"/>
        <v>64</v>
      </c>
      <c r="B66" s="241" t="s">
        <v>2515</v>
      </c>
      <c r="C66" s="294" t="s">
        <v>2512</v>
      </c>
      <c r="D66" s="14">
        <v>45700</v>
      </c>
      <c r="E66" s="7">
        <v>180</v>
      </c>
      <c r="F66" s="7"/>
      <c r="G66" s="66"/>
      <c r="H66" s="59"/>
      <c r="I66" s="59">
        <v>450</v>
      </c>
      <c r="J66" s="47">
        <f t="shared" si="48"/>
        <v>450</v>
      </c>
      <c r="K66" s="8">
        <f t="shared" si="49"/>
        <v>270</v>
      </c>
      <c r="L66" s="96">
        <f t="shared" si="50"/>
        <v>0.6</v>
      </c>
      <c r="M66" s="81">
        <v>500</v>
      </c>
      <c r="N66" s="8">
        <v>153</v>
      </c>
      <c r="O66" s="8">
        <v>60</v>
      </c>
      <c r="P66" s="96">
        <f t="shared" si="51"/>
        <v>0.72621641249092228</v>
      </c>
      <c r="Q66" s="59">
        <f t="shared" si="52"/>
        <v>500</v>
      </c>
      <c r="R66" s="252">
        <f t="shared" si="5"/>
        <v>519</v>
      </c>
      <c r="S66" s="263">
        <v>7</v>
      </c>
      <c r="T66" s="263">
        <v>1</v>
      </c>
      <c r="U66" s="263">
        <v>3</v>
      </c>
      <c r="V66" s="263">
        <v>3</v>
      </c>
      <c r="W66" s="263">
        <v>13</v>
      </c>
      <c r="X66" s="263">
        <v>0</v>
      </c>
      <c r="Y66" s="263">
        <v>0</v>
      </c>
      <c r="Z66" s="263">
        <v>0</v>
      </c>
      <c r="AA66" s="263">
        <v>0</v>
      </c>
      <c r="AB66" s="263">
        <v>1</v>
      </c>
      <c r="AC66" s="263">
        <v>10</v>
      </c>
      <c r="AD66" s="263">
        <v>8</v>
      </c>
      <c r="AE66" s="263"/>
      <c r="AF66" s="263"/>
      <c r="AG66" s="263"/>
      <c r="AH66" s="263"/>
      <c r="AI66" s="263"/>
      <c r="AJ66" s="259"/>
      <c r="AK66" s="263">
        <f t="shared" si="53"/>
        <v>8</v>
      </c>
      <c r="AL66" s="265">
        <f t="shared" si="7"/>
        <v>7</v>
      </c>
      <c r="AM66" s="6">
        <f t="shared" si="54"/>
        <v>8</v>
      </c>
      <c r="AN66" s="255">
        <f t="shared" si="9"/>
        <v>0.96339113680154143</v>
      </c>
      <c r="AO66" s="256">
        <f t="shared" si="10"/>
        <v>0.41977827311614002</v>
      </c>
      <c r="AP66" s="257">
        <f t="shared" si="11"/>
        <v>15414.258188824662</v>
      </c>
      <c r="AQ66" s="263">
        <f t="shared" si="55"/>
        <v>0.5</v>
      </c>
      <c r="AR66" s="263">
        <f t="shared" si="56"/>
        <v>2</v>
      </c>
      <c r="AS66" s="263">
        <f t="shared" si="57"/>
        <v>0.8</v>
      </c>
      <c r="AT66" s="263">
        <f t="shared" si="58"/>
        <v>3.3</v>
      </c>
      <c r="AU66" s="263"/>
      <c r="AV66" s="263"/>
      <c r="AW66" s="263"/>
      <c r="AX66" s="263">
        <f t="shared" si="59"/>
        <v>3.3</v>
      </c>
      <c r="BA66" s="282">
        <f t="shared" si="17"/>
        <v>196.07843137254901</v>
      </c>
      <c r="BB66">
        <v>1</v>
      </c>
      <c r="BC66">
        <f t="shared" si="60"/>
        <v>196.07843137254901</v>
      </c>
      <c r="BD66">
        <f t="shared" si="18"/>
        <v>270</v>
      </c>
      <c r="BE66">
        <f t="shared" si="19"/>
        <v>450</v>
      </c>
      <c r="BF66" s="281">
        <f t="shared" si="61"/>
        <v>0.43572984749455335</v>
      </c>
      <c r="BG66" s="282" t="s">
        <v>2482</v>
      </c>
      <c r="BH66" s="283"/>
    </row>
    <row r="67" spans="1:60" x14ac:dyDescent="0.3">
      <c r="A67">
        <f t="shared" si="20"/>
        <v>65</v>
      </c>
      <c r="B67" s="241" t="s">
        <v>2515</v>
      </c>
      <c r="C67" s="294" t="s">
        <v>2513</v>
      </c>
      <c r="D67" s="14">
        <v>45700</v>
      </c>
      <c r="E67" s="7"/>
      <c r="F67" s="7">
        <v>10</v>
      </c>
      <c r="G67" s="66"/>
      <c r="H67" s="59"/>
      <c r="I67" s="59">
        <v>510</v>
      </c>
      <c r="J67" s="47">
        <f t="shared" si="48"/>
        <v>510</v>
      </c>
      <c r="K67" s="8">
        <f t="shared" si="49"/>
        <v>500</v>
      </c>
      <c r="L67" s="96">
        <f t="shared" si="50"/>
        <v>0.98039215686274506</v>
      </c>
      <c r="M67" s="81">
        <v>1035</v>
      </c>
      <c r="N67" s="8">
        <v>153</v>
      </c>
      <c r="O67" s="8">
        <v>60</v>
      </c>
      <c r="P67" s="96">
        <f t="shared" si="51"/>
        <v>0.81176470588235294</v>
      </c>
      <c r="Q67" s="59">
        <f t="shared" si="52"/>
        <v>1035</v>
      </c>
      <c r="R67" s="252">
        <f t="shared" ref="R67:R130" si="62">+Q67+AB67+AC67+AD67</f>
        <v>1036</v>
      </c>
      <c r="S67" s="263">
        <v>11</v>
      </c>
      <c r="T67" s="263">
        <v>0</v>
      </c>
      <c r="U67" s="263">
        <v>3</v>
      </c>
      <c r="V67" s="263">
        <v>2</v>
      </c>
      <c r="W67" s="263">
        <v>0</v>
      </c>
      <c r="X67" s="263">
        <v>9</v>
      </c>
      <c r="Y67" s="263">
        <v>0</v>
      </c>
      <c r="Z67" s="263">
        <v>1</v>
      </c>
      <c r="AA67" s="263">
        <v>1</v>
      </c>
      <c r="AB67" s="263">
        <v>0</v>
      </c>
      <c r="AC67" s="263">
        <v>0</v>
      </c>
      <c r="AD67" s="263">
        <v>1</v>
      </c>
      <c r="AE67" s="263"/>
      <c r="AF67" s="263"/>
      <c r="AG67" s="263"/>
      <c r="AH67" s="263"/>
      <c r="AI67" s="263"/>
      <c r="AJ67" s="259"/>
      <c r="AK67" s="263">
        <f t="shared" si="53"/>
        <v>1</v>
      </c>
      <c r="AL67" s="265">
        <f t="shared" ref="AL67:AL130" si="63">WEEKNUM(D67,21)</f>
        <v>7</v>
      </c>
      <c r="AM67" s="6">
        <f t="shared" si="54"/>
        <v>1</v>
      </c>
      <c r="AN67" s="255">
        <f t="shared" ref="AN67:AN130" si="64">IFERROR(Q67/R67,"")</f>
        <v>0.99903474903474898</v>
      </c>
      <c r="AO67" s="256">
        <f t="shared" ref="AO67:AO130" si="65">IFERROR(AN67*P67*L67,"")</f>
        <v>0.79507955805533648</v>
      </c>
      <c r="AP67" s="257">
        <f t="shared" ref="AP67:AP130" si="66">IFERROR(AM67/R67*1000000,"")</f>
        <v>965.25096525096524</v>
      </c>
      <c r="AQ67" s="263">
        <f t="shared" si="55"/>
        <v>0</v>
      </c>
      <c r="AR67" s="263">
        <f t="shared" si="56"/>
        <v>0</v>
      </c>
      <c r="AS67" s="263">
        <f t="shared" si="57"/>
        <v>0.1</v>
      </c>
      <c r="AT67" s="263">
        <f t="shared" si="58"/>
        <v>0.1</v>
      </c>
      <c r="AU67" s="263"/>
      <c r="AV67" s="263"/>
      <c r="AW67" s="263"/>
      <c r="AX67" s="263">
        <f t="shared" si="59"/>
        <v>0.1</v>
      </c>
      <c r="BA67" s="282">
        <f t="shared" ref="BA67:BA130" si="67">IFERROR(M67/N67*60,"")</f>
        <v>405.88235294117646</v>
      </c>
      <c r="BB67">
        <v>1</v>
      </c>
      <c r="BC67">
        <f t="shared" si="60"/>
        <v>405.88235294117646</v>
      </c>
      <c r="BD67">
        <f t="shared" ref="BD67:BD130" si="68">IFERROR(BB67*K67,"")</f>
        <v>500</v>
      </c>
      <c r="BE67">
        <f t="shared" ref="BE67:BE130" si="69">J67*BB67</f>
        <v>510</v>
      </c>
      <c r="BF67" s="281">
        <f t="shared" si="61"/>
        <v>0.79584775086505188</v>
      </c>
      <c r="BG67" s="282" t="s">
        <v>2498</v>
      </c>
      <c r="BH67" s="283"/>
    </row>
    <row r="68" spans="1:60" x14ac:dyDescent="0.3">
      <c r="A68">
        <f t="shared" ref="A68:A131" si="70">+A67+1</f>
        <v>66</v>
      </c>
      <c r="B68" s="241" t="s">
        <v>2515</v>
      </c>
      <c r="C68" s="294" t="s">
        <v>2511</v>
      </c>
      <c r="D68" s="14">
        <v>45701</v>
      </c>
      <c r="E68" s="7"/>
      <c r="F68" s="7"/>
      <c r="G68" s="66"/>
      <c r="H68" s="59"/>
      <c r="I68" s="59">
        <v>480</v>
      </c>
      <c r="J68" s="47">
        <f t="shared" si="48"/>
        <v>480</v>
      </c>
      <c r="K68" s="8">
        <f t="shared" si="49"/>
        <v>480</v>
      </c>
      <c r="L68" s="96">
        <f t="shared" si="50"/>
        <v>1</v>
      </c>
      <c r="M68" s="81">
        <v>1041</v>
      </c>
      <c r="N68" s="8">
        <v>153</v>
      </c>
      <c r="O68" s="8">
        <v>60</v>
      </c>
      <c r="P68" s="96">
        <f t="shared" si="51"/>
        <v>0.85049019607843135</v>
      </c>
      <c r="Q68" s="59">
        <f t="shared" si="52"/>
        <v>1041</v>
      </c>
      <c r="R68" s="252">
        <f t="shared" si="62"/>
        <v>1074</v>
      </c>
      <c r="S68" s="263">
        <v>29</v>
      </c>
      <c r="T68" s="263">
        <v>0</v>
      </c>
      <c r="U68" s="263">
        <v>4</v>
      </c>
      <c r="V68" s="263">
        <v>5</v>
      </c>
      <c r="W68" s="263">
        <v>13</v>
      </c>
      <c r="X68" s="263">
        <v>11</v>
      </c>
      <c r="Y68" s="263">
        <v>0</v>
      </c>
      <c r="Z68" s="263">
        <v>14</v>
      </c>
      <c r="AA68" s="263">
        <v>0</v>
      </c>
      <c r="AB68" s="263">
        <v>9</v>
      </c>
      <c r="AC68" s="263">
        <v>2</v>
      </c>
      <c r="AD68" s="263">
        <v>22</v>
      </c>
      <c r="AE68" s="263"/>
      <c r="AF68" s="263"/>
      <c r="AG68" s="263"/>
      <c r="AH68" s="263"/>
      <c r="AI68" s="263"/>
      <c r="AJ68" s="259"/>
      <c r="AK68" s="263">
        <f t="shared" si="53"/>
        <v>22</v>
      </c>
      <c r="AL68" s="265">
        <f t="shared" si="63"/>
        <v>7</v>
      </c>
      <c r="AM68" s="6">
        <f t="shared" si="54"/>
        <v>22</v>
      </c>
      <c r="AN68" s="255">
        <f t="shared" si="64"/>
        <v>0.96927374301675973</v>
      </c>
      <c r="AO68" s="256">
        <f t="shared" si="65"/>
        <v>0.82435781575199907</v>
      </c>
      <c r="AP68" s="257">
        <f t="shared" si="66"/>
        <v>20484.171322160149</v>
      </c>
      <c r="AQ68" s="263">
        <f t="shared" si="55"/>
        <v>4.5</v>
      </c>
      <c r="AR68" s="263">
        <f t="shared" si="56"/>
        <v>0.4</v>
      </c>
      <c r="AS68" s="263">
        <f t="shared" si="57"/>
        <v>2.2000000000000002</v>
      </c>
      <c r="AT68" s="263">
        <f t="shared" si="58"/>
        <v>7.1000000000000005</v>
      </c>
      <c r="AU68" s="263"/>
      <c r="AV68" s="263"/>
      <c r="AW68" s="263"/>
      <c r="AX68" s="263">
        <f t="shared" si="59"/>
        <v>7.1000000000000005</v>
      </c>
      <c r="BA68" s="282">
        <f t="shared" si="67"/>
        <v>408.23529411764707</v>
      </c>
      <c r="BB68">
        <v>1</v>
      </c>
      <c r="BC68">
        <f t="shared" si="60"/>
        <v>408.23529411764707</v>
      </c>
      <c r="BD68">
        <f t="shared" si="68"/>
        <v>480</v>
      </c>
      <c r="BE68">
        <f t="shared" si="69"/>
        <v>480</v>
      </c>
      <c r="BF68" s="281">
        <f t="shared" si="61"/>
        <v>0.85049019607843135</v>
      </c>
      <c r="BG68" s="282" t="s">
        <v>2497</v>
      </c>
      <c r="BH68" s="283"/>
    </row>
    <row r="69" spans="1:60" x14ac:dyDescent="0.3">
      <c r="A69">
        <f t="shared" si="70"/>
        <v>67</v>
      </c>
      <c r="B69" s="241" t="s">
        <v>2515</v>
      </c>
      <c r="C69" s="294" t="s">
        <v>2512</v>
      </c>
      <c r="D69" s="14">
        <v>45701</v>
      </c>
      <c r="E69" s="7"/>
      <c r="F69" s="7"/>
      <c r="G69" s="66"/>
      <c r="H69" s="59"/>
      <c r="I69" s="59">
        <v>450</v>
      </c>
      <c r="J69" s="47">
        <f t="shared" si="48"/>
        <v>450</v>
      </c>
      <c r="K69" s="8">
        <f t="shared" si="49"/>
        <v>450</v>
      </c>
      <c r="L69" s="96">
        <f t="shared" si="50"/>
        <v>1</v>
      </c>
      <c r="M69" s="81">
        <v>831</v>
      </c>
      <c r="N69" s="8">
        <v>153</v>
      </c>
      <c r="O69" s="8">
        <v>60</v>
      </c>
      <c r="P69" s="96">
        <f t="shared" si="51"/>
        <v>0.72418300653594769</v>
      </c>
      <c r="Q69" s="59">
        <f t="shared" si="52"/>
        <v>831</v>
      </c>
      <c r="R69" s="252">
        <f t="shared" si="62"/>
        <v>846</v>
      </c>
      <c r="S69" s="263">
        <v>22</v>
      </c>
      <c r="T69" s="263">
        <v>0</v>
      </c>
      <c r="U69" s="263">
        <v>2</v>
      </c>
      <c r="V69" s="263">
        <v>3</v>
      </c>
      <c r="W69" s="263">
        <v>0</v>
      </c>
      <c r="X69" s="263">
        <v>12</v>
      </c>
      <c r="Y69" s="263">
        <v>0</v>
      </c>
      <c r="Z69" s="263">
        <v>14</v>
      </c>
      <c r="AA69" s="263">
        <v>0</v>
      </c>
      <c r="AB69" s="263">
        <v>4</v>
      </c>
      <c r="AC69" s="263">
        <v>1</v>
      </c>
      <c r="AD69" s="263">
        <v>10</v>
      </c>
      <c r="AE69" s="263"/>
      <c r="AF69" s="263"/>
      <c r="AG69" s="263"/>
      <c r="AH69" s="263"/>
      <c r="AI69" s="263"/>
      <c r="AJ69" s="259"/>
      <c r="AK69" s="263">
        <f t="shared" si="53"/>
        <v>10</v>
      </c>
      <c r="AL69" s="265">
        <f t="shared" si="63"/>
        <v>7</v>
      </c>
      <c r="AM69" s="6">
        <f t="shared" si="54"/>
        <v>10</v>
      </c>
      <c r="AN69" s="255">
        <f t="shared" si="64"/>
        <v>0.98226950354609932</v>
      </c>
      <c r="AO69" s="256">
        <f t="shared" si="65"/>
        <v>0.71134288230658693</v>
      </c>
      <c r="AP69" s="257">
        <f t="shared" si="66"/>
        <v>11820.330969267139</v>
      </c>
      <c r="AQ69" s="263">
        <f t="shared" si="55"/>
        <v>2</v>
      </c>
      <c r="AR69" s="263">
        <f t="shared" si="56"/>
        <v>0.2</v>
      </c>
      <c r="AS69" s="263">
        <f t="shared" si="57"/>
        <v>1</v>
      </c>
      <c r="AT69" s="263">
        <f t="shared" si="58"/>
        <v>3.2</v>
      </c>
      <c r="AU69" s="263"/>
      <c r="AV69" s="263"/>
      <c r="AW69" s="263"/>
      <c r="AX69" s="263">
        <f t="shared" si="59"/>
        <v>3.2</v>
      </c>
      <c r="BA69" s="282">
        <f t="shared" si="67"/>
        <v>325.88235294117646</v>
      </c>
      <c r="BB69">
        <v>1</v>
      </c>
      <c r="BC69">
        <f t="shared" si="60"/>
        <v>325.88235294117646</v>
      </c>
      <c r="BD69">
        <f t="shared" si="68"/>
        <v>450</v>
      </c>
      <c r="BE69">
        <f t="shared" si="69"/>
        <v>450</v>
      </c>
      <c r="BF69" s="281">
        <f t="shared" si="61"/>
        <v>0.72418300653594769</v>
      </c>
      <c r="BG69" s="282" t="s">
        <v>2516</v>
      </c>
      <c r="BH69" s="283" t="s">
        <v>2517</v>
      </c>
    </row>
    <row r="70" spans="1:60" x14ac:dyDescent="0.3">
      <c r="A70">
        <f t="shared" si="70"/>
        <v>68</v>
      </c>
      <c r="B70" s="241" t="s">
        <v>2515</v>
      </c>
      <c r="C70" s="294" t="s">
        <v>2513</v>
      </c>
      <c r="D70" s="14">
        <v>45701</v>
      </c>
      <c r="E70" s="7"/>
      <c r="F70" s="7"/>
      <c r="G70" s="66"/>
      <c r="H70" s="59"/>
      <c r="I70" s="59">
        <v>510</v>
      </c>
      <c r="J70" s="47">
        <f t="shared" si="48"/>
        <v>510</v>
      </c>
      <c r="K70" s="8">
        <f t="shared" si="49"/>
        <v>510</v>
      </c>
      <c r="L70" s="96">
        <f t="shared" si="50"/>
        <v>1</v>
      </c>
      <c r="M70" s="81">
        <v>872</v>
      </c>
      <c r="N70" s="8">
        <v>153</v>
      </c>
      <c r="O70" s="8">
        <v>60</v>
      </c>
      <c r="P70" s="96">
        <f t="shared" si="51"/>
        <v>0.67051134179161864</v>
      </c>
      <c r="Q70" s="59">
        <f t="shared" si="52"/>
        <v>872</v>
      </c>
      <c r="R70" s="252">
        <f t="shared" si="62"/>
        <v>895</v>
      </c>
      <c r="S70" s="263">
        <v>49</v>
      </c>
      <c r="T70" s="263">
        <v>3</v>
      </c>
      <c r="U70" s="263">
        <v>4</v>
      </c>
      <c r="V70" s="263">
        <v>0</v>
      </c>
      <c r="W70" s="263">
        <v>4</v>
      </c>
      <c r="X70" s="263">
        <v>15</v>
      </c>
      <c r="Y70" s="263">
        <v>0</v>
      </c>
      <c r="Z70" s="263">
        <v>0</v>
      </c>
      <c r="AA70" s="263">
        <v>0</v>
      </c>
      <c r="AB70" s="263">
        <v>15</v>
      </c>
      <c r="AC70" s="263">
        <v>1</v>
      </c>
      <c r="AD70" s="263">
        <v>7</v>
      </c>
      <c r="AE70" s="263"/>
      <c r="AF70" s="263"/>
      <c r="AG70" s="263"/>
      <c r="AH70" s="263"/>
      <c r="AI70" s="263"/>
      <c r="AJ70" s="259"/>
      <c r="AK70" s="263">
        <f t="shared" si="53"/>
        <v>7</v>
      </c>
      <c r="AL70" s="265">
        <f t="shared" si="63"/>
        <v>7</v>
      </c>
      <c r="AM70" s="6">
        <f t="shared" si="54"/>
        <v>7</v>
      </c>
      <c r="AN70" s="255">
        <f t="shared" si="64"/>
        <v>0.9743016759776536</v>
      </c>
      <c r="AO70" s="256">
        <f t="shared" si="65"/>
        <v>0.65328032406959935</v>
      </c>
      <c r="AP70" s="257">
        <f t="shared" si="66"/>
        <v>7821.2290502793303</v>
      </c>
      <c r="AQ70" s="263">
        <f t="shared" si="55"/>
        <v>7.5</v>
      </c>
      <c r="AR70" s="263">
        <f t="shared" si="56"/>
        <v>0.2</v>
      </c>
      <c r="AS70" s="263">
        <f t="shared" si="57"/>
        <v>0.70000000000000007</v>
      </c>
      <c r="AT70" s="263">
        <f t="shared" si="58"/>
        <v>8.4</v>
      </c>
      <c r="AU70" s="263"/>
      <c r="AV70" s="263"/>
      <c r="AW70" s="263"/>
      <c r="AX70" s="263">
        <f t="shared" si="59"/>
        <v>8.4</v>
      </c>
      <c r="BA70" s="282">
        <f t="shared" si="67"/>
        <v>341.96078431372553</v>
      </c>
      <c r="BB70">
        <v>1</v>
      </c>
      <c r="BC70">
        <f t="shared" si="60"/>
        <v>341.96078431372553</v>
      </c>
      <c r="BD70">
        <f t="shared" si="68"/>
        <v>510</v>
      </c>
      <c r="BE70">
        <f t="shared" si="69"/>
        <v>510</v>
      </c>
      <c r="BF70" s="281">
        <f t="shared" si="61"/>
        <v>0.67051134179161864</v>
      </c>
      <c r="BG70" s="282" t="s">
        <v>2498</v>
      </c>
      <c r="BH70" s="283"/>
    </row>
    <row r="71" spans="1:60" x14ac:dyDescent="0.3">
      <c r="A71">
        <f t="shared" si="70"/>
        <v>69</v>
      </c>
      <c r="B71" s="241" t="s">
        <v>2515</v>
      </c>
      <c r="C71" s="294" t="s">
        <v>2511</v>
      </c>
      <c r="D71" s="14">
        <v>45702</v>
      </c>
      <c r="E71" s="7">
        <v>48</v>
      </c>
      <c r="F71" s="7">
        <f>20+11+16+40</f>
        <v>87</v>
      </c>
      <c r="G71" s="66"/>
      <c r="H71" s="59"/>
      <c r="I71" s="59">
        <v>480</v>
      </c>
      <c r="J71" s="47">
        <f t="shared" si="48"/>
        <v>480</v>
      </c>
      <c r="K71" s="8">
        <f t="shared" si="49"/>
        <v>345</v>
      </c>
      <c r="L71" s="96">
        <f t="shared" si="50"/>
        <v>0.71875</v>
      </c>
      <c r="M71" s="81">
        <v>673</v>
      </c>
      <c r="N71" s="8">
        <v>153</v>
      </c>
      <c r="O71" s="8">
        <v>60</v>
      </c>
      <c r="P71" s="96">
        <f t="shared" si="51"/>
        <v>0.76499005399261155</v>
      </c>
      <c r="Q71" s="59">
        <f t="shared" si="52"/>
        <v>673</v>
      </c>
      <c r="R71" s="252">
        <f t="shared" si="62"/>
        <v>718</v>
      </c>
      <c r="S71" s="263">
        <v>17</v>
      </c>
      <c r="T71" s="263">
        <v>2</v>
      </c>
      <c r="U71" s="263">
        <v>28</v>
      </c>
      <c r="V71" s="263">
        <v>0</v>
      </c>
      <c r="W71" s="263">
        <v>38</v>
      </c>
      <c r="X71" s="263">
        <v>10</v>
      </c>
      <c r="Y71" s="263">
        <v>0</v>
      </c>
      <c r="Z71" s="263">
        <v>8</v>
      </c>
      <c r="AA71" s="263">
        <v>0</v>
      </c>
      <c r="AB71" s="263">
        <v>27</v>
      </c>
      <c r="AC71" s="263">
        <v>1</v>
      </c>
      <c r="AD71" s="263">
        <v>17</v>
      </c>
      <c r="AE71" s="263"/>
      <c r="AF71" s="263"/>
      <c r="AG71" s="263"/>
      <c r="AH71" s="263"/>
      <c r="AI71" s="263"/>
      <c r="AJ71" s="259"/>
      <c r="AK71" s="263">
        <f t="shared" si="53"/>
        <v>17</v>
      </c>
      <c r="AL71" s="265">
        <f t="shared" si="63"/>
        <v>7</v>
      </c>
      <c r="AM71" s="6">
        <f t="shared" si="54"/>
        <v>17</v>
      </c>
      <c r="AN71" s="255">
        <f t="shared" si="64"/>
        <v>0.93732590529247906</v>
      </c>
      <c r="AO71" s="256">
        <f t="shared" si="65"/>
        <v>0.51537609008320129</v>
      </c>
      <c r="AP71" s="257">
        <f t="shared" si="66"/>
        <v>23676.880222841224</v>
      </c>
      <c r="AQ71" s="263">
        <f t="shared" si="55"/>
        <v>13.5</v>
      </c>
      <c r="AR71" s="263">
        <f t="shared" si="56"/>
        <v>0.2</v>
      </c>
      <c r="AS71" s="263">
        <f t="shared" si="57"/>
        <v>1.7000000000000002</v>
      </c>
      <c r="AT71" s="263">
        <f t="shared" si="58"/>
        <v>15.399999999999999</v>
      </c>
      <c r="AU71" s="263"/>
      <c r="AV71" s="263"/>
      <c r="AW71" s="263"/>
      <c r="AX71" s="263">
        <f t="shared" si="59"/>
        <v>15.399999999999999</v>
      </c>
      <c r="BA71" s="282">
        <f t="shared" si="67"/>
        <v>263.92156862745099</v>
      </c>
      <c r="BB71">
        <v>1</v>
      </c>
      <c r="BC71">
        <f t="shared" si="60"/>
        <v>263.92156862745099</v>
      </c>
      <c r="BD71">
        <f t="shared" si="68"/>
        <v>345</v>
      </c>
      <c r="BE71">
        <f t="shared" si="69"/>
        <v>480</v>
      </c>
      <c r="BF71" s="281">
        <f t="shared" si="61"/>
        <v>0.54983660130718959</v>
      </c>
      <c r="BG71" s="282" t="s">
        <v>2482</v>
      </c>
      <c r="BH71" s="283"/>
    </row>
    <row r="72" spans="1:60" x14ac:dyDescent="0.3">
      <c r="A72">
        <f t="shared" si="70"/>
        <v>70</v>
      </c>
      <c r="B72" s="295" t="s">
        <v>2519</v>
      </c>
      <c r="C72" s="294" t="s">
        <v>2512</v>
      </c>
      <c r="D72" s="14">
        <v>45702</v>
      </c>
      <c r="E72" s="7">
        <f>60*3</f>
        <v>180</v>
      </c>
      <c r="F72" s="7"/>
      <c r="G72" s="66"/>
      <c r="H72" s="59"/>
      <c r="I72" s="59">
        <v>450</v>
      </c>
      <c r="J72" s="47">
        <f t="shared" si="48"/>
        <v>450</v>
      </c>
      <c r="K72" s="8">
        <f t="shared" si="49"/>
        <v>270</v>
      </c>
      <c r="L72" s="96">
        <f t="shared" si="50"/>
        <v>0.6</v>
      </c>
      <c r="M72" s="81">
        <f>340</f>
        <v>340</v>
      </c>
      <c r="N72" s="8">
        <v>153</v>
      </c>
      <c r="O72" s="8">
        <v>60</v>
      </c>
      <c r="P72" s="96">
        <f t="shared" si="51"/>
        <v>0.49382716049382719</v>
      </c>
      <c r="Q72" s="59">
        <f t="shared" si="52"/>
        <v>340</v>
      </c>
      <c r="R72" s="252">
        <f t="shared" si="62"/>
        <v>358</v>
      </c>
      <c r="S72" s="263">
        <v>9</v>
      </c>
      <c r="T72" s="263">
        <v>4</v>
      </c>
      <c r="U72" s="263">
        <v>30</v>
      </c>
      <c r="V72" s="263">
        <v>0</v>
      </c>
      <c r="W72" s="263">
        <v>28</v>
      </c>
      <c r="X72" s="263">
        <v>4</v>
      </c>
      <c r="Y72" s="263">
        <v>0</v>
      </c>
      <c r="Z72" s="263">
        <v>0</v>
      </c>
      <c r="AA72" s="263">
        <v>0</v>
      </c>
      <c r="AB72" s="263">
        <v>16</v>
      </c>
      <c r="AC72" s="263">
        <v>0</v>
      </c>
      <c r="AD72" s="263">
        <v>2</v>
      </c>
      <c r="AE72" s="263"/>
      <c r="AF72" s="263"/>
      <c r="AG72" s="263"/>
      <c r="AH72" s="263"/>
      <c r="AI72" s="263"/>
      <c r="AJ72" s="259"/>
      <c r="AK72" s="263">
        <f t="shared" si="53"/>
        <v>2</v>
      </c>
      <c r="AL72" s="265">
        <f t="shared" si="63"/>
        <v>7</v>
      </c>
      <c r="AM72" s="6">
        <f t="shared" si="54"/>
        <v>2</v>
      </c>
      <c r="AN72" s="255">
        <f t="shared" si="64"/>
        <v>0.94972067039106145</v>
      </c>
      <c r="AO72" s="256">
        <f t="shared" si="65"/>
        <v>0.2813987171529071</v>
      </c>
      <c r="AP72" s="257">
        <f t="shared" si="66"/>
        <v>5586.5921787709503</v>
      </c>
      <c r="AQ72" s="263">
        <f t="shared" si="55"/>
        <v>8</v>
      </c>
      <c r="AR72" s="263">
        <f t="shared" si="56"/>
        <v>0</v>
      </c>
      <c r="AS72" s="263">
        <f t="shared" si="57"/>
        <v>0.2</v>
      </c>
      <c r="AT72" s="263">
        <f t="shared" si="58"/>
        <v>8.1999999999999993</v>
      </c>
      <c r="AU72" s="263"/>
      <c r="AV72" s="263"/>
      <c r="AW72" s="263"/>
      <c r="AX72" s="263">
        <f t="shared" si="59"/>
        <v>8.1999999999999993</v>
      </c>
      <c r="BA72" s="282">
        <f t="shared" si="67"/>
        <v>133.33333333333334</v>
      </c>
      <c r="BB72">
        <v>0</v>
      </c>
      <c r="BC72">
        <f t="shared" si="60"/>
        <v>0</v>
      </c>
      <c r="BD72">
        <f t="shared" si="68"/>
        <v>0</v>
      </c>
      <c r="BE72">
        <f t="shared" si="69"/>
        <v>0</v>
      </c>
      <c r="BF72" s="281" t="e">
        <f t="shared" si="61"/>
        <v>#DIV/0!</v>
      </c>
      <c r="BG72" s="282" t="s">
        <v>2498</v>
      </c>
      <c r="BH72" s="283"/>
    </row>
    <row r="73" spans="1:60" x14ac:dyDescent="0.3">
      <c r="A73">
        <f t="shared" si="70"/>
        <v>71</v>
      </c>
      <c r="B73" s="241" t="s">
        <v>2518</v>
      </c>
      <c r="C73" s="294" t="s">
        <v>2512</v>
      </c>
      <c r="D73" s="14">
        <v>45702</v>
      </c>
      <c r="E73" s="7"/>
      <c r="F73" s="7"/>
      <c r="G73" s="66"/>
      <c r="H73" s="59"/>
      <c r="I73" s="59">
        <f>60*2</f>
        <v>120</v>
      </c>
      <c r="J73" s="47">
        <f t="shared" si="48"/>
        <v>120</v>
      </c>
      <c r="K73" s="8">
        <f t="shared" si="49"/>
        <v>120</v>
      </c>
      <c r="L73" s="96">
        <f t="shared" si="50"/>
        <v>1</v>
      </c>
      <c r="M73" s="81">
        <f>153</f>
        <v>153</v>
      </c>
      <c r="N73" s="8">
        <v>153</v>
      </c>
      <c r="O73" s="8">
        <v>60</v>
      </c>
      <c r="P73" s="96">
        <f t="shared" si="51"/>
        <v>0.5</v>
      </c>
      <c r="Q73" s="59">
        <f t="shared" si="52"/>
        <v>153</v>
      </c>
      <c r="R73" s="252">
        <f t="shared" si="62"/>
        <v>174</v>
      </c>
      <c r="S73" s="263">
        <v>7</v>
      </c>
      <c r="T73" s="263">
        <v>2</v>
      </c>
      <c r="U73" s="263">
        <v>0</v>
      </c>
      <c r="V73" s="263">
        <v>6</v>
      </c>
      <c r="W73" s="263">
        <v>0</v>
      </c>
      <c r="X73" s="263">
        <v>2</v>
      </c>
      <c r="Y73" s="263">
        <v>0</v>
      </c>
      <c r="Z73" s="263">
        <v>0</v>
      </c>
      <c r="AA73" s="263">
        <v>0</v>
      </c>
      <c r="AB73" s="263">
        <v>20</v>
      </c>
      <c r="AC73" s="263">
        <v>0</v>
      </c>
      <c r="AD73" s="263">
        <v>1</v>
      </c>
      <c r="AE73" s="263"/>
      <c r="AF73" s="263"/>
      <c r="AG73" s="263"/>
      <c r="AH73" s="263"/>
      <c r="AI73" s="263"/>
      <c r="AJ73" s="259"/>
      <c r="AK73" s="263">
        <f t="shared" si="53"/>
        <v>1</v>
      </c>
      <c r="AL73" s="265">
        <f t="shared" si="63"/>
        <v>7</v>
      </c>
      <c r="AM73" s="6">
        <f t="shared" si="54"/>
        <v>1</v>
      </c>
      <c r="AN73" s="255">
        <f t="shared" si="64"/>
        <v>0.87931034482758619</v>
      </c>
      <c r="AO73" s="256">
        <f t="shared" si="65"/>
        <v>0.43965517241379309</v>
      </c>
      <c r="AP73" s="257">
        <f t="shared" si="66"/>
        <v>5747.1264367816093</v>
      </c>
      <c r="AQ73" s="263">
        <f t="shared" si="55"/>
        <v>10</v>
      </c>
      <c r="AR73" s="263">
        <f t="shared" si="56"/>
        <v>0</v>
      </c>
      <c r="AS73" s="263">
        <f t="shared" si="57"/>
        <v>0.1</v>
      </c>
      <c r="AT73" s="263">
        <f t="shared" si="58"/>
        <v>10.1</v>
      </c>
      <c r="AU73" s="263"/>
      <c r="AV73" s="263"/>
      <c r="AW73" s="263"/>
      <c r="AX73" s="263">
        <f t="shared" si="59"/>
        <v>10.1</v>
      </c>
      <c r="BA73" s="282">
        <f t="shared" si="67"/>
        <v>60</v>
      </c>
      <c r="BB73">
        <v>1</v>
      </c>
      <c r="BC73">
        <f t="shared" si="60"/>
        <v>60</v>
      </c>
      <c r="BD73">
        <f t="shared" si="68"/>
        <v>120</v>
      </c>
      <c r="BE73">
        <f t="shared" si="69"/>
        <v>120</v>
      </c>
      <c r="BF73" s="281">
        <f t="shared" si="61"/>
        <v>0.5</v>
      </c>
      <c r="BG73" s="282" t="s">
        <v>2497</v>
      </c>
      <c r="BH73" s="283"/>
    </row>
    <row r="74" spans="1:60" x14ac:dyDescent="0.3">
      <c r="A74">
        <f t="shared" si="70"/>
        <v>72</v>
      </c>
      <c r="B74" s="241" t="s">
        <v>2518</v>
      </c>
      <c r="C74" s="294" t="s">
        <v>2513</v>
      </c>
      <c r="D74" s="14">
        <v>45702</v>
      </c>
      <c r="E74" s="7"/>
      <c r="F74" s="7"/>
      <c r="G74" s="66"/>
      <c r="H74" s="59"/>
      <c r="I74" s="59">
        <v>480</v>
      </c>
      <c r="J74" s="47">
        <f t="shared" si="48"/>
        <v>480</v>
      </c>
      <c r="K74" s="8">
        <f t="shared" si="49"/>
        <v>480</v>
      </c>
      <c r="L74" s="96">
        <f t="shared" si="50"/>
        <v>1</v>
      </c>
      <c r="M74" s="81">
        <f>33+118+156+134+131+120+145+145+112</f>
        <v>1094</v>
      </c>
      <c r="N74" s="8">
        <v>153</v>
      </c>
      <c r="O74" s="8">
        <v>60</v>
      </c>
      <c r="P74" s="96">
        <f t="shared" si="51"/>
        <v>0.89379084967320266</v>
      </c>
      <c r="Q74" s="59">
        <f t="shared" si="52"/>
        <v>1094</v>
      </c>
      <c r="R74" s="252">
        <f t="shared" si="62"/>
        <v>1152</v>
      </c>
      <c r="S74" s="263">
        <v>11</v>
      </c>
      <c r="T74" s="263">
        <v>1</v>
      </c>
      <c r="U74" s="263">
        <v>0</v>
      </c>
      <c r="V74" s="263">
        <v>0</v>
      </c>
      <c r="W74" s="263">
        <v>0</v>
      </c>
      <c r="X74" s="263">
        <v>20</v>
      </c>
      <c r="Y74" s="263">
        <v>0</v>
      </c>
      <c r="Z74" s="263">
        <v>1</v>
      </c>
      <c r="AA74" s="263">
        <v>0</v>
      </c>
      <c r="AB74" s="263">
        <v>50</v>
      </c>
      <c r="AC74" s="263">
        <v>0</v>
      </c>
      <c r="AD74" s="263">
        <v>8</v>
      </c>
      <c r="AE74" s="263"/>
      <c r="AF74" s="263"/>
      <c r="AG74" s="263"/>
      <c r="AH74" s="263"/>
      <c r="AI74" s="263"/>
      <c r="AJ74" s="259"/>
      <c r="AK74" s="263">
        <f t="shared" si="53"/>
        <v>8</v>
      </c>
      <c r="AL74" s="265">
        <f t="shared" si="63"/>
        <v>7</v>
      </c>
      <c r="AM74" s="6">
        <f t="shared" si="54"/>
        <v>8</v>
      </c>
      <c r="AN74" s="255">
        <f t="shared" si="64"/>
        <v>0.94965277777777779</v>
      </c>
      <c r="AO74" s="256">
        <f t="shared" si="65"/>
        <v>0.84879096314451707</v>
      </c>
      <c r="AP74" s="257">
        <f t="shared" si="66"/>
        <v>6944.4444444444443</v>
      </c>
      <c r="AQ74" s="263">
        <f t="shared" si="55"/>
        <v>25</v>
      </c>
      <c r="AR74" s="263">
        <f t="shared" si="56"/>
        <v>0</v>
      </c>
      <c r="AS74" s="263">
        <f t="shared" si="57"/>
        <v>0.8</v>
      </c>
      <c r="AT74" s="263">
        <f t="shared" si="58"/>
        <v>25.8</v>
      </c>
      <c r="AU74" s="263"/>
      <c r="AV74" s="263"/>
      <c r="AW74" s="263"/>
      <c r="AX74" s="263">
        <f t="shared" si="59"/>
        <v>25.8</v>
      </c>
      <c r="BA74" s="282">
        <f t="shared" si="67"/>
        <v>429.01960784313729</v>
      </c>
      <c r="BB74">
        <v>1</v>
      </c>
      <c r="BC74">
        <f t="shared" si="60"/>
        <v>429.01960784313729</v>
      </c>
      <c r="BD74">
        <f t="shared" si="68"/>
        <v>480</v>
      </c>
      <c r="BE74">
        <f t="shared" si="69"/>
        <v>480</v>
      </c>
      <c r="BF74" s="281">
        <f t="shared" si="61"/>
        <v>0.89379084967320266</v>
      </c>
      <c r="BG74" s="282" t="s">
        <v>2481</v>
      </c>
      <c r="BH74" s="283"/>
    </row>
    <row r="75" spans="1:60" x14ac:dyDescent="0.3">
      <c r="A75">
        <f t="shared" si="70"/>
        <v>73</v>
      </c>
      <c r="B75" s="241" t="s">
        <v>2518</v>
      </c>
      <c r="C75" s="294" t="s">
        <v>2511</v>
      </c>
      <c r="D75" s="14">
        <v>45703</v>
      </c>
      <c r="E75" s="7"/>
      <c r="F75" s="7"/>
      <c r="G75" s="66"/>
      <c r="H75" s="59"/>
      <c r="I75" s="59">
        <v>480</v>
      </c>
      <c r="J75" s="47">
        <f t="shared" si="48"/>
        <v>480</v>
      </c>
      <c r="K75" s="8">
        <f t="shared" si="49"/>
        <v>480</v>
      </c>
      <c r="L75" s="96">
        <f t="shared" si="50"/>
        <v>1</v>
      </c>
      <c r="M75" s="81">
        <f>70+116+149+148+119+75+79+118</f>
        <v>874</v>
      </c>
      <c r="N75" s="8">
        <v>153</v>
      </c>
      <c r="O75" s="8">
        <v>60</v>
      </c>
      <c r="P75" s="96">
        <f t="shared" si="51"/>
        <v>0.71405228758169936</v>
      </c>
      <c r="Q75" s="59">
        <f t="shared" si="52"/>
        <v>874</v>
      </c>
      <c r="R75" s="252">
        <f t="shared" si="62"/>
        <v>938</v>
      </c>
      <c r="S75" s="263">
        <v>10</v>
      </c>
      <c r="T75" s="263">
        <v>1</v>
      </c>
      <c r="U75" s="263">
        <v>0</v>
      </c>
      <c r="V75" s="263">
        <v>3</v>
      </c>
      <c r="W75" s="263">
        <v>0</v>
      </c>
      <c r="X75" s="263">
        <v>9</v>
      </c>
      <c r="Y75" s="263">
        <v>0</v>
      </c>
      <c r="Z75" s="263">
        <v>0</v>
      </c>
      <c r="AA75" s="263">
        <v>0</v>
      </c>
      <c r="AB75" s="263">
        <v>58</v>
      </c>
      <c r="AC75" s="263">
        <v>0</v>
      </c>
      <c r="AD75" s="263">
        <v>6</v>
      </c>
      <c r="AE75" s="263"/>
      <c r="AF75" s="263"/>
      <c r="AG75" s="263"/>
      <c r="AH75" s="263"/>
      <c r="AI75" s="263"/>
      <c r="AJ75" s="259"/>
      <c r="AK75" s="263">
        <f t="shared" si="53"/>
        <v>6</v>
      </c>
      <c r="AL75" s="265">
        <f t="shared" si="63"/>
        <v>7</v>
      </c>
      <c r="AM75" s="6">
        <f t="shared" si="54"/>
        <v>6</v>
      </c>
      <c r="AN75" s="255">
        <f t="shared" si="64"/>
        <v>0.93176972281449888</v>
      </c>
      <c r="AO75" s="256">
        <f t="shared" si="65"/>
        <v>0.66533230207505889</v>
      </c>
      <c r="AP75" s="257">
        <f t="shared" si="66"/>
        <v>6396.5884861407249</v>
      </c>
      <c r="AQ75" s="263">
        <f t="shared" si="55"/>
        <v>29</v>
      </c>
      <c r="AR75" s="263">
        <f t="shared" si="56"/>
        <v>0</v>
      </c>
      <c r="AS75" s="263">
        <f t="shared" si="57"/>
        <v>0.60000000000000009</v>
      </c>
      <c r="AT75" s="263">
        <f t="shared" si="58"/>
        <v>29.6</v>
      </c>
      <c r="AU75" s="263"/>
      <c r="AV75" s="263"/>
      <c r="AW75" s="263"/>
      <c r="AX75" s="263">
        <f t="shared" si="59"/>
        <v>29.6</v>
      </c>
      <c r="BA75" s="282">
        <f t="shared" si="67"/>
        <v>342.74509803921569</v>
      </c>
      <c r="BB75">
        <v>1</v>
      </c>
      <c r="BC75">
        <f t="shared" si="60"/>
        <v>342.74509803921569</v>
      </c>
      <c r="BD75">
        <f t="shared" si="68"/>
        <v>480</v>
      </c>
      <c r="BE75">
        <f t="shared" si="69"/>
        <v>480</v>
      </c>
      <c r="BF75" s="281">
        <f t="shared" si="61"/>
        <v>0.71405228758169936</v>
      </c>
      <c r="BG75" s="282" t="s">
        <v>2482</v>
      </c>
      <c r="BH75" s="283"/>
    </row>
    <row r="76" spans="1:60" x14ac:dyDescent="0.3">
      <c r="A76">
        <f t="shared" si="70"/>
        <v>74</v>
      </c>
      <c r="B76" s="241" t="s">
        <v>2518</v>
      </c>
      <c r="C76" s="294" t="s">
        <v>2512</v>
      </c>
      <c r="D76" s="14">
        <v>45703</v>
      </c>
      <c r="E76" s="7"/>
      <c r="F76" s="7"/>
      <c r="G76" s="66"/>
      <c r="H76" s="59"/>
      <c r="I76" s="59">
        <v>450</v>
      </c>
      <c r="J76" s="47">
        <f t="shared" si="48"/>
        <v>450</v>
      </c>
      <c r="K76" s="8">
        <f t="shared" si="49"/>
        <v>450</v>
      </c>
      <c r="L76" s="96">
        <f t="shared" si="50"/>
        <v>1</v>
      </c>
      <c r="M76" s="81">
        <v>896</v>
      </c>
      <c r="N76" s="8">
        <v>153</v>
      </c>
      <c r="O76" s="8">
        <v>60</v>
      </c>
      <c r="P76" s="96">
        <f t="shared" si="51"/>
        <v>0.78082788671023962</v>
      </c>
      <c r="Q76" s="59">
        <f t="shared" si="52"/>
        <v>896</v>
      </c>
      <c r="R76" s="252">
        <f t="shared" si="62"/>
        <v>985</v>
      </c>
      <c r="S76" s="263">
        <v>7</v>
      </c>
      <c r="T76" s="263">
        <v>5</v>
      </c>
      <c r="U76" s="263">
        <v>0</v>
      </c>
      <c r="V76" s="263">
        <v>2</v>
      </c>
      <c r="W76" s="263">
        <v>0</v>
      </c>
      <c r="X76" s="263">
        <v>6</v>
      </c>
      <c r="Y76" s="263">
        <v>0</v>
      </c>
      <c r="Z76" s="263">
        <v>1</v>
      </c>
      <c r="AA76" s="263">
        <v>0</v>
      </c>
      <c r="AB76" s="263">
        <v>58</v>
      </c>
      <c r="AC76" s="263">
        <v>7</v>
      </c>
      <c r="AD76" s="263">
        <v>24</v>
      </c>
      <c r="AE76" s="263"/>
      <c r="AF76" s="263"/>
      <c r="AG76" s="263"/>
      <c r="AH76" s="263"/>
      <c r="AI76" s="263"/>
      <c r="AJ76" s="259"/>
      <c r="AK76" s="263">
        <f t="shared" si="53"/>
        <v>24</v>
      </c>
      <c r="AL76" s="265">
        <f t="shared" si="63"/>
        <v>7</v>
      </c>
      <c r="AM76" s="6">
        <f t="shared" si="54"/>
        <v>24</v>
      </c>
      <c r="AN76" s="255">
        <f t="shared" si="64"/>
        <v>0.90964467005076144</v>
      </c>
      <c r="AO76" s="256">
        <f t="shared" si="65"/>
        <v>0.71027592537296924</v>
      </c>
      <c r="AP76" s="257">
        <f t="shared" si="66"/>
        <v>24365.482233502538</v>
      </c>
      <c r="AQ76" s="263">
        <f>+AB76*0.5</f>
        <v>29</v>
      </c>
      <c r="AR76" s="263">
        <f t="shared" si="56"/>
        <v>1.4000000000000001</v>
      </c>
      <c r="AS76" s="263">
        <f t="shared" si="57"/>
        <v>2.4000000000000004</v>
      </c>
      <c r="AT76" s="263">
        <f>SUM(AQ76:AS76)</f>
        <v>32.799999999999997</v>
      </c>
      <c r="AU76" s="263"/>
      <c r="AV76" s="263"/>
      <c r="AW76" s="263"/>
      <c r="AX76" s="263">
        <f t="shared" si="59"/>
        <v>32.799999999999997</v>
      </c>
      <c r="BA76" s="282">
        <f t="shared" si="67"/>
        <v>351.37254901960785</v>
      </c>
      <c r="BB76">
        <v>1</v>
      </c>
      <c r="BC76">
        <f t="shared" si="60"/>
        <v>351.37254901960785</v>
      </c>
      <c r="BD76">
        <f t="shared" si="68"/>
        <v>450</v>
      </c>
      <c r="BE76">
        <f t="shared" si="69"/>
        <v>450</v>
      </c>
      <c r="BF76" s="281">
        <f t="shared" si="61"/>
        <v>0.78082788671023962</v>
      </c>
      <c r="BG76" s="282" t="s">
        <v>2482</v>
      </c>
      <c r="BH76" s="283"/>
    </row>
    <row r="77" spans="1:60" x14ac:dyDescent="0.3">
      <c r="A77">
        <f t="shared" si="70"/>
        <v>75</v>
      </c>
      <c r="B77" s="295" t="s">
        <v>2522</v>
      </c>
      <c r="C77" s="294" t="s">
        <v>2511</v>
      </c>
      <c r="D77" s="14">
        <v>45705</v>
      </c>
      <c r="E77" s="7">
        <f>60*7</f>
        <v>420</v>
      </c>
      <c r="F77" s="7"/>
      <c r="G77" s="66"/>
      <c r="H77" s="59"/>
      <c r="I77" s="59">
        <v>480</v>
      </c>
      <c r="J77" s="47">
        <f t="shared" si="48"/>
        <v>480</v>
      </c>
      <c r="K77" s="8">
        <f t="shared" si="49"/>
        <v>60</v>
      </c>
      <c r="L77" s="96">
        <f t="shared" si="50"/>
        <v>0.125</v>
      </c>
      <c r="M77" s="81">
        <v>6</v>
      </c>
      <c r="N77" s="8">
        <v>153</v>
      </c>
      <c r="O77" s="8">
        <v>60</v>
      </c>
      <c r="P77" s="96">
        <f t="shared" si="51"/>
        <v>3.9215686274509803E-2</v>
      </c>
      <c r="Q77" s="59">
        <f t="shared" si="52"/>
        <v>6</v>
      </c>
      <c r="R77" s="252">
        <f t="shared" si="62"/>
        <v>7</v>
      </c>
      <c r="S77" s="263">
        <v>1</v>
      </c>
      <c r="T77" s="263">
        <v>0</v>
      </c>
      <c r="U77" s="263">
        <v>0</v>
      </c>
      <c r="V77" s="263">
        <v>0</v>
      </c>
      <c r="W77" s="263">
        <v>0</v>
      </c>
      <c r="X77" s="263">
        <v>0</v>
      </c>
      <c r="Y77" s="263">
        <v>0</v>
      </c>
      <c r="Z77" s="263">
        <v>0</v>
      </c>
      <c r="AA77" s="263">
        <v>0</v>
      </c>
      <c r="AB77" s="263">
        <v>1</v>
      </c>
      <c r="AC77" s="263">
        <v>0</v>
      </c>
      <c r="AD77" s="263">
        <v>0</v>
      </c>
      <c r="AE77" s="263"/>
      <c r="AF77" s="263"/>
      <c r="AG77" s="263"/>
      <c r="AH77" s="263"/>
      <c r="AI77" s="263"/>
      <c r="AJ77" s="259"/>
      <c r="AK77" s="263">
        <f t="shared" si="53"/>
        <v>0</v>
      </c>
      <c r="AL77" s="265">
        <f t="shared" si="63"/>
        <v>8</v>
      </c>
      <c r="AM77" s="6">
        <f t="shared" si="54"/>
        <v>0</v>
      </c>
      <c r="AN77" s="255">
        <f t="shared" si="64"/>
        <v>0.8571428571428571</v>
      </c>
      <c r="AO77" s="256">
        <f t="shared" si="65"/>
        <v>4.2016806722689074E-3</v>
      </c>
      <c r="AP77" s="257">
        <f t="shared" si="66"/>
        <v>0</v>
      </c>
      <c r="AQ77" s="263">
        <f t="shared" si="55"/>
        <v>0.5</v>
      </c>
      <c r="AR77" s="263">
        <f t="shared" si="56"/>
        <v>0</v>
      </c>
      <c r="AS77" s="263">
        <f t="shared" si="57"/>
        <v>0</v>
      </c>
      <c r="AT77" s="263">
        <f t="shared" si="58"/>
        <v>0.5</v>
      </c>
      <c r="AU77" s="263"/>
      <c r="AV77" s="263"/>
      <c r="AW77" s="263"/>
      <c r="AX77" s="263">
        <f t="shared" si="59"/>
        <v>0.5</v>
      </c>
      <c r="BA77" s="282">
        <f t="shared" si="67"/>
        <v>2.3529411764705883</v>
      </c>
      <c r="BB77">
        <v>1</v>
      </c>
      <c r="BC77">
        <f t="shared" si="60"/>
        <v>2.3529411764705883</v>
      </c>
      <c r="BD77">
        <f t="shared" si="68"/>
        <v>60</v>
      </c>
      <c r="BE77">
        <f t="shared" si="69"/>
        <v>480</v>
      </c>
      <c r="BF77" s="281">
        <f t="shared" si="61"/>
        <v>4.9019607843137254E-3</v>
      </c>
      <c r="BG77" s="282" t="s">
        <v>2481</v>
      </c>
      <c r="BH77" s="283"/>
    </row>
    <row r="78" spans="1:60" x14ac:dyDescent="0.3">
      <c r="A78">
        <f t="shared" si="70"/>
        <v>76</v>
      </c>
      <c r="B78" s="241" t="s">
        <v>2499</v>
      </c>
      <c r="C78" s="294" t="s">
        <v>2512</v>
      </c>
      <c r="D78" s="14">
        <v>45705</v>
      </c>
      <c r="E78" s="7"/>
      <c r="F78" s="7"/>
      <c r="G78" s="66"/>
      <c r="H78" s="59"/>
      <c r="I78" s="59">
        <v>450</v>
      </c>
      <c r="J78" s="47">
        <f t="shared" si="48"/>
        <v>450</v>
      </c>
      <c r="K78" s="8">
        <f t="shared" si="49"/>
        <v>450</v>
      </c>
      <c r="L78" s="96">
        <f t="shared" si="50"/>
        <v>1</v>
      </c>
      <c r="M78" s="81">
        <v>777</v>
      </c>
      <c r="N78" s="8">
        <v>153</v>
      </c>
      <c r="O78" s="8">
        <v>60</v>
      </c>
      <c r="P78" s="96">
        <f t="shared" si="51"/>
        <v>0.67712418300653587</v>
      </c>
      <c r="Q78" s="59">
        <f t="shared" si="52"/>
        <v>777</v>
      </c>
      <c r="R78" s="252">
        <f t="shared" si="62"/>
        <v>821</v>
      </c>
      <c r="S78" s="263">
        <v>64</v>
      </c>
      <c r="T78" s="263">
        <v>1</v>
      </c>
      <c r="U78" s="263">
        <v>2</v>
      </c>
      <c r="V78" s="263">
        <v>0</v>
      </c>
      <c r="W78" s="263">
        <v>2</v>
      </c>
      <c r="X78" s="263">
        <v>11</v>
      </c>
      <c r="Y78" s="263">
        <v>0</v>
      </c>
      <c r="Z78" s="263">
        <v>0</v>
      </c>
      <c r="AA78" s="263">
        <v>0</v>
      </c>
      <c r="AB78" s="263">
        <v>32</v>
      </c>
      <c r="AC78" s="263">
        <v>0</v>
      </c>
      <c r="AD78" s="263">
        <v>12</v>
      </c>
      <c r="AE78" s="263"/>
      <c r="AF78" s="263"/>
      <c r="AG78" s="263"/>
      <c r="AH78" s="263"/>
      <c r="AI78" s="263"/>
      <c r="AJ78" s="259"/>
      <c r="AK78" s="263">
        <f t="shared" si="53"/>
        <v>12</v>
      </c>
      <c r="AL78" s="265">
        <f t="shared" si="63"/>
        <v>8</v>
      </c>
      <c r="AM78" s="6">
        <f t="shared" si="54"/>
        <v>12</v>
      </c>
      <c r="AN78" s="255">
        <f t="shared" si="64"/>
        <v>0.9464068209500609</v>
      </c>
      <c r="AO78" s="256">
        <f t="shared" si="65"/>
        <v>0.64083494542762287</v>
      </c>
      <c r="AP78" s="257">
        <f t="shared" si="66"/>
        <v>14616.321559074298</v>
      </c>
      <c r="AQ78" s="263">
        <f t="shared" si="55"/>
        <v>16</v>
      </c>
      <c r="AR78" s="263">
        <f t="shared" si="56"/>
        <v>0</v>
      </c>
      <c r="AS78" s="263">
        <f t="shared" si="57"/>
        <v>1.2000000000000002</v>
      </c>
      <c r="AT78" s="263">
        <f t="shared" si="58"/>
        <v>17.2</v>
      </c>
      <c r="AU78" s="263"/>
      <c r="AV78" s="263"/>
      <c r="AW78" s="263"/>
      <c r="AX78" s="263">
        <f t="shared" si="59"/>
        <v>17.2</v>
      </c>
      <c r="BA78" s="282">
        <f t="shared" si="67"/>
        <v>304.70588235294116</v>
      </c>
      <c r="BB78">
        <v>1</v>
      </c>
      <c r="BC78">
        <f t="shared" si="60"/>
        <v>304.70588235294116</v>
      </c>
      <c r="BD78">
        <f t="shared" si="68"/>
        <v>450</v>
      </c>
      <c r="BE78">
        <f t="shared" si="69"/>
        <v>450</v>
      </c>
      <c r="BF78" s="281">
        <f t="shared" si="61"/>
        <v>0.67712418300653587</v>
      </c>
      <c r="BG78" s="282" t="s">
        <v>2523</v>
      </c>
      <c r="BH78" s="283"/>
    </row>
    <row r="79" spans="1:60" x14ac:dyDescent="0.3">
      <c r="A79">
        <f t="shared" si="70"/>
        <v>77</v>
      </c>
      <c r="B79" s="241" t="s">
        <v>2499</v>
      </c>
      <c r="C79" s="294" t="s">
        <v>2513</v>
      </c>
      <c r="D79" s="14">
        <v>45705</v>
      </c>
      <c r="E79" s="7"/>
      <c r="F79" s="7"/>
      <c r="G79" s="66"/>
      <c r="H79" s="59"/>
      <c r="I79" s="59">
        <v>510</v>
      </c>
      <c r="J79" s="47">
        <f t="shared" si="48"/>
        <v>510</v>
      </c>
      <c r="K79" s="8">
        <f t="shared" si="49"/>
        <v>510</v>
      </c>
      <c r="L79" s="96">
        <f t="shared" si="50"/>
        <v>1</v>
      </c>
      <c r="M79" s="81">
        <v>1093</v>
      </c>
      <c r="N79" s="8">
        <v>153</v>
      </c>
      <c r="O79" s="8">
        <v>60</v>
      </c>
      <c r="P79" s="96">
        <f t="shared" si="51"/>
        <v>0.84044598231449441</v>
      </c>
      <c r="Q79" s="59">
        <f t="shared" si="52"/>
        <v>1093</v>
      </c>
      <c r="R79" s="252">
        <f t="shared" si="62"/>
        <v>1136</v>
      </c>
      <c r="S79" s="263">
        <v>13</v>
      </c>
      <c r="T79" s="263">
        <v>7</v>
      </c>
      <c r="U79" s="263">
        <v>38</v>
      </c>
      <c r="V79" s="263">
        <v>0</v>
      </c>
      <c r="W79" s="263">
        <v>0</v>
      </c>
      <c r="X79" s="263">
        <v>9</v>
      </c>
      <c r="Y79" s="263">
        <v>0</v>
      </c>
      <c r="Z79" s="263">
        <v>1</v>
      </c>
      <c r="AA79" s="263">
        <v>0</v>
      </c>
      <c r="AB79" s="263">
        <v>34</v>
      </c>
      <c r="AC79" s="263">
        <v>0</v>
      </c>
      <c r="AD79" s="263">
        <v>9</v>
      </c>
      <c r="AE79" s="263"/>
      <c r="AF79" s="263"/>
      <c r="AG79" s="263"/>
      <c r="AH79" s="263"/>
      <c r="AI79" s="263"/>
      <c r="AJ79" s="259"/>
      <c r="AK79" s="263">
        <f t="shared" si="53"/>
        <v>9</v>
      </c>
      <c r="AL79" s="265">
        <f t="shared" si="63"/>
        <v>8</v>
      </c>
      <c r="AM79" s="6">
        <f t="shared" si="54"/>
        <v>9</v>
      </c>
      <c r="AN79" s="255">
        <f t="shared" si="64"/>
        <v>0.96214788732394363</v>
      </c>
      <c r="AO79" s="256">
        <f t="shared" si="65"/>
        <v>0.80863332629378726</v>
      </c>
      <c r="AP79" s="257">
        <f t="shared" si="66"/>
        <v>7922.5352112676055</v>
      </c>
      <c r="AQ79" s="263">
        <f t="shared" si="55"/>
        <v>17</v>
      </c>
      <c r="AR79" s="263">
        <f t="shared" si="56"/>
        <v>0</v>
      </c>
      <c r="AS79" s="263">
        <f t="shared" si="57"/>
        <v>0.9</v>
      </c>
      <c r="AT79" s="263">
        <f t="shared" si="58"/>
        <v>17.899999999999999</v>
      </c>
      <c r="AU79" s="263"/>
      <c r="AV79" s="263"/>
      <c r="AW79" s="263"/>
      <c r="AX79" s="263">
        <f t="shared" si="59"/>
        <v>17.899999999999999</v>
      </c>
      <c r="BA79" s="282">
        <f t="shared" si="67"/>
        <v>428.62745098039215</v>
      </c>
      <c r="BB79">
        <v>1</v>
      </c>
      <c r="BC79">
        <f t="shared" si="60"/>
        <v>428.62745098039215</v>
      </c>
      <c r="BD79">
        <f t="shared" si="68"/>
        <v>510</v>
      </c>
      <c r="BE79">
        <f t="shared" si="69"/>
        <v>510</v>
      </c>
      <c r="BF79" s="281">
        <f t="shared" si="61"/>
        <v>0.84044598231449441</v>
      </c>
      <c r="BG79" s="282" t="s">
        <v>2498</v>
      </c>
      <c r="BH79" s="283"/>
    </row>
    <row r="80" spans="1:60" x14ac:dyDescent="0.3">
      <c r="A80">
        <f t="shared" si="70"/>
        <v>78</v>
      </c>
      <c r="B80" s="241" t="s">
        <v>2499</v>
      </c>
      <c r="C80" s="294" t="s">
        <v>2511</v>
      </c>
      <c r="D80" s="14">
        <v>45706</v>
      </c>
      <c r="E80" s="7">
        <v>68</v>
      </c>
      <c r="F80" s="7"/>
      <c r="G80" s="66"/>
      <c r="H80" s="59"/>
      <c r="I80" s="59">
        <v>480</v>
      </c>
      <c r="J80" s="47">
        <f t="shared" si="48"/>
        <v>480</v>
      </c>
      <c r="K80" s="8">
        <f t="shared" si="49"/>
        <v>412</v>
      </c>
      <c r="L80" s="96">
        <f t="shared" si="50"/>
        <v>0.85833333333333328</v>
      </c>
      <c r="M80" s="81">
        <v>881</v>
      </c>
      <c r="N80" s="8">
        <v>153</v>
      </c>
      <c r="O80" s="8">
        <v>60</v>
      </c>
      <c r="P80" s="96">
        <f t="shared" si="51"/>
        <v>0.83856843708357132</v>
      </c>
      <c r="Q80" s="59">
        <f t="shared" si="52"/>
        <v>881</v>
      </c>
      <c r="R80" s="252">
        <f t="shared" si="62"/>
        <v>893</v>
      </c>
      <c r="S80" s="263">
        <v>22</v>
      </c>
      <c r="T80" s="263">
        <v>1</v>
      </c>
      <c r="U80" s="263">
        <v>29</v>
      </c>
      <c r="V80" s="263">
        <v>0</v>
      </c>
      <c r="W80" s="263">
        <v>0</v>
      </c>
      <c r="X80" s="263">
        <v>1</v>
      </c>
      <c r="Y80" s="263">
        <v>0</v>
      </c>
      <c r="Z80" s="263">
        <v>0</v>
      </c>
      <c r="AA80" s="263">
        <v>0</v>
      </c>
      <c r="AB80" s="263">
        <v>6</v>
      </c>
      <c r="AC80" s="263">
        <v>3</v>
      </c>
      <c r="AD80" s="263">
        <v>3</v>
      </c>
      <c r="AE80" s="263"/>
      <c r="AF80" s="263"/>
      <c r="AG80" s="263"/>
      <c r="AH80" s="263"/>
      <c r="AI80" s="263"/>
      <c r="AJ80" s="259"/>
      <c r="AK80" s="263">
        <f t="shared" si="53"/>
        <v>3</v>
      </c>
      <c r="AL80" s="265">
        <f t="shared" si="63"/>
        <v>8</v>
      </c>
      <c r="AM80" s="6">
        <f t="shared" si="54"/>
        <v>3</v>
      </c>
      <c r="AN80" s="255">
        <f t="shared" si="64"/>
        <v>0.98656215005599102</v>
      </c>
      <c r="AO80" s="256">
        <f t="shared" si="65"/>
        <v>0.71009906388833999</v>
      </c>
      <c r="AP80" s="257">
        <f t="shared" si="66"/>
        <v>3359.4624860022395</v>
      </c>
      <c r="AQ80" s="263">
        <f t="shared" si="55"/>
        <v>3</v>
      </c>
      <c r="AR80" s="263">
        <f t="shared" si="56"/>
        <v>0.60000000000000009</v>
      </c>
      <c r="AS80" s="263">
        <f t="shared" si="57"/>
        <v>0.30000000000000004</v>
      </c>
      <c r="AT80" s="263">
        <f t="shared" si="58"/>
        <v>3.9000000000000004</v>
      </c>
      <c r="AU80" s="263"/>
      <c r="AV80" s="263"/>
      <c r="AW80" s="263"/>
      <c r="AX80" s="263">
        <f t="shared" si="59"/>
        <v>3.9000000000000004</v>
      </c>
      <c r="BA80" s="282">
        <f t="shared" si="67"/>
        <v>345.49019607843138</v>
      </c>
      <c r="BB80">
        <v>1</v>
      </c>
      <c r="BC80">
        <f t="shared" si="60"/>
        <v>345.49019607843138</v>
      </c>
      <c r="BD80">
        <f t="shared" si="68"/>
        <v>412</v>
      </c>
      <c r="BE80">
        <f t="shared" si="69"/>
        <v>480</v>
      </c>
      <c r="BF80" s="281">
        <f t="shared" si="61"/>
        <v>0.71977124183006536</v>
      </c>
      <c r="BG80" s="282" t="s">
        <v>2481</v>
      </c>
      <c r="BH80" s="283"/>
    </row>
    <row r="81" spans="1:60" x14ac:dyDescent="0.3">
      <c r="A81">
        <f t="shared" si="70"/>
        <v>79</v>
      </c>
      <c r="B81" s="241" t="s">
        <v>2499</v>
      </c>
      <c r="C81" s="294" t="s">
        <v>2512</v>
      </c>
      <c r="D81" s="14">
        <v>45706</v>
      </c>
      <c r="E81" s="7"/>
      <c r="F81" s="7"/>
      <c r="G81" s="66"/>
      <c r="H81" s="59"/>
      <c r="I81" s="59">
        <v>450</v>
      </c>
      <c r="J81" s="47">
        <f t="shared" si="48"/>
        <v>450</v>
      </c>
      <c r="K81" s="8">
        <f t="shared" si="49"/>
        <v>450</v>
      </c>
      <c r="L81" s="96">
        <f t="shared" si="50"/>
        <v>1</v>
      </c>
      <c r="M81" s="81">
        <v>822</v>
      </c>
      <c r="N81" s="8">
        <v>153</v>
      </c>
      <c r="O81" s="8">
        <v>60</v>
      </c>
      <c r="P81" s="96">
        <f t="shared" si="51"/>
        <v>0.71633986928104565</v>
      </c>
      <c r="Q81" s="59">
        <f t="shared" si="52"/>
        <v>822</v>
      </c>
      <c r="R81" s="252">
        <f t="shared" si="62"/>
        <v>841</v>
      </c>
      <c r="S81" s="263">
        <v>3</v>
      </c>
      <c r="T81" s="263">
        <v>2</v>
      </c>
      <c r="U81" s="263">
        <v>0</v>
      </c>
      <c r="V81" s="263">
        <v>0</v>
      </c>
      <c r="W81" s="263">
        <v>0</v>
      </c>
      <c r="X81" s="263">
        <v>1</v>
      </c>
      <c r="Y81" s="263">
        <v>0</v>
      </c>
      <c r="Z81" s="263">
        <v>5</v>
      </c>
      <c r="AA81" s="263">
        <v>1</v>
      </c>
      <c r="AB81" s="263">
        <v>18</v>
      </c>
      <c r="AC81" s="263">
        <v>1</v>
      </c>
      <c r="AD81" s="263">
        <v>0</v>
      </c>
      <c r="AE81" s="263"/>
      <c r="AF81" s="263"/>
      <c r="AG81" s="263"/>
      <c r="AH81" s="263"/>
      <c r="AI81" s="263"/>
      <c r="AJ81" s="259"/>
      <c r="AK81" s="263">
        <f t="shared" si="53"/>
        <v>0</v>
      </c>
      <c r="AL81" s="265">
        <f t="shared" si="63"/>
        <v>8</v>
      </c>
      <c r="AM81" s="6">
        <f t="shared" si="54"/>
        <v>0</v>
      </c>
      <c r="AN81" s="255">
        <f t="shared" si="64"/>
        <v>0.97740784780023782</v>
      </c>
      <c r="AO81" s="256">
        <f t="shared" si="65"/>
        <v>0.7001562099274905</v>
      </c>
      <c r="AP81" s="257">
        <f t="shared" si="66"/>
        <v>0</v>
      </c>
      <c r="AQ81" s="263">
        <f t="shared" si="55"/>
        <v>9</v>
      </c>
      <c r="AR81" s="263">
        <f t="shared" si="56"/>
        <v>0.2</v>
      </c>
      <c r="AS81" s="263">
        <f t="shared" si="57"/>
        <v>0</v>
      </c>
      <c r="AT81" s="263">
        <f t="shared" si="58"/>
        <v>9.1999999999999993</v>
      </c>
      <c r="AU81" s="263"/>
      <c r="AV81" s="263"/>
      <c r="AW81" s="263"/>
      <c r="AX81" s="263">
        <f t="shared" si="59"/>
        <v>9.1999999999999993</v>
      </c>
      <c r="BA81" s="282">
        <f t="shared" si="67"/>
        <v>322.35294117647055</v>
      </c>
      <c r="BB81">
        <v>1</v>
      </c>
      <c r="BC81">
        <f t="shared" si="60"/>
        <v>322.35294117647055</v>
      </c>
      <c r="BD81">
        <f t="shared" si="68"/>
        <v>450</v>
      </c>
      <c r="BE81">
        <f t="shared" si="69"/>
        <v>450</v>
      </c>
      <c r="BF81" s="281">
        <f t="shared" si="61"/>
        <v>0.71633986928104565</v>
      </c>
      <c r="BG81" s="282" t="s">
        <v>2523</v>
      </c>
      <c r="BH81" s="283"/>
    </row>
    <row r="82" spans="1:60" x14ac:dyDescent="0.3">
      <c r="A82">
        <f t="shared" si="70"/>
        <v>80</v>
      </c>
      <c r="B82" s="241" t="s">
        <v>2499</v>
      </c>
      <c r="C82" s="294" t="s">
        <v>2513</v>
      </c>
      <c r="D82" s="14">
        <v>45706</v>
      </c>
      <c r="E82" s="7"/>
      <c r="F82" s="7"/>
      <c r="G82" s="66"/>
      <c r="H82" s="59"/>
      <c r="I82" s="59">
        <v>510</v>
      </c>
      <c r="J82" s="47">
        <f t="shared" si="48"/>
        <v>510</v>
      </c>
      <c r="K82" s="8">
        <f t="shared" si="49"/>
        <v>510</v>
      </c>
      <c r="L82" s="96">
        <f t="shared" si="50"/>
        <v>1</v>
      </c>
      <c r="M82" s="81">
        <v>1148</v>
      </c>
      <c r="N82" s="8">
        <v>153</v>
      </c>
      <c r="O82" s="8">
        <v>60</v>
      </c>
      <c r="P82" s="96">
        <f t="shared" si="51"/>
        <v>0.88273740868896577</v>
      </c>
      <c r="Q82" s="59">
        <f t="shared" si="52"/>
        <v>1148</v>
      </c>
      <c r="R82" s="252">
        <f t="shared" si="62"/>
        <v>1178</v>
      </c>
      <c r="S82" s="263">
        <v>4</v>
      </c>
      <c r="T82" s="263">
        <v>0</v>
      </c>
      <c r="U82" s="263">
        <v>16</v>
      </c>
      <c r="V82" s="263">
        <v>0</v>
      </c>
      <c r="W82" s="263">
        <v>0</v>
      </c>
      <c r="X82" s="263">
        <v>9</v>
      </c>
      <c r="Y82" s="263">
        <v>0</v>
      </c>
      <c r="Z82" s="263">
        <v>1</v>
      </c>
      <c r="AA82" s="263">
        <v>0</v>
      </c>
      <c r="AB82" s="263">
        <v>12</v>
      </c>
      <c r="AC82" s="263">
        <v>0</v>
      </c>
      <c r="AD82" s="263">
        <v>18</v>
      </c>
      <c r="AE82" s="263"/>
      <c r="AF82" s="263"/>
      <c r="AG82" s="263"/>
      <c r="AH82" s="263"/>
      <c r="AI82" s="263"/>
      <c r="AJ82" s="259"/>
      <c r="AK82" s="263">
        <f t="shared" si="53"/>
        <v>18</v>
      </c>
      <c r="AL82" s="265">
        <f t="shared" si="63"/>
        <v>8</v>
      </c>
      <c r="AM82" s="6">
        <f t="shared" si="54"/>
        <v>18</v>
      </c>
      <c r="AN82" s="255">
        <f t="shared" si="64"/>
        <v>0.97453310696095075</v>
      </c>
      <c r="AO82" s="256">
        <f t="shared" si="65"/>
        <v>0.86025682952031635</v>
      </c>
      <c r="AP82" s="257">
        <f t="shared" si="66"/>
        <v>15280.135823429542</v>
      </c>
      <c r="AQ82" s="263">
        <f t="shared" si="55"/>
        <v>6</v>
      </c>
      <c r="AR82" s="263">
        <f t="shared" si="56"/>
        <v>0</v>
      </c>
      <c r="AS82" s="263">
        <f t="shared" si="57"/>
        <v>1.8</v>
      </c>
      <c r="AT82" s="263">
        <f t="shared" si="58"/>
        <v>7.8</v>
      </c>
      <c r="AU82" s="263"/>
      <c r="AV82" s="263"/>
      <c r="AW82" s="263"/>
      <c r="AX82" s="263">
        <f t="shared" si="59"/>
        <v>7.8</v>
      </c>
      <c r="BA82" s="282">
        <f t="shared" si="67"/>
        <v>450.19607843137254</v>
      </c>
      <c r="BB82">
        <v>1</v>
      </c>
      <c r="BC82">
        <f t="shared" si="60"/>
        <v>450.19607843137254</v>
      </c>
      <c r="BD82">
        <f t="shared" si="68"/>
        <v>510</v>
      </c>
      <c r="BE82">
        <f t="shared" si="69"/>
        <v>510</v>
      </c>
      <c r="BF82" s="281">
        <f t="shared" si="61"/>
        <v>0.88273740868896577</v>
      </c>
      <c r="BG82" s="282" t="s">
        <v>2498</v>
      </c>
      <c r="BH82" s="283"/>
    </row>
    <row r="83" spans="1:60" x14ac:dyDescent="0.3">
      <c r="A83">
        <f t="shared" si="70"/>
        <v>81</v>
      </c>
      <c r="B83" s="241" t="s">
        <v>2499</v>
      </c>
      <c r="C83" s="294" t="s">
        <v>2511</v>
      </c>
      <c r="D83" s="14">
        <v>45707</v>
      </c>
      <c r="E83" s="7">
        <v>40</v>
      </c>
      <c r="F83" s="7"/>
      <c r="G83" s="66"/>
      <c r="H83" s="59"/>
      <c r="I83" s="59">
        <v>480</v>
      </c>
      <c r="J83" s="47">
        <f t="shared" si="48"/>
        <v>480</v>
      </c>
      <c r="K83" s="8">
        <f t="shared" si="49"/>
        <v>440</v>
      </c>
      <c r="L83" s="96">
        <f t="shared" si="50"/>
        <v>0.91666666666666663</v>
      </c>
      <c r="M83" s="81">
        <v>480</v>
      </c>
      <c r="N83" s="8">
        <v>153</v>
      </c>
      <c r="O83" s="8">
        <v>60</v>
      </c>
      <c r="P83" s="96">
        <f t="shared" si="51"/>
        <v>0.42780748663101603</v>
      </c>
      <c r="Q83" s="59">
        <f t="shared" si="52"/>
        <v>480</v>
      </c>
      <c r="R83" s="252">
        <f t="shared" si="62"/>
        <v>510</v>
      </c>
      <c r="S83" s="263">
        <v>1</v>
      </c>
      <c r="T83" s="263">
        <v>3</v>
      </c>
      <c r="U83" s="263">
        <v>21</v>
      </c>
      <c r="V83" s="263">
        <v>0</v>
      </c>
      <c r="W83" s="263">
        <v>0</v>
      </c>
      <c r="X83" s="263">
        <v>4</v>
      </c>
      <c r="Y83" s="263">
        <v>0</v>
      </c>
      <c r="Z83" s="263">
        <v>0</v>
      </c>
      <c r="AA83" s="263">
        <v>0</v>
      </c>
      <c r="AB83" s="263">
        <v>15</v>
      </c>
      <c r="AC83" s="263">
        <v>8</v>
      </c>
      <c r="AD83" s="263">
        <v>7</v>
      </c>
      <c r="AE83" s="263"/>
      <c r="AF83" s="263"/>
      <c r="AG83" s="263"/>
      <c r="AH83" s="263"/>
      <c r="AI83" s="263"/>
      <c r="AJ83" s="259"/>
      <c r="AK83" s="263">
        <f t="shared" si="53"/>
        <v>7</v>
      </c>
      <c r="AL83" s="265">
        <f t="shared" si="63"/>
        <v>8</v>
      </c>
      <c r="AM83" s="6">
        <f t="shared" si="54"/>
        <v>7</v>
      </c>
      <c r="AN83" s="255">
        <f t="shared" si="64"/>
        <v>0.94117647058823528</v>
      </c>
      <c r="AO83" s="256">
        <f t="shared" si="65"/>
        <v>0.36908881199538635</v>
      </c>
      <c r="AP83" s="257">
        <f t="shared" si="66"/>
        <v>13725.490196078432</v>
      </c>
      <c r="AQ83" s="263">
        <f t="shared" si="55"/>
        <v>7.5</v>
      </c>
      <c r="AR83" s="263">
        <f t="shared" si="56"/>
        <v>1.6</v>
      </c>
      <c r="AS83" s="263">
        <f t="shared" si="57"/>
        <v>0.70000000000000007</v>
      </c>
      <c r="AT83" s="263">
        <f t="shared" si="58"/>
        <v>9.7999999999999989</v>
      </c>
      <c r="AU83" s="263"/>
      <c r="AV83" s="263"/>
      <c r="AW83" s="263"/>
      <c r="AX83" s="263">
        <f t="shared" si="59"/>
        <v>9.7999999999999989</v>
      </c>
      <c r="BA83" s="282">
        <f t="shared" si="67"/>
        <v>188.23529411764704</v>
      </c>
      <c r="BB83">
        <v>1</v>
      </c>
      <c r="BC83">
        <f t="shared" si="60"/>
        <v>188.23529411764704</v>
      </c>
      <c r="BD83">
        <f t="shared" si="68"/>
        <v>440</v>
      </c>
      <c r="BE83">
        <f t="shared" si="69"/>
        <v>480</v>
      </c>
      <c r="BF83" s="281">
        <f t="shared" si="61"/>
        <v>0.39215686274509803</v>
      </c>
      <c r="BG83" s="282" t="s">
        <v>2481</v>
      </c>
      <c r="BH83" s="283"/>
    </row>
    <row r="84" spans="1:60" x14ac:dyDescent="0.3">
      <c r="A84">
        <f t="shared" si="70"/>
        <v>82</v>
      </c>
      <c r="B84" s="241" t="s">
        <v>2499</v>
      </c>
      <c r="C84" s="294" t="s">
        <v>2512</v>
      </c>
      <c r="D84" s="14">
        <v>45707</v>
      </c>
      <c r="E84" s="7"/>
      <c r="F84" s="7"/>
      <c r="G84" s="66"/>
      <c r="H84" s="59"/>
      <c r="I84" s="59">
        <v>450</v>
      </c>
      <c r="J84" s="47">
        <f t="shared" si="48"/>
        <v>450</v>
      </c>
      <c r="K84" s="8">
        <f t="shared" si="49"/>
        <v>450</v>
      </c>
      <c r="L84" s="96">
        <f t="shared" si="50"/>
        <v>1</v>
      </c>
      <c r="M84" s="81">
        <v>1026</v>
      </c>
      <c r="N84" s="8">
        <v>153</v>
      </c>
      <c r="O84" s="8">
        <v>60</v>
      </c>
      <c r="P84" s="96">
        <f t="shared" si="51"/>
        <v>0.89411764705882357</v>
      </c>
      <c r="Q84" s="59">
        <f t="shared" si="52"/>
        <v>1026</v>
      </c>
      <c r="R84" s="252">
        <f t="shared" si="62"/>
        <v>1063</v>
      </c>
      <c r="S84" s="263">
        <v>2</v>
      </c>
      <c r="T84" s="263">
        <v>2</v>
      </c>
      <c r="U84" s="263">
        <v>0</v>
      </c>
      <c r="V84" s="263">
        <v>0</v>
      </c>
      <c r="W84" s="263">
        <v>0</v>
      </c>
      <c r="X84" s="263">
        <v>4</v>
      </c>
      <c r="Y84" s="263">
        <v>0</v>
      </c>
      <c r="Z84" s="263">
        <v>3</v>
      </c>
      <c r="AA84" s="263">
        <v>0</v>
      </c>
      <c r="AB84" s="263">
        <v>17</v>
      </c>
      <c r="AC84" s="263">
        <v>15</v>
      </c>
      <c r="AD84" s="263">
        <v>5</v>
      </c>
      <c r="AE84" s="263"/>
      <c r="AF84" s="263"/>
      <c r="AG84" s="263"/>
      <c r="AH84" s="263"/>
      <c r="AI84" s="263"/>
      <c r="AJ84" s="259"/>
      <c r="AK84" s="263">
        <f t="shared" si="53"/>
        <v>5</v>
      </c>
      <c r="AL84" s="265">
        <f t="shared" si="63"/>
        <v>8</v>
      </c>
      <c r="AM84" s="6">
        <f t="shared" si="54"/>
        <v>5</v>
      </c>
      <c r="AN84" s="255">
        <f t="shared" si="64"/>
        <v>0.96519285042333025</v>
      </c>
      <c r="AO84" s="256">
        <f t="shared" si="65"/>
        <v>0.86299596037850712</v>
      </c>
      <c r="AP84" s="257">
        <f t="shared" si="66"/>
        <v>4703.6688617121354</v>
      </c>
      <c r="AQ84" s="263">
        <f t="shared" si="55"/>
        <v>8.5</v>
      </c>
      <c r="AR84" s="263">
        <f t="shared" si="56"/>
        <v>3</v>
      </c>
      <c r="AS84" s="263">
        <f t="shared" si="57"/>
        <v>0.5</v>
      </c>
      <c r="AT84" s="263">
        <f t="shared" si="58"/>
        <v>12</v>
      </c>
      <c r="AU84" s="263"/>
      <c r="AV84" s="263"/>
      <c r="AW84" s="263"/>
      <c r="AX84" s="263">
        <f t="shared" si="59"/>
        <v>12</v>
      </c>
      <c r="BA84" s="282">
        <f t="shared" si="67"/>
        <v>402.35294117647061</v>
      </c>
      <c r="BB84">
        <v>1</v>
      </c>
      <c r="BC84">
        <f t="shared" si="60"/>
        <v>402.35294117647061</v>
      </c>
      <c r="BD84">
        <f t="shared" si="68"/>
        <v>450</v>
      </c>
      <c r="BE84">
        <f t="shared" si="69"/>
        <v>450</v>
      </c>
      <c r="BF84" s="281">
        <f t="shared" si="61"/>
        <v>0.89411764705882357</v>
      </c>
      <c r="BG84" s="282" t="s">
        <v>2523</v>
      </c>
      <c r="BH84" s="283"/>
    </row>
    <row r="85" spans="1:60" x14ac:dyDescent="0.3">
      <c r="A85">
        <f t="shared" si="70"/>
        <v>83</v>
      </c>
      <c r="B85" s="241" t="s">
        <v>2499</v>
      </c>
      <c r="C85" s="294" t="s">
        <v>2513</v>
      </c>
      <c r="D85" s="14">
        <v>45707</v>
      </c>
      <c r="E85" s="7"/>
      <c r="F85" s="7"/>
      <c r="G85" s="66"/>
      <c r="H85" s="59"/>
      <c r="I85" s="59">
        <v>510</v>
      </c>
      <c r="J85" s="47">
        <f t="shared" si="48"/>
        <v>510</v>
      </c>
      <c r="K85" s="8">
        <f t="shared" si="49"/>
        <v>510</v>
      </c>
      <c r="L85" s="96">
        <f t="shared" si="50"/>
        <v>1</v>
      </c>
      <c r="M85" s="81">
        <v>1124</v>
      </c>
      <c r="N85" s="8">
        <v>153</v>
      </c>
      <c r="O85" s="8">
        <v>60</v>
      </c>
      <c r="P85" s="96">
        <f t="shared" si="51"/>
        <v>0.86428296808919636</v>
      </c>
      <c r="Q85" s="59">
        <f t="shared" si="52"/>
        <v>1124</v>
      </c>
      <c r="R85" s="252">
        <f t="shared" si="62"/>
        <v>1146</v>
      </c>
      <c r="S85" s="263">
        <v>5</v>
      </c>
      <c r="T85" s="263">
        <v>1</v>
      </c>
      <c r="U85" s="263">
        <v>0</v>
      </c>
      <c r="V85" s="263">
        <v>0</v>
      </c>
      <c r="W85" s="263">
        <v>0</v>
      </c>
      <c r="X85" s="263">
        <v>3</v>
      </c>
      <c r="Y85" s="263">
        <v>0</v>
      </c>
      <c r="Z85" s="263">
        <v>1</v>
      </c>
      <c r="AA85" s="263">
        <v>0</v>
      </c>
      <c r="AB85" s="263">
        <v>14</v>
      </c>
      <c r="AC85" s="263">
        <v>5</v>
      </c>
      <c r="AD85" s="263">
        <v>3</v>
      </c>
      <c r="AE85" s="263"/>
      <c r="AF85" s="263"/>
      <c r="AG85" s="263"/>
      <c r="AH85" s="263"/>
      <c r="AI85" s="263"/>
      <c r="AJ85" s="259"/>
      <c r="AK85" s="263">
        <f t="shared" si="53"/>
        <v>3</v>
      </c>
      <c r="AL85" s="265">
        <f t="shared" si="63"/>
        <v>8</v>
      </c>
      <c r="AM85" s="6">
        <f t="shared" si="54"/>
        <v>3</v>
      </c>
      <c r="AN85" s="255">
        <f t="shared" si="64"/>
        <v>0.98080279232111689</v>
      </c>
      <c r="AO85" s="256">
        <f t="shared" si="65"/>
        <v>0.84769114845746651</v>
      </c>
      <c r="AP85" s="257">
        <f t="shared" si="66"/>
        <v>2617.8010471204188</v>
      </c>
      <c r="AQ85" s="263">
        <f t="shared" si="55"/>
        <v>7</v>
      </c>
      <c r="AR85" s="263">
        <f t="shared" si="56"/>
        <v>1</v>
      </c>
      <c r="AS85" s="263">
        <f t="shared" si="57"/>
        <v>0.30000000000000004</v>
      </c>
      <c r="AT85" s="263">
        <f t="shared" si="58"/>
        <v>8.3000000000000007</v>
      </c>
      <c r="AU85" s="263"/>
      <c r="AV85" s="263"/>
      <c r="AW85" s="263"/>
      <c r="AX85" s="263">
        <f t="shared" si="59"/>
        <v>8.3000000000000007</v>
      </c>
      <c r="BA85" s="282">
        <f t="shared" si="67"/>
        <v>440.78431372549016</v>
      </c>
      <c r="BB85">
        <v>1</v>
      </c>
      <c r="BC85">
        <f t="shared" si="60"/>
        <v>440.78431372549016</v>
      </c>
      <c r="BD85">
        <f t="shared" si="68"/>
        <v>510</v>
      </c>
      <c r="BE85">
        <f t="shared" si="69"/>
        <v>510</v>
      </c>
      <c r="BF85" s="281">
        <f t="shared" si="61"/>
        <v>0.86428296808919636</v>
      </c>
      <c r="BG85" s="282" t="s">
        <v>2498</v>
      </c>
      <c r="BH85" s="283"/>
    </row>
    <row r="86" spans="1:60" x14ac:dyDescent="0.3">
      <c r="A86">
        <f t="shared" si="70"/>
        <v>84</v>
      </c>
      <c r="B86" s="241" t="s">
        <v>2499</v>
      </c>
      <c r="C86" s="294" t="s">
        <v>2511</v>
      </c>
      <c r="D86" s="14">
        <v>45708</v>
      </c>
      <c r="E86" s="7">
        <v>15</v>
      </c>
      <c r="F86" s="7"/>
      <c r="G86" s="66"/>
      <c r="H86" s="59"/>
      <c r="I86" s="59">
        <v>480</v>
      </c>
      <c r="J86" s="47">
        <f t="shared" si="48"/>
        <v>480</v>
      </c>
      <c r="K86" s="8">
        <f t="shared" si="49"/>
        <v>465</v>
      </c>
      <c r="L86" s="96">
        <f t="shared" si="50"/>
        <v>0.96875</v>
      </c>
      <c r="M86" s="81">
        <v>935</v>
      </c>
      <c r="N86" s="8">
        <v>153</v>
      </c>
      <c r="O86" s="8">
        <v>60</v>
      </c>
      <c r="P86" s="96">
        <f t="shared" si="51"/>
        <v>0.78853046594982068</v>
      </c>
      <c r="Q86" s="59">
        <f t="shared" si="52"/>
        <v>935</v>
      </c>
      <c r="R86" s="252">
        <f t="shared" si="62"/>
        <v>963</v>
      </c>
      <c r="S86" s="263">
        <v>2</v>
      </c>
      <c r="T86" s="263">
        <v>4</v>
      </c>
      <c r="U86" s="263">
        <v>0</v>
      </c>
      <c r="V86" s="263">
        <v>0</v>
      </c>
      <c r="W86" s="263">
        <v>0</v>
      </c>
      <c r="X86" s="263">
        <v>0</v>
      </c>
      <c r="Y86" s="263">
        <v>0</v>
      </c>
      <c r="Z86" s="263">
        <v>0</v>
      </c>
      <c r="AA86" s="263">
        <v>3</v>
      </c>
      <c r="AB86" s="263">
        <v>22</v>
      </c>
      <c r="AC86" s="263">
        <v>0</v>
      </c>
      <c r="AD86" s="263">
        <v>6</v>
      </c>
      <c r="AE86" s="263"/>
      <c r="AF86" s="263"/>
      <c r="AG86" s="263"/>
      <c r="AH86" s="263"/>
      <c r="AI86" s="263"/>
      <c r="AJ86" s="259"/>
      <c r="AK86" s="263">
        <f t="shared" si="53"/>
        <v>6</v>
      </c>
      <c r="AL86" s="265">
        <f t="shared" si="63"/>
        <v>8</v>
      </c>
      <c r="AM86" s="6">
        <f t="shared" si="54"/>
        <v>6</v>
      </c>
      <c r="AN86" s="255">
        <f t="shared" si="64"/>
        <v>0.97092419522326068</v>
      </c>
      <c r="AO86" s="256">
        <f t="shared" si="65"/>
        <v>0.74167820468443513</v>
      </c>
      <c r="AP86" s="257">
        <f t="shared" si="66"/>
        <v>6230.529595015576</v>
      </c>
      <c r="AQ86" s="263">
        <f t="shared" si="55"/>
        <v>11</v>
      </c>
      <c r="AR86" s="263">
        <f t="shared" si="56"/>
        <v>0</v>
      </c>
      <c r="AS86" s="263">
        <f t="shared" si="57"/>
        <v>0.60000000000000009</v>
      </c>
      <c r="AT86" s="263">
        <f t="shared" si="58"/>
        <v>11.6</v>
      </c>
      <c r="AU86" s="263"/>
      <c r="AV86" s="263"/>
      <c r="AW86" s="263"/>
      <c r="AX86" s="263">
        <f t="shared" si="59"/>
        <v>11.6</v>
      </c>
      <c r="BA86" s="282">
        <f t="shared" si="67"/>
        <v>366.66666666666663</v>
      </c>
      <c r="BB86">
        <v>1</v>
      </c>
      <c r="BC86">
        <f t="shared" si="60"/>
        <v>366.66666666666663</v>
      </c>
      <c r="BD86">
        <f t="shared" si="68"/>
        <v>465</v>
      </c>
      <c r="BE86">
        <f t="shared" si="69"/>
        <v>480</v>
      </c>
      <c r="BF86" s="281">
        <f t="shared" si="61"/>
        <v>0.76388888888888884</v>
      </c>
      <c r="BG86" s="282" t="s">
        <v>2481</v>
      </c>
      <c r="BH86" s="283"/>
    </row>
    <row r="87" spans="1:60" x14ac:dyDescent="0.3">
      <c r="A87">
        <f t="shared" si="70"/>
        <v>85</v>
      </c>
      <c r="B87" s="241" t="s">
        <v>2499</v>
      </c>
      <c r="C87" s="294" t="s">
        <v>2512</v>
      </c>
      <c r="D87" s="14">
        <v>45708</v>
      </c>
      <c r="E87" s="7"/>
      <c r="F87" s="7"/>
      <c r="G87" s="66"/>
      <c r="H87" s="59"/>
      <c r="I87" s="59">
        <v>450</v>
      </c>
      <c r="J87" s="47">
        <f t="shared" si="48"/>
        <v>450</v>
      </c>
      <c r="K87" s="8">
        <f t="shared" si="49"/>
        <v>450</v>
      </c>
      <c r="L87" s="96">
        <f t="shared" si="50"/>
        <v>1</v>
      </c>
      <c r="M87" s="81">
        <v>957</v>
      </c>
      <c r="N87" s="8">
        <v>153</v>
      </c>
      <c r="O87" s="8">
        <v>60</v>
      </c>
      <c r="P87" s="96">
        <f t="shared" si="51"/>
        <v>0.8339869281045752</v>
      </c>
      <c r="Q87" s="59">
        <f t="shared" si="52"/>
        <v>957</v>
      </c>
      <c r="R87" s="252">
        <f t="shared" si="62"/>
        <v>988</v>
      </c>
      <c r="S87" s="263">
        <v>6</v>
      </c>
      <c r="T87" s="263">
        <v>1</v>
      </c>
      <c r="U87" s="263">
        <v>0</v>
      </c>
      <c r="V87" s="263">
        <v>0</v>
      </c>
      <c r="W87" s="263">
        <v>0</v>
      </c>
      <c r="X87" s="263">
        <v>8</v>
      </c>
      <c r="Y87" s="263">
        <v>1</v>
      </c>
      <c r="Z87" s="263">
        <v>0</v>
      </c>
      <c r="AA87" s="263">
        <v>0</v>
      </c>
      <c r="AB87" s="263">
        <v>23</v>
      </c>
      <c r="AC87" s="263">
        <v>1</v>
      </c>
      <c r="AD87" s="263">
        <v>7</v>
      </c>
      <c r="AE87" s="263"/>
      <c r="AF87" s="263"/>
      <c r="AG87" s="263"/>
      <c r="AH87" s="263"/>
      <c r="AI87" s="263"/>
      <c r="AJ87" s="259"/>
      <c r="AK87" s="263">
        <f t="shared" si="53"/>
        <v>7</v>
      </c>
      <c r="AL87" s="265">
        <f t="shared" si="63"/>
        <v>8</v>
      </c>
      <c r="AM87" s="6">
        <f t="shared" si="54"/>
        <v>7</v>
      </c>
      <c r="AN87" s="255">
        <f t="shared" si="64"/>
        <v>0.96862348178137647</v>
      </c>
      <c r="AO87" s="256">
        <f t="shared" si="65"/>
        <v>0.80781932206080809</v>
      </c>
      <c r="AP87" s="257">
        <f t="shared" si="66"/>
        <v>7085.0202429149795</v>
      </c>
      <c r="AQ87" s="263">
        <f t="shared" si="55"/>
        <v>11.5</v>
      </c>
      <c r="AR87" s="263">
        <f t="shared" si="56"/>
        <v>0.2</v>
      </c>
      <c r="AS87" s="263">
        <f t="shared" si="57"/>
        <v>0.70000000000000007</v>
      </c>
      <c r="AT87" s="263">
        <f t="shared" si="58"/>
        <v>12.399999999999999</v>
      </c>
      <c r="AU87" s="263"/>
      <c r="AV87" s="263"/>
      <c r="AW87" s="263"/>
      <c r="AX87" s="263">
        <f t="shared" si="59"/>
        <v>12.399999999999999</v>
      </c>
      <c r="BA87" s="282">
        <f t="shared" si="67"/>
        <v>375.29411764705884</v>
      </c>
      <c r="BB87">
        <v>1</v>
      </c>
      <c r="BC87">
        <f t="shared" si="60"/>
        <v>375.29411764705884</v>
      </c>
      <c r="BD87">
        <f t="shared" si="68"/>
        <v>450</v>
      </c>
      <c r="BE87">
        <f t="shared" si="69"/>
        <v>450</v>
      </c>
      <c r="BF87" s="281">
        <f t="shared" si="61"/>
        <v>0.8339869281045752</v>
      </c>
      <c r="BG87" s="282" t="s">
        <v>2526</v>
      </c>
      <c r="BH87" s="283" t="s">
        <v>2517</v>
      </c>
    </row>
    <row r="88" spans="1:60" x14ac:dyDescent="0.3">
      <c r="A88">
        <f t="shared" si="70"/>
        <v>86</v>
      </c>
      <c r="B88" s="241" t="s">
        <v>2499</v>
      </c>
      <c r="C88" s="294" t="s">
        <v>2513</v>
      </c>
      <c r="D88" s="14">
        <v>45708</v>
      </c>
      <c r="E88" s="7"/>
      <c r="F88" s="7"/>
      <c r="G88" s="66"/>
      <c r="H88" s="59"/>
      <c r="I88" s="59">
        <v>510</v>
      </c>
      <c r="J88" s="47">
        <f t="shared" si="48"/>
        <v>510</v>
      </c>
      <c r="K88" s="8">
        <f t="shared" si="49"/>
        <v>510</v>
      </c>
      <c r="L88" s="96">
        <f t="shared" si="50"/>
        <v>1</v>
      </c>
      <c r="M88" s="81">
        <v>1311</v>
      </c>
      <c r="N88" s="8">
        <v>153</v>
      </c>
      <c r="O88" s="8">
        <v>60</v>
      </c>
      <c r="P88" s="96">
        <f t="shared" si="51"/>
        <v>1.0080738177623991</v>
      </c>
      <c r="Q88" s="59">
        <f t="shared" si="52"/>
        <v>1311</v>
      </c>
      <c r="R88" s="252">
        <f t="shared" si="62"/>
        <v>1335</v>
      </c>
      <c r="S88" s="263">
        <v>5</v>
      </c>
      <c r="T88" s="263">
        <v>1</v>
      </c>
      <c r="U88" s="263">
        <v>0</v>
      </c>
      <c r="V88" s="263">
        <v>0</v>
      </c>
      <c r="W88" s="263">
        <v>0</v>
      </c>
      <c r="X88" s="263">
        <v>1</v>
      </c>
      <c r="Y88" s="263">
        <v>0</v>
      </c>
      <c r="Z88" s="263">
        <v>0</v>
      </c>
      <c r="AA88" s="263">
        <v>2</v>
      </c>
      <c r="AB88" s="263">
        <v>19</v>
      </c>
      <c r="AC88" s="263">
        <v>1</v>
      </c>
      <c r="AD88" s="263">
        <v>4</v>
      </c>
      <c r="AE88" s="263"/>
      <c r="AF88" s="263"/>
      <c r="AG88" s="263"/>
      <c r="AH88" s="263"/>
      <c r="AI88" s="263"/>
      <c r="AJ88" s="259"/>
      <c r="AK88" s="263">
        <f t="shared" si="53"/>
        <v>4</v>
      </c>
      <c r="AL88" s="265">
        <f t="shared" si="63"/>
        <v>8</v>
      </c>
      <c r="AM88" s="6">
        <f t="shared" si="54"/>
        <v>4</v>
      </c>
      <c r="AN88" s="255">
        <f t="shared" si="64"/>
        <v>0.98202247191011238</v>
      </c>
      <c r="AO88" s="256">
        <f t="shared" si="65"/>
        <v>0.9899511423868953</v>
      </c>
      <c r="AP88" s="257">
        <f t="shared" si="66"/>
        <v>2996.2546816479403</v>
      </c>
      <c r="AQ88" s="263">
        <f t="shared" si="55"/>
        <v>9.5</v>
      </c>
      <c r="AR88" s="263">
        <f t="shared" si="56"/>
        <v>0.2</v>
      </c>
      <c r="AS88" s="263">
        <f t="shared" si="57"/>
        <v>0.4</v>
      </c>
      <c r="AT88" s="263">
        <f t="shared" si="58"/>
        <v>10.1</v>
      </c>
      <c r="AU88" s="263"/>
      <c r="AV88" s="263"/>
      <c r="AW88" s="263"/>
      <c r="AX88" s="263">
        <f t="shared" si="59"/>
        <v>10.1</v>
      </c>
      <c r="BA88" s="282">
        <f t="shared" si="67"/>
        <v>514.11764705882354</v>
      </c>
      <c r="BB88">
        <v>1</v>
      </c>
      <c r="BC88">
        <f t="shared" si="60"/>
        <v>514.11764705882354</v>
      </c>
      <c r="BD88">
        <f t="shared" si="68"/>
        <v>510</v>
      </c>
      <c r="BE88">
        <f t="shared" si="69"/>
        <v>510</v>
      </c>
      <c r="BF88" s="281">
        <f t="shared" si="61"/>
        <v>1.0080738177623991</v>
      </c>
      <c r="BG88" s="282" t="s">
        <v>2498</v>
      </c>
      <c r="BH88" s="283"/>
    </row>
    <row r="89" spans="1:60" x14ac:dyDescent="0.3">
      <c r="A89">
        <f t="shared" si="70"/>
        <v>87</v>
      </c>
      <c r="B89" s="241" t="s">
        <v>2499</v>
      </c>
      <c r="C89" s="294" t="s">
        <v>2511</v>
      </c>
      <c r="D89" s="14">
        <v>45709</v>
      </c>
      <c r="E89" s="7">
        <v>15</v>
      </c>
      <c r="F89" s="7"/>
      <c r="G89" s="66"/>
      <c r="H89" s="59"/>
      <c r="I89" s="59">
        <v>480</v>
      </c>
      <c r="J89" s="47">
        <f t="shared" si="48"/>
        <v>480</v>
      </c>
      <c r="K89" s="8">
        <f t="shared" si="49"/>
        <v>465</v>
      </c>
      <c r="L89" s="96">
        <f t="shared" si="50"/>
        <v>0.96875</v>
      </c>
      <c r="M89" s="81">
        <v>1113</v>
      </c>
      <c r="N89" s="8">
        <v>153</v>
      </c>
      <c r="O89" s="8">
        <v>60</v>
      </c>
      <c r="P89" s="96">
        <f t="shared" si="51"/>
        <v>0.93864642631246042</v>
      </c>
      <c r="Q89" s="59">
        <f t="shared" si="52"/>
        <v>1113</v>
      </c>
      <c r="R89" s="252">
        <f t="shared" si="62"/>
        <v>1143</v>
      </c>
      <c r="S89" s="263">
        <v>2</v>
      </c>
      <c r="T89" s="263">
        <v>2</v>
      </c>
      <c r="U89" s="263">
        <v>0</v>
      </c>
      <c r="V89" s="263">
        <v>0</v>
      </c>
      <c r="W89" s="263">
        <v>0</v>
      </c>
      <c r="X89" s="263">
        <v>3</v>
      </c>
      <c r="Y89" s="263">
        <v>0</v>
      </c>
      <c r="Z89" s="263">
        <v>0</v>
      </c>
      <c r="AA89" s="263">
        <v>0</v>
      </c>
      <c r="AB89" s="263">
        <v>26</v>
      </c>
      <c r="AC89" s="263">
        <v>0</v>
      </c>
      <c r="AD89" s="263">
        <v>4</v>
      </c>
      <c r="AE89" s="263"/>
      <c r="AF89" s="263"/>
      <c r="AG89" s="263"/>
      <c r="AH89" s="263"/>
      <c r="AI89" s="263"/>
      <c r="AJ89" s="259"/>
      <c r="AK89" s="263">
        <f t="shared" si="53"/>
        <v>4</v>
      </c>
      <c r="AL89" s="265">
        <f t="shared" si="63"/>
        <v>8</v>
      </c>
      <c r="AM89" s="6">
        <f t="shared" si="54"/>
        <v>4</v>
      </c>
      <c r="AN89" s="255">
        <f t="shared" si="64"/>
        <v>0.97375328083989499</v>
      </c>
      <c r="AO89" s="256">
        <f t="shared" si="65"/>
        <v>0.8854472235088261</v>
      </c>
      <c r="AP89" s="257">
        <f t="shared" si="66"/>
        <v>3499.562554680665</v>
      </c>
      <c r="AQ89" s="263">
        <f t="shared" si="55"/>
        <v>13</v>
      </c>
      <c r="AR89" s="263">
        <f t="shared" si="56"/>
        <v>0</v>
      </c>
      <c r="AS89" s="263">
        <f t="shared" si="57"/>
        <v>0.4</v>
      </c>
      <c r="AT89" s="263">
        <f t="shared" si="58"/>
        <v>13.4</v>
      </c>
      <c r="AU89" s="263"/>
      <c r="AV89" s="263"/>
      <c r="AW89" s="263"/>
      <c r="AX89" s="263">
        <f t="shared" si="59"/>
        <v>13.4</v>
      </c>
      <c r="BA89" s="282">
        <f t="shared" si="67"/>
        <v>436.47058823529409</v>
      </c>
      <c r="BB89">
        <v>1</v>
      </c>
      <c r="BC89">
        <f t="shared" si="60"/>
        <v>436.47058823529409</v>
      </c>
      <c r="BD89">
        <f t="shared" si="68"/>
        <v>465</v>
      </c>
      <c r="BE89">
        <f t="shared" si="69"/>
        <v>480</v>
      </c>
      <c r="BF89" s="281">
        <f t="shared" si="61"/>
        <v>0.90931372549019607</v>
      </c>
      <c r="BG89" s="282" t="s">
        <v>2481</v>
      </c>
      <c r="BH89" s="283"/>
    </row>
    <row r="90" spans="1:60" x14ac:dyDescent="0.3">
      <c r="A90">
        <f t="shared" si="70"/>
        <v>88</v>
      </c>
      <c r="B90" s="241" t="s">
        <v>2499</v>
      </c>
      <c r="C90" s="294" t="s">
        <v>2512</v>
      </c>
      <c r="D90" s="14">
        <v>45709</v>
      </c>
      <c r="E90" s="7"/>
      <c r="F90" s="7"/>
      <c r="G90" s="66"/>
      <c r="H90" s="59"/>
      <c r="I90" s="59">
        <v>450</v>
      </c>
      <c r="J90" s="47">
        <f t="shared" si="48"/>
        <v>450</v>
      </c>
      <c r="K90" s="8">
        <f t="shared" si="49"/>
        <v>450</v>
      </c>
      <c r="L90" s="96">
        <f t="shared" si="50"/>
        <v>1</v>
      </c>
      <c r="M90" s="81">
        <v>876</v>
      </c>
      <c r="N90" s="8">
        <v>153</v>
      </c>
      <c r="O90" s="8">
        <v>60</v>
      </c>
      <c r="P90" s="96">
        <f t="shared" si="51"/>
        <v>0.76339869281045758</v>
      </c>
      <c r="Q90" s="59">
        <f t="shared" si="52"/>
        <v>876</v>
      </c>
      <c r="R90" s="252">
        <f t="shared" si="62"/>
        <v>890</v>
      </c>
      <c r="S90" s="263">
        <v>2</v>
      </c>
      <c r="T90" s="263">
        <v>2</v>
      </c>
      <c r="U90" s="263">
        <v>1</v>
      </c>
      <c r="V90" s="263">
        <v>0</v>
      </c>
      <c r="W90" s="263">
        <v>0</v>
      </c>
      <c r="X90" s="263">
        <v>3</v>
      </c>
      <c r="Y90" s="263">
        <v>0</v>
      </c>
      <c r="Z90" s="263">
        <v>0</v>
      </c>
      <c r="AA90" s="263">
        <v>0</v>
      </c>
      <c r="AB90" s="263">
        <v>12</v>
      </c>
      <c r="AC90" s="263">
        <v>0</v>
      </c>
      <c r="AD90" s="263">
        <v>2</v>
      </c>
      <c r="AE90" s="263"/>
      <c r="AF90" s="263"/>
      <c r="AG90" s="263"/>
      <c r="AH90" s="263"/>
      <c r="AI90" s="263"/>
      <c r="AJ90" s="259"/>
      <c r="AK90" s="263">
        <f t="shared" si="53"/>
        <v>2</v>
      </c>
      <c r="AL90" s="265">
        <f t="shared" si="63"/>
        <v>8</v>
      </c>
      <c r="AM90" s="6">
        <f t="shared" si="54"/>
        <v>2</v>
      </c>
      <c r="AN90" s="255">
        <f t="shared" si="64"/>
        <v>0.98426966292134832</v>
      </c>
      <c r="AO90" s="256">
        <f t="shared" si="65"/>
        <v>0.75139017404714703</v>
      </c>
      <c r="AP90" s="257">
        <f t="shared" si="66"/>
        <v>2247.1910112359551</v>
      </c>
      <c r="AQ90" s="263">
        <f t="shared" si="55"/>
        <v>6</v>
      </c>
      <c r="AR90" s="263">
        <f t="shared" si="56"/>
        <v>0</v>
      </c>
      <c r="AS90" s="263">
        <f t="shared" si="57"/>
        <v>0.2</v>
      </c>
      <c r="AT90" s="263">
        <f t="shared" si="58"/>
        <v>6.2</v>
      </c>
      <c r="AU90" s="263"/>
      <c r="AV90" s="263"/>
      <c r="AW90" s="263"/>
      <c r="AX90" s="263">
        <f t="shared" si="59"/>
        <v>6.2</v>
      </c>
      <c r="BA90" s="282">
        <f t="shared" si="67"/>
        <v>343.52941176470591</v>
      </c>
      <c r="BB90">
        <v>1</v>
      </c>
      <c r="BC90">
        <f t="shared" si="60"/>
        <v>343.52941176470591</v>
      </c>
      <c r="BD90">
        <f t="shared" si="68"/>
        <v>450</v>
      </c>
      <c r="BE90">
        <f t="shared" si="69"/>
        <v>450</v>
      </c>
      <c r="BF90" s="281">
        <f t="shared" si="61"/>
        <v>0.76339869281045758</v>
      </c>
      <c r="BG90" s="282" t="s">
        <v>2526</v>
      </c>
      <c r="BH90" s="283" t="s">
        <v>2517</v>
      </c>
    </row>
    <row r="91" spans="1:60" x14ac:dyDescent="0.3">
      <c r="A91">
        <f t="shared" si="70"/>
        <v>89</v>
      </c>
      <c r="B91" s="241" t="s">
        <v>2499</v>
      </c>
      <c r="C91" s="294" t="s">
        <v>2513</v>
      </c>
      <c r="D91" s="14">
        <v>45709</v>
      </c>
      <c r="E91" s="7"/>
      <c r="F91" s="7"/>
      <c r="G91" s="66"/>
      <c r="H91" s="59"/>
      <c r="I91" s="59">
        <v>510</v>
      </c>
      <c r="J91" s="47">
        <f t="shared" si="48"/>
        <v>510</v>
      </c>
      <c r="K91" s="8">
        <f t="shared" si="49"/>
        <v>510</v>
      </c>
      <c r="L91" s="96">
        <f t="shared" si="50"/>
        <v>1</v>
      </c>
      <c r="M91" s="81">
        <v>1202</v>
      </c>
      <c r="N91" s="8">
        <v>153</v>
      </c>
      <c r="O91" s="8">
        <v>60</v>
      </c>
      <c r="P91" s="96">
        <f t="shared" si="51"/>
        <v>0.92425990003844671</v>
      </c>
      <c r="Q91" s="59">
        <f t="shared" si="52"/>
        <v>1202</v>
      </c>
      <c r="R91" s="252">
        <f t="shared" si="62"/>
        <v>1231</v>
      </c>
      <c r="S91" s="263">
        <v>16</v>
      </c>
      <c r="T91" s="263">
        <v>0</v>
      </c>
      <c r="U91" s="263">
        <v>4</v>
      </c>
      <c r="V91" s="263">
        <v>13</v>
      </c>
      <c r="W91" s="263">
        <v>0</v>
      </c>
      <c r="X91" s="263">
        <v>0</v>
      </c>
      <c r="Y91" s="263">
        <v>0</v>
      </c>
      <c r="Z91" s="263">
        <v>0</v>
      </c>
      <c r="AA91" s="263">
        <v>2</v>
      </c>
      <c r="AB91" s="263">
        <v>28</v>
      </c>
      <c r="AC91" s="263">
        <v>0</v>
      </c>
      <c r="AD91" s="263">
        <v>1</v>
      </c>
      <c r="AE91" s="263"/>
      <c r="AF91" s="263"/>
      <c r="AG91" s="263"/>
      <c r="AH91" s="263"/>
      <c r="AI91" s="263"/>
      <c r="AJ91" s="259"/>
      <c r="AK91" s="263">
        <f t="shared" si="53"/>
        <v>1</v>
      </c>
      <c r="AL91" s="265">
        <f t="shared" si="63"/>
        <v>8</v>
      </c>
      <c r="AM91" s="6">
        <f t="shared" si="54"/>
        <v>1</v>
      </c>
      <c r="AN91" s="255">
        <f t="shared" si="64"/>
        <v>0.97644191714053619</v>
      </c>
      <c r="AO91" s="256">
        <f t="shared" si="65"/>
        <v>0.90248610872966128</v>
      </c>
      <c r="AP91" s="257">
        <f t="shared" si="66"/>
        <v>812.34768480909827</v>
      </c>
      <c r="AQ91" s="263">
        <f t="shared" si="55"/>
        <v>14</v>
      </c>
      <c r="AR91" s="263">
        <f t="shared" si="56"/>
        <v>0</v>
      </c>
      <c r="AS91" s="263">
        <f t="shared" si="57"/>
        <v>0.1</v>
      </c>
      <c r="AT91" s="263">
        <f t="shared" si="58"/>
        <v>14.1</v>
      </c>
      <c r="AU91" s="263"/>
      <c r="AV91" s="263"/>
      <c r="AW91" s="263"/>
      <c r="AX91" s="263">
        <f t="shared" si="59"/>
        <v>14.1</v>
      </c>
      <c r="BA91" s="282">
        <f t="shared" si="67"/>
        <v>471.37254901960785</v>
      </c>
      <c r="BB91">
        <v>1</v>
      </c>
      <c r="BC91">
        <f t="shared" si="60"/>
        <v>471.37254901960785</v>
      </c>
      <c r="BD91">
        <f t="shared" si="68"/>
        <v>510</v>
      </c>
      <c r="BE91">
        <f t="shared" si="69"/>
        <v>510</v>
      </c>
      <c r="BF91" s="281">
        <f t="shared" si="61"/>
        <v>0.92425990003844671</v>
      </c>
      <c r="BG91" s="282" t="s">
        <v>2498</v>
      </c>
      <c r="BH91" s="283"/>
    </row>
    <row r="92" spans="1:60" x14ac:dyDescent="0.3">
      <c r="A92">
        <f t="shared" si="70"/>
        <v>90</v>
      </c>
      <c r="B92" s="241" t="s">
        <v>2499</v>
      </c>
      <c r="C92" s="294" t="s">
        <v>2511</v>
      </c>
      <c r="D92" s="14">
        <v>45710</v>
      </c>
      <c r="E92" s="7"/>
      <c r="F92" s="7"/>
      <c r="G92" s="66"/>
      <c r="H92" s="59"/>
      <c r="I92" s="59">
        <v>480</v>
      </c>
      <c r="J92" s="47">
        <f t="shared" si="48"/>
        <v>480</v>
      </c>
      <c r="K92" s="8">
        <f t="shared" si="49"/>
        <v>480</v>
      </c>
      <c r="L92" s="96">
        <f t="shared" si="50"/>
        <v>1</v>
      </c>
      <c r="M92" s="81">
        <v>1173</v>
      </c>
      <c r="N92" s="8">
        <v>153</v>
      </c>
      <c r="O92" s="8">
        <v>60</v>
      </c>
      <c r="P92" s="96">
        <f t="shared" si="51"/>
        <v>0.95833333333333337</v>
      </c>
      <c r="Q92" s="59">
        <f t="shared" si="52"/>
        <v>1173</v>
      </c>
      <c r="R92" s="252">
        <f t="shared" si="62"/>
        <v>1201</v>
      </c>
      <c r="S92" s="263">
        <v>14</v>
      </c>
      <c r="T92" s="263">
        <v>0</v>
      </c>
      <c r="U92" s="263">
        <v>0</v>
      </c>
      <c r="V92" s="263">
        <v>27</v>
      </c>
      <c r="W92" s="263">
        <v>0</v>
      </c>
      <c r="X92" s="263">
        <v>0</v>
      </c>
      <c r="Y92" s="263">
        <v>0</v>
      </c>
      <c r="Z92" s="263">
        <v>1</v>
      </c>
      <c r="AA92" s="263">
        <v>0</v>
      </c>
      <c r="AB92" s="263">
        <v>23</v>
      </c>
      <c r="AC92" s="263">
        <v>0</v>
      </c>
      <c r="AD92" s="263">
        <v>5</v>
      </c>
      <c r="AE92" s="263"/>
      <c r="AF92" s="263"/>
      <c r="AG92" s="263"/>
      <c r="AH92" s="263"/>
      <c r="AI92" s="263"/>
      <c r="AJ92" s="259"/>
      <c r="AK92" s="263">
        <f t="shared" si="53"/>
        <v>5</v>
      </c>
      <c r="AL92" s="265">
        <f t="shared" si="63"/>
        <v>8</v>
      </c>
      <c r="AM92" s="6">
        <f t="shared" si="54"/>
        <v>5</v>
      </c>
      <c r="AN92" s="255">
        <f t="shared" si="64"/>
        <v>0.97668609492089931</v>
      </c>
      <c r="AO92" s="256">
        <f t="shared" si="65"/>
        <v>0.93599084096586183</v>
      </c>
      <c r="AP92" s="257">
        <f t="shared" si="66"/>
        <v>4163.1973355537048</v>
      </c>
      <c r="AQ92" s="263">
        <f t="shared" si="55"/>
        <v>11.5</v>
      </c>
      <c r="AR92" s="263">
        <f t="shared" si="56"/>
        <v>0</v>
      </c>
      <c r="AS92" s="263">
        <f t="shared" si="57"/>
        <v>0.5</v>
      </c>
      <c r="AT92" s="263">
        <f t="shared" si="58"/>
        <v>12</v>
      </c>
      <c r="AU92" s="263"/>
      <c r="AV92" s="263"/>
      <c r="AW92" s="263"/>
      <c r="AX92" s="263">
        <f t="shared" si="59"/>
        <v>12</v>
      </c>
      <c r="BA92" s="282">
        <f t="shared" si="67"/>
        <v>460</v>
      </c>
      <c r="BB92">
        <v>1</v>
      </c>
      <c r="BC92">
        <f t="shared" si="60"/>
        <v>460</v>
      </c>
      <c r="BD92">
        <f t="shared" si="68"/>
        <v>480</v>
      </c>
      <c r="BE92">
        <f t="shared" si="69"/>
        <v>480</v>
      </c>
      <c r="BF92" s="281">
        <f t="shared" si="61"/>
        <v>0.95833333333333337</v>
      </c>
      <c r="BG92" s="282" t="s">
        <v>2497</v>
      </c>
      <c r="BH92" s="283"/>
    </row>
    <row r="93" spans="1:60" x14ac:dyDescent="0.3">
      <c r="A93">
        <f t="shared" si="70"/>
        <v>91</v>
      </c>
      <c r="B93" s="241" t="s">
        <v>2499</v>
      </c>
      <c r="C93" s="294" t="s">
        <v>2512</v>
      </c>
      <c r="D93" s="14">
        <v>45710</v>
      </c>
      <c r="E93" s="7"/>
      <c r="F93" s="7"/>
      <c r="G93" s="66"/>
      <c r="H93" s="59"/>
      <c r="I93" s="59">
        <v>19</v>
      </c>
      <c r="J93" s="47">
        <f t="shared" si="48"/>
        <v>19</v>
      </c>
      <c r="K93" s="8">
        <f t="shared" si="49"/>
        <v>19</v>
      </c>
      <c r="L93" s="96">
        <f t="shared" si="50"/>
        <v>1</v>
      </c>
      <c r="M93" s="81">
        <v>33</v>
      </c>
      <c r="N93" s="8">
        <v>153</v>
      </c>
      <c r="O93" s="8">
        <v>60</v>
      </c>
      <c r="P93" s="96">
        <f t="shared" si="51"/>
        <v>0.68111455108359131</v>
      </c>
      <c r="Q93" s="59">
        <f t="shared" si="52"/>
        <v>33</v>
      </c>
      <c r="R93" s="252">
        <f t="shared" si="62"/>
        <v>33</v>
      </c>
      <c r="S93" s="263">
        <v>0</v>
      </c>
      <c r="T93" s="263">
        <v>0</v>
      </c>
      <c r="U93" s="263">
        <v>1</v>
      </c>
      <c r="V93" s="263">
        <v>0</v>
      </c>
      <c r="W93" s="263">
        <v>0</v>
      </c>
      <c r="X93" s="263">
        <v>0</v>
      </c>
      <c r="Y93" s="263">
        <v>0</v>
      </c>
      <c r="Z93" s="263">
        <v>0</v>
      </c>
      <c r="AA93" s="263">
        <v>0</v>
      </c>
      <c r="AB93" s="263">
        <v>0</v>
      </c>
      <c r="AC93" s="263">
        <v>0</v>
      </c>
      <c r="AD93" s="263">
        <v>0</v>
      </c>
      <c r="AE93" s="263"/>
      <c r="AF93" s="263"/>
      <c r="AG93" s="263"/>
      <c r="AH93" s="263"/>
      <c r="AI93" s="263"/>
      <c r="AJ93" s="259"/>
      <c r="AK93" s="263">
        <f t="shared" si="53"/>
        <v>0</v>
      </c>
      <c r="AL93" s="265">
        <f t="shared" si="63"/>
        <v>8</v>
      </c>
      <c r="AM93" s="6">
        <f t="shared" si="54"/>
        <v>0</v>
      </c>
      <c r="AN93" s="255">
        <f t="shared" si="64"/>
        <v>1</v>
      </c>
      <c r="AO93" s="256">
        <f t="shared" si="65"/>
        <v>0.68111455108359131</v>
      </c>
      <c r="AP93" s="257">
        <f t="shared" si="66"/>
        <v>0</v>
      </c>
      <c r="AQ93" s="263">
        <f t="shared" si="55"/>
        <v>0</v>
      </c>
      <c r="AR93" s="263">
        <f t="shared" si="56"/>
        <v>0</v>
      </c>
      <c r="AS93" s="263">
        <f t="shared" si="57"/>
        <v>0</v>
      </c>
      <c r="AT93" s="263">
        <f t="shared" si="58"/>
        <v>0</v>
      </c>
      <c r="AU93" s="263"/>
      <c r="AV93" s="263"/>
      <c r="AW93" s="263"/>
      <c r="AX93" s="263">
        <f t="shared" si="59"/>
        <v>0</v>
      </c>
      <c r="BA93" s="282">
        <f t="shared" si="67"/>
        <v>12.941176470588236</v>
      </c>
      <c r="BB93">
        <v>1</v>
      </c>
      <c r="BC93">
        <f t="shared" si="60"/>
        <v>12.941176470588236</v>
      </c>
      <c r="BD93">
        <f t="shared" si="68"/>
        <v>19</v>
      </c>
      <c r="BE93">
        <f t="shared" si="69"/>
        <v>19</v>
      </c>
      <c r="BF93" s="281">
        <f t="shared" si="61"/>
        <v>0.68111455108359131</v>
      </c>
      <c r="BG93" s="282" t="s">
        <v>2516</v>
      </c>
      <c r="BH93" s="283"/>
    </row>
    <row r="94" spans="1:60" x14ac:dyDescent="0.3">
      <c r="A94">
        <f t="shared" si="70"/>
        <v>92</v>
      </c>
      <c r="B94" s="295" t="s">
        <v>2527</v>
      </c>
      <c r="C94" s="294" t="s">
        <v>2512</v>
      </c>
      <c r="D94" s="14">
        <v>45710</v>
      </c>
      <c r="E94" s="7">
        <v>60</v>
      </c>
      <c r="F94" s="7"/>
      <c r="G94" s="66"/>
      <c r="H94" s="59"/>
      <c r="I94" s="59">
        <f>450-19</f>
        <v>431</v>
      </c>
      <c r="J94" s="47">
        <f t="shared" si="48"/>
        <v>431</v>
      </c>
      <c r="K94" s="8">
        <f t="shared" si="49"/>
        <v>371</v>
      </c>
      <c r="L94" s="96">
        <f t="shared" si="50"/>
        <v>0.86078886310904867</v>
      </c>
      <c r="M94" s="321">
        <f>517+84+19</f>
        <v>620</v>
      </c>
      <c r="N94" s="8">
        <v>153</v>
      </c>
      <c r="O94" s="8">
        <v>60</v>
      </c>
      <c r="P94" s="96">
        <f t="shared" si="51"/>
        <v>0.65535648221552767</v>
      </c>
      <c r="Q94" s="59">
        <f t="shared" si="52"/>
        <v>620</v>
      </c>
      <c r="R94" s="252">
        <f t="shared" si="62"/>
        <v>1073</v>
      </c>
      <c r="S94" s="263"/>
      <c r="T94" s="263"/>
      <c r="U94" s="263"/>
      <c r="V94" s="263"/>
      <c r="W94" s="263"/>
      <c r="X94" s="263"/>
      <c r="Y94" s="263"/>
      <c r="Z94" s="263"/>
      <c r="AA94" s="263"/>
      <c r="AB94" s="322">
        <v>3</v>
      </c>
      <c r="AC94" s="322">
        <v>447</v>
      </c>
      <c r="AD94" s="322">
        <v>3</v>
      </c>
      <c r="AE94" s="263"/>
      <c r="AF94" s="263"/>
      <c r="AG94" s="263"/>
      <c r="AH94" s="263"/>
      <c r="AI94" s="263"/>
      <c r="AJ94" s="259"/>
      <c r="AK94" s="263">
        <f t="shared" si="53"/>
        <v>3</v>
      </c>
      <c r="AL94" s="265">
        <f t="shared" si="63"/>
        <v>8</v>
      </c>
      <c r="AM94" s="6">
        <f t="shared" si="54"/>
        <v>3</v>
      </c>
      <c r="AN94" s="255">
        <f t="shared" si="64"/>
        <v>0.57781919850885366</v>
      </c>
      <c r="AO94" s="256">
        <f t="shared" si="65"/>
        <v>0.32596142402573969</v>
      </c>
      <c r="AP94" s="257">
        <f t="shared" si="66"/>
        <v>2795.8993476234855</v>
      </c>
      <c r="AQ94" s="263">
        <f t="shared" si="55"/>
        <v>1.5</v>
      </c>
      <c r="AR94" s="263">
        <f t="shared" si="56"/>
        <v>89.4</v>
      </c>
      <c r="AS94" s="263">
        <f t="shared" si="57"/>
        <v>0.30000000000000004</v>
      </c>
      <c r="AT94" s="263">
        <f t="shared" si="58"/>
        <v>91.2</v>
      </c>
      <c r="AU94" s="263"/>
      <c r="AV94" s="263"/>
      <c r="AW94" s="263"/>
      <c r="AX94" s="263">
        <f t="shared" si="59"/>
        <v>91.2</v>
      </c>
      <c r="BA94" s="282">
        <f t="shared" si="67"/>
        <v>243.13725490196077</v>
      </c>
      <c r="BB94">
        <v>1</v>
      </c>
      <c r="BC94">
        <f t="shared" si="60"/>
        <v>243.13725490196077</v>
      </c>
      <c r="BD94">
        <f t="shared" si="68"/>
        <v>371</v>
      </c>
      <c r="BE94">
        <f t="shared" si="69"/>
        <v>431</v>
      </c>
      <c r="BF94" s="281">
        <f t="shared" si="61"/>
        <v>0.56412356125744956</v>
      </c>
      <c r="BG94" s="282" t="s">
        <v>2501</v>
      </c>
      <c r="BH94" s="283"/>
    </row>
    <row r="95" spans="1:60" x14ac:dyDescent="0.3">
      <c r="A95">
        <f t="shared" si="70"/>
        <v>93</v>
      </c>
      <c r="B95" s="241" t="s">
        <v>2499</v>
      </c>
      <c r="C95" s="294" t="s">
        <v>2511</v>
      </c>
      <c r="D95" s="14">
        <v>45712</v>
      </c>
      <c r="E95" s="7">
        <f>60*3</f>
        <v>180</v>
      </c>
      <c r="F95" s="7">
        <v>240</v>
      </c>
      <c r="G95" s="66"/>
      <c r="H95" s="59"/>
      <c r="I95" s="59">
        <v>480</v>
      </c>
      <c r="J95" s="47">
        <f t="shared" si="48"/>
        <v>480</v>
      </c>
      <c r="K95" s="8">
        <f t="shared" si="49"/>
        <v>60</v>
      </c>
      <c r="L95" s="96">
        <f t="shared" si="50"/>
        <v>0.125</v>
      </c>
      <c r="M95" s="81">
        <v>54</v>
      </c>
      <c r="N95" s="8">
        <v>153</v>
      </c>
      <c r="O95" s="8">
        <v>60</v>
      </c>
      <c r="P95" s="96">
        <f t="shared" si="51"/>
        <v>0.35294117647058826</v>
      </c>
      <c r="Q95" s="59">
        <f t="shared" si="52"/>
        <v>54</v>
      </c>
      <c r="R95" s="252">
        <f t="shared" si="62"/>
        <v>62</v>
      </c>
      <c r="S95" s="263">
        <v>1</v>
      </c>
      <c r="T95" s="263">
        <v>0</v>
      </c>
      <c r="U95" s="263">
        <v>1</v>
      </c>
      <c r="V95" s="263">
        <v>2</v>
      </c>
      <c r="W95" s="263">
        <v>0</v>
      </c>
      <c r="X95" s="263">
        <v>0</v>
      </c>
      <c r="Y95" s="263">
        <v>0</v>
      </c>
      <c r="Z95" s="263">
        <v>0</v>
      </c>
      <c r="AA95" s="263">
        <v>0</v>
      </c>
      <c r="AB95" s="263">
        <v>0</v>
      </c>
      <c r="AC95" s="263">
        <v>4</v>
      </c>
      <c r="AD95" s="263">
        <v>4</v>
      </c>
      <c r="AE95" s="263"/>
      <c r="AF95" s="263"/>
      <c r="AG95" s="263"/>
      <c r="AH95" s="263"/>
      <c r="AI95" s="263"/>
      <c r="AJ95" s="259"/>
      <c r="AK95" s="263">
        <f t="shared" si="53"/>
        <v>4</v>
      </c>
      <c r="AL95" s="265">
        <f t="shared" si="63"/>
        <v>9</v>
      </c>
      <c r="AM95" s="6">
        <f t="shared" si="54"/>
        <v>4</v>
      </c>
      <c r="AN95" s="255">
        <f t="shared" si="64"/>
        <v>0.87096774193548387</v>
      </c>
      <c r="AO95" s="256">
        <f t="shared" si="65"/>
        <v>3.8425047438330175E-2</v>
      </c>
      <c r="AP95" s="257">
        <f t="shared" si="66"/>
        <v>64516.129032258061</v>
      </c>
      <c r="AQ95" s="263">
        <f t="shared" si="55"/>
        <v>0</v>
      </c>
      <c r="AR95" s="263">
        <f t="shared" si="56"/>
        <v>0.8</v>
      </c>
      <c r="AS95" s="263">
        <f t="shared" si="57"/>
        <v>0.4</v>
      </c>
      <c r="AT95" s="263">
        <f t="shared" si="58"/>
        <v>1.2000000000000002</v>
      </c>
      <c r="AU95" s="263"/>
      <c r="AV95" s="263"/>
      <c r="AW95" s="263"/>
      <c r="AX95" s="263">
        <f t="shared" si="59"/>
        <v>1.2000000000000002</v>
      </c>
      <c r="BA95" s="282">
        <f t="shared" si="67"/>
        <v>21.176470588235297</v>
      </c>
      <c r="BB95">
        <v>1</v>
      </c>
      <c r="BC95">
        <f t="shared" si="60"/>
        <v>21.176470588235297</v>
      </c>
      <c r="BD95">
        <f t="shared" si="68"/>
        <v>60</v>
      </c>
      <c r="BE95">
        <f t="shared" si="69"/>
        <v>480</v>
      </c>
      <c r="BF95" s="281">
        <f t="shared" si="61"/>
        <v>4.4117647058823532E-2</v>
      </c>
      <c r="BG95" s="282" t="s">
        <v>2497</v>
      </c>
      <c r="BH95" s="283"/>
    </row>
    <row r="96" spans="1:60" x14ac:dyDescent="0.3">
      <c r="A96">
        <f t="shared" si="70"/>
        <v>94</v>
      </c>
      <c r="B96" s="241" t="s">
        <v>2499</v>
      </c>
      <c r="C96" s="294" t="s">
        <v>2512</v>
      </c>
      <c r="D96" s="14">
        <v>45712</v>
      </c>
      <c r="E96" s="7"/>
      <c r="F96" s="7">
        <v>210</v>
      </c>
      <c r="G96" s="66"/>
      <c r="H96" s="59"/>
      <c r="I96" s="59">
        <v>450</v>
      </c>
      <c r="J96" s="47">
        <f t="shared" si="48"/>
        <v>450</v>
      </c>
      <c r="K96" s="8">
        <f t="shared" si="49"/>
        <v>240</v>
      </c>
      <c r="L96" s="96">
        <f t="shared" si="50"/>
        <v>0.53333333333333333</v>
      </c>
      <c r="M96" s="81">
        <v>444</v>
      </c>
      <c r="N96" s="8">
        <v>153</v>
      </c>
      <c r="O96" s="8">
        <v>60</v>
      </c>
      <c r="P96" s="96">
        <f t="shared" si="51"/>
        <v>0.72549019607843135</v>
      </c>
      <c r="Q96" s="59">
        <f t="shared" si="52"/>
        <v>444</v>
      </c>
      <c r="R96" s="252">
        <f t="shared" si="62"/>
        <v>450</v>
      </c>
      <c r="S96" s="263">
        <v>8</v>
      </c>
      <c r="T96" s="263">
        <v>1</v>
      </c>
      <c r="U96" s="263">
        <v>0</v>
      </c>
      <c r="V96" s="263">
        <v>3</v>
      </c>
      <c r="W96" s="263">
        <v>0</v>
      </c>
      <c r="X96" s="263">
        <v>0</v>
      </c>
      <c r="Y96" s="263">
        <v>0</v>
      </c>
      <c r="Z96" s="263">
        <v>7</v>
      </c>
      <c r="AA96" s="263">
        <v>0</v>
      </c>
      <c r="AB96" s="263">
        <v>6</v>
      </c>
      <c r="AC96" s="263">
        <v>0</v>
      </c>
      <c r="AD96" s="263">
        <v>0</v>
      </c>
      <c r="AE96" s="263"/>
      <c r="AF96" s="263"/>
      <c r="AG96" s="263"/>
      <c r="AH96" s="263"/>
      <c r="AI96" s="263"/>
      <c r="AJ96" s="259"/>
      <c r="AK96" s="263">
        <f t="shared" si="53"/>
        <v>0</v>
      </c>
      <c r="AL96" s="265">
        <f t="shared" si="63"/>
        <v>9</v>
      </c>
      <c r="AM96" s="6">
        <f t="shared" si="54"/>
        <v>0</v>
      </c>
      <c r="AN96" s="255">
        <f t="shared" si="64"/>
        <v>0.98666666666666669</v>
      </c>
      <c r="AO96" s="256">
        <f t="shared" si="65"/>
        <v>0.38176906318082787</v>
      </c>
      <c r="AP96" s="257">
        <f t="shared" si="66"/>
        <v>0</v>
      </c>
      <c r="AQ96" s="263">
        <f t="shared" si="55"/>
        <v>3</v>
      </c>
      <c r="AR96" s="263">
        <f t="shared" si="56"/>
        <v>0</v>
      </c>
      <c r="AS96" s="263">
        <f t="shared" si="57"/>
        <v>0</v>
      </c>
      <c r="AT96" s="263">
        <f t="shared" si="58"/>
        <v>3</v>
      </c>
      <c r="AU96" s="263"/>
      <c r="AV96" s="263"/>
      <c r="AW96" s="263"/>
      <c r="AX96" s="263">
        <f t="shared" si="59"/>
        <v>3</v>
      </c>
      <c r="BA96" s="282">
        <f t="shared" si="67"/>
        <v>174.11764705882354</v>
      </c>
      <c r="BB96">
        <v>1</v>
      </c>
      <c r="BC96">
        <f t="shared" si="60"/>
        <v>174.11764705882354</v>
      </c>
      <c r="BD96">
        <f t="shared" si="68"/>
        <v>240</v>
      </c>
      <c r="BE96">
        <f t="shared" si="69"/>
        <v>450</v>
      </c>
      <c r="BF96" s="281">
        <f t="shared" si="61"/>
        <v>0.38692810457516341</v>
      </c>
      <c r="BG96" s="282" t="s">
        <v>2529</v>
      </c>
      <c r="BH96" s="283"/>
    </row>
    <row r="97" spans="1:60" x14ac:dyDescent="0.3">
      <c r="A97">
        <f t="shared" si="70"/>
        <v>95</v>
      </c>
      <c r="B97" s="241" t="s">
        <v>2499</v>
      </c>
      <c r="C97" s="294" t="s">
        <v>2513</v>
      </c>
      <c r="D97" s="14">
        <v>45712</v>
      </c>
      <c r="E97" s="7"/>
      <c r="F97" s="7"/>
      <c r="G97" s="66"/>
      <c r="H97" s="59"/>
      <c r="I97" s="59">
        <v>510</v>
      </c>
      <c r="J97" s="47">
        <f t="shared" si="48"/>
        <v>510</v>
      </c>
      <c r="K97" s="8">
        <f t="shared" si="49"/>
        <v>510</v>
      </c>
      <c r="L97" s="96">
        <f t="shared" si="50"/>
        <v>1</v>
      </c>
      <c r="M97" s="81">
        <v>1118</v>
      </c>
      <c r="N97" s="8">
        <v>153</v>
      </c>
      <c r="O97" s="8">
        <v>60</v>
      </c>
      <c r="P97" s="96">
        <f t="shared" si="51"/>
        <v>0.85966935793925414</v>
      </c>
      <c r="Q97" s="59">
        <f t="shared" si="52"/>
        <v>1118</v>
      </c>
      <c r="R97" s="252">
        <f t="shared" si="62"/>
        <v>1126</v>
      </c>
      <c r="S97" s="263">
        <v>14</v>
      </c>
      <c r="T97" s="263">
        <v>1</v>
      </c>
      <c r="U97" s="263">
        <v>4</v>
      </c>
      <c r="V97" s="263">
        <v>0</v>
      </c>
      <c r="W97" s="263">
        <v>0</v>
      </c>
      <c r="X97" s="263">
        <v>2</v>
      </c>
      <c r="Y97" s="263">
        <v>0</v>
      </c>
      <c r="Z97" s="263">
        <v>1</v>
      </c>
      <c r="AA97" s="263">
        <v>0</v>
      </c>
      <c r="AB97" s="263">
        <v>5</v>
      </c>
      <c r="AC97" s="263">
        <v>0</v>
      </c>
      <c r="AD97" s="263">
        <v>3</v>
      </c>
      <c r="AE97" s="263"/>
      <c r="AF97" s="263"/>
      <c r="AG97" s="263"/>
      <c r="AH97" s="263"/>
      <c r="AI97" s="263"/>
      <c r="AJ97" s="259"/>
      <c r="AK97" s="263">
        <f t="shared" si="53"/>
        <v>3</v>
      </c>
      <c r="AL97" s="265">
        <f t="shared" si="63"/>
        <v>9</v>
      </c>
      <c r="AM97" s="6">
        <f t="shared" si="54"/>
        <v>3</v>
      </c>
      <c r="AN97" s="255">
        <f t="shared" si="64"/>
        <v>0.99289520426287747</v>
      </c>
      <c r="AO97" s="256">
        <f t="shared" si="65"/>
        <v>0.85356158274963245</v>
      </c>
      <c r="AP97" s="257">
        <f t="shared" si="66"/>
        <v>2664.2984014209592</v>
      </c>
      <c r="AQ97" s="263">
        <f t="shared" si="55"/>
        <v>2.5</v>
      </c>
      <c r="AR97" s="263">
        <f t="shared" si="56"/>
        <v>0</v>
      </c>
      <c r="AS97" s="263">
        <f t="shared" si="57"/>
        <v>0.30000000000000004</v>
      </c>
      <c r="AT97" s="263">
        <f t="shared" si="58"/>
        <v>2.8</v>
      </c>
      <c r="AU97" s="263"/>
      <c r="AV97" s="263"/>
      <c r="AW97" s="263"/>
      <c r="AX97" s="263">
        <f t="shared" si="59"/>
        <v>2.8</v>
      </c>
      <c r="BA97" s="282">
        <f t="shared" si="67"/>
        <v>438.43137254901961</v>
      </c>
      <c r="BB97">
        <v>1</v>
      </c>
      <c r="BC97">
        <f t="shared" si="60"/>
        <v>438.43137254901961</v>
      </c>
      <c r="BD97">
        <f t="shared" si="68"/>
        <v>510</v>
      </c>
      <c r="BE97">
        <f t="shared" si="69"/>
        <v>510</v>
      </c>
      <c r="BF97" s="281">
        <f t="shared" si="61"/>
        <v>0.85966935793925414</v>
      </c>
      <c r="BG97" s="282" t="s">
        <v>2498</v>
      </c>
      <c r="BH97" s="283"/>
    </row>
    <row r="98" spans="1:60" x14ac:dyDescent="0.3">
      <c r="A98">
        <f t="shared" si="70"/>
        <v>96</v>
      </c>
      <c r="B98" s="241" t="s">
        <v>2499</v>
      </c>
      <c r="C98" s="294" t="s">
        <v>2511</v>
      </c>
      <c r="D98" s="14">
        <v>45713</v>
      </c>
      <c r="E98" s="7">
        <v>45</v>
      </c>
      <c r="F98" s="7">
        <v>255</v>
      </c>
      <c r="G98" s="66"/>
      <c r="H98" s="59"/>
      <c r="I98" s="59">
        <v>480</v>
      </c>
      <c r="J98" s="47">
        <f t="shared" si="48"/>
        <v>480</v>
      </c>
      <c r="K98" s="8">
        <f t="shared" si="49"/>
        <v>180</v>
      </c>
      <c r="L98" s="96">
        <f t="shared" si="50"/>
        <v>0.375</v>
      </c>
      <c r="M98" s="81">
        <v>374</v>
      </c>
      <c r="N98" s="8">
        <v>153</v>
      </c>
      <c r="O98" s="8">
        <v>60</v>
      </c>
      <c r="P98" s="96">
        <f t="shared" si="51"/>
        <v>0.81481481481481488</v>
      </c>
      <c r="Q98" s="59">
        <f t="shared" si="52"/>
        <v>374</v>
      </c>
      <c r="R98" s="252">
        <f t="shared" si="62"/>
        <v>383</v>
      </c>
      <c r="S98" s="263">
        <v>7</v>
      </c>
      <c r="T98" s="263">
        <v>3</v>
      </c>
      <c r="U98" s="263">
        <v>1</v>
      </c>
      <c r="V98" s="263">
        <v>8</v>
      </c>
      <c r="W98" s="263">
        <v>0</v>
      </c>
      <c r="X98" s="263">
        <v>0</v>
      </c>
      <c r="Y98" s="263">
        <v>0</v>
      </c>
      <c r="Z98" s="263">
        <v>0</v>
      </c>
      <c r="AA98" s="263">
        <v>0</v>
      </c>
      <c r="AB98" s="263">
        <v>9</v>
      </c>
      <c r="AC98" s="263">
        <v>0</v>
      </c>
      <c r="AD98" s="263">
        <v>0</v>
      </c>
      <c r="AE98" s="263"/>
      <c r="AF98" s="263"/>
      <c r="AG98" s="263"/>
      <c r="AH98" s="263"/>
      <c r="AI98" s="263"/>
      <c r="AJ98" s="259"/>
      <c r="AK98" s="263">
        <f t="shared" si="53"/>
        <v>0</v>
      </c>
      <c r="AL98" s="265">
        <f t="shared" si="63"/>
        <v>9</v>
      </c>
      <c r="AM98" s="6">
        <f t="shared" si="54"/>
        <v>0</v>
      </c>
      <c r="AN98" s="255">
        <f t="shared" si="64"/>
        <v>0.97650130548302871</v>
      </c>
      <c r="AO98" s="256">
        <f t="shared" si="65"/>
        <v>0.29837539889759213</v>
      </c>
      <c r="AP98" s="257">
        <f t="shared" si="66"/>
        <v>0</v>
      </c>
      <c r="AQ98" s="263">
        <f t="shared" si="55"/>
        <v>4.5</v>
      </c>
      <c r="AR98" s="263">
        <f t="shared" si="56"/>
        <v>0</v>
      </c>
      <c r="AS98" s="263">
        <f t="shared" si="57"/>
        <v>0</v>
      </c>
      <c r="AT98" s="263">
        <f t="shared" si="58"/>
        <v>4.5</v>
      </c>
      <c r="AU98" s="263"/>
      <c r="AV98" s="263"/>
      <c r="AW98" s="263"/>
      <c r="AX98" s="263">
        <f t="shared" si="59"/>
        <v>4.5</v>
      </c>
      <c r="BA98" s="282">
        <f t="shared" si="67"/>
        <v>146.66666666666669</v>
      </c>
      <c r="BB98">
        <v>1</v>
      </c>
      <c r="BC98">
        <f t="shared" si="60"/>
        <v>146.66666666666669</v>
      </c>
      <c r="BD98">
        <f t="shared" si="68"/>
        <v>180</v>
      </c>
      <c r="BE98">
        <f t="shared" si="69"/>
        <v>480</v>
      </c>
      <c r="BF98" s="281">
        <f t="shared" si="61"/>
        <v>0.30555555555555558</v>
      </c>
      <c r="BG98" s="282" t="s">
        <v>2497</v>
      </c>
      <c r="BH98" s="283"/>
    </row>
    <row r="99" spans="1:60" x14ac:dyDescent="0.3">
      <c r="A99">
        <f t="shared" si="70"/>
        <v>97</v>
      </c>
      <c r="B99" s="241" t="s">
        <v>2499</v>
      </c>
      <c r="C99" s="294" t="s">
        <v>2512</v>
      </c>
      <c r="D99" s="14">
        <v>45713</v>
      </c>
      <c r="E99" s="7"/>
      <c r="F99" s="7"/>
      <c r="G99" s="66"/>
      <c r="H99" s="59"/>
      <c r="I99" s="59">
        <v>450</v>
      </c>
      <c r="J99" s="47">
        <f t="shared" si="48"/>
        <v>450</v>
      </c>
      <c r="K99" s="8">
        <f t="shared" si="49"/>
        <v>450</v>
      </c>
      <c r="L99" s="96">
        <f t="shared" si="50"/>
        <v>1</v>
      </c>
      <c r="M99" s="81">
        <v>1103</v>
      </c>
      <c r="N99" s="8">
        <v>153</v>
      </c>
      <c r="O99" s="8">
        <v>60</v>
      </c>
      <c r="P99" s="96">
        <f t="shared" si="51"/>
        <v>0.96122004357298474</v>
      </c>
      <c r="Q99" s="59">
        <f t="shared" si="52"/>
        <v>1103</v>
      </c>
      <c r="R99" s="252">
        <f t="shared" si="62"/>
        <v>1115</v>
      </c>
      <c r="S99" s="263">
        <v>23</v>
      </c>
      <c r="T99" s="263">
        <v>2</v>
      </c>
      <c r="U99" s="263">
        <v>2</v>
      </c>
      <c r="V99" s="263">
        <v>4</v>
      </c>
      <c r="W99" s="263">
        <v>0</v>
      </c>
      <c r="X99" s="263">
        <v>0</v>
      </c>
      <c r="Y99" s="263">
        <v>0</v>
      </c>
      <c r="Z99" s="263">
        <v>33</v>
      </c>
      <c r="AA99" s="263">
        <v>0</v>
      </c>
      <c r="AB99" s="263">
        <v>8</v>
      </c>
      <c r="AC99" s="263">
        <v>0</v>
      </c>
      <c r="AD99" s="263">
        <v>4</v>
      </c>
      <c r="AE99" s="263"/>
      <c r="AF99" s="263"/>
      <c r="AG99" s="263"/>
      <c r="AH99" s="263"/>
      <c r="AI99" s="263"/>
      <c r="AJ99" s="259"/>
      <c r="AK99" s="263">
        <f t="shared" si="53"/>
        <v>4</v>
      </c>
      <c r="AL99" s="265">
        <f t="shared" si="63"/>
        <v>9</v>
      </c>
      <c r="AM99" s="6">
        <f t="shared" si="54"/>
        <v>4</v>
      </c>
      <c r="AN99" s="255">
        <f t="shared" si="64"/>
        <v>0.98923766816143499</v>
      </c>
      <c r="AO99" s="256">
        <f t="shared" si="65"/>
        <v>0.95087507449417241</v>
      </c>
      <c r="AP99" s="257">
        <f t="shared" si="66"/>
        <v>3587.4439461883408</v>
      </c>
      <c r="AQ99" s="263">
        <f t="shared" si="55"/>
        <v>4</v>
      </c>
      <c r="AR99" s="263">
        <f t="shared" si="56"/>
        <v>0</v>
      </c>
      <c r="AS99" s="263">
        <f t="shared" si="57"/>
        <v>0.4</v>
      </c>
      <c r="AT99" s="263">
        <f t="shared" si="58"/>
        <v>4.4000000000000004</v>
      </c>
      <c r="AU99" s="263"/>
      <c r="AV99" s="263"/>
      <c r="AW99" s="263"/>
      <c r="AX99" s="263">
        <f t="shared" si="59"/>
        <v>4.4000000000000004</v>
      </c>
      <c r="BA99" s="282">
        <f t="shared" si="67"/>
        <v>432.54901960784315</v>
      </c>
      <c r="BB99">
        <v>1</v>
      </c>
      <c r="BC99">
        <f t="shared" si="60"/>
        <v>432.54901960784315</v>
      </c>
      <c r="BD99">
        <f t="shared" si="68"/>
        <v>450</v>
      </c>
      <c r="BE99">
        <f t="shared" si="69"/>
        <v>450</v>
      </c>
      <c r="BF99" s="281">
        <f t="shared" si="61"/>
        <v>0.96122004357298474</v>
      </c>
      <c r="BG99" s="282" t="s">
        <v>2529</v>
      </c>
      <c r="BH99" s="283"/>
    </row>
    <row r="100" spans="1:60" x14ac:dyDescent="0.3">
      <c r="A100">
        <f t="shared" si="70"/>
        <v>98</v>
      </c>
      <c r="B100" s="241" t="s">
        <v>2499</v>
      </c>
      <c r="C100" s="294" t="s">
        <v>2513</v>
      </c>
      <c r="D100" s="14">
        <v>45713</v>
      </c>
      <c r="E100" s="7"/>
      <c r="F100" s="7"/>
      <c r="G100" s="66"/>
      <c r="H100" s="59"/>
      <c r="I100" s="59">
        <v>510</v>
      </c>
      <c r="J100" s="47">
        <f t="shared" si="48"/>
        <v>510</v>
      </c>
      <c r="K100" s="8">
        <f t="shared" si="49"/>
        <v>510</v>
      </c>
      <c r="L100" s="96">
        <f t="shared" si="50"/>
        <v>1</v>
      </c>
      <c r="M100" s="81">
        <v>1156</v>
      </c>
      <c r="N100" s="8">
        <v>153</v>
      </c>
      <c r="O100" s="8">
        <v>60</v>
      </c>
      <c r="P100" s="96">
        <f t="shared" si="51"/>
        <v>0.88888888888888884</v>
      </c>
      <c r="Q100" s="59">
        <f t="shared" si="52"/>
        <v>1156</v>
      </c>
      <c r="R100" s="252">
        <f t="shared" si="62"/>
        <v>1177</v>
      </c>
      <c r="S100" s="263">
        <v>10</v>
      </c>
      <c r="T100" s="263">
        <v>0</v>
      </c>
      <c r="U100" s="263">
        <v>4</v>
      </c>
      <c r="V100" s="263">
        <v>0</v>
      </c>
      <c r="W100" s="263">
        <v>7</v>
      </c>
      <c r="X100" s="263">
        <v>1</v>
      </c>
      <c r="Y100" s="263">
        <v>0</v>
      </c>
      <c r="Z100" s="263">
        <v>3</v>
      </c>
      <c r="AA100" s="263">
        <v>2</v>
      </c>
      <c r="AB100" s="263">
        <v>21</v>
      </c>
      <c r="AC100" s="263">
        <v>0</v>
      </c>
      <c r="AD100" s="263">
        <v>0</v>
      </c>
      <c r="AE100" s="263"/>
      <c r="AF100" s="263"/>
      <c r="AG100" s="263"/>
      <c r="AH100" s="263"/>
      <c r="AI100" s="263"/>
      <c r="AJ100" s="259"/>
      <c r="AK100" s="263">
        <f t="shared" ref="AK100:AK156" si="71">+AD100+AE100+AF100+AG100+AH100+AI100</f>
        <v>0</v>
      </c>
      <c r="AL100" s="265">
        <f t="shared" si="63"/>
        <v>9</v>
      </c>
      <c r="AM100" s="6">
        <f t="shared" ref="AM100:AM151" si="72">AK100</f>
        <v>0</v>
      </c>
      <c r="AN100" s="255">
        <f t="shared" si="64"/>
        <v>0.98215802888700088</v>
      </c>
      <c r="AO100" s="256">
        <f t="shared" si="65"/>
        <v>0.87302935901066736</v>
      </c>
      <c r="AP100" s="257">
        <f t="shared" si="66"/>
        <v>0</v>
      </c>
      <c r="AQ100" s="263">
        <f t="shared" ref="AQ100:AQ152" si="73">+AB100*0.5</f>
        <v>10.5</v>
      </c>
      <c r="AR100" s="263">
        <f t="shared" ref="AR100:AR152" si="74">+AC100*0.2</f>
        <v>0</v>
      </c>
      <c r="AS100" s="263">
        <f t="shared" ref="AS100:AS152" si="75">+AD100*0.1</f>
        <v>0</v>
      </c>
      <c r="AT100" s="263">
        <f t="shared" ref="AT100:AT152" si="76">SUM(AQ100:AS100)</f>
        <v>10.5</v>
      </c>
      <c r="AU100" s="263"/>
      <c r="AV100" s="263"/>
      <c r="AW100" s="263"/>
      <c r="AX100" s="263">
        <f t="shared" ref="AX100:AX152" si="77">+AW100+AU100+AT100+AV100</f>
        <v>10.5</v>
      </c>
      <c r="BA100" s="282">
        <f t="shared" si="67"/>
        <v>453.33333333333331</v>
      </c>
      <c r="BB100">
        <v>1</v>
      </c>
      <c r="BC100">
        <f t="shared" ref="BC100:BC151" si="78">IFERROR(BA100*BB100,"")</f>
        <v>453.33333333333331</v>
      </c>
      <c r="BD100">
        <f t="shared" si="68"/>
        <v>510</v>
      </c>
      <c r="BE100">
        <f t="shared" si="69"/>
        <v>510</v>
      </c>
      <c r="BF100" s="281">
        <f t="shared" ref="BF100:BF151" si="79">BC100/BE100</f>
        <v>0.88888888888888884</v>
      </c>
      <c r="BG100" s="282" t="s">
        <v>2498</v>
      </c>
      <c r="BH100" s="283"/>
    </row>
    <row r="101" spans="1:60" x14ac:dyDescent="0.3">
      <c r="A101">
        <f t="shared" si="70"/>
        <v>99</v>
      </c>
      <c r="B101" s="241" t="s">
        <v>2499</v>
      </c>
      <c r="C101" s="294" t="s">
        <v>2511</v>
      </c>
      <c r="D101" s="14">
        <v>45714</v>
      </c>
      <c r="E101" s="7"/>
      <c r="F101" s="7">
        <v>60</v>
      </c>
      <c r="G101" s="66"/>
      <c r="H101" s="59"/>
      <c r="I101" s="59">
        <v>480</v>
      </c>
      <c r="J101" s="47">
        <f t="shared" si="48"/>
        <v>480</v>
      </c>
      <c r="K101" s="8">
        <f t="shared" si="49"/>
        <v>420</v>
      </c>
      <c r="L101" s="96">
        <f t="shared" si="50"/>
        <v>0.875</v>
      </c>
      <c r="M101" s="81">
        <v>935</v>
      </c>
      <c r="N101" s="8">
        <v>153</v>
      </c>
      <c r="O101" s="8">
        <v>60</v>
      </c>
      <c r="P101" s="96">
        <f t="shared" si="51"/>
        <v>0.87301587301587291</v>
      </c>
      <c r="Q101" s="59">
        <f t="shared" si="52"/>
        <v>935</v>
      </c>
      <c r="R101" s="252">
        <f t="shared" si="62"/>
        <v>954</v>
      </c>
      <c r="S101" s="263">
        <v>13</v>
      </c>
      <c r="T101" s="263">
        <v>1</v>
      </c>
      <c r="U101" s="263">
        <v>0</v>
      </c>
      <c r="V101" s="263">
        <v>0</v>
      </c>
      <c r="W101" s="263">
        <v>0</v>
      </c>
      <c r="X101" s="263">
        <v>1</v>
      </c>
      <c r="Y101" s="263">
        <v>0</v>
      </c>
      <c r="Z101" s="263">
        <v>1</v>
      </c>
      <c r="AA101" s="263">
        <v>1</v>
      </c>
      <c r="AB101" s="263">
        <v>14</v>
      </c>
      <c r="AC101" s="263">
        <v>0</v>
      </c>
      <c r="AD101" s="263">
        <v>5</v>
      </c>
      <c r="AE101" s="263"/>
      <c r="AF101" s="263"/>
      <c r="AG101" s="263"/>
      <c r="AH101" s="263"/>
      <c r="AI101" s="263"/>
      <c r="AJ101" s="259"/>
      <c r="AK101" s="263">
        <f t="shared" si="71"/>
        <v>5</v>
      </c>
      <c r="AL101" s="265">
        <f t="shared" si="63"/>
        <v>9</v>
      </c>
      <c r="AM101" s="6">
        <f t="shared" si="72"/>
        <v>5</v>
      </c>
      <c r="AN101" s="255">
        <f t="shared" si="64"/>
        <v>0.98008385744234805</v>
      </c>
      <c r="AO101" s="256">
        <f t="shared" si="65"/>
        <v>0.74867516887957131</v>
      </c>
      <c r="AP101" s="257">
        <f t="shared" si="66"/>
        <v>5241.0901467505246</v>
      </c>
      <c r="AQ101" s="263">
        <f t="shared" si="73"/>
        <v>7</v>
      </c>
      <c r="AR101" s="263">
        <f t="shared" si="74"/>
        <v>0</v>
      </c>
      <c r="AS101" s="263">
        <f t="shared" si="75"/>
        <v>0.5</v>
      </c>
      <c r="AT101" s="263">
        <f t="shared" si="76"/>
        <v>7.5</v>
      </c>
      <c r="AU101" s="263"/>
      <c r="AV101" s="263"/>
      <c r="AW101" s="263"/>
      <c r="AX101" s="263">
        <f t="shared" si="77"/>
        <v>7.5</v>
      </c>
      <c r="BA101" s="282">
        <f t="shared" si="67"/>
        <v>366.66666666666663</v>
      </c>
      <c r="BB101">
        <v>1</v>
      </c>
      <c r="BC101">
        <f t="shared" si="78"/>
        <v>366.66666666666663</v>
      </c>
      <c r="BD101">
        <f t="shared" si="68"/>
        <v>420</v>
      </c>
      <c r="BE101">
        <f t="shared" si="69"/>
        <v>480</v>
      </c>
      <c r="BF101" s="281">
        <f t="shared" si="79"/>
        <v>0.76388888888888884</v>
      </c>
      <c r="BG101" s="282" t="s">
        <v>2497</v>
      </c>
      <c r="BH101" s="283"/>
    </row>
    <row r="102" spans="1:60" x14ac:dyDescent="0.3">
      <c r="A102">
        <f t="shared" si="70"/>
        <v>100</v>
      </c>
      <c r="B102" s="241" t="s">
        <v>2499</v>
      </c>
      <c r="C102" s="294" t="s">
        <v>2512</v>
      </c>
      <c r="D102" s="14">
        <v>45714</v>
      </c>
      <c r="E102" s="7"/>
      <c r="F102" s="7"/>
      <c r="G102" s="66"/>
      <c r="H102" s="59"/>
      <c r="I102" s="59">
        <v>450</v>
      </c>
      <c r="J102" s="47">
        <f t="shared" si="48"/>
        <v>450</v>
      </c>
      <c r="K102" s="8">
        <f t="shared" si="49"/>
        <v>450</v>
      </c>
      <c r="L102" s="96">
        <f t="shared" si="50"/>
        <v>1</v>
      </c>
      <c r="M102" s="81">
        <v>1004</v>
      </c>
      <c r="N102" s="8">
        <v>153</v>
      </c>
      <c r="O102" s="8">
        <v>60</v>
      </c>
      <c r="P102" s="96">
        <f t="shared" si="51"/>
        <v>0.87494553376906314</v>
      </c>
      <c r="Q102" s="59">
        <f t="shared" si="52"/>
        <v>1004</v>
      </c>
      <c r="R102" s="252">
        <f t="shared" si="62"/>
        <v>1019</v>
      </c>
      <c r="S102" s="263">
        <v>16</v>
      </c>
      <c r="T102" s="263">
        <v>1</v>
      </c>
      <c r="U102" s="263">
        <v>0</v>
      </c>
      <c r="V102" s="263">
        <v>0</v>
      </c>
      <c r="W102" s="263">
        <v>10</v>
      </c>
      <c r="X102" s="263">
        <v>4</v>
      </c>
      <c r="Y102" s="263">
        <v>0</v>
      </c>
      <c r="Z102" s="263">
        <v>1</v>
      </c>
      <c r="AA102" s="263">
        <v>0</v>
      </c>
      <c r="AB102" s="263">
        <v>12</v>
      </c>
      <c r="AC102" s="263">
        <v>3</v>
      </c>
      <c r="AD102" s="263">
        <v>0</v>
      </c>
      <c r="AE102" s="263"/>
      <c r="AF102" s="263"/>
      <c r="AG102" s="263"/>
      <c r="AH102" s="263"/>
      <c r="AI102" s="263"/>
      <c r="AJ102" s="259"/>
      <c r="AK102" s="263">
        <f t="shared" si="71"/>
        <v>0</v>
      </c>
      <c r="AL102" s="265">
        <f t="shared" si="63"/>
        <v>9</v>
      </c>
      <c r="AM102" s="6">
        <f t="shared" si="72"/>
        <v>0</v>
      </c>
      <c r="AN102" s="255">
        <f t="shared" si="64"/>
        <v>0.98527968596663396</v>
      </c>
      <c r="AO102" s="256">
        <f t="shared" si="65"/>
        <v>0.86206606074989145</v>
      </c>
      <c r="AP102" s="257">
        <f t="shared" si="66"/>
        <v>0</v>
      </c>
      <c r="AQ102" s="263">
        <f t="shared" si="73"/>
        <v>6</v>
      </c>
      <c r="AR102" s="263">
        <f t="shared" si="74"/>
        <v>0.60000000000000009</v>
      </c>
      <c r="AS102" s="263">
        <f t="shared" si="75"/>
        <v>0</v>
      </c>
      <c r="AT102" s="263">
        <f t="shared" si="76"/>
        <v>6.6</v>
      </c>
      <c r="AU102" s="263"/>
      <c r="AV102" s="263"/>
      <c r="AW102" s="263"/>
      <c r="AX102" s="263">
        <f t="shared" si="77"/>
        <v>6.6</v>
      </c>
      <c r="BA102" s="282">
        <f t="shared" si="67"/>
        <v>393.7254901960784</v>
      </c>
      <c r="BB102">
        <v>1</v>
      </c>
      <c r="BC102">
        <f t="shared" si="78"/>
        <v>393.7254901960784</v>
      </c>
      <c r="BD102">
        <f t="shared" si="68"/>
        <v>450</v>
      </c>
      <c r="BE102">
        <f t="shared" si="69"/>
        <v>450</v>
      </c>
      <c r="BF102" s="281">
        <f t="shared" si="79"/>
        <v>0.87494553376906314</v>
      </c>
      <c r="BG102" s="282" t="s">
        <v>2529</v>
      </c>
      <c r="BH102" s="283"/>
    </row>
    <row r="103" spans="1:60" x14ac:dyDescent="0.3">
      <c r="A103">
        <f t="shared" si="70"/>
        <v>101</v>
      </c>
      <c r="B103" s="241" t="s">
        <v>2499</v>
      </c>
      <c r="C103" s="294" t="s">
        <v>2513</v>
      </c>
      <c r="D103" s="14">
        <v>45714</v>
      </c>
      <c r="E103" s="7"/>
      <c r="F103" s="7"/>
      <c r="G103" s="66"/>
      <c r="H103" s="59"/>
      <c r="I103" s="59">
        <v>510</v>
      </c>
      <c r="J103" s="47">
        <f t="shared" si="48"/>
        <v>510</v>
      </c>
      <c r="K103" s="8">
        <f t="shared" si="49"/>
        <v>510</v>
      </c>
      <c r="L103" s="96">
        <f t="shared" si="50"/>
        <v>1</v>
      </c>
      <c r="M103" s="81">
        <v>1125</v>
      </c>
      <c r="N103" s="8">
        <v>153</v>
      </c>
      <c r="O103" s="8">
        <v>60</v>
      </c>
      <c r="P103" s="96">
        <f t="shared" si="51"/>
        <v>0.86505190311418678</v>
      </c>
      <c r="Q103" s="59">
        <f t="shared" si="52"/>
        <v>1125</v>
      </c>
      <c r="R103" s="252">
        <f t="shared" si="62"/>
        <v>1155</v>
      </c>
      <c r="S103" s="263">
        <v>10</v>
      </c>
      <c r="T103" s="263">
        <v>0</v>
      </c>
      <c r="U103" s="263">
        <v>0</v>
      </c>
      <c r="V103" s="263">
        <v>0</v>
      </c>
      <c r="W103" s="263">
        <v>0</v>
      </c>
      <c r="X103" s="263">
        <v>2</v>
      </c>
      <c r="Y103" s="263">
        <v>0</v>
      </c>
      <c r="Z103" s="263">
        <v>1</v>
      </c>
      <c r="AA103" s="263">
        <v>0</v>
      </c>
      <c r="AB103" s="263">
        <v>14</v>
      </c>
      <c r="AC103" s="263">
        <v>0</v>
      </c>
      <c r="AD103" s="263">
        <v>16</v>
      </c>
      <c r="AE103" s="263"/>
      <c r="AF103" s="263"/>
      <c r="AG103" s="263"/>
      <c r="AH103" s="263"/>
      <c r="AI103" s="263"/>
      <c r="AJ103" s="259"/>
      <c r="AK103" s="263">
        <f t="shared" si="71"/>
        <v>16</v>
      </c>
      <c r="AL103" s="265">
        <f t="shared" si="63"/>
        <v>9</v>
      </c>
      <c r="AM103" s="6">
        <f t="shared" si="72"/>
        <v>16</v>
      </c>
      <c r="AN103" s="255">
        <f t="shared" si="64"/>
        <v>0.97402597402597402</v>
      </c>
      <c r="AO103" s="256">
        <f t="shared" si="65"/>
        <v>0.84258302251381834</v>
      </c>
      <c r="AP103" s="257">
        <f t="shared" si="66"/>
        <v>13852.813852813853</v>
      </c>
      <c r="AQ103" s="263">
        <f t="shared" si="73"/>
        <v>7</v>
      </c>
      <c r="AR103" s="263">
        <f t="shared" si="74"/>
        <v>0</v>
      </c>
      <c r="AS103" s="263">
        <f t="shared" si="75"/>
        <v>1.6</v>
      </c>
      <c r="AT103" s="263">
        <f t="shared" si="76"/>
        <v>8.6</v>
      </c>
      <c r="AU103" s="263"/>
      <c r="AV103" s="263"/>
      <c r="AW103" s="263"/>
      <c r="AX103" s="263">
        <f t="shared" si="77"/>
        <v>8.6</v>
      </c>
      <c r="BA103" s="282">
        <f t="shared" si="67"/>
        <v>441.17647058823525</v>
      </c>
      <c r="BB103">
        <v>1</v>
      </c>
      <c r="BC103">
        <f t="shared" si="78"/>
        <v>441.17647058823525</v>
      </c>
      <c r="BD103">
        <f t="shared" si="68"/>
        <v>510</v>
      </c>
      <c r="BE103">
        <f t="shared" si="69"/>
        <v>510</v>
      </c>
      <c r="BF103" s="281">
        <f t="shared" si="79"/>
        <v>0.86505190311418678</v>
      </c>
      <c r="BG103" s="282" t="s">
        <v>2498</v>
      </c>
      <c r="BH103" s="283"/>
    </row>
    <row r="104" spans="1:60" x14ac:dyDescent="0.3">
      <c r="A104">
        <f t="shared" si="70"/>
        <v>102</v>
      </c>
      <c r="B104" s="241" t="s">
        <v>2499</v>
      </c>
      <c r="C104" s="294" t="s">
        <v>2511</v>
      </c>
      <c r="D104" s="14">
        <v>45715</v>
      </c>
      <c r="E104" s="7"/>
      <c r="F104" s="7"/>
      <c r="G104" s="66"/>
      <c r="H104" s="59"/>
      <c r="I104" s="59">
        <v>480</v>
      </c>
      <c r="J104" s="47">
        <f t="shared" si="48"/>
        <v>480</v>
      </c>
      <c r="K104" s="8">
        <f t="shared" si="49"/>
        <v>480</v>
      </c>
      <c r="L104" s="96">
        <f t="shared" si="50"/>
        <v>1</v>
      </c>
      <c r="M104" s="81">
        <v>1103</v>
      </c>
      <c r="N104" s="8">
        <v>153</v>
      </c>
      <c r="O104" s="8">
        <v>60</v>
      </c>
      <c r="P104" s="96">
        <f t="shared" si="51"/>
        <v>0.90114379084967322</v>
      </c>
      <c r="Q104" s="59">
        <f t="shared" si="52"/>
        <v>1103</v>
      </c>
      <c r="R104" s="252">
        <f t="shared" si="62"/>
        <v>1124</v>
      </c>
      <c r="S104" s="263">
        <v>28</v>
      </c>
      <c r="T104" s="263">
        <v>0</v>
      </c>
      <c r="U104" s="263">
        <v>0</v>
      </c>
      <c r="V104" s="263">
        <v>0</v>
      </c>
      <c r="W104" s="263">
        <v>4</v>
      </c>
      <c r="X104" s="263">
        <v>0</v>
      </c>
      <c r="Y104" s="263">
        <v>0</v>
      </c>
      <c r="Z104" s="263">
        <v>25</v>
      </c>
      <c r="AA104" s="263">
        <v>0</v>
      </c>
      <c r="AB104" s="263">
        <v>20</v>
      </c>
      <c r="AC104" s="263">
        <v>0</v>
      </c>
      <c r="AD104" s="263">
        <v>1</v>
      </c>
      <c r="AE104" s="263"/>
      <c r="AF104" s="263"/>
      <c r="AG104" s="263"/>
      <c r="AH104" s="263"/>
      <c r="AI104" s="263"/>
      <c r="AJ104" s="259"/>
      <c r="AK104" s="263">
        <f t="shared" si="71"/>
        <v>1</v>
      </c>
      <c r="AL104" s="265">
        <f t="shared" si="63"/>
        <v>9</v>
      </c>
      <c r="AM104" s="6">
        <f t="shared" si="72"/>
        <v>1</v>
      </c>
      <c r="AN104" s="255">
        <f t="shared" si="64"/>
        <v>0.98131672597864772</v>
      </c>
      <c r="AO104" s="256">
        <f t="shared" si="65"/>
        <v>0.88430747447258862</v>
      </c>
      <c r="AP104" s="257">
        <f t="shared" si="66"/>
        <v>889.6797153024911</v>
      </c>
      <c r="AQ104" s="263">
        <f t="shared" si="73"/>
        <v>10</v>
      </c>
      <c r="AR104" s="263">
        <f t="shared" si="74"/>
        <v>0</v>
      </c>
      <c r="AS104" s="263">
        <f t="shared" si="75"/>
        <v>0.1</v>
      </c>
      <c r="AT104" s="263">
        <f t="shared" si="76"/>
        <v>10.1</v>
      </c>
      <c r="AU104" s="263"/>
      <c r="AV104" s="263"/>
      <c r="AW104" s="263"/>
      <c r="AX104" s="263">
        <f t="shared" si="77"/>
        <v>10.1</v>
      </c>
      <c r="BA104" s="282">
        <f t="shared" si="67"/>
        <v>432.54901960784315</v>
      </c>
      <c r="BB104">
        <v>1</v>
      </c>
      <c r="BC104">
        <f t="shared" si="78"/>
        <v>432.54901960784315</v>
      </c>
      <c r="BD104">
        <f t="shared" si="68"/>
        <v>480</v>
      </c>
      <c r="BE104">
        <f t="shared" si="69"/>
        <v>480</v>
      </c>
      <c r="BF104" s="281">
        <f t="shared" si="79"/>
        <v>0.90114379084967322</v>
      </c>
      <c r="BG104" s="282" t="s">
        <v>2497</v>
      </c>
      <c r="BH104" s="283"/>
    </row>
    <row r="105" spans="1:60" x14ac:dyDescent="0.3">
      <c r="A105">
        <f t="shared" si="70"/>
        <v>103</v>
      </c>
      <c r="B105" s="241" t="s">
        <v>2499</v>
      </c>
      <c r="C105" s="294" t="s">
        <v>2512</v>
      </c>
      <c r="D105" s="14">
        <v>45715</v>
      </c>
      <c r="E105" s="7"/>
      <c r="F105" s="7"/>
      <c r="G105" s="66"/>
      <c r="H105" s="59"/>
      <c r="I105" s="59">
        <v>450</v>
      </c>
      <c r="J105" s="47">
        <f t="shared" si="48"/>
        <v>450</v>
      </c>
      <c r="K105" s="8">
        <f t="shared" si="49"/>
        <v>450</v>
      </c>
      <c r="L105" s="96">
        <f t="shared" si="50"/>
        <v>1</v>
      </c>
      <c r="M105" s="81">
        <v>866</v>
      </c>
      <c r="N105" s="8">
        <v>153</v>
      </c>
      <c r="O105" s="8">
        <v>60</v>
      </c>
      <c r="P105" s="96">
        <f t="shared" si="51"/>
        <v>0.75468409586056651</v>
      </c>
      <c r="Q105" s="59">
        <f t="shared" si="52"/>
        <v>866</v>
      </c>
      <c r="R105" s="252">
        <f t="shared" si="62"/>
        <v>869</v>
      </c>
      <c r="S105" s="263">
        <v>48</v>
      </c>
      <c r="T105" s="263">
        <v>3</v>
      </c>
      <c r="U105" s="263">
        <v>0</v>
      </c>
      <c r="V105" s="263">
        <v>0</v>
      </c>
      <c r="W105" s="263">
        <v>0</v>
      </c>
      <c r="X105" s="263">
        <v>2</v>
      </c>
      <c r="Y105" s="263">
        <v>0</v>
      </c>
      <c r="Z105" s="263">
        <v>0</v>
      </c>
      <c r="AA105" s="263">
        <v>1</v>
      </c>
      <c r="AB105" s="263">
        <v>2</v>
      </c>
      <c r="AC105" s="263">
        <v>0</v>
      </c>
      <c r="AD105" s="263">
        <v>1</v>
      </c>
      <c r="AE105" s="263"/>
      <c r="AF105" s="263"/>
      <c r="AG105" s="263"/>
      <c r="AH105" s="263"/>
      <c r="AI105" s="263"/>
      <c r="AJ105" s="259"/>
      <c r="AK105" s="263">
        <f t="shared" si="71"/>
        <v>1</v>
      </c>
      <c r="AL105" s="265">
        <f t="shared" si="63"/>
        <v>9</v>
      </c>
      <c r="AM105" s="6">
        <f t="shared" si="72"/>
        <v>1</v>
      </c>
      <c r="AN105" s="255">
        <f t="shared" si="64"/>
        <v>0.99654775604142698</v>
      </c>
      <c r="AO105" s="256">
        <f t="shared" si="65"/>
        <v>0.75207874225000071</v>
      </c>
      <c r="AP105" s="257">
        <f t="shared" si="66"/>
        <v>1150.7479861910242</v>
      </c>
      <c r="AQ105" s="263">
        <f t="shared" si="73"/>
        <v>1</v>
      </c>
      <c r="AR105" s="263">
        <f t="shared" si="74"/>
        <v>0</v>
      </c>
      <c r="AS105" s="263">
        <f t="shared" si="75"/>
        <v>0.1</v>
      </c>
      <c r="AT105" s="263">
        <f t="shared" si="76"/>
        <v>1.1000000000000001</v>
      </c>
      <c r="AU105" s="263"/>
      <c r="AV105" s="263"/>
      <c r="AW105" s="263"/>
      <c r="AX105" s="263">
        <f t="shared" si="77"/>
        <v>1.1000000000000001</v>
      </c>
      <c r="BA105" s="282">
        <f t="shared" si="67"/>
        <v>339.60784313725492</v>
      </c>
      <c r="BB105">
        <v>1</v>
      </c>
      <c r="BC105">
        <f t="shared" si="78"/>
        <v>339.60784313725492</v>
      </c>
      <c r="BD105">
        <f t="shared" si="68"/>
        <v>450</v>
      </c>
      <c r="BE105">
        <f t="shared" si="69"/>
        <v>450</v>
      </c>
      <c r="BF105" s="281">
        <f t="shared" si="79"/>
        <v>0.75468409586056651</v>
      </c>
      <c r="BG105" s="282" t="s">
        <v>2501</v>
      </c>
      <c r="BH105" s="283" t="s">
        <v>2526</v>
      </c>
    </row>
    <row r="106" spans="1:60" x14ac:dyDescent="0.3">
      <c r="A106">
        <f t="shared" si="70"/>
        <v>104</v>
      </c>
      <c r="B106" s="241" t="s">
        <v>2499</v>
      </c>
      <c r="C106" s="294" t="s">
        <v>2513</v>
      </c>
      <c r="D106" s="14">
        <v>45715</v>
      </c>
      <c r="E106" s="7"/>
      <c r="F106" s="7"/>
      <c r="G106" s="66"/>
      <c r="H106" s="59"/>
      <c r="I106" s="59">
        <v>510</v>
      </c>
      <c r="J106" s="47">
        <f t="shared" si="48"/>
        <v>510</v>
      </c>
      <c r="K106" s="8">
        <f t="shared" si="49"/>
        <v>510</v>
      </c>
      <c r="L106" s="96">
        <f t="shared" si="50"/>
        <v>1</v>
      </c>
      <c r="M106" s="81">
        <v>1256</v>
      </c>
      <c r="N106" s="8">
        <v>153</v>
      </c>
      <c r="O106" s="8">
        <v>60</v>
      </c>
      <c r="P106" s="96">
        <f t="shared" si="51"/>
        <v>0.96578239138792765</v>
      </c>
      <c r="Q106" s="59">
        <f t="shared" si="52"/>
        <v>1256</v>
      </c>
      <c r="R106" s="252">
        <f t="shared" si="62"/>
        <v>1266</v>
      </c>
      <c r="S106" s="263">
        <v>21</v>
      </c>
      <c r="T106" s="263">
        <v>1</v>
      </c>
      <c r="U106" s="263">
        <v>0</v>
      </c>
      <c r="V106" s="263">
        <v>0</v>
      </c>
      <c r="W106" s="263">
        <v>0</v>
      </c>
      <c r="X106" s="263">
        <v>1</v>
      </c>
      <c r="Y106" s="263">
        <v>0</v>
      </c>
      <c r="Z106" s="263">
        <v>1</v>
      </c>
      <c r="AA106" s="263">
        <v>0</v>
      </c>
      <c r="AB106" s="263">
        <v>10</v>
      </c>
      <c r="AC106" s="263">
        <v>0</v>
      </c>
      <c r="AD106" s="263">
        <v>0</v>
      </c>
      <c r="AE106" s="263"/>
      <c r="AF106" s="263"/>
      <c r="AG106" s="263"/>
      <c r="AH106" s="263"/>
      <c r="AI106" s="263"/>
      <c r="AJ106" s="259"/>
      <c r="AK106" s="263">
        <f t="shared" si="71"/>
        <v>0</v>
      </c>
      <c r="AL106" s="265">
        <f t="shared" si="63"/>
        <v>9</v>
      </c>
      <c r="AM106" s="6">
        <f t="shared" si="72"/>
        <v>0</v>
      </c>
      <c r="AN106" s="255">
        <f t="shared" si="64"/>
        <v>0.99210110584518163</v>
      </c>
      <c r="AO106" s="256">
        <f t="shared" si="65"/>
        <v>0.95815377850176708</v>
      </c>
      <c r="AP106" s="257">
        <f t="shared" si="66"/>
        <v>0</v>
      </c>
      <c r="AQ106" s="263">
        <f t="shared" si="73"/>
        <v>5</v>
      </c>
      <c r="AR106" s="263">
        <f t="shared" si="74"/>
        <v>0</v>
      </c>
      <c r="AS106" s="263">
        <f t="shared" si="75"/>
        <v>0</v>
      </c>
      <c r="AT106" s="263">
        <f t="shared" si="76"/>
        <v>5</v>
      </c>
      <c r="AU106" s="263"/>
      <c r="AV106" s="263"/>
      <c r="AW106" s="263"/>
      <c r="AX106" s="263">
        <f t="shared" si="77"/>
        <v>5</v>
      </c>
      <c r="BA106" s="282">
        <f t="shared" si="67"/>
        <v>492.54901960784309</v>
      </c>
      <c r="BB106">
        <v>1</v>
      </c>
      <c r="BC106">
        <f t="shared" si="78"/>
        <v>492.54901960784309</v>
      </c>
      <c r="BD106">
        <f t="shared" si="68"/>
        <v>510</v>
      </c>
      <c r="BE106">
        <f t="shared" si="69"/>
        <v>510</v>
      </c>
      <c r="BF106" s="281">
        <f t="shared" si="79"/>
        <v>0.96578239138792765</v>
      </c>
      <c r="BG106" s="282" t="s">
        <v>2498</v>
      </c>
      <c r="BH106" s="283"/>
    </row>
    <row r="107" spans="1:60" x14ac:dyDescent="0.3">
      <c r="A107">
        <f t="shared" si="70"/>
        <v>105</v>
      </c>
      <c r="B107" s="241" t="s">
        <v>2499</v>
      </c>
      <c r="C107" s="294" t="s">
        <v>2511</v>
      </c>
      <c r="D107" s="14">
        <v>45716</v>
      </c>
      <c r="E107" s="7"/>
      <c r="F107" s="7"/>
      <c r="G107" s="66"/>
      <c r="H107" s="59"/>
      <c r="I107" s="59">
        <v>480</v>
      </c>
      <c r="J107" s="47">
        <f t="shared" si="48"/>
        <v>480</v>
      </c>
      <c r="K107" s="8">
        <f t="shared" si="49"/>
        <v>480</v>
      </c>
      <c r="L107" s="96">
        <f t="shared" si="50"/>
        <v>1</v>
      </c>
      <c r="M107" s="81">
        <v>691</v>
      </c>
      <c r="N107" s="8">
        <v>153</v>
      </c>
      <c r="O107" s="8">
        <v>60</v>
      </c>
      <c r="P107" s="96">
        <f t="shared" si="51"/>
        <v>0.56454248366013071</v>
      </c>
      <c r="Q107" s="59">
        <f t="shared" si="52"/>
        <v>691</v>
      </c>
      <c r="R107" s="252">
        <f t="shared" si="62"/>
        <v>705</v>
      </c>
      <c r="S107" s="263">
        <v>16</v>
      </c>
      <c r="T107" s="263">
        <v>1</v>
      </c>
      <c r="U107" s="263">
        <v>0</v>
      </c>
      <c r="V107" s="263">
        <v>0</v>
      </c>
      <c r="W107" s="263">
        <v>0</v>
      </c>
      <c r="X107" s="263">
        <v>0</v>
      </c>
      <c r="Y107" s="263">
        <v>0</v>
      </c>
      <c r="Z107" s="263">
        <v>0</v>
      </c>
      <c r="AA107" s="263">
        <v>0</v>
      </c>
      <c r="AB107" s="263">
        <v>13</v>
      </c>
      <c r="AC107" s="263">
        <v>0</v>
      </c>
      <c r="AD107" s="263">
        <v>1</v>
      </c>
      <c r="AE107" s="263"/>
      <c r="AF107" s="263"/>
      <c r="AG107" s="263"/>
      <c r="AH107" s="263"/>
      <c r="AI107" s="263"/>
      <c r="AJ107" s="259"/>
      <c r="AK107" s="263">
        <f t="shared" si="71"/>
        <v>1</v>
      </c>
      <c r="AL107" s="265">
        <f t="shared" si="63"/>
        <v>9</v>
      </c>
      <c r="AM107" s="6">
        <f t="shared" si="72"/>
        <v>1</v>
      </c>
      <c r="AN107" s="255">
        <f t="shared" si="64"/>
        <v>0.98014184397163118</v>
      </c>
      <c r="AO107" s="256">
        <f t="shared" si="65"/>
        <v>0.55333171093496503</v>
      </c>
      <c r="AP107" s="257">
        <f t="shared" si="66"/>
        <v>1418.4397163120568</v>
      </c>
      <c r="AQ107" s="263">
        <f t="shared" si="73"/>
        <v>6.5</v>
      </c>
      <c r="AR107" s="263">
        <f t="shared" si="74"/>
        <v>0</v>
      </c>
      <c r="AS107" s="263">
        <f t="shared" si="75"/>
        <v>0.1</v>
      </c>
      <c r="AT107" s="263">
        <f t="shared" si="76"/>
        <v>6.6</v>
      </c>
      <c r="AU107" s="263"/>
      <c r="AV107" s="263"/>
      <c r="AW107" s="263"/>
      <c r="AX107" s="263">
        <f t="shared" si="77"/>
        <v>6.6</v>
      </c>
      <c r="BA107" s="282">
        <f t="shared" si="67"/>
        <v>270.98039215686276</v>
      </c>
      <c r="BB107">
        <v>1</v>
      </c>
      <c r="BC107">
        <f t="shared" si="78"/>
        <v>270.98039215686276</v>
      </c>
      <c r="BD107">
        <f t="shared" si="68"/>
        <v>480</v>
      </c>
      <c r="BE107">
        <f t="shared" si="69"/>
        <v>480</v>
      </c>
      <c r="BF107" s="281">
        <f t="shared" si="79"/>
        <v>0.56454248366013071</v>
      </c>
      <c r="BG107" s="282" t="s">
        <v>2497</v>
      </c>
      <c r="BH107" s="283"/>
    </row>
    <row r="108" spans="1:60" x14ac:dyDescent="0.3">
      <c r="A108">
        <f t="shared" si="70"/>
        <v>106</v>
      </c>
      <c r="B108" s="241" t="s">
        <v>2499</v>
      </c>
      <c r="C108" s="294" t="s">
        <v>2512</v>
      </c>
      <c r="D108" s="14">
        <v>45716</v>
      </c>
      <c r="E108" s="7"/>
      <c r="F108" s="7"/>
      <c r="G108" s="66"/>
      <c r="H108" s="59"/>
      <c r="I108" s="59">
        <v>450</v>
      </c>
      <c r="J108" s="47">
        <f t="shared" si="48"/>
        <v>450</v>
      </c>
      <c r="K108" s="8">
        <f t="shared" si="49"/>
        <v>450</v>
      </c>
      <c r="L108" s="96">
        <f t="shared" si="50"/>
        <v>1</v>
      </c>
      <c r="M108" s="81">
        <v>715</v>
      </c>
      <c r="N108" s="8">
        <v>153</v>
      </c>
      <c r="O108" s="8">
        <v>60</v>
      </c>
      <c r="P108" s="96">
        <f t="shared" si="51"/>
        <v>0.62309368191721137</v>
      </c>
      <c r="Q108" s="59">
        <f t="shared" si="52"/>
        <v>715</v>
      </c>
      <c r="R108" s="252">
        <f t="shared" si="62"/>
        <v>729</v>
      </c>
      <c r="S108" s="263">
        <v>18</v>
      </c>
      <c r="T108" s="263">
        <v>3</v>
      </c>
      <c r="U108" s="263">
        <v>0</v>
      </c>
      <c r="V108" s="263">
        <v>0</v>
      </c>
      <c r="W108" s="263">
        <v>0</v>
      </c>
      <c r="X108" s="263">
        <v>1</v>
      </c>
      <c r="Y108" s="263">
        <v>0</v>
      </c>
      <c r="Z108" s="263">
        <v>0</v>
      </c>
      <c r="AA108" s="263">
        <v>2</v>
      </c>
      <c r="AB108" s="263">
        <v>13</v>
      </c>
      <c r="AC108" s="263">
        <v>0</v>
      </c>
      <c r="AD108" s="263">
        <v>1</v>
      </c>
      <c r="AE108" s="263"/>
      <c r="AF108" s="263"/>
      <c r="AG108" s="263"/>
      <c r="AH108" s="263"/>
      <c r="AI108" s="263"/>
      <c r="AJ108" s="259"/>
      <c r="AK108" s="263">
        <f t="shared" si="71"/>
        <v>1</v>
      </c>
      <c r="AL108" s="265">
        <f t="shared" si="63"/>
        <v>9</v>
      </c>
      <c r="AM108" s="6">
        <f t="shared" si="72"/>
        <v>1</v>
      </c>
      <c r="AN108" s="255">
        <f t="shared" si="64"/>
        <v>0.98079561042524011</v>
      </c>
      <c r="AO108" s="256">
        <f t="shared" si="65"/>
        <v>0.61112754810810177</v>
      </c>
      <c r="AP108" s="257">
        <f t="shared" si="66"/>
        <v>1371.7421124828531</v>
      </c>
      <c r="AQ108" s="263">
        <f t="shared" si="73"/>
        <v>6.5</v>
      </c>
      <c r="AR108" s="263">
        <f t="shared" si="74"/>
        <v>0</v>
      </c>
      <c r="AS108" s="263">
        <f t="shared" si="75"/>
        <v>0.1</v>
      </c>
      <c r="AT108" s="263">
        <f t="shared" si="76"/>
        <v>6.6</v>
      </c>
      <c r="AU108" s="263"/>
      <c r="AV108" s="263"/>
      <c r="AW108" s="263"/>
      <c r="AX108" s="263">
        <f t="shared" si="77"/>
        <v>6.6</v>
      </c>
      <c r="BA108" s="282">
        <f t="shared" si="67"/>
        <v>280.39215686274514</v>
      </c>
      <c r="BB108">
        <v>1</v>
      </c>
      <c r="BC108">
        <f t="shared" si="78"/>
        <v>280.39215686274514</v>
      </c>
      <c r="BD108">
        <f t="shared" si="68"/>
        <v>450</v>
      </c>
      <c r="BE108">
        <f t="shared" si="69"/>
        <v>450</v>
      </c>
      <c r="BF108" s="281">
        <f t="shared" si="79"/>
        <v>0.62309368191721137</v>
      </c>
      <c r="BG108" s="282" t="s">
        <v>2501</v>
      </c>
      <c r="BH108" s="283"/>
    </row>
    <row r="109" spans="1:60" x14ac:dyDescent="0.3">
      <c r="A109">
        <f t="shared" si="70"/>
        <v>107</v>
      </c>
      <c r="B109" s="241" t="s">
        <v>2499</v>
      </c>
      <c r="C109" s="294" t="s">
        <v>2513</v>
      </c>
      <c r="D109" s="14">
        <v>45716</v>
      </c>
      <c r="E109" s="7"/>
      <c r="F109" s="7"/>
      <c r="G109" s="66"/>
      <c r="H109" s="59"/>
      <c r="I109" s="59">
        <v>510</v>
      </c>
      <c r="J109" s="47">
        <f t="shared" si="48"/>
        <v>510</v>
      </c>
      <c r="K109" s="8">
        <f t="shared" si="49"/>
        <v>510</v>
      </c>
      <c r="L109" s="96">
        <f t="shared" si="50"/>
        <v>1</v>
      </c>
      <c r="M109" s="81">
        <v>1275</v>
      </c>
      <c r="N109" s="8">
        <v>153</v>
      </c>
      <c r="O109" s="8">
        <v>60</v>
      </c>
      <c r="P109" s="96">
        <f t="shared" si="51"/>
        <v>0.98039215686274517</v>
      </c>
      <c r="Q109" s="59">
        <f t="shared" si="52"/>
        <v>1275</v>
      </c>
      <c r="R109" s="252">
        <f t="shared" si="62"/>
        <v>1306</v>
      </c>
      <c r="S109" s="263">
        <v>19</v>
      </c>
      <c r="T109" s="263">
        <v>0</v>
      </c>
      <c r="U109" s="263">
        <v>0</v>
      </c>
      <c r="V109" s="263">
        <v>0</v>
      </c>
      <c r="W109" s="263">
        <v>0</v>
      </c>
      <c r="X109" s="263">
        <v>2</v>
      </c>
      <c r="Y109" s="263">
        <v>0</v>
      </c>
      <c r="Z109" s="263">
        <v>0</v>
      </c>
      <c r="AA109" s="263">
        <v>1</v>
      </c>
      <c r="AB109" s="263">
        <v>29</v>
      </c>
      <c r="AC109" s="263">
        <v>0</v>
      </c>
      <c r="AD109" s="263">
        <v>2</v>
      </c>
      <c r="AE109" s="263"/>
      <c r="AF109" s="263"/>
      <c r="AG109" s="263"/>
      <c r="AH109" s="263"/>
      <c r="AI109" s="263"/>
      <c r="AJ109" s="259"/>
      <c r="AK109" s="263">
        <f t="shared" si="71"/>
        <v>2</v>
      </c>
      <c r="AL109" s="265">
        <f t="shared" si="63"/>
        <v>9</v>
      </c>
      <c r="AM109" s="6">
        <f t="shared" si="72"/>
        <v>2</v>
      </c>
      <c r="AN109" s="255">
        <f t="shared" si="64"/>
        <v>0.97626339969372133</v>
      </c>
      <c r="AO109" s="256">
        <f t="shared" si="65"/>
        <v>0.95712098009188373</v>
      </c>
      <c r="AP109" s="257">
        <f t="shared" si="66"/>
        <v>1531.3935681470139</v>
      </c>
      <c r="AQ109" s="263">
        <f t="shared" si="73"/>
        <v>14.5</v>
      </c>
      <c r="AR109" s="263">
        <f t="shared" si="74"/>
        <v>0</v>
      </c>
      <c r="AS109" s="263">
        <f t="shared" si="75"/>
        <v>0.2</v>
      </c>
      <c r="AT109" s="263">
        <f t="shared" si="76"/>
        <v>14.7</v>
      </c>
      <c r="AU109" s="263"/>
      <c r="AV109" s="263"/>
      <c r="AW109" s="263"/>
      <c r="AX109" s="263">
        <f t="shared" si="77"/>
        <v>14.7</v>
      </c>
      <c r="BA109" s="282">
        <f t="shared" si="67"/>
        <v>500.00000000000006</v>
      </c>
      <c r="BB109">
        <v>1</v>
      </c>
      <c r="BC109">
        <f t="shared" si="78"/>
        <v>500.00000000000006</v>
      </c>
      <c r="BD109">
        <f t="shared" si="68"/>
        <v>510</v>
      </c>
      <c r="BE109">
        <f t="shared" si="69"/>
        <v>510</v>
      </c>
      <c r="BF109" s="281">
        <f t="shared" si="79"/>
        <v>0.98039215686274517</v>
      </c>
      <c r="BG109" s="282" t="s">
        <v>2498</v>
      </c>
      <c r="BH109" s="283"/>
    </row>
    <row r="110" spans="1:60" x14ac:dyDescent="0.3">
      <c r="A110">
        <f t="shared" si="70"/>
        <v>108</v>
      </c>
      <c r="B110" s="241" t="s">
        <v>2499</v>
      </c>
      <c r="C110" s="294" t="s">
        <v>2511</v>
      </c>
      <c r="D110" s="14">
        <v>45717</v>
      </c>
      <c r="E110" s="7"/>
      <c r="F110" s="7"/>
      <c r="G110" s="66"/>
      <c r="H110" s="59"/>
      <c r="I110" s="59">
        <v>480</v>
      </c>
      <c r="J110" s="47">
        <f t="shared" si="48"/>
        <v>480</v>
      </c>
      <c r="K110" s="8">
        <f t="shared" si="49"/>
        <v>480</v>
      </c>
      <c r="L110" s="96">
        <f t="shared" si="50"/>
        <v>1</v>
      </c>
      <c r="M110" s="81">
        <v>1019</v>
      </c>
      <c r="N110" s="8">
        <v>153</v>
      </c>
      <c r="O110" s="8">
        <v>60</v>
      </c>
      <c r="P110" s="96">
        <f t="shared" si="51"/>
        <v>0.83251633986928109</v>
      </c>
      <c r="Q110" s="59">
        <f t="shared" si="52"/>
        <v>1019</v>
      </c>
      <c r="R110" s="252">
        <f t="shared" si="62"/>
        <v>1033</v>
      </c>
      <c r="S110" s="263">
        <v>36</v>
      </c>
      <c r="T110" s="263">
        <v>2</v>
      </c>
      <c r="U110" s="263">
        <v>0</v>
      </c>
      <c r="V110" s="263">
        <v>0</v>
      </c>
      <c r="W110" s="263">
        <v>5</v>
      </c>
      <c r="X110" s="263">
        <v>0</v>
      </c>
      <c r="Y110" s="263">
        <v>0</v>
      </c>
      <c r="Z110" s="263">
        <v>0</v>
      </c>
      <c r="AA110" s="263">
        <v>3</v>
      </c>
      <c r="AB110" s="263">
        <v>8</v>
      </c>
      <c r="AC110" s="263">
        <v>2</v>
      </c>
      <c r="AD110" s="263">
        <v>4</v>
      </c>
      <c r="AE110" s="263"/>
      <c r="AF110" s="263"/>
      <c r="AG110" s="263"/>
      <c r="AH110" s="263"/>
      <c r="AI110" s="263"/>
      <c r="AJ110" s="259"/>
      <c r="AK110" s="263">
        <f t="shared" si="71"/>
        <v>4</v>
      </c>
      <c r="AL110" s="265">
        <f t="shared" si="63"/>
        <v>9</v>
      </c>
      <c r="AM110" s="6">
        <f t="shared" si="72"/>
        <v>4</v>
      </c>
      <c r="AN110" s="255">
        <f t="shared" si="64"/>
        <v>0.98644724104549852</v>
      </c>
      <c r="AO110" s="256">
        <f t="shared" si="65"/>
        <v>0.82123344658934894</v>
      </c>
      <c r="AP110" s="257">
        <f t="shared" si="66"/>
        <v>3872.2168441432723</v>
      </c>
      <c r="AQ110" s="263">
        <f t="shared" si="73"/>
        <v>4</v>
      </c>
      <c r="AR110" s="263">
        <f t="shared" si="74"/>
        <v>0.4</v>
      </c>
      <c r="AS110" s="263">
        <f t="shared" si="75"/>
        <v>0.4</v>
      </c>
      <c r="AT110" s="263">
        <f t="shared" si="76"/>
        <v>4.8000000000000007</v>
      </c>
      <c r="AU110" s="263"/>
      <c r="AV110" s="263"/>
      <c r="AW110" s="263"/>
      <c r="AX110" s="263">
        <f t="shared" si="77"/>
        <v>4.8000000000000007</v>
      </c>
      <c r="BA110" s="282">
        <f t="shared" si="67"/>
        <v>399.60784313725492</v>
      </c>
      <c r="BB110">
        <v>1</v>
      </c>
      <c r="BC110">
        <f t="shared" si="78"/>
        <v>399.60784313725492</v>
      </c>
      <c r="BD110">
        <f t="shared" si="68"/>
        <v>480</v>
      </c>
      <c r="BE110">
        <f t="shared" si="69"/>
        <v>480</v>
      </c>
      <c r="BF110" s="281">
        <f t="shared" si="79"/>
        <v>0.83251633986928109</v>
      </c>
      <c r="BG110" s="282" t="s">
        <v>2481</v>
      </c>
      <c r="BH110" s="283"/>
    </row>
    <row r="111" spans="1:60" x14ac:dyDescent="0.3">
      <c r="A111">
        <f t="shared" si="70"/>
        <v>109</v>
      </c>
      <c r="B111" s="323" t="s">
        <v>2527</v>
      </c>
      <c r="C111" s="294" t="s">
        <v>2512</v>
      </c>
      <c r="D111" s="14">
        <v>45717</v>
      </c>
      <c r="E111" s="7"/>
      <c r="F111" s="7"/>
      <c r="G111" s="66"/>
      <c r="H111" s="59"/>
      <c r="I111" s="59">
        <v>450</v>
      </c>
      <c r="J111" s="47">
        <f t="shared" si="48"/>
        <v>450</v>
      </c>
      <c r="K111" s="8">
        <f t="shared" si="49"/>
        <v>450</v>
      </c>
      <c r="L111" s="96">
        <f t="shared" si="50"/>
        <v>1</v>
      </c>
      <c r="M111" s="81">
        <v>280</v>
      </c>
      <c r="N111" s="8">
        <v>153</v>
      </c>
      <c r="O111" s="8">
        <v>60</v>
      </c>
      <c r="P111" s="96">
        <f t="shared" si="51"/>
        <v>0.24400871459694987</v>
      </c>
      <c r="Q111" s="59">
        <f t="shared" si="52"/>
        <v>280</v>
      </c>
      <c r="R111" s="252">
        <f t="shared" si="62"/>
        <v>280</v>
      </c>
      <c r="S111" s="263"/>
      <c r="T111" s="263"/>
      <c r="U111" s="263"/>
      <c r="V111" s="263"/>
      <c r="W111" s="263"/>
      <c r="X111" s="263"/>
      <c r="Y111" s="263"/>
      <c r="Z111" s="263"/>
      <c r="AA111" s="263"/>
      <c r="AB111" s="263"/>
      <c r="AC111" s="263"/>
      <c r="AD111" s="263"/>
      <c r="AE111" s="263"/>
      <c r="AF111" s="263"/>
      <c r="AG111" s="263"/>
      <c r="AH111" s="263"/>
      <c r="AI111" s="263"/>
      <c r="AJ111" s="259"/>
      <c r="AK111" s="263">
        <f t="shared" si="71"/>
        <v>0</v>
      </c>
      <c r="AL111" s="265">
        <f t="shared" si="63"/>
        <v>9</v>
      </c>
      <c r="AM111" s="6">
        <f t="shared" si="72"/>
        <v>0</v>
      </c>
      <c r="AN111" s="255">
        <f t="shared" si="64"/>
        <v>1</v>
      </c>
      <c r="AO111" s="256">
        <f t="shared" si="65"/>
        <v>0.24400871459694987</v>
      </c>
      <c r="AP111" s="257">
        <f t="shared" si="66"/>
        <v>0</v>
      </c>
      <c r="AQ111" s="263">
        <f t="shared" si="73"/>
        <v>0</v>
      </c>
      <c r="AR111" s="263">
        <f t="shared" si="74"/>
        <v>0</v>
      </c>
      <c r="AS111" s="263">
        <f t="shared" si="75"/>
        <v>0</v>
      </c>
      <c r="AT111" s="263">
        <f t="shared" si="76"/>
        <v>0</v>
      </c>
      <c r="AU111" s="263"/>
      <c r="AV111" s="263"/>
      <c r="AW111" s="263"/>
      <c r="AX111" s="263">
        <f t="shared" si="77"/>
        <v>0</v>
      </c>
      <c r="BA111" s="282">
        <f t="shared" si="67"/>
        <v>109.80392156862744</v>
      </c>
      <c r="BB111">
        <v>1</v>
      </c>
      <c r="BC111">
        <f t="shared" si="78"/>
        <v>109.80392156862744</v>
      </c>
      <c r="BD111">
        <f t="shared" si="68"/>
        <v>450</v>
      </c>
      <c r="BE111">
        <f t="shared" si="69"/>
        <v>450</v>
      </c>
      <c r="BF111" s="281">
        <f t="shared" si="79"/>
        <v>0.24400871459694987</v>
      </c>
      <c r="BG111" s="282" t="s">
        <v>2531</v>
      </c>
      <c r="BH111" s="283" t="s">
        <v>2532</v>
      </c>
    </row>
    <row r="112" spans="1:60" x14ac:dyDescent="0.3">
      <c r="A112">
        <f t="shared" si="70"/>
        <v>110</v>
      </c>
      <c r="B112" s="241" t="s">
        <v>2499</v>
      </c>
      <c r="C112" s="294" t="s">
        <v>2511</v>
      </c>
      <c r="D112" s="14">
        <v>45719</v>
      </c>
      <c r="E112" s="7">
        <v>15</v>
      </c>
      <c r="F112" s="7"/>
      <c r="G112" s="66"/>
      <c r="H112" s="59"/>
      <c r="I112" s="59">
        <v>480</v>
      </c>
      <c r="J112" s="47">
        <f t="shared" si="48"/>
        <v>480</v>
      </c>
      <c r="K112" s="8">
        <f t="shared" si="49"/>
        <v>465</v>
      </c>
      <c r="L112" s="96">
        <f t="shared" si="50"/>
        <v>0.96875</v>
      </c>
      <c r="M112" s="81">
        <v>742</v>
      </c>
      <c r="N112" s="8">
        <v>153</v>
      </c>
      <c r="O112" s="8">
        <v>60</v>
      </c>
      <c r="P112" s="96">
        <f t="shared" si="51"/>
        <v>0.62576428420830688</v>
      </c>
      <c r="Q112" s="59">
        <f t="shared" si="52"/>
        <v>742</v>
      </c>
      <c r="R112" s="252">
        <f t="shared" si="62"/>
        <v>759</v>
      </c>
      <c r="S112" s="263">
        <v>27</v>
      </c>
      <c r="T112" s="263">
        <v>2</v>
      </c>
      <c r="U112" s="263">
        <v>0</v>
      </c>
      <c r="V112" s="263">
        <v>0</v>
      </c>
      <c r="W112" s="263">
        <v>0</v>
      </c>
      <c r="X112" s="263">
        <v>0</v>
      </c>
      <c r="Y112" s="263">
        <v>0</v>
      </c>
      <c r="Z112" s="263">
        <v>11</v>
      </c>
      <c r="AA112" s="263">
        <v>0</v>
      </c>
      <c r="AB112" s="263">
        <v>15</v>
      </c>
      <c r="AC112" s="263">
        <v>0</v>
      </c>
      <c r="AD112" s="263">
        <v>2</v>
      </c>
      <c r="AE112" s="263"/>
      <c r="AF112" s="263"/>
      <c r="AG112" s="263"/>
      <c r="AH112" s="263"/>
      <c r="AI112" s="263"/>
      <c r="AJ112" s="259"/>
      <c r="AK112" s="263">
        <f t="shared" si="71"/>
        <v>2</v>
      </c>
      <c r="AL112" s="265">
        <f t="shared" si="63"/>
        <v>10</v>
      </c>
      <c r="AM112" s="6">
        <f t="shared" si="72"/>
        <v>2</v>
      </c>
      <c r="AN112" s="255">
        <f t="shared" si="64"/>
        <v>0.97760210803689063</v>
      </c>
      <c r="AO112" s="256">
        <f t="shared" si="65"/>
        <v>0.59263134327072942</v>
      </c>
      <c r="AP112" s="257">
        <f t="shared" si="66"/>
        <v>2635.046113306983</v>
      </c>
      <c r="AQ112" s="263">
        <f t="shared" si="73"/>
        <v>7.5</v>
      </c>
      <c r="AR112" s="263">
        <f t="shared" si="74"/>
        <v>0</v>
      </c>
      <c r="AS112" s="263">
        <f t="shared" si="75"/>
        <v>0.2</v>
      </c>
      <c r="AT112" s="263">
        <f t="shared" si="76"/>
        <v>7.7</v>
      </c>
      <c r="AU112" s="263"/>
      <c r="AV112" s="263"/>
      <c r="AW112" s="263"/>
      <c r="AX112" s="263">
        <f t="shared" si="77"/>
        <v>7.7</v>
      </c>
      <c r="BA112" s="282">
        <f t="shared" si="67"/>
        <v>290.98039215686271</v>
      </c>
      <c r="BB112">
        <v>1</v>
      </c>
      <c r="BC112">
        <f t="shared" si="78"/>
        <v>290.98039215686271</v>
      </c>
      <c r="BD112">
        <f t="shared" si="68"/>
        <v>465</v>
      </c>
      <c r="BE112">
        <f t="shared" si="69"/>
        <v>480</v>
      </c>
      <c r="BF112" s="281">
        <f t="shared" si="79"/>
        <v>0.60620915032679734</v>
      </c>
      <c r="BG112" s="282" t="s">
        <v>2481</v>
      </c>
      <c r="BH112" s="283"/>
    </row>
    <row r="113" spans="1:60" x14ac:dyDescent="0.3">
      <c r="A113">
        <f t="shared" si="70"/>
        <v>111</v>
      </c>
      <c r="B113" s="241" t="s">
        <v>2499</v>
      </c>
      <c r="C113" s="294" t="s">
        <v>2512</v>
      </c>
      <c r="D113" s="14">
        <v>45719</v>
      </c>
      <c r="E113" s="7"/>
      <c r="F113" s="7"/>
      <c r="G113" s="66"/>
      <c r="H113" s="59"/>
      <c r="I113" s="59">
        <v>450</v>
      </c>
      <c r="J113" s="47">
        <f t="shared" si="48"/>
        <v>450</v>
      </c>
      <c r="K113" s="8">
        <f t="shared" si="49"/>
        <v>450</v>
      </c>
      <c r="L113" s="96">
        <f t="shared" si="50"/>
        <v>1</v>
      </c>
      <c r="M113" s="81">
        <v>948</v>
      </c>
      <c r="N113" s="8">
        <v>153</v>
      </c>
      <c r="O113" s="8">
        <v>60</v>
      </c>
      <c r="P113" s="96">
        <f t="shared" si="51"/>
        <v>0.82614379084967315</v>
      </c>
      <c r="Q113" s="59">
        <f t="shared" si="52"/>
        <v>948</v>
      </c>
      <c r="R113" s="252">
        <f t="shared" si="62"/>
        <v>957</v>
      </c>
      <c r="S113" s="263">
        <v>21</v>
      </c>
      <c r="T113" s="263">
        <v>1</v>
      </c>
      <c r="U113" s="263">
        <v>0</v>
      </c>
      <c r="V113" s="263">
        <v>0</v>
      </c>
      <c r="W113" s="263">
        <v>19</v>
      </c>
      <c r="X113" s="263">
        <v>0</v>
      </c>
      <c r="Y113" s="263">
        <v>0</v>
      </c>
      <c r="Z113" s="263">
        <v>1</v>
      </c>
      <c r="AA113" s="263">
        <v>17</v>
      </c>
      <c r="AB113" s="263">
        <v>7</v>
      </c>
      <c r="AC113" s="263">
        <v>1</v>
      </c>
      <c r="AD113" s="263">
        <v>1</v>
      </c>
      <c r="AE113" s="263"/>
      <c r="AF113" s="263"/>
      <c r="AG113" s="263"/>
      <c r="AH113" s="263"/>
      <c r="AI113" s="263"/>
      <c r="AJ113" s="259"/>
      <c r="AK113" s="263">
        <f t="shared" si="71"/>
        <v>1</v>
      </c>
      <c r="AL113" s="265">
        <f t="shared" si="63"/>
        <v>10</v>
      </c>
      <c r="AM113" s="6">
        <f t="shared" si="72"/>
        <v>1</v>
      </c>
      <c r="AN113" s="255">
        <f t="shared" si="64"/>
        <v>0.99059561128526641</v>
      </c>
      <c r="AO113" s="256">
        <f t="shared" si="65"/>
        <v>0.81837441350625928</v>
      </c>
      <c r="AP113" s="257">
        <f t="shared" si="66"/>
        <v>1044.9320794148382</v>
      </c>
      <c r="AQ113" s="263">
        <f t="shared" si="73"/>
        <v>3.5</v>
      </c>
      <c r="AR113" s="263">
        <f t="shared" si="74"/>
        <v>0.2</v>
      </c>
      <c r="AS113" s="263">
        <f t="shared" si="75"/>
        <v>0.1</v>
      </c>
      <c r="AT113" s="263">
        <f t="shared" si="76"/>
        <v>3.8000000000000003</v>
      </c>
      <c r="AU113" s="263"/>
      <c r="AV113" s="263"/>
      <c r="AW113" s="263"/>
      <c r="AX113" s="263">
        <f t="shared" si="77"/>
        <v>3.8000000000000003</v>
      </c>
      <c r="BA113" s="282">
        <f t="shared" si="67"/>
        <v>371.76470588235293</v>
      </c>
      <c r="BB113">
        <v>1</v>
      </c>
      <c r="BC113">
        <f t="shared" si="78"/>
        <v>371.76470588235293</v>
      </c>
      <c r="BD113">
        <f t="shared" si="68"/>
        <v>450</v>
      </c>
      <c r="BE113">
        <f t="shared" si="69"/>
        <v>450</v>
      </c>
      <c r="BF113" s="281">
        <f t="shared" si="79"/>
        <v>0.82614379084967315</v>
      </c>
      <c r="BG113" s="282" t="s">
        <v>2526</v>
      </c>
      <c r="BH113" s="283" t="s">
        <v>2533</v>
      </c>
    </row>
    <row r="114" spans="1:60" x14ac:dyDescent="0.3">
      <c r="A114">
        <f t="shared" si="70"/>
        <v>112</v>
      </c>
      <c r="B114" s="241" t="s">
        <v>2499</v>
      </c>
      <c r="C114" s="294" t="s">
        <v>2513</v>
      </c>
      <c r="D114" s="14">
        <v>45719</v>
      </c>
      <c r="E114" s="7"/>
      <c r="F114" s="7"/>
      <c r="G114" s="66"/>
      <c r="H114" s="59"/>
      <c r="I114" s="59">
        <v>510</v>
      </c>
      <c r="J114" s="47">
        <f t="shared" si="48"/>
        <v>510</v>
      </c>
      <c r="K114" s="8">
        <f t="shared" si="49"/>
        <v>510</v>
      </c>
      <c r="L114" s="96">
        <f t="shared" si="50"/>
        <v>1</v>
      </c>
      <c r="M114" s="81">
        <v>1064</v>
      </c>
      <c r="N114" s="8">
        <v>153</v>
      </c>
      <c r="O114" s="8">
        <v>60</v>
      </c>
      <c r="P114" s="96">
        <f t="shared" si="51"/>
        <v>0.8181468665897732</v>
      </c>
      <c r="Q114" s="59">
        <f t="shared" si="52"/>
        <v>1064</v>
      </c>
      <c r="R114" s="252">
        <f t="shared" si="62"/>
        <v>1080</v>
      </c>
      <c r="S114" s="263">
        <v>27</v>
      </c>
      <c r="T114" s="263">
        <v>3</v>
      </c>
      <c r="U114" s="263">
        <v>5</v>
      </c>
      <c r="V114" s="263">
        <v>0</v>
      </c>
      <c r="W114" s="263">
        <v>2</v>
      </c>
      <c r="X114" s="263">
        <v>2</v>
      </c>
      <c r="Y114" s="263">
        <v>0</v>
      </c>
      <c r="Z114" s="263">
        <v>1</v>
      </c>
      <c r="AA114" s="263">
        <v>1</v>
      </c>
      <c r="AB114" s="263">
        <v>13</v>
      </c>
      <c r="AC114" s="263">
        <v>2</v>
      </c>
      <c r="AD114" s="263">
        <v>1</v>
      </c>
      <c r="AE114" s="263"/>
      <c r="AF114" s="263"/>
      <c r="AG114" s="263"/>
      <c r="AH114" s="263"/>
      <c r="AI114" s="263"/>
      <c r="AJ114" s="259"/>
      <c r="AK114" s="263">
        <f t="shared" si="71"/>
        <v>1</v>
      </c>
      <c r="AL114" s="265">
        <f t="shared" si="63"/>
        <v>10</v>
      </c>
      <c r="AM114" s="6">
        <f t="shared" si="72"/>
        <v>1</v>
      </c>
      <c r="AN114" s="255">
        <f t="shared" si="64"/>
        <v>0.98518518518518516</v>
      </c>
      <c r="AO114" s="256">
        <f t="shared" si="65"/>
        <v>0.80602617226992468</v>
      </c>
      <c r="AP114" s="257">
        <f t="shared" si="66"/>
        <v>925.92592592592598</v>
      </c>
      <c r="AQ114" s="263">
        <f t="shared" si="73"/>
        <v>6.5</v>
      </c>
      <c r="AR114" s="263">
        <f t="shared" si="74"/>
        <v>0.4</v>
      </c>
      <c r="AS114" s="263">
        <f t="shared" si="75"/>
        <v>0.1</v>
      </c>
      <c r="AT114" s="263">
        <f t="shared" si="76"/>
        <v>7</v>
      </c>
      <c r="AU114" s="263"/>
      <c r="AV114" s="263"/>
      <c r="AW114" s="263"/>
      <c r="AX114" s="263">
        <f t="shared" si="77"/>
        <v>7</v>
      </c>
      <c r="BA114" s="282">
        <f t="shared" si="67"/>
        <v>417.25490196078431</v>
      </c>
      <c r="BB114">
        <v>1</v>
      </c>
      <c r="BC114">
        <f t="shared" si="78"/>
        <v>417.25490196078431</v>
      </c>
      <c r="BD114">
        <f t="shared" si="68"/>
        <v>510</v>
      </c>
      <c r="BE114">
        <f t="shared" si="69"/>
        <v>510</v>
      </c>
      <c r="BF114" s="281">
        <f t="shared" si="79"/>
        <v>0.8181468665897732</v>
      </c>
      <c r="BG114" s="282" t="s">
        <v>2500</v>
      </c>
      <c r="BH114" s="283"/>
    </row>
    <row r="115" spans="1:60" x14ac:dyDescent="0.3">
      <c r="A115">
        <f t="shared" si="70"/>
        <v>113</v>
      </c>
      <c r="B115" s="241" t="s">
        <v>2499</v>
      </c>
      <c r="C115" s="294" t="s">
        <v>2511</v>
      </c>
      <c r="D115" s="14">
        <v>45720</v>
      </c>
      <c r="E115" s="7"/>
      <c r="F115" s="7"/>
      <c r="G115" s="66"/>
      <c r="H115" s="59"/>
      <c r="I115" s="59">
        <v>480</v>
      </c>
      <c r="J115" s="47">
        <f t="shared" si="48"/>
        <v>480</v>
      </c>
      <c r="K115" s="8">
        <f t="shared" si="49"/>
        <v>480</v>
      </c>
      <c r="L115" s="96">
        <f t="shared" si="50"/>
        <v>1</v>
      </c>
      <c r="M115" s="81">
        <v>714</v>
      </c>
      <c r="N115" s="8">
        <v>153</v>
      </c>
      <c r="O115" s="8">
        <v>60</v>
      </c>
      <c r="P115" s="96">
        <f t="shared" si="51"/>
        <v>0.58333333333333337</v>
      </c>
      <c r="Q115" s="59">
        <f t="shared" si="52"/>
        <v>714</v>
      </c>
      <c r="R115" s="252">
        <f t="shared" si="62"/>
        <v>727</v>
      </c>
      <c r="S115" s="263">
        <v>18</v>
      </c>
      <c r="T115" s="263">
        <v>1</v>
      </c>
      <c r="U115" s="263">
        <v>0</v>
      </c>
      <c r="V115" s="263">
        <v>0</v>
      </c>
      <c r="W115" s="263">
        <v>14</v>
      </c>
      <c r="X115" s="263">
        <v>1</v>
      </c>
      <c r="Y115" s="263">
        <v>0</v>
      </c>
      <c r="Z115" s="263">
        <v>0</v>
      </c>
      <c r="AA115" s="263">
        <v>0</v>
      </c>
      <c r="AB115" s="263">
        <v>9</v>
      </c>
      <c r="AC115" s="263">
        <v>2</v>
      </c>
      <c r="AD115" s="263">
        <v>2</v>
      </c>
      <c r="AE115" s="263"/>
      <c r="AF115" s="263"/>
      <c r="AG115" s="263"/>
      <c r="AH115" s="263"/>
      <c r="AI115" s="263"/>
      <c r="AJ115" s="259"/>
      <c r="AK115" s="263">
        <f t="shared" si="71"/>
        <v>2</v>
      </c>
      <c r="AL115" s="265">
        <f t="shared" si="63"/>
        <v>10</v>
      </c>
      <c r="AM115" s="6">
        <f t="shared" si="72"/>
        <v>2</v>
      </c>
      <c r="AN115" s="255">
        <f t="shared" si="64"/>
        <v>0.98211829436038511</v>
      </c>
      <c r="AO115" s="256">
        <f t="shared" si="65"/>
        <v>0.57290233837689131</v>
      </c>
      <c r="AP115" s="257">
        <f t="shared" si="66"/>
        <v>2751.0316368638241</v>
      </c>
      <c r="AQ115" s="263">
        <f t="shared" si="73"/>
        <v>4.5</v>
      </c>
      <c r="AR115" s="263">
        <f t="shared" si="74"/>
        <v>0.4</v>
      </c>
      <c r="AS115" s="263">
        <f t="shared" si="75"/>
        <v>0.2</v>
      </c>
      <c r="AT115" s="263">
        <f t="shared" si="76"/>
        <v>5.1000000000000005</v>
      </c>
      <c r="AU115" s="263"/>
      <c r="AV115" s="263"/>
      <c r="AW115" s="263"/>
      <c r="AX115" s="263">
        <f t="shared" si="77"/>
        <v>5.1000000000000005</v>
      </c>
      <c r="BA115" s="282">
        <f t="shared" si="67"/>
        <v>280</v>
      </c>
      <c r="BB115">
        <v>1</v>
      </c>
      <c r="BC115">
        <f t="shared" si="78"/>
        <v>280</v>
      </c>
      <c r="BD115">
        <f t="shared" si="68"/>
        <v>480</v>
      </c>
      <c r="BE115">
        <f t="shared" si="69"/>
        <v>480</v>
      </c>
      <c r="BF115" s="281">
        <f t="shared" si="79"/>
        <v>0.58333333333333337</v>
      </c>
      <c r="BG115" s="282" t="s">
        <v>2481</v>
      </c>
      <c r="BH115" s="283"/>
    </row>
    <row r="116" spans="1:60" x14ac:dyDescent="0.3">
      <c r="A116">
        <f t="shared" si="70"/>
        <v>114</v>
      </c>
      <c r="B116" s="241" t="s">
        <v>2499</v>
      </c>
      <c r="C116" s="294" t="s">
        <v>2512</v>
      </c>
      <c r="D116" s="14">
        <v>45720</v>
      </c>
      <c r="E116" s="7"/>
      <c r="F116" s="7"/>
      <c r="G116" s="66"/>
      <c r="H116" s="59"/>
      <c r="I116" s="59">
        <v>450</v>
      </c>
      <c r="J116" s="47">
        <f t="shared" si="48"/>
        <v>450</v>
      </c>
      <c r="K116" s="8">
        <f t="shared" si="49"/>
        <v>450</v>
      </c>
      <c r="L116" s="96">
        <f t="shared" si="50"/>
        <v>1</v>
      </c>
      <c r="M116" s="81">
        <v>1072</v>
      </c>
      <c r="N116" s="8">
        <v>153</v>
      </c>
      <c r="O116" s="8">
        <v>60</v>
      </c>
      <c r="P116" s="96">
        <f t="shared" si="51"/>
        <v>0.93420479302832238</v>
      </c>
      <c r="Q116" s="59">
        <f t="shared" si="52"/>
        <v>1072</v>
      </c>
      <c r="R116" s="252">
        <f t="shared" si="62"/>
        <v>1080</v>
      </c>
      <c r="S116" s="263">
        <v>18</v>
      </c>
      <c r="T116" s="263">
        <v>1</v>
      </c>
      <c r="U116" s="263">
        <v>0</v>
      </c>
      <c r="V116" s="263">
        <v>0</v>
      </c>
      <c r="W116" s="263">
        <v>14</v>
      </c>
      <c r="X116" s="263">
        <v>0</v>
      </c>
      <c r="Y116" s="263">
        <v>0</v>
      </c>
      <c r="Z116" s="263">
        <v>2</v>
      </c>
      <c r="AA116" s="263">
        <v>0</v>
      </c>
      <c r="AB116" s="263">
        <v>7</v>
      </c>
      <c r="AC116" s="263">
        <v>0</v>
      </c>
      <c r="AD116" s="263">
        <v>1</v>
      </c>
      <c r="AE116" s="263"/>
      <c r="AF116" s="263"/>
      <c r="AG116" s="263"/>
      <c r="AH116" s="263"/>
      <c r="AI116" s="263"/>
      <c r="AJ116" s="259"/>
      <c r="AK116" s="263">
        <f t="shared" si="71"/>
        <v>1</v>
      </c>
      <c r="AL116" s="265">
        <f t="shared" si="63"/>
        <v>10</v>
      </c>
      <c r="AM116" s="6">
        <f t="shared" si="72"/>
        <v>1</v>
      </c>
      <c r="AN116" s="255">
        <f t="shared" si="64"/>
        <v>0.99259259259259258</v>
      </c>
      <c r="AO116" s="256">
        <f t="shared" si="65"/>
        <v>0.92728475752440886</v>
      </c>
      <c r="AP116" s="257">
        <f t="shared" si="66"/>
        <v>925.92592592592598</v>
      </c>
      <c r="AQ116" s="263">
        <f t="shared" si="73"/>
        <v>3.5</v>
      </c>
      <c r="AR116" s="263">
        <f t="shared" si="74"/>
        <v>0</v>
      </c>
      <c r="AS116" s="263">
        <f t="shared" si="75"/>
        <v>0.1</v>
      </c>
      <c r="AT116" s="263">
        <f t="shared" si="76"/>
        <v>3.6</v>
      </c>
      <c r="AU116" s="263"/>
      <c r="AV116" s="263"/>
      <c r="AW116" s="263"/>
      <c r="AX116" s="263">
        <f t="shared" si="77"/>
        <v>3.6</v>
      </c>
      <c r="BA116" s="282">
        <f t="shared" si="67"/>
        <v>420.39215686274508</v>
      </c>
      <c r="BB116">
        <v>1</v>
      </c>
      <c r="BC116">
        <f t="shared" si="78"/>
        <v>420.39215686274508</v>
      </c>
      <c r="BD116">
        <f t="shared" si="68"/>
        <v>450</v>
      </c>
      <c r="BE116">
        <f t="shared" si="69"/>
        <v>450</v>
      </c>
      <c r="BF116" s="281">
        <f t="shared" si="79"/>
        <v>0.93420479302832238</v>
      </c>
      <c r="BG116" s="282" t="s">
        <v>2526</v>
      </c>
      <c r="BH116" s="283"/>
    </row>
    <row r="117" spans="1:60" x14ac:dyDescent="0.3">
      <c r="A117">
        <f t="shared" si="70"/>
        <v>115</v>
      </c>
      <c r="B117" s="241" t="s">
        <v>2499</v>
      </c>
      <c r="C117" s="294" t="s">
        <v>2513</v>
      </c>
      <c r="D117" s="14">
        <v>45720</v>
      </c>
      <c r="E117" s="7"/>
      <c r="F117" s="7"/>
      <c r="G117" s="66"/>
      <c r="H117" s="59"/>
      <c r="I117" s="59">
        <v>510</v>
      </c>
      <c r="J117" s="47">
        <f t="shared" si="48"/>
        <v>510</v>
      </c>
      <c r="K117" s="8">
        <f t="shared" si="49"/>
        <v>510</v>
      </c>
      <c r="L117" s="96">
        <f t="shared" si="50"/>
        <v>1</v>
      </c>
      <c r="M117" s="81">
        <v>610</v>
      </c>
      <c r="N117" s="8">
        <v>153</v>
      </c>
      <c r="O117" s="8">
        <v>60</v>
      </c>
      <c r="P117" s="96">
        <f t="shared" si="51"/>
        <v>0.4690503652441369</v>
      </c>
      <c r="Q117" s="59">
        <f t="shared" si="52"/>
        <v>610</v>
      </c>
      <c r="R117" s="252">
        <f t="shared" si="62"/>
        <v>616</v>
      </c>
      <c r="S117" s="263">
        <v>18</v>
      </c>
      <c r="T117" s="263">
        <v>0</v>
      </c>
      <c r="U117" s="263">
        <v>0</v>
      </c>
      <c r="V117" s="263">
        <v>0</v>
      </c>
      <c r="W117" s="263">
        <v>21</v>
      </c>
      <c r="X117" s="263">
        <v>6</v>
      </c>
      <c r="Y117" s="263">
        <v>0</v>
      </c>
      <c r="Z117" s="263">
        <v>0</v>
      </c>
      <c r="AA117" s="263">
        <v>0</v>
      </c>
      <c r="AB117" s="263">
        <v>5</v>
      </c>
      <c r="AC117" s="263">
        <v>0</v>
      </c>
      <c r="AD117" s="263">
        <v>1</v>
      </c>
      <c r="AE117" s="263"/>
      <c r="AF117" s="263"/>
      <c r="AG117" s="263"/>
      <c r="AH117" s="263"/>
      <c r="AI117" s="263"/>
      <c r="AJ117" s="259"/>
      <c r="AK117" s="263">
        <f t="shared" si="71"/>
        <v>1</v>
      </c>
      <c r="AL117" s="265">
        <f t="shared" si="63"/>
        <v>10</v>
      </c>
      <c r="AM117" s="6">
        <f t="shared" si="72"/>
        <v>1</v>
      </c>
      <c r="AN117" s="255">
        <f t="shared" si="64"/>
        <v>0.99025974025974028</v>
      </c>
      <c r="AO117" s="256">
        <f t="shared" si="65"/>
        <v>0.46448169285539531</v>
      </c>
      <c r="AP117" s="257">
        <f t="shared" si="66"/>
        <v>1623.3766233766235</v>
      </c>
      <c r="AQ117" s="263">
        <f t="shared" si="73"/>
        <v>2.5</v>
      </c>
      <c r="AR117" s="263">
        <f t="shared" si="74"/>
        <v>0</v>
      </c>
      <c r="AS117" s="263">
        <f t="shared" si="75"/>
        <v>0.1</v>
      </c>
      <c r="AT117" s="263">
        <f t="shared" si="76"/>
        <v>2.6</v>
      </c>
      <c r="AU117" s="263"/>
      <c r="AV117" s="263"/>
      <c r="AW117" s="263"/>
      <c r="AX117" s="263">
        <f t="shared" si="77"/>
        <v>2.6</v>
      </c>
      <c r="BA117" s="282">
        <f t="shared" si="67"/>
        <v>239.21568627450981</v>
      </c>
      <c r="BB117">
        <v>1</v>
      </c>
      <c r="BC117">
        <f t="shared" si="78"/>
        <v>239.21568627450981</v>
      </c>
      <c r="BD117">
        <f t="shared" si="68"/>
        <v>510</v>
      </c>
      <c r="BE117">
        <f t="shared" si="69"/>
        <v>510</v>
      </c>
      <c r="BF117" s="281">
        <f t="shared" si="79"/>
        <v>0.4690503652441369</v>
      </c>
      <c r="BG117" s="282" t="s">
        <v>2500</v>
      </c>
      <c r="BH117" s="283"/>
    </row>
    <row r="118" spans="1:60" x14ac:dyDescent="0.3">
      <c r="A118">
        <f t="shared" si="70"/>
        <v>116</v>
      </c>
      <c r="B118" s="241" t="s">
        <v>2499</v>
      </c>
      <c r="C118" s="294" t="s">
        <v>2511</v>
      </c>
      <c r="D118" s="14">
        <v>45721</v>
      </c>
      <c r="E118" s="7"/>
      <c r="F118" s="7">
        <f>60*7</f>
        <v>420</v>
      </c>
      <c r="G118" s="66"/>
      <c r="H118" s="59"/>
      <c r="I118" s="59">
        <v>480</v>
      </c>
      <c r="J118" s="47">
        <f t="shared" si="48"/>
        <v>480</v>
      </c>
      <c r="K118" s="8">
        <f t="shared" si="49"/>
        <v>60</v>
      </c>
      <c r="L118" s="96">
        <f t="shared" si="50"/>
        <v>0.125</v>
      </c>
      <c r="M118" s="81">
        <v>75</v>
      </c>
      <c r="N118" s="8">
        <v>153</v>
      </c>
      <c r="O118" s="8">
        <v>60</v>
      </c>
      <c r="P118" s="96">
        <f t="shared" si="51"/>
        <v>0.49019607843137253</v>
      </c>
      <c r="Q118" s="59">
        <f t="shared" si="52"/>
        <v>75</v>
      </c>
      <c r="R118" s="252">
        <f t="shared" si="62"/>
        <v>76</v>
      </c>
      <c r="S118" s="263">
        <v>2</v>
      </c>
      <c r="T118" s="263">
        <v>0</v>
      </c>
      <c r="U118" s="263">
        <v>0</v>
      </c>
      <c r="V118" s="263">
        <v>0</v>
      </c>
      <c r="W118" s="263">
        <v>0</v>
      </c>
      <c r="X118" s="263">
        <v>0</v>
      </c>
      <c r="Y118" s="263">
        <v>0</v>
      </c>
      <c r="Z118" s="263">
        <v>1</v>
      </c>
      <c r="AA118" s="263">
        <v>0</v>
      </c>
      <c r="AB118" s="263">
        <v>1</v>
      </c>
      <c r="AC118" s="263">
        <v>0</v>
      </c>
      <c r="AD118" s="263">
        <v>0</v>
      </c>
      <c r="AE118" s="263"/>
      <c r="AF118" s="263"/>
      <c r="AG118" s="263"/>
      <c r="AH118" s="263"/>
      <c r="AI118" s="263"/>
      <c r="AJ118" s="259"/>
      <c r="AK118" s="263">
        <f t="shared" si="71"/>
        <v>0</v>
      </c>
      <c r="AL118" s="265">
        <f t="shared" si="63"/>
        <v>10</v>
      </c>
      <c r="AM118" s="6">
        <f t="shared" si="72"/>
        <v>0</v>
      </c>
      <c r="AN118" s="255">
        <f t="shared" si="64"/>
        <v>0.98684210526315785</v>
      </c>
      <c r="AO118" s="256">
        <f t="shared" si="65"/>
        <v>6.0468266253869966E-2</v>
      </c>
      <c r="AP118" s="257">
        <f t="shared" si="66"/>
        <v>0</v>
      </c>
      <c r="AQ118" s="263">
        <f t="shared" si="73"/>
        <v>0.5</v>
      </c>
      <c r="AR118" s="263">
        <f t="shared" si="74"/>
        <v>0</v>
      </c>
      <c r="AS118" s="263">
        <f t="shared" si="75"/>
        <v>0</v>
      </c>
      <c r="AT118" s="263">
        <f t="shared" si="76"/>
        <v>0.5</v>
      </c>
      <c r="AU118" s="263"/>
      <c r="AV118" s="263"/>
      <c r="AW118" s="263"/>
      <c r="AX118" s="263">
        <f t="shared" si="77"/>
        <v>0.5</v>
      </c>
      <c r="BA118" s="282">
        <f t="shared" si="67"/>
        <v>29.411764705882351</v>
      </c>
      <c r="BB118">
        <v>1</v>
      </c>
      <c r="BC118">
        <f t="shared" si="78"/>
        <v>29.411764705882351</v>
      </c>
      <c r="BD118">
        <f t="shared" si="68"/>
        <v>60</v>
      </c>
      <c r="BE118">
        <f t="shared" si="69"/>
        <v>480</v>
      </c>
      <c r="BF118" s="281">
        <f t="shared" si="79"/>
        <v>6.1274509803921566E-2</v>
      </c>
      <c r="BG118" s="282" t="s">
        <v>2481</v>
      </c>
      <c r="BH118" s="283"/>
    </row>
    <row r="119" spans="1:60" x14ac:dyDescent="0.3">
      <c r="A119">
        <f t="shared" si="70"/>
        <v>117</v>
      </c>
      <c r="B119" s="241" t="s">
        <v>2499</v>
      </c>
      <c r="C119" s="294" t="s">
        <v>2512</v>
      </c>
      <c r="D119" s="14">
        <v>45721</v>
      </c>
      <c r="E119" s="7"/>
      <c r="F119" s="7"/>
      <c r="G119" s="66"/>
      <c r="H119" s="59"/>
      <c r="I119" s="59">
        <v>450</v>
      </c>
      <c r="J119" s="47">
        <f t="shared" si="48"/>
        <v>450</v>
      </c>
      <c r="K119" s="8">
        <f t="shared" si="49"/>
        <v>450</v>
      </c>
      <c r="L119" s="96">
        <f t="shared" si="50"/>
        <v>1</v>
      </c>
      <c r="M119" s="81">
        <v>616</v>
      </c>
      <c r="N119" s="8">
        <v>153</v>
      </c>
      <c r="O119" s="8">
        <v>60</v>
      </c>
      <c r="P119" s="96">
        <f t="shared" si="51"/>
        <v>0.53681917211328978</v>
      </c>
      <c r="Q119" s="59">
        <f t="shared" si="52"/>
        <v>616</v>
      </c>
      <c r="R119" s="252">
        <f t="shared" si="62"/>
        <v>635</v>
      </c>
      <c r="S119" s="263">
        <v>12</v>
      </c>
      <c r="T119" s="263">
        <v>1</v>
      </c>
      <c r="U119" s="263">
        <v>0</v>
      </c>
      <c r="V119" s="263">
        <v>0</v>
      </c>
      <c r="W119" s="263">
        <v>2</v>
      </c>
      <c r="X119" s="263">
        <v>1</v>
      </c>
      <c r="Y119" s="263">
        <v>0</v>
      </c>
      <c r="Z119" s="263">
        <v>3</v>
      </c>
      <c r="AA119" s="263">
        <v>1</v>
      </c>
      <c r="AB119" s="263">
        <v>17</v>
      </c>
      <c r="AC119" s="263">
        <v>1</v>
      </c>
      <c r="AD119" s="263">
        <v>1</v>
      </c>
      <c r="AE119" s="263"/>
      <c r="AF119" s="263"/>
      <c r="AG119" s="263"/>
      <c r="AH119" s="263"/>
      <c r="AI119" s="263"/>
      <c r="AJ119" s="259"/>
      <c r="AK119" s="263">
        <f t="shared" si="71"/>
        <v>1</v>
      </c>
      <c r="AL119" s="265">
        <f t="shared" si="63"/>
        <v>10</v>
      </c>
      <c r="AM119" s="6">
        <f t="shared" si="72"/>
        <v>1</v>
      </c>
      <c r="AN119" s="255">
        <f t="shared" si="64"/>
        <v>0.9700787401574803</v>
      </c>
      <c r="AO119" s="256">
        <f t="shared" si="65"/>
        <v>0.52075686617604178</v>
      </c>
      <c r="AP119" s="257">
        <f t="shared" si="66"/>
        <v>1574.8031496062993</v>
      </c>
      <c r="AQ119" s="263">
        <f t="shared" si="73"/>
        <v>8.5</v>
      </c>
      <c r="AR119" s="263">
        <f t="shared" si="74"/>
        <v>0.2</v>
      </c>
      <c r="AS119" s="263">
        <f t="shared" si="75"/>
        <v>0.1</v>
      </c>
      <c r="AT119" s="263">
        <f t="shared" si="76"/>
        <v>8.7999999999999989</v>
      </c>
      <c r="AU119" s="263"/>
      <c r="AV119" s="263"/>
      <c r="AW119" s="263"/>
      <c r="AX119" s="263">
        <f t="shared" si="77"/>
        <v>8.7999999999999989</v>
      </c>
      <c r="BA119" s="282">
        <f t="shared" si="67"/>
        <v>241.56862745098039</v>
      </c>
      <c r="BB119">
        <v>1</v>
      </c>
      <c r="BC119">
        <f t="shared" si="78"/>
        <v>241.56862745098039</v>
      </c>
      <c r="BD119">
        <f t="shared" si="68"/>
        <v>450</v>
      </c>
      <c r="BE119">
        <f t="shared" si="69"/>
        <v>450</v>
      </c>
      <c r="BF119" s="281">
        <f t="shared" si="79"/>
        <v>0.53681917211328978</v>
      </c>
      <c r="BG119" s="282" t="s">
        <v>2526</v>
      </c>
      <c r="BH119" s="283"/>
    </row>
    <row r="120" spans="1:60" x14ac:dyDescent="0.3">
      <c r="A120">
        <f t="shared" si="70"/>
        <v>118</v>
      </c>
      <c r="B120" s="241" t="s">
        <v>2499</v>
      </c>
      <c r="C120" s="294" t="s">
        <v>2513</v>
      </c>
      <c r="D120" s="14">
        <v>45721</v>
      </c>
      <c r="E120" s="7"/>
      <c r="F120" s="7"/>
      <c r="G120" s="66"/>
      <c r="H120" s="59"/>
      <c r="I120" s="59">
        <v>510</v>
      </c>
      <c r="J120" s="47">
        <f t="shared" si="48"/>
        <v>510</v>
      </c>
      <c r="K120" s="8">
        <f t="shared" si="49"/>
        <v>510</v>
      </c>
      <c r="L120" s="96">
        <f t="shared" si="50"/>
        <v>1</v>
      </c>
      <c r="M120" s="81">
        <v>1106</v>
      </c>
      <c r="N120" s="8">
        <v>153</v>
      </c>
      <c r="O120" s="8">
        <v>60</v>
      </c>
      <c r="P120" s="96">
        <f t="shared" si="51"/>
        <v>0.85044213763936949</v>
      </c>
      <c r="Q120" s="59">
        <f t="shared" si="52"/>
        <v>1106</v>
      </c>
      <c r="R120" s="252">
        <f t="shared" si="62"/>
        <v>1116</v>
      </c>
      <c r="S120" s="263">
        <v>65</v>
      </c>
      <c r="T120" s="263">
        <v>0</v>
      </c>
      <c r="U120" s="263">
        <v>0</v>
      </c>
      <c r="V120" s="263">
        <v>0</v>
      </c>
      <c r="W120" s="263">
        <v>0</v>
      </c>
      <c r="X120" s="263">
        <v>2</v>
      </c>
      <c r="Y120" s="263">
        <v>0</v>
      </c>
      <c r="Z120" s="263">
        <v>1</v>
      </c>
      <c r="AA120" s="263">
        <v>0</v>
      </c>
      <c r="AB120" s="263">
        <v>9</v>
      </c>
      <c r="AC120" s="263">
        <v>0</v>
      </c>
      <c r="AD120" s="263">
        <v>1</v>
      </c>
      <c r="AE120" s="263"/>
      <c r="AF120" s="263"/>
      <c r="AG120" s="263"/>
      <c r="AH120" s="263"/>
      <c r="AI120" s="263"/>
      <c r="AJ120" s="259"/>
      <c r="AK120" s="263">
        <f t="shared" si="71"/>
        <v>1</v>
      </c>
      <c r="AL120" s="265">
        <f t="shared" si="63"/>
        <v>10</v>
      </c>
      <c r="AM120" s="6">
        <f t="shared" si="72"/>
        <v>1</v>
      </c>
      <c r="AN120" s="255">
        <f t="shared" si="64"/>
        <v>0.99103942652329746</v>
      </c>
      <c r="AO120" s="256">
        <f t="shared" si="65"/>
        <v>0.84282168837736793</v>
      </c>
      <c r="AP120" s="257">
        <f t="shared" si="66"/>
        <v>896.05734767025092</v>
      </c>
      <c r="AQ120" s="263">
        <f t="shared" si="73"/>
        <v>4.5</v>
      </c>
      <c r="AR120" s="263">
        <f t="shared" si="74"/>
        <v>0</v>
      </c>
      <c r="AS120" s="263">
        <f t="shared" si="75"/>
        <v>0.1</v>
      </c>
      <c r="AT120" s="263">
        <f t="shared" si="76"/>
        <v>4.5999999999999996</v>
      </c>
      <c r="AU120" s="263"/>
      <c r="AV120" s="263"/>
      <c r="AW120" s="263"/>
      <c r="AX120" s="263">
        <f t="shared" si="77"/>
        <v>4.5999999999999996</v>
      </c>
      <c r="BA120" s="282">
        <f t="shared" si="67"/>
        <v>433.72549019607845</v>
      </c>
      <c r="BB120">
        <v>1</v>
      </c>
      <c r="BC120">
        <f t="shared" si="78"/>
        <v>433.72549019607845</v>
      </c>
      <c r="BD120">
        <f t="shared" si="68"/>
        <v>510</v>
      </c>
      <c r="BE120">
        <f t="shared" si="69"/>
        <v>510</v>
      </c>
      <c r="BF120" s="281">
        <f t="shared" si="79"/>
        <v>0.85044213763936949</v>
      </c>
      <c r="BG120" s="282" t="s">
        <v>2500</v>
      </c>
      <c r="BH120" s="283"/>
    </row>
    <row r="121" spans="1:60" x14ac:dyDescent="0.3">
      <c r="A121">
        <f t="shared" si="70"/>
        <v>119</v>
      </c>
      <c r="B121" s="241" t="s">
        <v>2499</v>
      </c>
      <c r="C121" s="294" t="s">
        <v>2511</v>
      </c>
      <c r="D121" s="14">
        <v>45722</v>
      </c>
      <c r="E121" s="7"/>
      <c r="F121" s="7"/>
      <c r="G121" s="66"/>
      <c r="H121" s="59"/>
      <c r="I121" s="59">
        <v>480</v>
      </c>
      <c r="J121" s="47">
        <f t="shared" si="48"/>
        <v>480</v>
      </c>
      <c r="K121" s="8">
        <f t="shared" si="49"/>
        <v>480</v>
      </c>
      <c r="L121" s="96">
        <f t="shared" si="50"/>
        <v>1</v>
      </c>
      <c r="M121" s="81">
        <v>845</v>
      </c>
      <c r="N121" s="8">
        <v>153</v>
      </c>
      <c r="O121" s="8">
        <v>60</v>
      </c>
      <c r="P121" s="96">
        <f t="shared" si="51"/>
        <v>0.690359477124183</v>
      </c>
      <c r="Q121" s="59">
        <f t="shared" si="52"/>
        <v>845</v>
      </c>
      <c r="R121" s="252">
        <f t="shared" si="62"/>
        <v>872</v>
      </c>
      <c r="S121" s="263">
        <v>17</v>
      </c>
      <c r="T121" s="263">
        <v>6</v>
      </c>
      <c r="U121" s="263">
        <v>1</v>
      </c>
      <c r="V121" s="263">
        <v>1</v>
      </c>
      <c r="W121" s="263">
        <v>2</v>
      </c>
      <c r="X121" s="263">
        <v>2</v>
      </c>
      <c r="Y121" s="263">
        <v>0</v>
      </c>
      <c r="Z121" s="263">
        <v>0</v>
      </c>
      <c r="AA121" s="263">
        <v>1</v>
      </c>
      <c r="AB121" s="263">
        <v>22</v>
      </c>
      <c r="AC121" s="263">
        <v>4</v>
      </c>
      <c r="AD121" s="263">
        <v>1</v>
      </c>
      <c r="AE121" s="263"/>
      <c r="AF121" s="263"/>
      <c r="AG121" s="263"/>
      <c r="AH121" s="263"/>
      <c r="AI121" s="263"/>
      <c r="AJ121" s="259"/>
      <c r="AK121" s="263">
        <f t="shared" si="71"/>
        <v>1</v>
      </c>
      <c r="AL121" s="265">
        <f t="shared" si="63"/>
        <v>10</v>
      </c>
      <c r="AM121" s="6">
        <f t="shared" si="72"/>
        <v>1</v>
      </c>
      <c r="AN121" s="255">
        <f t="shared" si="64"/>
        <v>0.96903669724770647</v>
      </c>
      <c r="AO121" s="256">
        <f t="shared" si="65"/>
        <v>0.66898366762607187</v>
      </c>
      <c r="AP121" s="257">
        <f t="shared" si="66"/>
        <v>1146.7889908256882</v>
      </c>
      <c r="AQ121" s="263">
        <f t="shared" si="73"/>
        <v>11</v>
      </c>
      <c r="AR121" s="263">
        <f t="shared" si="74"/>
        <v>0.8</v>
      </c>
      <c r="AS121" s="263">
        <f t="shared" si="75"/>
        <v>0.1</v>
      </c>
      <c r="AT121" s="263">
        <f t="shared" si="76"/>
        <v>11.9</v>
      </c>
      <c r="AU121" s="263"/>
      <c r="AV121" s="263"/>
      <c r="AW121" s="263"/>
      <c r="AX121" s="263">
        <f t="shared" si="77"/>
        <v>11.9</v>
      </c>
      <c r="BA121" s="282">
        <f t="shared" si="67"/>
        <v>331.37254901960785</v>
      </c>
      <c r="BB121">
        <v>1</v>
      </c>
      <c r="BC121">
        <f t="shared" si="78"/>
        <v>331.37254901960785</v>
      </c>
      <c r="BD121">
        <f t="shared" si="68"/>
        <v>480</v>
      </c>
      <c r="BE121">
        <f t="shared" si="69"/>
        <v>480</v>
      </c>
      <c r="BF121" s="281">
        <f t="shared" si="79"/>
        <v>0.690359477124183</v>
      </c>
      <c r="BG121" s="282" t="s">
        <v>2481</v>
      </c>
      <c r="BH121" s="283"/>
    </row>
    <row r="122" spans="1:60" x14ac:dyDescent="0.3">
      <c r="A122">
        <f t="shared" si="70"/>
        <v>120</v>
      </c>
      <c r="B122" s="241" t="s">
        <v>2499</v>
      </c>
      <c r="C122" s="294" t="s">
        <v>2512</v>
      </c>
      <c r="D122" s="14">
        <v>45722</v>
      </c>
      <c r="E122" s="7"/>
      <c r="F122" s="7"/>
      <c r="G122" s="66"/>
      <c r="H122" s="59"/>
      <c r="I122" s="59">
        <v>450</v>
      </c>
      <c r="J122" s="47">
        <f t="shared" si="48"/>
        <v>450</v>
      </c>
      <c r="K122" s="8">
        <f t="shared" si="49"/>
        <v>450</v>
      </c>
      <c r="L122" s="96">
        <f t="shared" si="50"/>
        <v>1</v>
      </c>
      <c r="M122" s="81">
        <v>951</v>
      </c>
      <c r="N122" s="8">
        <v>153</v>
      </c>
      <c r="O122" s="8">
        <v>60</v>
      </c>
      <c r="P122" s="96">
        <f t="shared" si="51"/>
        <v>0.82875816993464047</v>
      </c>
      <c r="Q122" s="59">
        <f t="shared" si="52"/>
        <v>951</v>
      </c>
      <c r="R122" s="252">
        <f t="shared" si="62"/>
        <v>976</v>
      </c>
      <c r="S122" s="263">
        <v>39</v>
      </c>
      <c r="T122" s="263">
        <v>1</v>
      </c>
      <c r="U122" s="263">
        <v>1</v>
      </c>
      <c r="V122" s="263">
        <v>0</v>
      </c>
      <c r="W122" s="263">
        <v>0</v>
      </c>
      <c r="X122" s="263">
        <v>0</v>
      </c>
      <c r="Y122" s="263">
        <v>0</v>
      </c>
      <c r="Z122" s="263">
        <v>0</v>
      </c>
      <c r="AA122" s="263">
        <v>0</v>
      </c>
      <c r="AB122" s="263">
        <v>23</v>
      </c>
      <c r="AC122" s="263">
        <v>1</v>
      </c>
      <c r="AD122" s="263">
        <v>1</v>
      </c>
      <c r="AE122" s="263"/>
      <c r="AF122" s="263"/>
      <c r="AG122" s="263"/>
      <c r="AH122" s="263"/>
      <c r="AI122" s="263"/>
      <c r="AJ122" s="259"/>
      <c r="AK122" s="263">
        <f t="shared" si="71"/>
        <v>1</v>
      </c>
      <c r="AL122" s="265">
        <f t="shared" si="63"/>
        <v>10</v>
      </c>
      <c r="AM122" s="6">
        <f t="shared" si="72"/>
        <v>1</v>
      </c>
      <c r="AN122" s="255">
        <f t="shared" si="64"/>
        <v>0.97438524590163933</v>
      </c>
      <c r="AO122" s="256">
        <f t="shared" si="65"/>
        <v>0.80752973320475729</v>
      </c>
      <c r="AP122" s="257">
        <f t="shared" si="66"/>
        <v>1024.5901639344263</v>
      </c>
      <c r="AQ122" s="263">
        <f t="shared" si="73"/>
        <v>11.5</v>
      </c>
      <c r="AR122" s="263">
        <f t="shared" si="74"/>
        <v>0.2</v>
      </c>
      <c r="AS122" s="263">
        <f t="shared" si="75"/>
        <v>0.1</v>
      </c>
      <c r="AT122" s="263">
        <f t="shared" si="76"/>
        <v>11.799999999999999</v>
      </c>
      <c r="AU122" s="263"/>
      <c r="AV122" s="263"/>
      <c r="AW122" s="263"/>
      <c r="AX122" s="263">
        <f t="shared" si="77"/>
        <v>11.799999999999999</v>
      </c>
      <c r="BA122" s="282">
        <f t="shared" si="67"/>
        <v>372.94117647058823</v>
      </c>
      <c r="BB122">
        <v>1</v>
      </c>
      <c r="BC122">
        <f t="shared" si="78"/>
        <v>372.94117647058823</v>
      </c>
      <c r="BD122">
        <f t="shared" si="68"/>
        <v>450</v>
      </c>
      <c r="BE122">
        <f t="shared" si="69"/>
        <v>450</v>
      </c>
      <c r="BF122" s="281">
        <f t="shared" si="79"/>
        <v>0.82875816993464047</v>
      </c>
      <c r="BG122" s="282" t="s">
        <v>2526</v>
      </c>
      <c r="BH122" s="283"/>
    </row>
    <row r="123" spans="1:60" x14ac:dyDescent="0.3">
      <c r="A123">
        <f t="shared" si="70"/>
        <v>121</v>
      </c>
      <c r="B123" s="241" t="s">
        <v>2499</v>
      </c>
      <c r="C123" s="294" t="s">
        <v>2513</v>
      </c>
      <c r="D123" s="14">
        <v>45722</v>
      </c>
      <c r="E123" s="7"/>
      <c r="F123" s="7"/>
      <c r="G123" s="66"/>
      <c r="H123" s="59"/>
      <c r="I123" s="59">
        <v>510</v>
      </c>
      <c r="J123" s="47">
        <f t="shared" si="48"/>
        <v>510</v>
      </c>
      <c r="K123" s="8">
        <f t="shared" si="49"/>
        <v>510</v>
      </c>
      <c r="L123" s="96">
        <f t="shared" si="50"/>
        <v>1</v>
      </c>
      <c r="M123" s="81">
        <v>954</v>
      </c>
      <c r="N123" s="8">
        <v>153</v>
      </c>
      <c r="O123" s="8">
        <v>60</v>
      </c>
      <c r="P123" s="96">
        <f t="shared" si="51"/>
        <v>0.73356401384083048</v>
      </c>
      <c r="Q123" s="59">
        <f t="shared" si="52"/>
        <v>954</v>
      </c>
      <c r="R123" s="252">
        <f t="shared" si="62"/>
        <v>981</v>
      </c>
      <c r="S123" s="263">
        <v>25</v>
      </c>
      <c r="T123" s="263">
        <v>4</v>
      </c>
      <c r="U123" s="263">
        <v>2</v>
      </c>
      <c r="V123" s="263">
        <v>0</v>
      </c>
      <c r="W123" s="263">
        <v>12</v>
      </c>
      <c r="X123" s="263">
        <v>6</v>
      </c>
      <c r="Y123" s="263">
        <v>0</v>
      </c>
      <c r="Z123" s="263">
        <v>1</v>
      </c>
      <c r="AA123" s="263">
        <v>0</v>
      </c>
      <c r="AB123" s="263">
        <v>26</v>
      </c>
      <c r="AC123" s="263">
        <v>1</v>
      </c>
      <c r="AD123" s="263">
        <v>0</v>
      </c>
      <c r="AE123" s="263"/>
      <c r="AF123" s="263"/>
      <c r="AG123" s="263"/>
      <c r="AH123" s="263"/>
      <c r="AI123" s="263"/>
      <c r="AJ123" s="259"/>
      <c r="AK123" s="263">
        <f>+AD123+AE123+AF123+AG123+AH123+AI123</f>
        <v>0</v>
      </c>
      <c r="AL123" s="265">
        <f t="shared" si="63"/>
        <v>10</v>
      </c>
      <c r="AM123" s="6">
        <f>AK123</f>
        <v>0</v>
      </c>
      <c r="AN123" s="255">
        <f t="shared" si="64"/>
        <v>0.97247706422018354</v>
      </c>
      <c r="AO123" s="256">
        <f t="shared" si="65"/>
        <v>0.71337417859750496</v>
      </c>
      <c r="AP123" s="257">
        <f t="shared" si="66"/>
        <v>0</v>
      </c>
      <c r="AQ123" s="263">
        <f t="shared" si="73"/>
        <v>13</v>
      </c>
      <c r="AR123" s="263">
        <f t="shared" si="74"/>
        <v>0.2</v>
      </c>
      <c r="AS123" s="263">
        <f t="shared" si="75"/>
        <v>0</v>
      </c>
      <c r="AT123" s="263">
        <f t="shared" si="76"/>
        <v>13.2</v>
      </c>
      <c r="AU123" s="263"/>
      <c r="AV123" s="263"/>
      <c r="AW123" s="263"/>
      <c r="AX123" s="263">
        <f t="shared" si="77"/>
        <v>13.2</v>
      </c>
      <c r="BA123" s="282">
        <f t="shared" si="67"/>
        <v>374.11764705882354</v>
      </c>
      <c r="BB123">
        <v>1</v>
      </c>
      <c r="BC123">
        <f t="shared" si="78"/>
        <v>374.11764705882354</v>
      </c>
      <c r="BD123">
        <f t="shared" si="68"/>
        <v>510</v>
      </c>
      <c r="BE123">
        <f t="shared" si="69"/>
        <v>510</v>
      </c>
      <c r="BF123" s="281">
        <f t="shared" si="79"/>
        <v>0.73356401384083048</v>
      </c>
      <c r="BG123" s="282" t="s">
        <v>2500</v>
      </c>
      <c r="BH123" s="283"/>
    </row>
    <row r="124" spans="1:60" x14ac:dyDescent="0.3">
      <c r="A124">
        <f t="shared" si="70"/>
        <v>122</v>
      </c>
      <c r="B124" s="241" t="s">
        <v>2499</v>
      </c>
      <c r="C124" s="294" t="s">
        <v>2511</v>
      </c>
      <c r="D124" s="14">
        <v>45723</v>
      </c>
      <c r="E124" s="7"/>
      <c r="F124" s="7"/>
      <c r="G124" s="66"/>
      <c r="H124" s="59"/>
      <c r="I124" s="59">
        <v>480</v>
      </c>
      <c r="J124" s="47">
        <f t="shared" si="48"/>
        <v>480</v>
      </c>
      <c r="K124" s="8">
        <f t="shared" si="49"/>
        <v>480</v>
      </c>
      <c r="L124" s="96">
        <f t="shared" si="50"/>
        <v>1</v>
      </c>
      <c r="M124" s="81">
        <v>1032</v>
      </c>
      <c r="N124" s="8">
        <v>153</v>
      </c>
      <c r="O124" s="8">
        <v>60</v>
      </c>
      <c r="P124" s="96">
        <f t="shared" si="51"/>
        <v>0.84313725490196079</v>
      </c>
      <c r="Q124" s="59">
        <f t="shared" si="52"/>
        <v>1032</v>
      </c>
      <c r="R124" s="252">
        <f t="shared" si="62"/>
        <v>1053</v>
      </c>
      <c r="S124" s="263">
        <v>26</v>
      </c>
      <c r="T124" s="263">
        <v>1</v>
      </c>
      <c r="U124" s="263">
        <v>5</v>
      </c>
      <c r="V124" s="263">
        <v>0</v>
      </c>
      <c r="W124" s="263">
        <v>22</v>
      </c>
      <c r="X124" s="263">
        <v>9</v>
      </c>
      <c r="Y124" s="263">
        <v>0</v>
      </c>
      <c r="Z124" s="263">
        <v>5</v>
      </c>
      <c r="AA124" s="263">
        <v>0</v>
      </c>
      <c r="AB124" s="263">
        <v>20</v>
      </c>
      <c r="AC124" s="263">
        <v>0</v>
      </c>
      <c r="AD124" s="263">
        <v>1</v>
      </c>
      <c r="AE124" s="263"/>
      <c r="AF124" s="263"/>
      <c r="AG124" s="263"/>
      <c r="AH124" s="263"/>
      <c r="AI124" s="263"/>
      <c r="AJ124" s="259"/>
      <c r="AK124" s="263">
        <f t="shared" si="71"/>
        <v>1</v>
      </c>
      <c r="AL124" s="265">
        <f t="shared" si="63"/>
        <v>10</v>
      </c>
      <c r="AM124" s="6">
        <f t="shared" si="72"/>
        <v>1</v>
      </c>
      <c r="AN124" s="255">
        <f t="shared" si="64"/>
        <v>0.98005698005698005</v>
      </c>
      <c r="AO124" s="256">
        <f t="shared" si="65"/>
        <v>0.82632255181274794</v>
      </c>
      <c r="AP124" s="257">
        <f t="shared" si="66"/>
        <v>949.66761633428303</v>
      </c>
      <c r="AQ124" s="263">
        <f t="shared" si="73"/>
        <v>10</v>
      </c>
      <c r="AR124" s="263">
        <f t="shared" si="74"/>
        <v>0</v>
      </c>
      <c r="AS124" s="263">
        <f t="shared" si="75"/>
        <v>0.1</v>
      </c>
      <c r="AT124" s="263">
        <f t="shared" si="76"/>
        <v>10.1</v>
      </c>
      <c r="AU124" s="263"/>
      <c r="AV124" s="263"/>
      <c r="AW124" s="263"/>
      <c r="AX124" s="263">
        <f t="shared" si="77"/>
        <v>10.1</v>
      </c>
      <c r="BA124" s="282">
        <f t="shared" si="67"/>
        <v>404.70588235294116</v>
      </c>
      <c r="BB124">
        <v>1</v>
      </c>
      <c r="BC124">
        <f t="shared" si="78"/>
        <v>404.70588235294116</v>
      </c>
      <c r="BD124">
        <f t="shared" si="68"/>
        <v>480</v>
      </c>
      <c r="BE124">
        <f t="shared" si="69"/>
        <v>480</v>
      </c>
      <c r="BF124" s="281">
        <f t="shared" si="79"/>
        <v>0.84313725490196079</v>
      </c>
      <c r="BG124" s="282" t="s">
        <v>2481</v>
      </c>
      <c r="BH124" s="283"/>
    </row>
    <row r="125" spans="1:60" x14ac:dyDescent="0.3">
      <c r="A125">
        <f t="shared" si="70"/>
        <v>123</v>
      </c>
      <c r="B125" s="241" t="s">
        <v>2499</v>
      </c>
      <c r="C125" s="294" t="s">
        <v>2512</v>
      </c>
      <c r="D125" s="14">
        <v>45723</v>
      </c>
      <c r="E125" s="7"/>
      <c r="F125" s="7"/>
      <c r="G125" s="66"/>
      <c r="H125" s="59"/>
      <c r="I125" s="59">
        <v>450</v>
      </c>
      <c r="J125" s="47">
        <f t="shared" si="48"/>
        <v>450</v>
      </c>
      <c r="K125" s="8">
        <f t="shared" si="49"/>
        <v>450</v>
      </c>
      <c r="L125" s="96">
        <f t="shared" si="50"/>
        <v>1</v>
      </c>
      <c r="M125" s="81">
        <v>1041</v>
      </c>
      <c r="N125" s="8">
        <v>153</v>
      </c>
      <c r="O125" s="8">
        <v>60</v>
      </c>
      <c r="P125" s="96">
        <f t="shared" si="51"/>
        <v>0.90718954248366013</v>
      </c>
      <c r="Q125" s="59">
        <f t="shared" si="52"/>
        <v>1041</v>
      </c>
      <c r="R125" s="252">
        <f t="shared" si="62"/>
        <v>1064</v>
      </c>
      <c r="S125" s="263">
        <v>14</v>
      </c>
      <c r="T125" s="263">
        <v>3</v>
      </c>
      <c r="U125" s="263">
        <v>5</v>
      </c>
      <c r="V125" s="263">
        <v>0</v>
      </c>
      <c r="W125" s="263">
        <v>7</v>
      </c>
      <c r="X125" s="263">
        <v>4</v>
      </c>
      <c r="Y125" s="263">
        <v>0</v>
      </c>
      <c r="Z125" s="263">
        <v>5</v>
      </c>
      <c r="AA125" s="263">
        <v>0</v>
      </c>
      <c r="AB125" s="263">
        <v>20</v>
      </c>
      <c r="AC125" s="263">
        <v>0</v>
      </c>
      <c r="AD125" s="263">
        <v>3</v>
      </c>
      <c r="AE125" s="263"/>
      <c r="AF125" s="263"/>
      <c r="AG125" s="263"/>
      <c r="AH125" s="263"/>
      <c r="AI125" s="263"/>
      <c r="AJ125" s="259"/>
      <c r="AK125" s="263">
        <f t="shared" si="71"/>
        <v>3</v>
      </c>
      <c r="AL125" s="265">
        <f t="shared" si="63"/>
        <v>10</v>
      </c>
      <c r="AM125" s="6">
        <f t="shared" si="72"/>
        <v>3</v>
      </c>
      <c r="AN125" s="255">
        <f t="shared" si="64"/>
        <v>0.97838345864661658</v>
      </c>
      <c r="AO125" s="256">
        <f t="shared" si="65"/>
        <v>0.88757924222320506</v>
      </c>
      <c r="AP125" s="257">
        <f t="shared" si="66"/>
        <v>2819.5488721804509</v>
      </c>
      <c r="AQ125" s="263">
        <f t="shared" si="73"/>
        <v>10</v>
      </c>
      <c r="AR125" s="263">
        <f t="shared" si="74"/>
        <v>0</v>
      </c>
      <c r="AS125" s="263">
        <f t="shared" si="75"/>
        <v>0.30000000000000004</v>
      </c>
      <c r="AT125" s="263">
        <f t="shared" si="76"/>
        <v>10.3</v>
      </c>
      <c r="AU125" s="263"/>
      <c r="AV125" s="263"/>
      <c r="AW125" s="263"/>
      <c r="AX125" s="263">
        <f t="shared" si="77"/>
        <v>10.3</v>
      </c>
      <c r="BA125" s="282">
        <f t="shared" si="67"/>
        <v>408.23529411764707</v>
      </c>
      <c r="BB125">
        <v>1</v>
      </c>
      <c r="BC125">
        <f t="shared" si="78"/>
        <v>408.23529411764707</v>
      </c>
      <c r="BD125">
        <f t="shared" si="68"/>
        <v>450</v>
      </c>
      <c r="BE125">
        <f t="shared" si="69"/>
        <v>450</v>
      </c>
      <c r="BF125" s="281">
        <f t="shared" si="79"/>
        <v>0.90718954248366013</v>
      </c>
      <c r="BG125" s="282" t="s">
        <v>2526</v>
      </c>
      <c r="BH125" s="283"/>
    </row>
    <row r="126" spans="1:60" x14ac:dyDescent="0.3">
      <c r="A126">
        <f t="shared" si="70"/>
        <v>124</v>
      </c>
      <c r="B126" s="241" t="s">
        <v>2499</v>
      </c>
      <c r="C126" s="294" t="s">
        <v>2513</v>
      </c>
      <c r="D126" s="14">
        <v>45723</v>
      </c>
      <c r="E126" s="7"/>
      <c r="F126" s="7"/>
      <c r="G126" s="66"/>
      <c r="H126" s="59"/>
      <c r="I126" s="59">
        <v>510</v>
      </c>
      <c r="J126" s="47">
        <f t="shared" si="48"/>
        <v>510</v>
      </c>
      <c r="K126" s="8">
        <f t="shared" si="49"/>
        <v>510</v>
      </c>
      <c r="L126" s="96">
        <f t="shared" si="50"/>
        <v>1</v>
      </c>
      <c r="M126" s="81">
        <v>1067</v>
      </c>
      <c r="N126" s="8">
        <v>153</v>
      </c>
      <c r="O126" s="8">
        <v>60</v>
      </c>
      <c r="P126" s="96">
        <f t="shared" si="51"/>
        <v>0.82045367166474437</v>
      </c>
      <c r="Q126" s="59">
        <f t="shared" si="52"/>
        <v>1067</v>
      </c>
      <c r="R126" s="252">
        <f t="shared" si="62"/>
        <v>1083</v>
      </c>
      <c r="S126" s="263">
        <v>6</v>
      </c>
      <c r="T126" s="263">
        <v>2</v>
      </c>
      <c r="U126" s="263">
        <v>0</v>
      </c>
      <c r="V126" s="263">
        <v>0</v>
      </c>
      <c r="W126" s="263">
        <v>0</v>
      </c>
      <c r="X126" s="263">
        <v>0</v>
      </c>
      <c r="Y126" s="263">
        <v>0</v>
      </c>
      <c r="Z126" s="263">
        <v>0</v>
      </c>
      <c r="AA126" s="263">
        <v>0</v>
      </c>
      <c r="AB126" s="263">
        <v>14</v>
      </c>
      <c r="AC126" s="263">
        <v>0</v>
      </c>
      <c r="AD126" s="263">
        <v>2</v>
      </c>
      <c r="AE126" s="263"/>
      <c r="AF126" s="263"/>
      <c r="AG126" s="263"/>
      <c r="AH126" s="263"/>
      <c r="AI126" s="263"/>
      <c r="AJ126" s="259"/>
      <c r="AK126" s="263">
        <f t="shared" si="71"/>
        <v>2</v>
      </c>
      <c r="AL126" s="265">
        <f t="shared" si="63"/>
        <v>10</v>
      </c>
      <c r="AM126" s="6">
        <f t="shared" si="72"/>
        <v>2</v>
      </c>
      <c r="AN126" s="255">
        <f t="shared" si="64"/>
        <v>0.9852262234533703</v>
      </c>
      <c r="AO126" s="256">
        <f t="shared" si="65"/>
        <v>0.80833247245270756</v>
      </c>
      <c r="AP126" s="257">
        <f t="shared" si="66"/>
        <v>1846.7220683287164</v>
      </c>
      <c r="AQ126" s="263">
        <f t="shared" si="73"/>
        <v>7</v>
      </c>
      <c r="AR126" s="263">
        <f t="shared" si="74"/>
        <v>0</v>
      </c>
      <c r="AS126" s="263">
        <f t="shared" si="75"/>
        <v>0.2</v>
      </c>
      <c r="AT126" s="263">
        <f t="shared" si="76"/>
        <v>7.2</v>
      </c>
      <c r="AU126" s="263"/>
      <c r="AV126" s="263"/>
      <c r="AW126" s="263"/>
      <c r="AX126" s="263">
        <f t="shared" si="77"/>
        <v>7.2</v>
      </c>
      <c r="BA126" s="282">
        <f t="shared" si="67"/>
        <v>418.43137254901961</v>
      </c>
      <c r="BB126">
        <v>1</v>
      </c>
      <c r="BC126">
        <f t="shared" si="78"/>
        <v>418.43137254901961</v>
      </c>
      <c r="BD126">
        <f t="shared" si="68"/>
        <v>510</v>
      </c>
      <c r="BE126">
        <f t="shared" si="69"/>
        <v>510</v>
      </c>
      <c r="BF126" s="281">
        <f t="shared" si="79"/>
        <v>0.82045367166474437</v>
      </c>
      <c r="BG126" s="282" t="s">
        <v>2500</v>
      </c>
      <c r="BH126" s="283"/>
    </row>
    <row r="127" spans="1:60" x14ac:dyDescent="0.3">
      <c r="A127">
        <f t="shared" si="70"/>
        <v>125</v>
      </c>
      <c r="B127" s="324" t="s">
        <v>2527</v>
      </c>
      <c r="C127" s="294" t="s">
        <v>2511</v>
      </c>
      <c r="D127" s="14">
        <v>45724</v>
      </c>
      <c r="E127" s="7"/>
      <c r="F127" s="7"/>
      <c r="G127" s="66"/>
      <c r="H127" s="59"/>
      <c r="I127" s="59">
        <v>480</v>
      </c>
      <c r="J127" s="47">
        <f t="shared" si="48"/>
        <v>480</v>
      </c>
      <c r="K127" s="8">
        <f t="shared" si="49"/>
        <v>480</v>
      </c>
      <c r="L127" s="96">
        <f t="shared" si="50"/>
        <v>1</v>
      </c>
      <c r="M127" s="81">
        <f>12+144+601+62+155+243</f>
        <v>1217</v>
      </c>
      <c r="N127" s="8">
        <v>153</v>
      </c>
      <c r="O127" s="8">
        <v>60</v>
      </c>
      <c r="P127" s="96">
        <f t="shared" si="51"/>
        <v>0.99428104575163401</v>
      </c>
      <c r="Q127" s="59">
        <f t="shared" si="52"/>
        <v>1217</v>
      </c>
      <c r="R127" s="252">
        <f t="shared" si="62"/>
        <v>1217</v>
      </c>
      <c r="S127" s="263"/>
      <c r="T127" s="263"/>
      <c r="U127" s="263"/>
      <c r="V127" s="263"/>
      <c r="W127" s="263"/>
      <c r="X127" s="263"/>
      <c r="Y127" s="263"/>
      <c r="Z127" s="263"/>
      <c r="AA127" s="263"/>
      <c r="AB127" s="263"/>
      <c r="AC127" s="263"/>
      <c r="AD127" s="263"/>
      <c r="AE127" s="263"/>
      <c r="AF127" s="263"/>
      <c r="AG127" s="263"/>
      <c r="AH127" s="263"/>
      <c r="AI127" s="263"/>
      <c r="AJ127" s="259"/>
      <c r="AK127" s="263">
        <f t="shared" si="71"/>
        <v>0</v>
      </c>
      <c r="AL127" s="265">
        <f t="shared" si="63"/>
        <v>10</v>
      </c>
      <c r="AM127" s="6">
        <f t="shared" si="72"/>
        <v>0</v>
      </c>
      <c r="AN127" s="255">
        <f t="shared" si="64"/>
        <v>1</v>
      </c>
      <c r="AO127" s="256">
        <f t="shared" si="65"/>
        <v>0.99428104575163401</v>
      </c>
      <c r="AP127" s="257">
        <f t="shared" si="66"/>
        <v>0</v>
      </c>
      <c r="AQ127" s="263">
        <f t="shared" si="73"/>
        <v>0</v>
      </c>
      <c r="AR127" s="263">
        <f t="shared" si="74"/>
        <v>0</v>
      </c>
      <c r="AS127" s="263">
        <f t="shared" si="75"/>
        <v>0</v>
      </c>
      <c r="AT127" s="263">
        <f t="shared" si="76"/>
        <v>0</v>
      </c>
      <c r="AU127" s="263"/>
      <c r="AV127" s="263"/>
      <c r="AW127" s="263"/>
      <c r="AX127" s="263">
        <f t="shared" si="77"/>
        <v>0</v>
      </c>
      <c r="BA127" s="282">
        <f t="shared" si="67"/>
        <v>477.25490196078431</v>
      </c>
      <c r="BB127">
        <v>1</v>
      </c>
      <c r="BC127">
        <f t="shared" si="78"/>
        <v>477.25490196078431</v>
      </c>
      <c r="BD127">
        <f t="shared" si="68"/>
        <v>480</v>
      </c>
      <c r="BE127">
        <f t="shared" si="69"/>
        <v>480</v>
      </c>
      <c r="BF127" s="281">
        <f t="shared" si="79"/>
        <v>0.99428104575163401</v>
      </c>
      <c r="BG127" s="282" t="s">
        <v>2481</v>
      </c>
      <c r="BH127" s="283"/>
    </row>
    <row r="128" spans="1:60" x14ac:dyDescent="0.3">
      <c r="A128">
        <f t="shared" si="70"/>
        <v>126</v>
      </c>
      <c r="B128" s="241" t="s">
        <v>2499</v>
      </c>
      <c r="C128" s="294" t="s">
        <v>2512</v>
      </c>
      <c r="D128" s="14">
        <v>45724</v>
      </c>
      <c r="E128" s="7"/>
      <c r="F128" s="7"/>
      <c r="G128" s="66"/>
      <c r="H128" s="59"/>
      <c r="I128" s="59">
        <v>450</v>
      </c>
      <c r="J128" s="47">
        <f t="shared" si="48"/>
        <v>450</v>
      </c>
      <c r="K128" s="8">
        <f t="shared" si="49"/>
        <v>450</v>
      </c>
      <c r="L128" s="96">
        <f t="shared" si="50"/>
        <v>1</v>
      </c>
      <c r="M128" s="81">
        <f>616</f>
        <v>616</v>
      </c>
      <c r="N128" s="8">
        <v>153</v>
      </c>
      <c r="O128" s="8">
        <v>60</v>
      </c>
      <c r="P128" s="96">
        <f t="shared" si="51"/>
        <v>0.53681917211328978</v>
      </c>
      <c r="Q128" s="59">
        <f t="shared" si="52"/>
        <v>616</v>
      </c>
      <c r="R128" s="252">
        <f t="shared" si="62"/>
        <v>636</v>
      </c>
      <c r="S128" s="263">
        <v>3</v>
      </c>
      <c r="T128" s="263">
        <v>0</v>
      </c>
      <c r="U128" s="263">
        <v>0</v>
      </c>
      <c r="V128" s="263">
        <v>0</v>
      </c>
      <c r="W128" s="263">
        <v>0</v>
      </c>
      <c r="X128" s="263">
        <v>0</v>
      </c>
      <c r="Y128" s="263">
        <v>0</v>
      </c>
      <c r="Z128" s="263">
        <v>1</v>
      </c>
      <c r="AA128" s="263">
        <v>1</v>
      </c>
      <c r="AB128" s="263">
        <v>18</v>
      </c>
      <c r="AC128" s="263">
        <v>1</v>
      </c>
      <c r="AD128" s="263">
        <v>1</v>
      </c>
      <c r="AE128" s="263"/>
      <c r="AF128" s="263"/>
      <c r="AG128" s="263"/>
      <c r="AH128" s="263"/>
      <c r="AI128" s="263"/>
      <c r="AJ128" s="259"/>
      <c r="AK128" s="263">
        <f t="shared" si="71"/>
        <v>1</v>
      </c>
      <c r="AL128" s="265">
        <f t="shared" si="63"/>
        <v>10</v>
      </c>
      <c r="AM128" s="6">
        <f t="shared" si="72"/>
        <v>1</v>
      </c>
      <c r="AN128" s="255">
        <f t="shared" si="64"/>
        <v>0.96855345911949686</v>
      </c>
      <c r="AO128" s="256">
        <f t="shared" si="65"/>
        <v>0.51993806607199133</v>
      </c>
      <c r="AP128" s="257">
        <f t="shared" si="66"/>
        <v>1572.3270440251574</v>
      </c>
      <c r="AQ128" s="263">
        <f t="shared" si="73"/>
        <v>9</v>
      </c>
      <c r="AR128" s="263">
        <f t="shared" si="74"/>
        <v>0.2</v>
      </c>
      <c r="AS128" s="263">
        <f t="shared" si="75"/>
        <v>0.1</v>
      </c>
      <c r="AT128" s="263">
        <f t="shared" si="76"/>
        <v>9.2999999999999989</v>
      </c>
      <c r="AU128" s="263"/>
      <c r="AV128" s="263"/>
      <c r="AW128" s="263"/>
      <c r="AX128" s="263">
        <f t="shared" si="77"/>
        <v>9.2999999999999989</v>
      </c>
      <c r="BA128" s="282">
        <f t="shared" si="67"/>
        <v>241.56862745098039</v>
      </c>
      <c r="BB128">
        <v>1</v>
      </c>
      <c r="BC128">
        <f t="shared" si="78"/>
        <v>241.56862745098039</v>
      </c>
      <c r="BD128">
        <f t="shared" si="68"/>
        <v>450</v>
      </c>
      <c r="BE128">
        <f t="shared" si="69"/>
        <v>450</v>
      </c>
      <c r="BF128" s="281">
        <f t="shared" si="79"/>
        <v>0.53681917211328978</v>
      </c>
      <c r="BG128" s="282" t="s">
        <v>2501</v>
      </c>
      <c r="BH128" s="283"/>
    </row>
    <row r="129" spans="1:60" x14ac:dyDescent="0.3">
      <c r="A129">
        <f t="shared" si="70"/>
        <v>127</v>
      </c>
      <c r="B129" s="241" t="s">
        <v>2499</v>
      </c>
      <c r="C129" s="294" t="s">
        <v>2511</v>
      </c>
      <c r="D129" s="14">
        <v>45726</v>
      </c>
      <c r="E129" s="7">
        <v>30</v>
      </c>
      <c r="F129" s="7"/>
      <c r="G129" s="66"/>
      <c r="H129" s="59"/>
      <c r="I129" s="59">
        <v>480</v>
      </c>
      <c r="J129" s="47">
        <f t="shared" si="48"/>
        <v>480</v>
      </c>
      <c r="K129" s="8">
        <f t="shared" si="49"/>
        <v>450</v>
      </c>
      <c r="L129" s="96">
        <f t="shared" si="50"/>
        <v>0.9375</v>
      </c>
      <c r="M129" s="81">
        <v>1068</v>
      </c>
      <c r="N129" s="8">
        <v>153</v>
      </c>
      <c r="O129" s="8">
        <v>60</v>
      </c>
      <c r="P129" s="96">
        <f t="shared" si="51"/>
        <v>0.93071895424836604</v>
      </c>
      <c r="Q129" s="59">
        <f t="shared" si="52"/>
        <v>1068</v>
      </c>
      <c r="R129" s="252">
        <f t="shared" si="62"/>
        <v>1091</v>
      </c>
      <c r="S129" s="263">
        <v>7</v>
      </c>
      <c r="T129" s="263">
        <v>1</v>
      </c>
      <c r="U129" s="263">
        <v>0</v>
      </c>
      <c r="V129" s="263">
        <v>0</v>
      </c>
      <c r="W129" s="263">
        <v>2</v>
      </c>
      <c r="X129" s="263">
        <v>4</v>
      </c>
      <c r="Y129" s="263">
        <v>0</v>
      </c>
      <c r="Z129" s="263">
        <v>18</v>
      </c>
      <c r="AA129" s="263">
        <v>0</v>
      </c>
      <c r="AB129" s="263">
        <v>22</v>
      </c>
      <c r="AC129" s="263">
        <v>0</v>
      </c>
      <c r="AD129" s="263">
        <v>1</v>
      </c>
      <c r="AE129" s="263"/>
      <c r="AF129" s="263"/>
      <c r="AG129" s="263"/>
      <c r="AH129" s="263"/>
      <c r="AI129" s="263"/>
      <c r="AJ129" s="259"/>
      <c r="AK129" s="263">
        <f t="shared" si="71"/>
        <v>1</v>
      </c>
      <c r="AL129" s="265">
        <f t="shared" si="63"/>
        <v>11</v>
      </c>
      <c r="AM129" s="6">
        <f t="shared" si="72"/>
        <v>1</v>
      </c>
      <c r="AN129" s="255">
        <f t="shared" si="64"/>
        <v>0.97891842346471125</v>
      </c>
      <c r="AO129" s="256">
        <f t="shared" si="65"/>
        <v>0.85415431067018921</v>
      </c>
      <c r="AP129" s="257">
        <f t="shared" si="66"/>
        <v>916.59028414298814</v>
      </c>
      <c r="AQ129" s="263">
        <f t="shared" si="73"/>
        <v>11</v>
      </c>
      <c r="AR129" s="263">
        <f t="shared" si="74"/>
        <v>0</v>
      </c>
      <c r="AS129" s="263">
        <f t="shared" si="75"/>
        <v>0.1</v>
      </c>
      <c r="AT129" s="263">
        <f t="shared" si="76"/>
        <v>11.1</v>
      </c>
      <c r="AU129" s="263"/>
      <c r="AV129" s="263"/>
      <c r="AW129" s="263"/>
      <c r="AX129" s="263">
        <f t="shared" si="77"/>
        <v>11.1</v>
      </c>
      <c r="BA129" s="282">
        <f t="shared" si="67"/>
        <v>418.8235294117647</v>
      </c>
      <c r="BB129">
        <v>1</v>
      </c>
      <c r="BC129">
        <f t="shared" si="78"/>
        <v>418.8235294117647</v>
      </c>
      <c r="BD129">
        <f t="shared" si="68"/>
        <v>450</v>
      </c>
      <c r="BE129">
        <f t="shared" si="69"/>
        <v>480</v>
      </c>
      <c r="BF129" s="281">
        <f t="shared" si="79"/>
        <v>0.87254901960784315</v>
      </c>
      <c r="BG129" s="282" t="s">
        <v>2497</v>
      </c>
      <c r="BH129" s="283"/>
    </row>
    <row r="130" spans="1:60" x14ac:dyDescent="0.3">
      <c r="A130">
        <f t="shared" si="70"/>
        <v>128</v>
      </c>
      <c r="B130" s="241" t="s">
        <v>2499</v>
      </c>
      <c r="C130" s="294" t="s">
        <v>2512</v>
      </c>
      <c r="D130" s="14">
        <v>45726</v>
      </c>
      <c r="E130" s="7"/>
      <c r="F130" s="7"/>
      <c r="G130" s="66"/>
      <c r="H130" s="59"/>
      <c r="I130" s="59">
        <v>450</v>
      </c>
      <c r="J130" s="47">
        <f t="shared" si="48"/>
        <v>450</v>
      </c>
      <c r="K130" s="8">
        <f t="shared" si="49"/>
        <v>450</v>
      </c>
      <c r="L130" s="96">
        <f t="shared" si="50"/>
        <v>1</v>
      </c>
      <c r="M130" s="81">
        <f>142+134+149+150+13+145+98+43</f>
        <v>874</v>
      </c>
      <c r="N130" s="8">
        <v>153</v>
      </c>
      <c r="O130" s="8">
        <v>60</v>
      </c>
      <c r="P130" s="96">
        <f t="shared" si="51"/>
        <v>0.7616557734204793</v>
      </c>
      <c r="Q130" s="59">
        <f t="shared" si="52"/>
        <v>874</v>
      </c>
      <c r="R130" s="252">
        <f t="shared" si="62"/>
        <v>949</v>
      </c>
      <c r="S130" s="263">
        <v>4</v>
      </c>
      <c r="T130" s="263">
        <v>2</v>
      </c>
      <c r="U130" s="263">
        <v>0</v>
      </c>
      <c r="V130" s="263">
        <v>0</v>
      </c>
      <c r="W130" s="263">
        <v>0</v>
      </c>
      <c r="X130" s="263">
        <v>2</v>
      </c>
      <c r="Y130" s="263">
        <v>0</v>
      </c>
      <c r="Z130" s="263">
        <v>1</v>
      </c>
      <c r="AA130" s="263">
        <v>0</v>
      </c>
      <c r="AB130" s="263">
        <v>72</v>
      </c>
      <c r="AC130" s="263">
        <v>1</v>
      </c>
      <c r="AD130" s="263">
        <v>2</v>
      </c>
      <c r="AE130" s="263"/>
      <c r="AF130" s="263"/>
      <c r="AG130" s="263"/>
      <c r="AH130" s="263"/>
      <c r="AI130" s="263"/>
      <c r="AJ130" s="259"/>
      <c r="AK130" s="263">
        <f t="shared" si="71"/>
        <v>2</v>
      </c>
      <c r="AL130" s="265">
        <f t="shared" si="63"/>
        <v>11</v>
      </c>
      <c r="AM130" s="6">
        <f t="shared" si="72"/>
        <v>2</v>
      </c>
      <c r="AN130" s="255">
        <f t="shared" si="64"/>
        <v>0.92096944151738669</v>
      </c>
      <c r="AO130" s="256">
        <f t="shared" si="65"/>
        <v>0.701461692275552</v>
      </c>
      <c r="AP130" s="257">
        <f t="shared" si="66"/>
        <v>2107.4815595363539</v>
      </c>
      <c r="AQ130" s="263">
        <f t="shared" si="73"/>
        <v>36</v>
      </c>
      <c r="AR130" s="263">
        <f t="shared" si="74"/>
        <v>0.2</v>
      </c>
      <c r="AS130" s="263">
        <f t="shared" si="75"/>
        <v>0.2</v>
      </c>
      <c r="AT130" s="263">
        <f t="shared" si="76"/>
        <v>36.400000000000006</v>
      </c>
      <c r="AU130" s="263"/>
      <c r="AV130" s="263"/>
      <c r="AW130" s="263"/>
      <c r="AX130" s="263">
        <f t="shared" si="77"/>
        <v>36.400000000000006</v>
      </c>
      <c r="BA130" s="282">
        <f t="shared" si="67"/>
        <v>342.74509803921569</v>
      </c>
      <c r="BB130">
        <v>1</v>
      </c>
      <c r="BC130">
        <f t="shared" si="78"/>
        <v>342.74509803921569</v>
      </c>
      <c r="BD130">
        <f t="shared" si="68"/>
        <v>450</v>
      </c>
      <c r="BE130">
        <f t="shared" si="69"/>
        <v>450</v>
      </c>
      <c r="BF130" s="281">
        <f t="shared" si="79"/>
        <v>0.7616557734204793</v>
      </c>
      <c r="BG130" s="282" t="s">
        <v>2516</v>
      </c>
      <c r="BH130" s="283"/>
    </row>
    <row r="131" spans="1:60" x14ac:dyDescent="0.3">
      <c r="A131">
        <f t="shared" si="70"/>
        <v>129</v>
      </c>
      <c r="B131" s="241" t="s">
        <v>2499</v>
      </c>
      <c r="C131" s="294" t="s">
        <v>2513</v>
      </c>
      <c r="D131" s="14">
        <v>45726</v>
      </c>
      <c r="E131" s="7"/>
      <c r="F131" s="7"/>
      <c r="G131" s="66"/>
      <c r="H131" s="59"/>
      <c r="I131" s="59">
        <v>510</v>
      </c>
      <c r="J131" s="47">
        <f t="shared" si="48"/>
        <v>510</v>
      </c>
      <c r="K131" s="8">
        <f t="shared" si="49"/>
        <v>510</v>
      </c>
      <c r="L131" s="96">
        <f t="shared" si="50"/>
        <v>1</v>
      </c>
      <c r="M131" s="81">
        <v>850</v>
      </c>
      <c r="N131" s="8">
        <v>153</v>
      </c>
      <c r="O131" s="8">
        <v>60</v>
      </c>
      <c r="P131" s="96">
        <f t="shared" si="51"/>
        <v>0.65359477124183007</v>
      </c>
      <c r="Q131" s="59">
        <f t="shared" si="52"/>
        <v>850</v>
      </c>
      <c r="R131" s="252">
        <f t="shared" ref="R131:R194" si="80">+Q131+AB131+AC131+AD131</f>
        <v>902</v>
      </c>
      <c r="S131" s="263">
        <v>4</v>
      </c>
      <c r="T131" s="263">
        <v>4</v>
      </c>
      <c r="U131" s="263">
        <v>0</v>
      </c>
      <c r="V131" s="263">
        <v>0</v>
      </c>
      <c r="W131" s="263">
        <v>0</v>
      </c>
      <c r="X131" s="263">
        <v>27</v>
      </c>
      <c r="Y131" s="263">
        <v>0</v>
      </c>
      <c r="Z131" s="263">
        <v>0</v>
      </c>
      <c r="AA131" s="263">
        <v>1</v>
      </c>
      <c r="AB131" s="263">
        <v>46</v>
      </c>
      <c r="AC131" s="263">
        <v>0</v>
      </c>
      <c r="AD131" s="263">
        <v>6</v>
      </c>
      <c r="AE131" s="263"/>
      <c r="AF131" s="263"/>
      <c r="AG131" s="263"/>
      <c r="AH131" s="263"/>
      <c r="AI131" s="263"/>
      <c r="AJ131" s="259"/>
      <c r="AK131" s="263">
        <f t="shared" si="71"/>
        <v>6</v>
      </c>
      <c r="AL131" s="265">
        <f t="shared" ref="AL131:AL194" si="81">WEEKNUM(D131,21)</f>
        <v>11</v>
      </c>
      <c r="AM131" s="6">
        <f t="shared" si="72"/>
        <v>6</v>
      </c>
      <c r="AN131" s="255">
        <f t="shared" ref="AN131:AN194" si="82">IFERROR(Q131/R131,"")</f>
        <v>0.94235033259423506</v>
      </c>
      <c r="AO131" s="256">
        <f t="shared" ref="AO131:AO194" si="83">IFERROR(AN131*P131*L131,"")</f>
        <v>0.61591525006159153</v>
      </c>
      <c r="AP131" s="257">
        <f t="shared" ref="AP131:AP194" si="84">IFERROR(AM131/R131*1000000,"")</f>
        <v>6651.8847006651886</v>
      </c>
      <c r="AQ131" s="263">
        <f t="shared" si="73"/>
        <v>23</v>
      </c>
      <c r="AR131" s="263">
        <f t="shared" si="74"/>
        <v>0</v>
      </c>
      <c r="AS131" s="263">
        <f t="shared" si="75"/>
        <v>0.60000000000000009</v>
      </c>
      <c r="AT131" s="263">
        <f t="shared" si="76"/>
        <v>23.6</v>
      </c>
      <c r="AU131" s="263"/>
      <c r="AV131" s="263"/>
      <c r="AW131" s="263"/>
      <c r="AX131" s="263">
        <f t="shared" si="77"/>
        <v>23.6</v>
      </c>
      <c r="BA131" s="282">
        <f t="shared" ref="BA131:BA194" si="85">IFERROR(M131/N131*60,"")</f>
        <v>333.33333333333331</v>
      </c>
      <c r="BB131">
        <v>1</v>
      </c>
      <c r="BC131">
        <f t="shared" si="78"/>
        <v>333.33333333333331</v>
      </c>
      <c r="BD131">
        <f t="shared" ref="BD131:BD194" si="86">IFERROR(BB131*K131,"")</f>
        <v>510</v>
      </c>
      <c r="BE131">
        <f t="shared" ref="BE131:BE194" si="87">J131*BB131</f>
        <v>510</v>
      </c>
      <c r="BF131" s="281">
        <f t="shared" si="79"/>
        <v>0.65359477124183007</v>
      </c>
      <c r="BG131" s="282" t="s">
        <v>2500</v>
      </c>
      <c r="BH131" s="283"/>
    </row>
    <row r="132" spans="1:60" x14ac:dyDescent="0.3">
      <c r="A132">
        <f t="shared" ref="A132:A195" si="88">+A131+1</f>
        <v>130</v>
      </c>
      <c r="B132" s="269" t="s">
        <v>2534</v>
      </c>
      <c r="C132" s="294" t="s">
        <v>2511</v>
      </c>
      <c r="D132" s="14">
        <v>45727</v>
      </c>
      <c r="E132" s="7">
        <v>390</v>
      </c>
      <c r="F132" s="7"/>
      <c r="G132" s="66"/>
      <c r="H132" s="59"/>
      <c r="I132" s="59">
        <v>480</v>
      </c>
      <c r="J132" s="47">
        <f t="shared" si="48"/>
        <v>480</v>
      </c>
      <c r="K132" s="8">
        <f t="shared" si="49"/>
        <v>90</v>
      </c>
      <c r="L132" s="96">
        <f t="shared" si="50"/>
        <v>0.1875</v>
      </c>
      <c r="M132" s="81">
        <f>63+26+21+15</f>
        <v>125</v>
      </c>
      <c r="N132" s="8">
        <v>153</v>
      </c>
      <c r="O132" s="8">
        <v>60</v>
      </c>
      <c r="P132" s="96">
        <f t="shared" si="51"/>
        <v>0.54466230936819171</v>
      </c>
      <c r="Q132" s="59">
        <f t="shared" si="52"/>
        <v>125</v>
      </c>
      <c r="R132" s="252">
        <f t="shared" si="80"/>
        <v>129</v>
      </c>
      <c r="S132" s="263">
        <v>0</v>
      </c>
      <c r="T132" s="263">
        <v>1</v>
      </c>
      <c r="U132" s="263">
        <v>0</v>
      </c>
      <c r="V132" s="263">
        <v>0</v>
      </c>
      <c r="W132" s="263">
        <v>0</v>
      </c>
      <c r="X132" s="263">
        <v>0</v>
      </c>
      <c r="Y132" s="263">
        <v>0</v>
      </c>
      <c r="Z132" s="263">
        <v>0</v>
      </c>
      <c r="AA132" s="263">
        <v>0</v>
      </c>
      <c r="AB132" s="263">
        <v>3</v>
      </c>
      <c r="AC132" s="263">
        <v>0</v>
      </c>
      <c r="AD132" s="263">
        <v>1</v>
      </c>
      <c r="AE132" s="263"/>
      <c r="AF132" s="263"/>
      <c r="AG132" s="263"/>
      <c r="AH132" s="263"/>
      <c r="AI132" s="263"/>
      <c r="AJ132" s="259"/>
      <c r="AK132" s="263">
        <f t="shared" si="71"/>
        <v>1</v>
      </c>
      <c r="AL132" s="265">
        <f t="shared" si="81"/>
        <v>11</v>
      </c>
      <c r="AM132" s="6">
        <f t="shared" si="72"/>
        <v>1</v>
      </c>
      <c r="AN132" s="255">
        <f t="shared" si="82"/>
        <v>0.96899224806201545</v>
      </c>
      <c r="AO132" s="256">
        <f t="shared" si="83"/>
        <v>9.8957541672999944E-2</v>
      </c>
      <c r="AP132" s="257">
        <f t="shared" si="84"/>
        <v>7751.937984496124</v>
      </c>
      <c r="AQ132" s="263">
        <f t="shared" si="73"/>
        <v>1.5</v>
      </c>
      <c r="AR132" s="263">
        <f t="shared" si="74"/>
        <v>0</v>
      </c>
      <c r="AS132" s="263">
        <f t="shared" si="75"/>
        <v>0.1</v>
      </c>
      <c r="AT132" s="263">
        <f t="shared" si="76"/>
        <v>1.6</v>
      </c>
      <c r="AU132" s="263"/>
      <c r="AV132" s="263"/>
      <c r="AW132" s="263"/>
      <c r="AX132" s="263">
        <f t="shared" si="77"/>
        <v>1.6</v>
      </c>
      <c r="BA132" s="282">
        <f t="shared" si="85"/>
        <v>49.019607843137251</v>
      </c>
      <c r="BB132">
        <v>1</v>
      </c>
      <c r="BC132">
        <f t="shared" si="78"/>
        <v>49.019607843137251</v>
      </c>
      <c r="BD132">
        <f t="shared" si="86"/>
        <v>90</v>
      </c>
      <c r="BE132">
        <f t="shared" si="87"/>
        <v>480</v>
      </c>
      <c r="BF132" s="281">
        <f t="shared" si="79"/>
        <v>0.10212418300653595</v>
      </c>
      <c r="BG132" s="282" t="s">
        <v>2538</v>
      </c>
      <c r="BH132" s="283"/>
    </row>
    <row r="133" spans="1:60" x14ac:dyDescent="0.3">
      <c r="A133">
        <f t="shared" si="88"/>
        <v>131</v>
      </c>
      <c r="B133" s="241" t="s">
        <v>2515</v>
      </c>
      <c r="C133" s="294" t="s">
        <v>2512</v>
      </c>
      <c r="D133" s="14">
        <v>45727</v>
      </c>
      <c r="E133" s="7"/>
      <c r="F133" s="7"/>
      <c r="G133" s="66"/>
      <c r="H133" s="59"/>
      <c r="I133" s="59">
        <v>450</v>
      </c>
      <c r="J133" s="47">
        <f t="shared" si="48"/>
        <v>450</v>
      </c>
      <c r="K133" s="8">
        <f t="shared" si="49"/>
        <v>450</v>
      </c>
      <c r="L133" s="96">
        <f t="shared" si="50"/>
        <v>1</v>
      </c>
      <c r="M133" s="81">
        <v>545</v>
      </c>
      <c r="N133" s="8">
        <v>153</v>
      </c>
      <c r="O133" s="8">
        <v>60</v>
      </c>
      <c r="P133" s="96">
        <f t="shared" si="51"/>
        <v>0.47494553376906318</v>
      </c>
      <c r="Q133" s="59">
        <f t="shared" si="52"/>
        <v>545</v>
      </c>
      <c r="R133" s="252">
        <f t="shared" si="80"/>
        <v>622</v>
      </c>
      <c r="S133" s="263">
        <v>33</v>
      </c>
      <c r="T133" s="263">
        <v>5</v>
      </c>
      <c r="U133" s="263">
        <v>41</v>
      </c>
      <c r="V133" s="263">
        <v>0</v>
      </c>
      <c r="W133" s="263">
        <v>2</v>
      </c>
      <c r="X133" s="263">
        <v>16</v>
      </c>
      <c r="Y133" s="263">
        <v>0</v>
      </c>
      <c r="Z133" s="263">
        <v>0</v>
      </c>
      <c r="AA133" s="263">
        <v>0</v>
      </c>
      <c r="AB133" s="263">
        <v>67</v>
      </c>
      <c r="AC133" s="263">
        <v>1</v>
      </c>
      <c r="AD133" s="263">
        <v>9</v>
      </c>
      <c r="AE133" s="263"/>
      <c r="AF133" s="263"/>
      <c r="AG133" s="263"/>
      <c r="AH133" s="263"/>
      <c r="AI133" s="263"/>
      <c r="AJ133" s="259"/>
      <c r="AK133" s="263">
        <f t="shared" si="71"/>
        <v>9</v>
      </c>
      <c r="AL133" s="265">
        <f t="shared" si="81"/>
        <v>11</v>
      </c>
      <c r="AM133" s="6">
        <f t="shared" si="72"/>
        <v>9</v>
      </c>
      <c r="AN133" s="255">
        <f t="shared" si="82"/>
        <v>0.8762057877813505</v>
      </c>
      <c r="AO133" s="256">
        <f t="shared" si="83"/>
        <v>0.41615002556935599</v>
      </c>
      <c r="AP133" s="257">
        <f t="shared" si="84"/>
        <v>14469.453376205787</v>
      </c>
      <c r="AQ133" s="263">
        <f t="shared" si="73"/>
        <v>33.5</v>
      </c>
      <c r="AR133" s="263">
        <f t="shared" si="74"/>
        <v>0.2</v>
      </c>
      <c r="AS133" s="263">
        <f t="shared" si="75"/>
        <v>0.9</v>
      </c>
      <c r="AT133" s="263">
        <f t="shared" si="76"/>
        <v>34.6</v>
      </c>
      <c r="AU133" s="263"/>
      <c r="AV133" s="263"/>
      <c r="AW133" s="263"/>
      <c r="AX133" s="263">
        <f t="shared" si="77"/>
        <v>34.6</v>
      </c>
      <c r="BA133" s="282">
        <f t="shared" si="85"/>
        <v>213.72549019607843</v>
      </c>
      <c r="BB133">
        <v>1</v>
      </c>
      <c r="BC133">
        <f t="shared" si="78"/>
        <v>213.72549019607843</v>
      </c>
      <c r="BD133">
        <f t="shared" si="86"/>
        <v>450</v>
      </c>
      <c r="BE133">
        <f t="shared" si="87"/>
        <v>450</v>
      </c>
      <c r="BF133" s="281">
        <f t="shared" si="79"/>
        <v>0.47494553376906318</v>
      </c>
      <c r="BG133" s="282" t="s">
        <v>2501</v>
      </c>
      <c r="BH133" s="283"/>
    </row>
    <row r="134" spans="1:60" x14ac:dyDescent="0.3">
      <c r="A134">
        <f t="shared" si="88"/>
        <v>132</v>
      </c>
      <c r="B134" s="241" t="s">
        <v>2515</v>
      </c>
      <c r="C134" s="294" t="s">
        <v>2513</v>
      </c>
      <c r="D134" s="14">
        <v>45727</v>
      </c>
      <c r="E134" s="7"/>
      <c r="F134" s="7"/>
      <c r="G134" s="66"/>
      <c r="H134" s="59"/>
      <c r="I134" s="59">
        <v>510</v>
      </c>
      <c r="J134" s="47">
        <f t="shared" si="48"/>
        <v>510</v>
      </c>
      <c r="K134" s="8">
        <f t="shared" si="49"/>
        <v>510</v>
      </c>
      <c r="L134" s="96">
        <f t="shared" si="50"/>
        <v>1</v>
      </c>
      <c r="M134" s="81">
        <v>866</v>
      </c>
      <c r="N134" s="8">
        <v>153</v>
      </c>
      <c r="O134" s="8">
        <v>60</v>
      </c>
      <c r="P134" s="96">
        <f t="shared" si="51"/>
        <v>0.66589773164167632</v>
      </c>
      <c r="Q134" s="59">
        <f t="shared" si="52"/>
        <v>866</v>
      </c>
      <c r="R134" s="252">
        <f t="shared" si="80"/>
        <v>952</v>
      </c>
      <c r="S134" s="263">
        <v>29</v>
      </c>
      <c r="T134" s="263">
        <v>1</v>
      </c>
      <c r="U134" s="263">
        <v>1</v>
      </c>
      <c r="V134" s="263">
        <v>0</v>
      </c>
      <c r="W134" s="263">
        <v>0</v>
      </c>
      <c r="X134" s="263">
        <v>4</v>
      </c>
      <c r="Y134" s="263">
        <v>0</v>
      </c>
      <c r="Z134" s="263">
        <v>1</v>
      </c>
      <c r="AA134" s="263">
        <v>1</v>
      </c>
      <c r="AB134" s="263">
        <v>61</v>
      </c>
      <c r="AC134" s="263">
        <v>2</v>
      </c>
      <c r="AD134" s="263">
        <v>23</v>
      </c>
      <c r="AE134" s="263"/>
      <c r="AF134" s="263"/>
      <c r="AG134" s="263"/>
      <c r="AH134" s="263"/>
      <c r="AI134" s="263"/>
      <c r="AJ134" s="259"/>
      <c r="AK134" s="263">
        <f t="shared" si="71"/>
        <v>23</v>
      </c>
      <c r="AL134" s="265">
        <f t="shared" si="81"/>
        <v>11</v>
      </c>
      <c r="AM134" s="6">
        <f t="shared" si="72"/>
        <v>23</v>
      </c>
      <c r="AN134" s="255">
        <f t="shared" si="82"/>
        <v>0.90966386554621848</v>
      </c>
      <c r="AO134" s="256">
        <f t="shared" si="83"/>
        <v>0.60574310462362568</v>
      </c>
      <c r="AP134" s="257">
        <f t="shared" si="84"/>
        <v>24159.663865546219</v>
      </c>
      <c r="AQ134" s="263">
        <f t="shared" si="73"/>
        <v>30.5</v>
      </c>
      <c r="AR134" s="263">
        <f t="shared" si="74"/>
        <v>0.4</v>
      </c>
      <c r="AS134" s="263">
        <f t="shared" si="75"/>
        <v>2.3000000000000003</v>
      </c>
      <c r="AT134" s="263">
        <f t="shared" si="76"/>
        <v>33.199999999999996</v>
      </c>
      <c r="AU134" s="263"/>
      <c r="AV134" s="263"/>
      <c r="AW134" s="263"/>
      <c r="AX134" s="263">
        <f t="shared" si="77"/>
        <v>33.199999999999996</v>
      </c>
      <c r="BA134" s="282">
        <f t="shared" si="85"/>
        <v>339.60784313725492</v>
      </c>
      <c r="BB134">
        <v>1</v>
      </c>
      <c r="BC134">
        <f t="shared" si="78"/>
        <v>339.60784313725492</v>
      </c>
      <c r="BD134">
        <f t="shared" si="86"/>
        <v>510</v>
      </c>
      <c r="BE134">
        <f t="shared" si="87"/>
        <v>510</v>
      </c>
      <c r="BF134" s="281">
        <f t="shared" si="79"/>
        <v>0.66589773164167632</v>
      </c>
      <c r="BG134" s="282" t="s">
        <v>2537</v>
      </c>
      <c r="BH134" s="283"/>
    </row>
    <row r="135" spans="1:60" x14ac:dyDescent="0.3">
      <c r="A135">
        <f t="shared" si="88"/>
        <v>133</v>
      </c>
      <c r="B135" s="241" t="s">
        <v>2515</v>
      </c>
      <c r="C135" s="294" t="s">
        <v>2511</v>
      </c>
      <c r="D135" s="14">
        <v>45728</v>
      </c>
      <c r="E135" s="7"/>
      <c r="F135" s="7">
        <f>60*3</f>
        <v>180</v>
      </c>
      <c r="G135" s="66"/>
      <c r="H135" s="59"/>
      <c r="I135" s="59">
        <v>480</v>
      </c>
      <c r="J135" s="47">
        <f t="shared" si="48"/>
        <v>480</v>
      </c>
      <c r="K135" s="8">
        <f t="shared" si="49"/>
        <v>300</v>
      </c>
      <c r="L135" s="96">
        <f t="shared" si="50"/>
        <v>0.625</v>
      </c>
      <c r="M135" s="81">
        <v>769</v>
      </c>
      <c r="N135" s="8">
        <v>153</v>
      </c>
      <c r="O135" s="8">
        <v>60</v>
      </c>
      <c r="P135" s="96">
        <f t="shared" si="51"/>
        <v>1.0052287581699346</v>
      </c>
      <c r="Q135" s="59">
        <f t="shared" si="52"/>
        <v>769</v>
      </c>
      <c r="R135" s="252">
        <f t="shared" si="80"/>
        <v>845</v>
      </c>
      <c r="S135" s="263">
        <v>38</v>
      </c>
      <c r="T135" s="263">
        <v>2</v>
      </c>
      <c r="U135" s="263">
        <v>6</v>
      </c>
      <c r="V135" s="263">
        <v>0</v>
      </c>
      <c r="W135" s="263">
        <v>2</v>
      </c>
      <c r="X135" s="263">
        <v>2</v>
      </c>
      <c r="Y135" s="263">
        <v>0</v>
      </c>
      <c r="Z135" s="263">
        <v>2</v>
      </c>
      <c r="AA135" s="263">
        <v>0</v>
      </c>
      <c r="AB135" s="263">
        <v>53</v>
      </c>
      <c r="AC135" s="263">
        <v>3</v>
      </c>
      <c r="AD135" s="263">
        <v>20</v>
      </c>
      <c r="AE135" s="263"/>
      <c r="AF135" s="263"/>
      <c r="AG135" s="263"/>
      <c r="AH135" s="263"/>
      <c r="AI135" s="263"/>
      <c r="AJ135" s="259"/>
      <c r="AK135" s="263">
        <f t="shared" si="71"/>
        <v>20</v>
      </c>
      <c r="AL135" s="265">
        <f t="shared" si="81"/>
        <v>11</v>
      </c>
      <c r="AM135" s="6">
        <f t="shared" si="72"/>
        <v>20</v>
      </c>
      <c r="AN135" s="255">
        <f t="shared" si="82"/>
        <v>0.91005917159763317</v>
      </c>
      <c r="AO135" s="256">
        <f t="shared" si="83"/>
        <v>0.57176103182890514</v>
      </c>
      <c r="AP135" s="257">
        <f t="shared" si="84"/>
        <v>23668.639053254436</v>
      </c>
      <c r="AQ135" s="263">
        <f t="shared" si="73"/>
        <v>26.5</v>
      </c>
      <c r="AR135" s="263">
        <f t="shared" si="74"/>
        <v>0.60000000000000009</v>
      </c>
      <c r="AS135" s="263">
        <f t="shared" si="75"/>
        <v>2</v>
      </c>
      <c r="AT135" s="263">
        <f t="shared" si="76"/>
        <v>29.1</v>
      </c>
      <c r="AU135" s="263"/>
      <c r="AV135" s="263"/>
      <c r="AW135" s="263"/>
      <c r="AX135" s="263">
        <f t="shared" si="77"/>
        <v>29.1</v>
      </c>
      <c r="BA135" s="282">
        <f t="shared" si="85"/>
        <v>301.56862745098039</v>
      </c>
      <c r="BB135">
        <v>1</v>
      </c>
      <c r="BC135">
        <f t="shared" si="78"/>
        <v>301.56862745098039</v>
      </c>
      <c r="BD135">
        <f t="shared" si="86"/>
        <v>300</v>
      </c>
      <c r="BE135">
        <f t="shared" si="87"/>
        <v>480</v>
      </c>
      <c r="BF135" s="281">
        <f t="shared" si="79"/>
        <v>0.62826797385620914</v>
      </c>
      <c r="BG135" s="282" t="s">
        <v>2538</v>
      </c>
      <c r="BH135" s="283"/>
    </row>
    <row r="136" spans="1:60" x14ac:dyDescent="0.3">
      <c r="A136">
        <f t="shared" si="88"/>
        <v>134</v>
      </c>
      <c r="B136" s="241" t="s">
        <v>2515</v>
      </c>
      <c r="C136" s="294" t="s">
        <v>2512</v>
      </c>
      <c r="D136" s="14">
        <v>45728</v>
      </c>
      <c r="E136" s="7"/>
      <c r="F136" s="7">
        <v>120</v>
      </c>
      <c r="G136" s="66"/>
      <c r="H136" s="59"/>
      <c r="I136" s="59">
        <v>450</v>
      </c>
      <c r="J136" s="47">
        <f t="shared" si="48"/>
        <v>450</v>
      </c>
      <c r="K136" s="8">
        <f t="shared" si="49"/>
        <v>330</v>
      </c>
      <c r="L136" s="96">
        <f t="shared" si="50"/>
        <v>0.73333333333333328</v>
      </c>
      <c r="M136" s="81">
        <v>455</v>
      </c>
      <c r="N136" s="8">
        <v>153</v>
      </c>
      <c r="O136" s="8">
        <v>60</v>
      </c>
      <c r="P136" s="96">
        <f t="shared" si="51"/>
        <v>0.54070112893642308</v>
      </c>
      <c r="Q136" s="59">
        <f t="shared" si="52"/>
        <v>455</v>
      </c>
      <c r="R136" s="252">
        <f t="shared" si="80"/>
        <v>529</v>
      </c>
      <c r="S136" s="263">
        <v>8</v>
      </c>
      <c r="T136" s="263">
        <v>1</v>
      </c>
      <c r="U136" s="263">
        <v>2</v>
      </c>
      <c r="V136" s="263">
        <v>0</v>
      </c>
      <c r="W136" s="263">
        <v>2</v>
      </c>
      <c r="X136" s="263">
        <v>0</v>
      </c>
      <c r="Y136" s="263">
        <v>0</v>
      </c>
      <c r="Z136" s="263">
        <v>0</v>
      </c>
      <c r="AA136" s="263">
        <v>0</v>
      </c>
      <c r="AB136" s="263">
        <v>61</v>
      </c>
      <c r="AC136" s="263">
        <v>1</v>
      </c>
      <c r="AD136" s="263">
        <v>12</v>
      </c>
      <c r="AE136" s="263"/>
      <c r="AF136" s="263"/>
      <c r="AG136" s="263"/>
      <c r="AH136" s="263"/>
      <c r="AI136" s="263"/>
      <c r="AJ136" s="259"/>
      <c r="AK136" s="263">
        <f t="shared" si="71"/>
        <v>12</v>
      </c>
      <c r="AL136" s="265">
        <f t="shared" si="81"/>
        <v>11</v>
      </c>
      <c r="AM136" s="6">
        <f t="shared" si="72"/>
        <v>12</v>
      </c>
      <c r="AN136" s="255">
        <f t="shared" si="82"/>
        <v>0.86011342155009451</v>
      </c>
      <c r="AO136" s="256">
        <f t="shared" si="83"/>
        <v>0.34104715190003748</v>
      </c>
      <c r="AP136" s="257">
        <f t="shared" si="84"/>
        <v>22684.310018903594</v>
      </c>
      <c r="AQ136" s="263">
        <f t="shared" si="73"/>
        <v>30.5</v>
      </c>
      <c r="AR136" s="263">
        <f t="shared" si="74"/>
        <v>0.2</v>
      </c>
      <c r="AS136" s="263">
        <f t="shared" si="75"/>
        <v>1.2000000000000002</v>
      </c>
      <c r="AT136" s="263">
        <f t="shared" si="76"/>
        <v>31.9</v>
      </c>
      <c r="AU136" s="263"/>
      <c r="AV136" s="263"/>
      <c r="AW136" s="263"/>
      <c r="AX136" s="263">
        <f t="shared" si="77"/>
        <v>31.9</v>
      </c>
      <c r="BA136" s="282">
        <f t="shared" si="85"/>
        <v>178.43137254901961</v>
      </c>
      <c r="BB136">
        <v>1</v>
      </c>
      <c r="BC136">
        <f t="shared" si="78"/>
        <v>178.43137254901961</v>
      </c>
      <c r="BD136">
        <f t="shared" si="86"/>
        <v>330</v>
      </c>
      <c r="BE136">
        <f t="shared" si="87"/>
        <v>450</v>
      </c>
      <c r="BF136" s="281">
        <f t="shared" si="79"/>
        <v>0.39651416122004357</v>
      </c>
      <c r="BG136" s="282" t="s">
        <v>2501</v>
      </c>
      <c r="BH136" s="283"/>
    </row>
    <row r="137" spans="1:60" x14ac:dyDescent="0.3">
      <c r="A137">
        <f t="shared" si="88"/>
        <v>135</v>
      </c>
      <c r="B137" s="325" t="s">
        <v>2539</v>
      </c>
      <c r="C137" s="294" t="s">
        <v>2513</v>
      </c>
      <c r="D137" s="14">
        <v>45728</v>
      </c>
      <c r="E137" s="7">
        <v>150</v>
      </c>
      <c r="F137" s="7"/>
      <c r="G137" s="66"/>
      <c r="H137" s="59"/>
      <c r="I137" s="59">
        <v>510</v>
      </c>
      <c r="J137" s="47">
        <f t="shared" si="48"/>
        <v>510</v>
      </c>
      <c r="K137" s="8">
        <f t="shared" si="49"/>
        <v>360</v>
      </c>
      <c r="L137" s="96">
        <f t="shared" si="50"/>
        <v>0.70588235294117652</v>
      </c>
      <c r="M137" s="81">
        <v>220</v>
      </c>
      <c r="N137" s="8">
        <v>153</v>
      </c>
      <c r="O137" s="8">
        <v>60</v>
      </c>
      <c r="P137" s="96">
        <f t="shared" si="51"/>
        <v>0.23965141612200438</v>
      </c>
      <c r="Q137" s="59">
        <f t="shared" si="52"/>
        <v>220</v>
      </c>
      <c r="R137" s="252">
        <f t="shared" si="80"/>
        <v>220</v>
      </c>
      <c r="S137" s="263"/>
      <c r="T137" s="263"/>
      <c r="U137" s="263"/>
      <c r="V137" s="263"/>
      <c r="W137" s="263"/>
      <c r="X137" s="263"/>
      <c r="Y137" s="263"/>
      <c r="Z137" s="263"/>
      <c r="AA137" s="263"/>
      <c r="AB137" s="263"/>
      <c r="AC137" s="263"/>
      <c r="AD137" s="263"/>
      <c r="AE137" s="263"/>
      <c r="AF137" s="263"/>
      <c r="AG137" s="263"/>
      <c r="AH137" s="263"/>
      <c r="AI137" s="263"/>
      <c r="AJ137" s="259"/>
      <c r="AK137" s="263">
        <f t="shared" si="71"/>
        <v>0</v>
      </c>
      <c r="AL137" s="265">
        <f t="shared" si="81"/>
        <v>11</v>
      </c>
      <c r="AM137" s="6">
        <f t="shared" si="72"/>
        <v>0</v>
      </c>
      <c r="AN137" s="255">
        <f t="shared" si="82"/>
        <v>1</v>
      </c>
      <c r="AO137" s="256">
        <f t="shared" si="83"/>
        <v>0.16916570549788545</v>
      </c>
      <c r="AP137" s="257">
        <f t="shared" si="84"/>
        <v>0</v>
      </c>
      <c r="AQ137" s="263">
        <f t="shared" si="73"/>
        <v>0</v>
      </c>
      <c r="AR137" s="263">
        <f t="shared" si="74"/>
        <v>0</v>
      </c>
      <c r="AS137" s="263">
        <f t="shared" si="75"/>
        <v>0</v>
      </c>
      <c r="AT137" s="263">
        <f t="shared" si="76"/>
        <v>0</v>
      </c>
      <c r="AU137" s="263"/>
      <c r="AV137" s="263"/>
      <c r="AW137" s="263"/>
      <c r="AX137" s="263">
        <f t="shared" si="77"/>
        <v>0</v>
      </c>
      <c r="BA137" s="282">
        <f t="shared" si="85"/>
        <v>86.274509803921575</v>
      </c>
      <c r="BB137">
        <v>1</v>
      </c>
      <c r="BC137">
        <f t="shared" si="78"/>
        <v>86.274509803921575</v>
      </c>
      <c r="BD137">
        <f t="shared" si="86"/>
        <v>360</v>
      </c>
      <c r="BE137">
        <f t="shared" si="87"/>
        <v>510</v>
      </c>
      <c r="BF137" s="281">
        <f t="shared" si="79"/>
        <v>0.16916570549788543</v>
      </c>
      <c r="BG137" s="282" t="s">
        <v>2537</v>
      </c>
      <c r="BH137" s="283"/>
    </row>
    <row r="138" spans="1:60" x14ac:dyDescent="0.3">
      <c r="A138">
        <f t="shared" si="88"/>
        <v>136</v>
      </c>
      <c r="B138" s="241" t="s">
        <v>2518</v>
      </c>
      <c r="C138" s="294" t="s">
        <v>2511</v>
      </c>
      <c r="D138" s="14">
        <v>45729</v>
      </c>
      <c r="E138" s="7"/>
      <c r="F138" s="7"/>
      <c r="G138" s="66"/>
      <c r="H138" s="59"/>
      <c r="I138" s="59">
        <v>480</v>
      </c>
      <c r="J138" s="47">
        <f t="shared" si="48"/>
        <v>480</v>
      </c>
      <c r="K138" s="8">
        <f t="shared" si="49"/>
        <v>480</v>
      </c>
      <c r="L138" s="96">
        <f t="shared" si="50"/>
        <v>1</v>
      </c>
      <c r="M138" s="81">
        <v>510</v>
      </c>
      <c r="N138" s="8">
        <v>153</v>
      </c>
      <c r="O138" s="8">
        <v>60</v>
      </c>
      <c r="P138" s="96">
        <f t="shared" si="51"/>
        <v>0.41666666666666669</v>
      </c>
      <c r="Q138" s="59">
        <f t="shared" si="52"/>
        <v>510</v>
      </c>
      <c r="R138" s="252">
        <f t="shared" si="80"/>
        <v>586</v>
      </c>
      <c r="S138" s="263">
        <v>48</v>
      </c>
      <c r="T138" s="263">
        <v>1</v>
      </c>
      <c r="U138" s="263">
        <v>0</v>
      </c>
      <c r="V138" s="263">
        <v>1</v>
      </c>
      <c r="W138" s="263">
        <v>0</v>
      </c>
      <c r="X138" s="263">
        <v>3</v>
      </c>
      <c r="Y138" s="263">
        <v>0</v>
      </c>
      <c r="Z138" s="263">
        <v>6</v>
      </c>
      <c r="AA138" s="263">
        <v>0</v>
      </c>
      <c r="AB138" s="263">
        <v>69</v>
      </c>
      <c r="AC138" s="263">
        <v>1</v>
      </c>
      <c r="AD138" s="263">
        <v>6</v>
      </c>
      <c r="AE138" s="263"/>
      <c r="AF138" s="263"/>
      <c r="AG138" s="263"/>
      <c r="AH138" s="263"/>
      <c r="AI138" s="263"/>
      <c r="AJ138" s="259"/>
      <c r="AK138" s="263">
        <f t="shared" si="71"/>
        <v>6</v>
      </c>
      <c r="AL138" s="265">
        <f t="shared" si="81"/>
        <v>11</v>
      </c>
      <c r="AM138" s="6">
        <f t="shared" si="72"/>
        <v>6</v>
      </c>
      <c r="AN138" s="255">
        <f t="shared" si="82"/>
        <v>0.87030716723549484</v>
      </c>
      <c r="AO138" s="256">
        <f t="shared" si="83"/>
        <v>0.36262798634812288</v>
      </c>
      <c r="AP138" s="257">
        <f t="shared" si="84"/>
        <v>10238.907849829351</v>
      </c>
      <c r="AQ138" s="263">
        <f t="shared" si="73"/>
        <v>34.5</v>
      </c>
      <c r="AR138" s="263">
        <f t="shared" si="74"/>
        <v>0.2</v>
      </c>
      <c r="AS138" s="263">
        <f t="shared" si="75"/>
        <v>0.60000000000000009</v>
      </c>
      <c r="AT138" s="263">
        <f t="shared" si="76"/>
        <v>35.300000000000004</v>
      </c>
      <c r="AU138" s="263"/>
      <c r="AV138" s="263"/>
      <c r="AW138" s="263"/>
      <c r="AX138" s="263">
        <f t="shared" si="77"/>
        <v>35.300000000000004</v>
      </c>
      <c r="BA138" s="282">
        <f t="shared" si="85"/>
        <v>200</v>
      </c>
      <c r="BB138">
        <v>1</v>
      </c>
      <c r="BC138">
        <f t="shared" si="78"/>
        <v>200</v>
      </c>
      <c r="BD138">
        <f t="shared" si="86"/>
        <v>480</v>
      </c>
      <c r="BE138">
        <f t="shared" si="87"/>
        <v>480</v>
      </c>
      <c r="BF138" s="281">
        <f t="shared" si="79"/>
        <v>0.41666666666666669</v>
      </c>
      <c r="BG138" s="282" t="s">
        <v>2538</v>
      </c>
      <c r="BH138" s="283"/>
    </row>
    <row r="139" spans="1:60" x14ac:dyDescent="0.3">
      <c r="A139">
        <f t="shared" si="88"/>
        <v>137</v>
      </c>
      <c r="B139" s="241" t="s">
        <v>2518</v>
      </c>
      <c r="C139" s="294" t="s">
        <v>2512</v>
      </c>
      <c r="D139" s="14">
        <v>45729</v>
      </c>
      <c r="E139" s="7"/>
      <c r="F139" s="7" t="s">
        <v>1683</v>
      </c>
      <c r="G139" s="66"/>
      <c r="H139" s="59"/>
      <c r="I139" s="59">
        <v>450</v>
      </c>
      <c r="J139" s="47">
        <f t="shared" si="48"/>
        <v>450</v>
      </c>
      <c r="K139" s="8" t="str">
        <f t="shared" si="49"/>
        <v/>
      </c>
      <c r="L139" s="96" t="str">
        <f t="shared" si="50"/>
        <v/>
      </c>
      <c r="M139" s="81">
        <v>905</v>
      </c>
      <c r="N139" s="8">
        <v>153</v>
      </c>
      <c r="O139" s="8">
        <v>60</v>
      </c>
      <c r="P139" s="96" t="str">
        <f t="shared" si="51"/>
        <v/>
      </c>
      <c r="Q139" s="59">
        <f t="shared" si="52"/>
        <v>905</v>
      </c>
      <c r="R139" s="252">
        <f t="shared" si="80"/>
        <v>973</v>
      </c>
      <c r="S139" s="263">
        <v>40</v>
      </c>
      <c r="T139" s="263">
        <v>1</v>
      </c>
      <c r="U139" s="263">
        <v>14</v>
      </c>
      <c r="V139" s="263">
        <v>0</v>
      </c>
      <c r="W139" s="263">
        <v>0</v>
      </c>
      <c r="X139" s="263">
        <v>3</v>
      </c>
      <c r="Y139" s="263">
        <v>0</v>
      </c>
      <c r="Z139" s="263">
        <v>13</v>
      </c>
      <c r="AA139" s="263">
        <v>0</v>
      </c>
      <c r="AB139" s="263">
        <v>41</v>
      </c>
      <c r="AC139" s="263">
        <v>1</v>
      </c>
      <c r="AD139" s="263">
        <v>26</v>
      </c>
      <c r="AE139" s="263"/>
      <c r="AF139" s="263"/>
      <c r="AG139" s="263"/>
      <c r="AH139" s="263"/>
      <c r="AI139" s="263"/>
      <c r="AJ139" s="259"/>
      <c r="AK139" s="263">
        <f t="shared" si="71"/>
        <v>26</v>
      </c>
      <c r="AL139" s="265">
        <f t="shared" si="81"/>
        <v>11</v>
      </c>
      <c r="AM139" s="6">
        <f t="shared" si="72"/>
        <v>26</v>
      </c>
      <c r="AN139" s="255">
        <f t="shared" si="82"/>
        <v>0.93011305241521069</v>
      </c>
      <c r="AO139" s="256" t="str">
        <f t="shared" si="83"/>
        <v/>
      </c>
      <c r="AP139" s="257">
        <f t="shared" si="84"/>
        <v>26721.479958890028</v>
      </c>
      <c r="AQ139" s="263">
        <f t="shared" si="73"/>
        <v>20.5</v>
      </c>
      <c r="AR139" s="263">
        <f t="shared" si="74"/>
        <v>0.2</v>
      </c>
      <c r="AS139" s="263">
        <f t="shared" si="75"/>
        <v>2.6</v>
      </c>
      <c r="AT139" s="263">
        <f t="shared" si="76"/>
        <v>23.3</v>
      </c>
      <c r="AU139" s="263"/>
      <c r="AV139" s="263"/>
      <c r="AW139" s="263"/>
      <c r="AX139" s="263">
        <f t="shared" si="77"/>
        <v>23.3</v>
      </c>
      <c r="BA139" s="282">
        <f t="shared" si="85"/>
        <v>354.90196078431376</v>
      </c>
      <c r="BB139">
        <v>1</v>
      </c>
      <c r="BC139">
        <f t="shared" si="78"/>
        <v>354.90196078431376</v>
      </c>
      <c r="BD139" t="str">
        <f t="shared" si="86"/>
        <v/>
      </c>
      <c r="BE139">
        <f t="shared" si="87"/>
        <v>450</v>
      </c>
      <c r="BF139" s="281">
        <f t="shared" si="79"/>
        <v>0.78867102396514166</v>
      </c>
      <c r="BG139" s="282" t="s">
        <v>2501</v>
      </c>
      <c r="BH139" s="283"/>
    </row>
    <row r="140" spans="1:60" x14ac:dyDescent="0.3">
      <c r="A140">
        <f t="shared" si="88"/>
        <v>138</v>
      </c>
      <c r="B140" s="241" t="s">
        <v>2518</v>
      </c>
      <c r="C140" s="294" t="s">
        <v>2513</v>
      </c>
      <c r="D140" s="14">
        <v>45729</v>
      </c>
      <c r="E140" s="7"/>
      <c r="F140" s="7"/>
      <c r="G140" s="66"/>
      <c r="H140" s="59"/>
      <c r="I140" s="59">
        <v>510</v>
      </c>
      <c r="J140" s="47">
        <f t="shared" si="48"/>
        <v>510</v>
      </c>
      <c r="K140" s="8">
        <f t="shared" si="49"/>
        <v>510</v>
      </c>
      <c r="L140" s="96">
        <f t="shared" si="50"/>
        <v>1</v>
      </c>
      <c r="M140" s="81">
        <v>780</v>
      </c>
      <c r="N140" s="8">
        <v>153</v>
      </c>
      <c r="O140" s="8">
        <v>60</v>
      </c>
      <c r="P140" s="96">
        <f t="shared" si="51"/>
        <v>0.59976931949250289</v>
      </c>
      <c r="Q140" s="59">
        <f t="shared" si="52"/>
        <v>780</v>
      </c>
      <c r="R140" s="252">
        <f t="shared" si="80"/>
        <v>883</v>
      </c>
      <c r="S140" s="263">
        <v>57</v>
      </c>
      <c r="T140" s="263">
        <v>3</v>
      </c>
      <c r="U140" s="263">
        <v>1</v>
      </c>
      <c r="V140" s="263">
        <v>0</v>
      </c>
      <c r="W140" s="263">
        <v>0</v>
      </c>
      <c r="X140" s="263">
        <v>2</v>
      </c>
      <c r="Y140" s="263">
        <v>0</v>
      </c>
      <c r="Z140" s="263">
        <v>0</v>
      </c>
      <c r="AA140" s="263">
        <v>0</v>
      </c>
      <c r="AB140" s="263">
        <v>79</v>
      </c>
      <c r="AC140" s="263">
        <v>0</v>
      </c>
      <c r="AD140" s="263">
        <v>24</v>
      </c>
      <c r="AE140" s="263"/>
      <c r="AF140" s="263"/>
      <c r="AG140" s="263"/>
      <c r="AH140" s="263"/>
      <c r="AI140" s="263"/>
      <c r="AJ140" s="259"/>
      <c r="AK140" s="263">
        <f t="shared" si="71"/>
        <v>24</v>
      </c>
      <c r="AL140" s="265">
        <f t="shared" si="81"/>
        <v>11</v>
      </c>
      <c r="AM140" s="6">
        <f t="shared" si="72"/>
        <v>24</v>
      </c>
      <c r="AN140" s="255">
        <f t="shared" si="82"/>
        <v>0.88335220838052098</v>
      </c>
      <c r="AO140" s="256">
        <f t="shared" si="83"/>
        <v>0.52980755289258463</v>
      </c>
      <c r="AP140" s="257">
        <f t="shared" si="84"/>
        <v>27180.067950169876</v>
      </c>
      <c r="AQ140" s="263">
        <f t="shared" si="73"/>
        <v>39.5</v>
      </c>
      <c r="AR140" s="263">
        <f t="shared" si="74"/>
        <v>0</v>
      </c>
      <c r="AS140" s="263">
        <f t="shared" si="75"/>
        <v>2.4000000000000004</v>
      </c>
      <c r="AT140" s="263">
        <f t="shared" si="76"/>
        <v>41.9</v>
      </c>
      <c r="AU140" s="263"/>
      <c r="AV140" s="263"/>
      <c r="AW140" s="263"/>
      <c r="AX140" s="263">
        <f t="shared" si="77"/>
        <v>41.9</v>
      </c>
      <c r="BA140" s="282">
        <f t="shared" si="85"/>
        <v>305.88235294117646</v>
      </c>
      <c r="BB140">
        <v>1</v>
      </c>
      <c r="BC140">
        <f t="shared" si="78"/>
        <v>305.88235294117646</v>
      </c>
      <c r="BD140">
        <f t="shared" si="86"/>
        <v>510</v>
      </c>
      <c r="BE140">
        <f t="shared" si="87"/>
        <v>510</v>
      </c>
      <c r="BF140" s="281">
        <f t="shared" si="79"/>
        <v>0.59976931949250289</v>
      </c>
      <c r="BG140" s="282" t="s">
        <v>2498</v>
      </c>
      <c r="BH140" s="283"/>
    </row>
    <row r="141" spans="1:60" x14ac:dyDescent="0.3">
      <c r="A141">
        <f t="shared" si="88"/>
        <v>139</v>
      </c>
      <c r="B141" s="241" t="s">
        <v>2518</v>
      </c>
      <c r="C141" s="294" t="s">
        <v>2511</v>
      </c>
      <c r="D141" s="14">
        <v>45730</v>
      </c>
      <c r="E141" s="7"/>
      <c r="F141" s="7"/>
      <c r="G141" s="66"/>
      <c r="H141" s="59"/>
      <c r="I141" s="59">
        <v>480</v>
      </c>
      <c r="J141" s="47">
        <f t="shared" si="48"/>
        <v>480</v>
      </c>
      <c r="K141" s="8">
        <f t="shared" si="49"/>
        <v>480</v>
      </c>
      <c r="L141" s="96">
        <f t="shared" si="50"/>
        <v>1</v>
      </c>
      <c r="M141" s="81">
        <v>629</v>
      </c>
      <c r="N141" s="8">
        <v>153</v>
      </c>
      <c r="O141" s="8">
        <v>60</v>
      </c>
      <c r="P141" s="96">
        <f t="shared" si="51"/>
        <v>0.51388888888888884</v>
      </c>
      <c r="Q141" s="59">
        <f t="shared" si="52"/>
        <v>629</v>
      </c>
      <c r="R141" s="252">
        <f t="shared" si="80"/>
        <v>682</v>
      </c>
      <c r="S141" s="263">
        <v>6</v>
      </c>
      <c r="T141" s="263">
        <v>0</v>
      </c>
      <c r="U141" s="263">
        <v>5</v>
      </c>
      <c r="V141" s="263">
        <v>0</v>
      </c>
      <c r="W141" s="263">
        <v>2</v>
      </c>
      <c r="X141" s="263">
        <v>3</v>
      </c>
      <c r="Y141" s="263">
        <v>0</v>
      </c>
      <c r="Z141" s="263">
        <v>0</v>
      </c>
      <c r="AA141" s="263">
        <v>0</v>
      </c>
      <c r="AB141" s="263">
        <v>40</v>
      </c>
      <c r="AC141" s="263">
        <v>0</v>
      </c>
      <c r="AD141" s="263">
        <v>13</v>
      </c>
      <c r="AE141" s="263"/>
      <c r="AF141" s="263"/>
      <c r="AG141" s="263"/>
      <c r="AH141" s="263"/>
      <c r="AI141" s="263"/>
      <c r="AJ141" s="259"/>
      <c r="AK141" s="263">
        <f t="shared" si="71"/>
        <v>13</v>
      </c>
      <c r="AL141" s="265">
        <f t="shared" si="81"/>
        <v>11</v>
      </c>
      <c r="AM141" s="6">
        <f t="shared" si="72"/>
        <v>13</v>
      </c>
      <c r="AN141" s="255">
        <f t="shared" si="82"/>
        <v>0.92228739002932547</v>
      </c>
      <c r="AO141" s="256">
        <f t="shared" si="83"/>
        <v>0.47395324209840334</v>
      </c>
      <c r="AP141" s="257">
        <f t="shared" si="84"/>
        <v>19061.583577712612</v>
      </c>
      <c r="AQ141" s="263">
        <f t="shared" si="73"/>
        <v>20</v>
      </c>
      <c r="AR141" s="263">
        <f t="shared" si="74"/>
        <v>0</v>
      </c>
      <c r="AS141" s="263">
        <f t="shared" si="75"/>
        <v>1.3</v>
      </c>
      <c r="AT141" s="263">
        <f t="shared" si="76"/>
        <v>21.3</v>
      </c>
      <c r="AU141" s="263"/>
      <c r="AV141" s="263"/>
      <c r="AW141" s="263"/>
      <c r="AX141" s="263">
        <f t="shared" si="77"/>
        <v>21.3</v>
      </c>
      <c r="BA141" s="282">
        <f t="shared" si="85"/>
        <v>246.66666666666663</v>
      </c>
      <c r="BB141">
        <v>1</v>
      </c>
      <c r="BC141">
        <f t="shared" si="78"/>
        <v>246.66666666666663</v>
      </c>
      <c r="BD141">
        <f t="shared" si="86"/>
        <v>480</v>
      </c>
      <c r="BE141">
        <f t="shared" si="87"/>
        <v>480</v>
      </c>
      <c r="BF141" s="281">
        <f t="shared" si="79"/>
        <v>0.51388888888888884</v>
      </c>
      <c r="BG141" s="282" t="s">
        <v>2538</v>
      </c>
      <c r="BH141" s="283"/>
    </row>
    <row r="142" spans="1:60" x14ac:dyDescent="0.3">
      <c r="A142">
        <f t="shared" si="88"/>
        <v>140</v>
      </c>
      <c r="B142" s="241" t="s">
        <v>2518</v>
      </c>
      <c r="C142" s="294" t="s">
        <v>2512</v>
      </c>
      <c r="D142" s="14">
        <v>45730</v>
      </c>
      <c r="E142" s="7"/>
      <c r="F142" s="7"/>
      <c r="G142" s="66"/>
      <c r="H142" s="59"/>
      <c r="I142" s="59">
        <v>450</v>
      </c>
      <c r="J142" s="47">
        <f t="shared" si="48"/>
        <v>450</v>
      </c>
      <c r="K142" s="8">
        <f t="shared" si="49"/>
        <v>450</v>
      </c>
      <c r="L142" s="96">
        <f t="shared" si="50"/>
        <v>1</v>
      </c>
      <c r="M142" s="81"/>
      <c r="N142" s="8">
        <v>153</v>
      </c>
      <c r="O142" s="8">
        <v>60</v>
      </c>
      <c r="P142" s="96">
        <f t="shared" si="51"/>
        <v>0</v>
      </c>
      <c r="Q142" s="59">
        <f t="shared" si="52"/>
        <v>0</v>
      </c>
      <c r="R142" s="252">
        <f t="shared" si="80"/>
        <v>0</v>
      </c>
      <c r="S142" s="263"/>
      <c r="T142" s="263"/>
      <c r="U142" s="263"/>
      <c r="V142" s="263"/>
      <c r="W142" s="263"/>
      <c r="X142" s="263"/>
      <c r="Y142" s="263"/>
      <c r="Z142" s="263"/>
      <c r="AA142" s="263"/>
      <c r="AB142" s="263"/>
      <c r="AC142" s="263"/>
      <c r="AD142" s="263"/>
      <c r="AE142" s="263"/>
      <c r="AF142" s="263"/>
      <c r="AG142" s="263"/>
      <c r="AH142" s="263"/>
      <c r="AI142" s="263"/>
      <c r="AJ142" s="259"/>
      <c r="AK142" s="263">
        <f t="shared" si="71"/>
        <v>0</v>
      </c>
      <c r="AL142" s="265">
        <f t="shared" si="81"/>
        <v>11</v>
      </c>
      <c r="AM142" s="6">
        <f t="shared" si="72"/>
        <v>0</v>
      </c>
      <c r="AN142" s="255" t="str">
        <f t="shared" si="82"/>
        <v/>
      </c>
      <c r="AO142" s="256" t="str">
        <f t="shared" si="83"/>
        <v/>
      </c>
      <c r="AP142" s="257" t="str">
        <f t="shared" si="84"/>
        <v/>
      </c>
      <c r="AQ142" s="263">
        <f t="shared" si="73"/>
        <v>0</v>
      </c>
      <c r="AR142" s="263">
        <f t="shared" si="74"/>
        <v>0</v>
      </c>
      <c r="AS142" s="263">
        <f t="shared" si="75"/>
        <v>0</v>
      </c>
      <c r="AT142" s="263">
        <f t="shared" si="76"/>
        <v>0</v>
      </c>
      <c r="AU142" s="263"/>
      <c r="AV142" s="263"/>
      <c r="AW142" s="263"/>
      <c r="AX142" s="263">
        <f t="shared" si="77"/>
        <v>0</v>
      </c>
      <c r="BA142" s="282">
        <f t="shared" si="85"/>
        <v>0</v>
      </c>
      <c r="BB142">
        <v>1</v>
      </c>
      <c r="BC142">
        <f t="shared" si="78"/>
        <v>0</v>
      </c>
      <c r="BD142">
        <f t="shared" si="86"/>
        <v>450</v>
      </c>
      <c r="BE142">
        <f t="shared" si="87"/>
        <v>450</v>
      </c>
      <c r="BF142" s="281">
        <f t="shared" si="79"/>
        <v>0</v>
      </c>
      <c r="BG142" s="282" t="s">
        <v>2501</v>
      </c>
      <c r="BH142" s="283"/>
    </row>
    <row r="143" spans="1:60" x14ac:dyDescent="0.3">
      <c r="A143">
        <f t="shared" si="88"/>
        <v>141</v>
      </c>
      <c r="B143" s="241" t="s">
        <v>2541</v>
      </c>
      <c r="C143" s="294" t="s">
        <v>2513</v>
      </c>
      <c r="D143" s="14">
        <v>45730</v>
      </c>
      <c r="E143" s="7"/>
      <c r="F143" s="7"/>
      <c r="G143" s="66"/>
      <c r="H143" s="59"/>
      <c r="I143" s="59">
        <v>510</v>
      </c>
      <c r="J143" s="47">
        <f t="shared" si="48"/>
        <v>510</v>
      </c>
      <c r="K143" s="8">
        <f t="shared" si="49"/>
        <v>510</v>
      </c>
      <c r="L143" s="96">
        <f t="shared" si="50"/>
        <v>1</v>
      </c>
      <c r="M143" s="81">
        <v>631</v>
      </c>
      <c r="N143" s="8">
        <v>153</v>
      </c>
      <c r="O143" s="8">
        <v>60</v>
      </c>
      <c r="P143" s="96">
        <f t="shared" si="51"/>
        <v>0.48519800076893499</v>
      </c>
      <c r="Q143" s="59">
        <f t="shared" si="52"/>
        <v>631</v>
      </c>
      <c r="R143" s="252">
        <f t="shared" si="80"/>
        <v>709</v>
      </c>
      <c r="S143" s="263">
        <v>21</v>
      </c>
      <c r="T143" s="263">
        <v>6</v>
      </c>
      <c r="U143" s="263">
        <v>0</v>
      </c>
      <c r="V143" s="263">
        <v>0</v>
      </c>
      <c r="W143" s="263">
        <v>0</v>
      </c>
      <c r="X143" s="263">
        <v>24</v>
      </c>
      <c r="Y143" s="263">
        <v>0</v>
      </c>
      <c r="Z143" s="263">
        <v>0</v>
      </c>
      <c r="AA143" s="263">
        <v>0</v>
      </c>
      <c r="AB143" s="263">
        <v>66</v>
      </c>
      <c r="AC143" s="263">
        <v>1</v>
      </c>
      <c r="AD143" s="263">
        <v>11</v>
      </c>
      <c r="AE143" s="263"/>
      <c r="AF143" s="263"/>
      <c r="AG143" s="263"/>
      <c r="AH143" s="263"/>
      <c r="AI143" s="263"/>
      <c r="AJ143" s="259"/>
      <c r="AK143" s="263">
        <f t="shared" si="71"/>
        <v>11</v>
      </c>
      <c r="AL143" s="265">
        <f t="shared" si="81"/>
        <v>11</v>
      </c>
      <c r="AM143" s="6">
        <f t="shared" si="72"/>
        <v>11</v>
      </c>
      <c r="AN143" s="255">
        <f t="shared" si="82"/>
        <v>0.88998589562764452</v>
      </c>
      <c r="AO143" s="256">
        <f t="shared" si="83"/>
        <v>0.43181937727108316</v>
      </c>
      <c r="AP143" s="257">
        <f t="shared" si="84"/>
        <v>15514.809590973202</v>
      </c>
      <c r="AQ143" s="263">
        <f t="shared" si="73"/>
        <v>33</v>
      </c>
      <c r="AR143" s="263">
        <f t="shared" si="74"/>
        <v>0.2</v>
      </c>
      <c r="AS143" s="263">
        <f t="shared" si="75"/>
        <v>1.1000000000000001</v>
      </c>
      <c r="AT143" s="263">
        <f t="shared" si="76"/>
        <v>34.300000000000004</v>
      </c>
      <c r="AU143" s="263"/>
      <c r="AV143" s="263"/>
      <c r="AW143" s="263"/>
      <c r="AX143" s="263">
        <f t="shared" si="77"/>
        <v>34.300000000000004</v>
      </c>
      <c r="BA143" s="282">
        <f t="shared" si="85"/>
        <v>247.45098039215685</v>
      </c>
      <c r="BB143">
        <v>1</v>
      </c>
      <c r="BC143">
        <f t="shared" si="78"/>
        <v>247.45098039215685</v>
      </c>
      <c r="BD143">
        <f t="shared" si="86"/>
        <v>510</v>
      </c>
      <c r="BE143">
        <f t="shared" si="87"/>
        <v>510</v>
      </c>
      <c r="BF143" s="281">
        <f t="shared" si="79"/>
        <v>0.48519800076893499</v>
      </c>
      <c r="BG143" s="282" t="s">
        <v>2498</v>
      </c>
      <c r="BH143" s="283"/>
    </row>
    <row r="144" spans="1:60" x14ac:dyDescent="0.3">
      <c r="A144">
        <f t="shared" si="88"/>
        <v>142</v>
      </c>
      <c r="B144" s="241" t="s">
        <v>2485</v>
      </c>
      <c r="C144" s="294" t="s">
        <v>2511</v>
      </c>
      <c r="D144" s="14">
        <v>45731</v>
      </c>
      <c r="E144" s="7"/>
      <c r="F144" s="7"/>
      <c r="G144" s="66"/>
      <c r="H144" s="59"/>
      <c r="I144" s="59">
        <v>480</v>
      </c>
      <c r="J144" s="47">
        <f t="shared" si="48"/>
        <v>480</v>
      </c>
      <c r="K144" s="8">
        <f t="shared" si="49"/>
        <v>480</v>
      </c>
      <c r="L144" s="96">
        <f t="shared" si="50"/>
        <v>1</v>
      </c>
      <c r="M144" s="81">
        <v>753</v>
      </c>
      <c r="N144" s="8">
        <v>153</v>
      </c>
      <c r="O144" s="8">
        <v>60</v>
      </c>
      <c r="P144" s="96">
        <f t="shared" si="51"/>
        <v>0.61519607843137258</v>
      </c>
      <c r="Q144" s="59">
        <f t="shared" si="52"/>
        <v>753</v>
      </c>
      <c r="R144" s="252">
        <f t="shared" si="80"/>
        <v>827</v>
      </c>
      <c r="S144" s="263">
        <v>20</v>
      </c>
      <c r="T144" s="263">
        <v>2</v>
      </c>
      <c r="U144" s="263">
        <v>1</v>
      </c>
      <c r="V144" s="263">
        <v>0</v>
      </c>
      <c r="W144" s="263">
        <v>0</v>
      </c>
      <c r="X144" s="263">
        <v>26</v>
      </c>
      <c r="Y144" s="263">
        <v>0</v>
      </c>
      <c r="Z144" s="263">
        <v>0</v>
      </c>
      <c r="AA144" s="263">
        <v>0</v>
      </c>
      <c r="AB144" s="263">
        <v>68</v>
      </c>
      <c r="AC144" s="263">
        <v>0</v>
      </c>
      <c r="AD144" s="263">
        <v>6</v>
      </c>
      <c r="AE144" s="263"/>
      <c r="AF144" s="263"/>
      <c r="AG144" s="263"/>
      <c r="AH144" s="263"/>
      <c r="AI144" s="263"/>
      <c r="AJ144" s="259"/>
      <c r="AK144" s="263">
        <f t="shared" si="71"/>
        <v>6</v>
      </c>
      <c r="AL144" s="265">
        <f t="shared" si="81"/>
        <v>11</v>
      </c>
      <c r="AM144" s="6">
        <f t="shared" si="72"/>
        <v>6</v>
      </c>
      <c r="AN144" s="255">
        <f t="shared" si="82"/>
        <v>0.91051995163240629</v>
      </c>
      <c r="AO144" s="256">
        <f t="shared" si="83"/>
        <v>0.56014830357777934</v>
      </c>
      <c r="AP144" s="257">
        <f t="shared" si="84"/>
        <v>7255.139056831923</v>
      </c>
      <c r="AQ144" s="263">
        <f t="shared" si="73"/>
        <v>34</v>
      </c>
      <c r="AR144" s="263">
        <f t="shared" si="74"/>
        <v>0</v>
      </c>
      <c r="AS144" s="263">
        <f t="shared" si="75"/>
        <v>0.60000000000000009</v>
      </c>
      <c r="AT144" s="263">
        <f t="shared" si="76"/>
        <v>34.6</v>
      </c>
      <c r="AU144" s="263"/>
      <c r="AV144" s="263"/>
      <c r="AW144" s="263"/>
      <c r="AX144" s="263">
        <f t="shared" si="77"/>
        <v>34.6</v>
      </c>
      <c r="BA144" s="282">
        <f t="shared" si="85"/>
        <v>295.29411764705884</v>
      </c>
      <c r="BB144">
        <v>1</v>
      </c>
      <c r="BC144">
        <f t="shared" si="78"/>
        <v>295.29411764705884</v>
      </c>
      <c r="BD144">
        <f t="shared" si="86"/>
        <v>480</v>
      </c>
      <c r="BE144">
        <f t="shared" si="87"/>
        <v>480</v>
      </c>
      <c r="BF144" s="281">
        <f t="shared" si="79"/>
        <v>0.61519607843137258</v>
      </c>
      <c r="BG144" s="282" t="s">
        <v>2538</v>
      </c>
      <c r="BH144" s="283"/>
    </row>
    <row r="145" spans="1:60" x14ac:dyDescent="0.3">
      <c r="A145">
        <f t="shared" si="88"/>
        <v>143</v>
      </c>
      <c r="B145" s="269" t="s">
        <v>2540</v>
      </c>
      <c r="C145" s="294" t="s">
        <v>2512</v>
      </c>
      <c r="D145" s="14">
        <v>45731</v>
      </c>
      <c r="E145" s="7">
        <v>90</v>
      </c>
      <c r="F145" s="7"/>
      <c r="G145" s="66"/>
      <c r="H145" s="59"/>
      <c r="I145" s="59">
        <v>450</v>
      </c>
      <c r="J145" s="47">
        <f t="shared" si="48"/>
        <v>450</v>
      </c>
      <c r="K145" s="8">
        <f t="shared" si="49"/>
        <v>360</v>
      </c>
      <c r="L145" s="96">
        <f t="shared" si="50"/>
        <v>0.8</v>
      </c>
      <c r="M145" s="81">
        <v>708</v>
      </c>
      <c r="N145" s="8">
        <v>153</v>
      </c>
      <c r="O145" s="8">
        <v>60</v>
      </c>
      <c r="P145" s="96">
        <f t="shared" si="51"/>
        <v>0.77124183006535962</v>
      </c>
      <c r="Q145" s="59">
        <f t="shared" si="52"/>
        <v>708</v>
      </c>
      <c r="R145" s="252">
        <f t="shared" si="80"/>
        <v>773</v>
      </c>
      <c r="S145" s="263">
        <v>21</v>
      </c>
      <c r="T145" s="263">
        <v>1</v>
      </c>
      <c r="U145" s="263">
        <v>0</v>
      </c>
      <c r="V145" s="263">
        <v>0</v>
      </c>
      <c r="W145" s="263">
        <v>0</v>
      </c>
      <c r="X145" s="263">
        <v>12</v>
      </c>
      <c r="Y145" s="263">
        <v>0</v>
      </c>
      <c r="Z145" s="263">
        <v>0</v>
      </c>
      <c r="AA145" s="263">
        <v>0</v>
      </c>
      <c r="AB145" s="263">
        <v>58</v>
      </c>
      <c r="AC145" s="263">
        <v>1</v>
      </c>
      <c r="AD145" s="263">
        <v>6</v>
      </c>
      <c r="AE145" s="263"/>
      <c r="AF145" s="263"/>
      <c r="AG145" s="263"/>
      <c r="AH145" s="263"/>
      <c r="AI145" s="263"/>
      <c r="AJ145" s="259"/>
      <c r="AK145" s="263">
        <f t="shared" si="71"/>
        <v>6</v>
      </c>
      <c r="AL145" s="265">
        <f t="shared" si="81"/>
        <v>11</v>
      </c>
      <c r="AM145" s="6">
        <f t="shared" si="72"/>
        <v>6</v>
      </c>
      <c r="AN145" s="255">
        <f t="shared" si="82"/>
        <v>0.91591203104786545</v>
      </c>
      <c r="AO145" s="256">
        <f t="shared" si="83"/>
        <v>0.565111736803389</v>
      </c>
      <c r="AP145" s="257">
        <f t="shared" si="84"/>
        <v>7761.9663648124197</v>
      </c>
      <c r="AQ145" s="263">
        <f t="shared" si="73"/>
        <v>29</v>
      </c>
      <c r="AR145" s="263">
        <f t="shared" si="74"/>
        <v>0.2</v>
      </c>
      <c r="AS145" s="263">
        <f t="shared" si="75"/>
        <v>0.60000000000000009</v>
      </c>
      <c r="AT145" s="263">
        <f t="shared" si="76"/>
        <v>29.8</v>
      </c>
      <c r="AU145" s="263"/>
      <c r="AV145" s="263"/>
      <c r="AW145" s="263"/>
      <c r="AX145" s="263">
        <f t="shared" si="77"/>
        <v>29.8</v>
      </c>
      <c r="BA145" s="282">
        <f t="shared" si="85"/>
        <v>277.64705882352945</v>
      </c>
      <c r="BB145">
        <v>1</v>
      </c>
      <c r="BC145">
        <f t="shared" si="78"/>
        <v>277.64705882352945</v>
      </c>
      <c r="BD145">
        <f t="shared" si="86"/>
        <v>360</v>
      </c>
      <c r="BE145">
        <f t="shared" si="87"/>
        <v>450</v>
      </c>
      <c r="BF145" s="281">
        <f t="shared" si="79"/>
        <v>0.61699346405228761</v>
      </c>
      <c r="BG145" s="282" t="s">
        <v>2501</v>
      </c>
      <c r="BH145" s="283"/>
    </row>
    <row r="146" spans="1:60" x14ac:dyDescent="0.3">
      <c r="A146">
        <f t="shared" si="88"/>
        <v>144</v>
      </c>
      <c r="B146" s="241" t="s">
        <v>2505</v>
      </c>
      <c r="C146" s="294" t="s">
        <v>2511</v>
      </c>
      <c r="D146" s="14">
        <v>45733</v>
      </c>
      <c r="E146" s="7"/>
      <c r="F146" s="7"/>
      <c r="G146" s="66"/>
      <c r="H146" s="59"/>
      <c r="I146" s="59">
        <v>480</v>
      </c>
      <c r="J146" s="47">
        <f t="shared" si="48"/>
        <v>480</v>
      </c>
      <c r="K146" s="8">
        <f t="shared" si="49"/>
        <v>480</v>
      </c>
      <c r="L146" s="96">
        <f t="shared" si="50"/>
        <v>1</v>
      </c>
      <c r="M146" s="81">
        <v>400</v>
      </c>
      <c r="N146" s="8">
        <v>153</v>
      </c>
      <c r="O146" s="8">
        <v>60</v>
      </c>
      <c r="P146" s="96">
        <f t="shared" si="51"/>
        <v>0.32679738562091504</v>
      </c>
      <c r="Q146" s="59">
        <f t="shared" si="52"/>
        <v>400</v>
      </c>
      <c r="R146" s="252">
        <f t="shared" si="80"/>
        <v>443</v>
      </c>
      <c r="S146" s="263">
        <v>9</v>
      </c>
      <c r="T146" s="263">
        <v>2</v>
      </c>
      <c r="U146" s="263">
        <v>0</v>
      </c>
      <c r="V146" s="263">
        <v>0</v>
      </c>
      <c r="W146" s="263">
        <v>0</v>
      </c>
      <c r="X146" s="263">
        <v>6</v>
      </c>
      <c r="Y146" s="263">
        <v>0</v>
      </c>
      <c r="Z146" s="263">
        <v>1</v>
      </c>
      <c r="AA146" s="263">
        <v>0</v>
      </c>
      <c r="AB146" s="263">
        <v>15</v>
      </c>
      <c r="AC146" s="263">
        <v>0</v>
      </c>
      <c r="AD146" s="263">
        <v>28</v>
      </c>
      <c r="AE146" s="263"/>
      <c r="AF146" s="263"/>
      <c r="AG146" s="263"/>
      <c r="AH146" s="263"/>
      <c r="AI146" s="263"/>
      <c r="AJ146" s="259"/>
      <c r="AK146" s="263">
        <f t="shared" si="71"/>
        <v>28</v>
      </c>
      <c r="AL146" s="265">
        <f t="shared" si="81"/>
        <v>12</v>
      </c>
      <c r="AM146" s="6">
        <f t="shared" si="72"/>
        <v>28</v>
      </c>
      <c r="AN146" s="255">
        <f t="shared" si="82"/>
        <v>0.90293453724604966</v>
      </c>
      <c r="AO146" s="256">
        <f t="shared" si="83"/>
        <v>0.29507664615883977</v>
      </c>
      <c r="AP146" s="257">
        <f t="shared" si="84"/>
        <v>63205.417607223477</v>
      </c>
      <c r="AQ146" s="263">
        <f t="shared" si="73"/>
        <v>7.5</v>
      </c>
      <c r="AR146" s="263">
        <f t="shared" si="74"/>
        <v>0</v>
      </c>
      <c r="AS146" s="263">
        <f t="shared" si="75"/>
        <v>2.8000000000000003</v>
      </c>
      <c r="AT146" s="263">
        <f t="shared" si="76"/>
        <v>10.3</v>
      </c>
      <c r="AU146" s="263"/>
      <c r="AV146" s="263"/>
      <c r="AW146" s="263"/>
      <c r="AX146" s="263">
        <f t="shared" si="77"/>
        <v>10.3</v>
      </c>
      <c r="BA146" s="282">
        <f t="shared" si="85"/>
        <v>156.86274509803923</v>
      </c>
      <c r="BB146">
        <v>1</v>
      </c>
      <c r="BC146">
        <f t="shared" si="78"/>
        <v>156.86274509803923</v>
      </c>
      <c r="BD146">
        <f t="shared" si="86"/>
        <v>480</v>
      </c>
      <c r="BE146">
        <f t="shared" si="87"/>
        <v>480</v>
      </c>
      <c r="BF146" s="281">
        <f t="shared" si="79"/>
        <v>0.32679738562091504</v>
      </c>
      <c r="BG146" s="282" t="s">
        <v>2516</v>
      </c>
      <c r="BH146" s="283"/>
    </row>
    <row r="147" spans="1:60" x14ac:dyDescent="0.3">
      <c r="A147">
        <f t="shared" si="88"/>
        <v>145</v>
      </c>
      <c r="B147" s="295" t="s">
        <v>2542</v>
      </c>
      <c r="C147" s="294" t="s">
        <v>2511</v>
      </c>
      <c r="D147" s="14">
        <v>45734</v>
      </c>
      <c r="E147" s="7">
        <v>90</v>
      </c>
      <c r="F147" s="7"/>
      <c r="G147" s="66"/>
      <c r="H147" s="59"/>
      <c r="I147" s="59">
        <v>480</v>
      </c>
      <c r="J147" s="47">
        <f t="shared" si="48"/>
        <v>480</v>
      </c>
      <c r="K147" s="8">
        <f t="shared" si="49"/>
        <v>390</v>
      </c>
      <c r="L147" s="96">
        <f t="shared" si="50"/>
        <v>0.8125</v>
      </c>
      <c r="M147" s="81">
        <v>585</v>
      </c>
      <c r="N147" s="8">
        <v>153</v>
      </c>
      <c r="O147" s="8">
        <v>60</v>
      </c>
      <c r="P147" s="96">
        <f t="shared" si="51"/>
        <v>0.58823529411764708</v>
      </c>
      <c r="Q147" s="59">
        <f t="shared" si="52"/>
        <v>585</v>
      </c>
      <c r="R147" s="252">
        <f t="shared" si="80"/>
        <v>627</v>
      </c>
      <c r="S147" s="263">
        <v>28</v>
      </c>
      <c r="T147" s="263">
        <v>1</v>
      </c>
      <c r="U147" s="263">
        <v>1</v>
      </c>
      <c r="V147" s="263">
        <v>0</v>
      </c>
      <c r="W147" s="263">
        <v>0</v>
      </c>
      <c r="X147" s="263">
        <v>4</v>
      </c>
      <c r="Y147" s="263">
        <v>0</v>
      </c>
      <c r="Z147" s="263">
        <v>0</v>
      </c>
      <c r="AA147" s="263">
        <v>0</v>
      </c>
      <c r="AB147" s="263">
        <v>19</v>
      </c>
      <c r="AC147" s="263">
        <v>3</v>
      </c>
      <c r="AD147" s="263">
        <v>20</v>
      </c>
      <c r="AE147" s="263"/>
      <c r="AF147" s="263"/>
      <c r="AG147" s="263"/>
      <c r="AH147" s="263"/>
      <c r="AI147" s="263"/>
      <c r="AJ147" s="259"/>
      <c r="AK147" s="263">
        <f t="shared" si="71"/>
        <v>20</v>
      </c>
      <c r="AL147" s="265">
        <f t="shared" si="81"/>
        <v>12</v>
      </c>
      <c r="AM147" s="6">
        <f t="shared" si="72"/>
        <v>20</v>
      </c>
      <c r="AN147" s="255">
        <f t="shared" si="82"/>
        <v>0.93301435406698563</v>
      </c>
      <c r="AO147" s="256">
        <f t="shared" si="83"/>
        <v>0.44592597804672113</v>
      </c>
      <c r="AP147" s="257">
        <f t="shared" si="84"/>
        <v>31897.926634768737</v>
      </c>
      <c r="AQ147" s="263">
        <f t="shared" si="73"/>
        <v>9.5</v>
      </c>
      <c r="AR147" s="263">
        <f t="shared" si="74"/>
        <v>0.60000000000000009</v>
      </c>
      <c r="AS147" s="263">
        <f t="shared" si="75"/>
        <v>2</v>
      </c>
      <c r="AT147" s="263">
        <f t="shared" si="76"/>
        <v>12.1</v>
      </c>
      <c r="AU147" s="263"/>
      <c r="AV147" s="263"/>
      <c r="AW147" s="263"/>
      <c r="AX147" s="263">
        <f t="shared" si="77"/>
        <v>12.1</v>
      </c>
      <c r="BA147" s="282">
        <f t="shared" si="85"/>
        <v>229.41176470588238</v>
      </c>
      <c r="BB147">
        <v>1</v>
      </c>
      <c r="BC147">
        <f t="shared" si="78"/>
        <v>229.41176470588238</v>
      </c>
      <c r="BD147">
        <f t="shared" si="86"/>
        <v>390</v>
      </c>
      <c r="BE147">
        <f t="shared" si="87"/>
        <v>480</v>
      </c>
      <c r="BF147" s="281">
        <f t="shared" si="79"/>
        <v>0.47794117647058826</v>
      </c>
      <c r="BG147" s="282" t="s">
        <v>2538</v>
      </c>
      <c r="BH147" s="283"/>
    </row>
    <row r="148" spans="1:60" x14ac:dyDescent="0.3">
      <c r="A148">
        <f t="shared" si="88"/>
        <v>146</v>
      </c>
      <c r="B148" s="241" t="s">
        <v>2499</v>
      </c>
      <c r="C148" s="294" t="s">
        <v>2512</v>
      </c>
      <c r="D148" s="14">
        <v>45734</v>
      </c>
      <c r="E148" s="7">
        <f>60*4</f>
        <v>240</v>
      </c>
      <c r="F148" s="7"/>
      <c r="G148" s="66"/>
      <c r="H148" s="59"/>
      <c r="I148" s="59">
        <v>450</v>
      </c>
      <c r="J148" s="47">
        <f t="shared" si="48"/>
        <v>450</v>
      </c>
      <c r="K148" s="8">
        <f t="shared" si="49"/>
        <v>210</v>
      </c>
      <c r="L148" s="96">
        <f t="shared" si="50"/>
        <v>0.46666666666666667</v>
      </c>
      <c r="M148" s="81">
        <v>455</v>
      </c>
      <c r="N148" s="8">
        <v>153</v>
      </c>
      <c r="O148" s="8">
        <v>60</v>
      </c>
      <c r="P148" s="96">
        <f t="shared" si="51"/>
        <v>0.84967320261437906</v>
      </c>
      <c r="Q148" s="59">
        <f t="shared" si="52"/>
        <v>455</v>
      </c>
      <c r="R148" s="252">
        <f t="shared" si="80"/>
        <v>499</v>
      </c>
      <c r="S148" s="263">
        <v>15</v>
      </c>
      <c r="T148" s="263">
        <v>1</v>
      </c>
      <c r="U148" s="263">
        <v>0</v>
      </c>
      <c r="V148" s="263">
        <v>0</v>
      </c>
      <c r="W148" s="263">
        <v>0</v>
      </c>
      <c r="X148" s="263">
        <v>3</v>
      </c>
      <c r="Y148" s="263">
        <v>0</v>
      </c>
      <c r="Z148" s="263">
        <v>0</v>
      </c>
      <c r="AA148" s="263">
        <v>1</v>
      </c>
      <c r="AB148" s="263">
        <v>35</v>
      </c>
      <c r="AC148" s="263">
        <v>0</v>
      </c>
      <c r="AD148" s="263">
        <v>9</v>
      </c>
      <c r="AE148" s="263"/>
      <c r="AF148" s="263"/>
      <c r="AG148" s="263"/>
      <c r="AH148" s="263"/>
      <c r="AI148" s="263"/>
      <c r="AJ148" s="259"/>
      <c r="AK148" s="263">
        <f t="shared" si="71"/>
        <v>9</v>
      </c>
      <c r="AL148" s="265">
        <f t="shared" si="81"/>
        <v>12</v>
      </c>
      <c r="AM148" s="6">
        <f t="shared" si="72"/>
        <v>9</v>
      </c>
      <c r="AN148" s="255">
        <f t="shared" si="82"/>
        <v>0.9118236472945892</v>
      </c>
      <c r="AO148" s="256">
        <f t="shared" si="83"/>
        <v>0.36155098868761493</v>
      </c>
      <c r="AP148" s="257">
        <f t="shared" si="84"/>
        <v>18036.072144288577</v>
      </c>
      <c r="AQ148" s="263">
        <f t="shared" si="73"/>
        <v>17.5</v>
      </c>
      <c r="AR148" s="263">
        <f t="shared" si="74"/>
        <v>0</v>
      </c>
      <c r="AS148" s="263">
        <f t="shared" si="75"/>
        <v>0.9</v>
      </c>
      <c r="AT148" s="263">
        <f t="shared" si="76"/>
        <v>18.399999999999999</v>
      </c>
      <c r="AU148" s="263"/>
      <c r="AV148" s="263"/>
      <c r="AW148" s="263"/>
      <c r="AX148" s="263">
        <f t="shared" si="77"/>
        <v>18.399999999999999</v>
      </c>
      <c r="BA148" s="282">
        <f t="shared" si="85"/>
        <v>178.43137254901961</v>
      </c>
      <c r="BB148">
        <v>1</v>
      </c>
      <c r="BC148">
        <f t="shared" si="78"/>
        <v>178.43137254901961</v>
      </c>
      <c r="BD148">
        <f t="shared" si="86"/>
        <v>210</v>
      </c>
      <c r="BE148">
        <f t="shared" si="87"/>
        <v>450</v>
      </c>
      <c r="BF148" s="281">
        <f t="shared" si="79"/>
        <v>0.39651416122004357</v>
      </c>
      <c r="BG148" s="282" t="s">
        <v>2501</v>
      </c>
      <c r="BH148" s="283"/>
    </row>
    <row r="149" spans="1:60" x14ac:dyDescent="0.3">
      <c r="A149">
        <f t="shared" si="88"/>
        <v>147</v>
      </c>
      <c r="B149" s="241" t="s">
        <v>2499</v>
      </c>
      <c r="C149" s="294" t="s">
        <v>2513</v>
      </c>
      <c r="D149" s="14">
        <v>45734</v>
      </c>
      <c r="E149" s="7"/>
      <c r="F149" s="7"/>
      <c r="G149" s="66"/>
      <c r="H149" s="59"/>
      <c r="I149" s="59">
        <v>510</v>
      </c>
      <c r="J149" s="47">
        <f t="shared" si="48"/>
        <v>510</v>
      </c>
      <c r="K149" s="8">
        <f t="shared" si="49"/>
        <v>510</v>
      </c>
      <c r="L149" s="96">
        <f t="shared" si="50"/>
        <v>1</v>
      </c>
      <c r="M149" s="81">
        <v>771</v>
      </c>
      <c r="N149" s="8">
        <v>153</v>
      </c>
      <c r="O149" s="8">
        <v>60</v>
      </c>
      <c r="P149" s="96">
        <f t="shared" si="51"/>
        <v>0.5928489042675894</v>
      </c>
      <c r="Q149" s="59">
        <f t="shared" si="52"/>
        <v>771</v>
      </c>
      <c r="R149" s="252">
        <f t="shared" si="80"/>
        <v>895</v>
      </c>
      <c r="S149" s="263">
        <v>22</v>
      </c>
      <c r="T149" s="263">
        <v>3</v>
      </c>
      <c r="U149" s="263">
        <v>0</v>
      </c>
      <c r="V149" s="263">
        <v>0</v>
      </c>
      <c r="W149" s="263">
        <v>0</v>
      </c>
      <c r="X149" s="263">
        <v>6</v>
      </c>
      <c r="Y149" s="263">
        <v>0</v>
      </c>
      <c r="Z149" s="263">
        <v>0</v>
      </c>
      <c r="AA149" s="263">
        <v>0</v>
      </c>
      <c r="AB149" s="263">
        <v>115</v>
      </c>
      <c r="AC149" s="263">
        <v>0</v>
      </c>
      <c r="AD149" s="263">
        <v>9</v>
      </c>
      <c r="AE149" s="263"/>
      <c r="AF149" s="263"/>
      <c r="AG149" s="263"/>
      <c r="AH149" s="263"/>
      <c r="AI149" s="263"/>
      <c r="AJ149" s="259"/>
      <c r="AK149" s="263">
        <f t="shared" si="71"/>
        <v>9</v>
      </c>
      <c r="AL149" s="265">
        <f t="shared" si="81"/>
        <v>12</v>
      </c>
      <c r="AM149" s="6">
        <f t="shared" si="72"/>
        <v>9</v>
      </c>
      <c r="AN149" s="255">
        <f t="shared" si="82"/>
        <v>0.86145251396648048</v>
      </c>
      <c r="AO149" s="256">
        <f t="shared" si="83"/>
        <v>0.5107111789835882</v>
      </c>
      <c r="AP149" s="257">
        <f t="shared" si="84"/>
        <v>10055.865921787708</v>
      </c>
      <c r="AQ149" s="263">
        <f t="shared" si="73"/>
        <v>57.5</v>
      </c>
      <c r="AR149" s="263">
        <f t="shared" si="74"/>
        <v>0</v>
      </c>
      <c r="AS149" s="263">
        <f t="shared" si="75"/>
        <v>0.9</v>
      </c>
      <c r="AT149" s="263">
        <f t="shared" si="76"/>
        <v>58.4</v>
      </c>
      <c r="AU149" s="263"/>
      <c r="AV149" s="263"/>
      <c r="AW149" s="263"/>
      <c r="AX149" s="263">
        <f t="shared" si="77"/>
        <v>58.4</v>
      </c>
      <c r="BA149" s="282">
        <f t="shared" si="85"/>
        <v>302.35294117647061</v>
      </c>
      <c r="BB149">
        <v>1</v>
      </c>
      <c r="BC149">
        <f t="shared" si="78"/>
        <v>302.35294117647061</v>
      </c>
      <c r="BD149">
        <f t="shared" si="86"/>
        <v>510</v>
      </c>
      <c r="BE149">
        <f t="shared" si="87"/>
        <v>510</v>
      </c>
      <c r="BF149" s="281">
        <f t="shared" si="79"/>
        <v>0.5928489042675894</v>
      </c>
      <c r="BG149" s="282" t="s">
        <v>2498</v>
      </c>
      <c r="BH149" s="283"/>
    </row>
    <row r="150" spans="1:60" x14ac:dyDescent="0.3">
      <c r="A150">
        <f t="shared" si="88"/>
        <v>148</v>
      </c>
      <c r="B150" s="241" t="s">
        <v>2499</v>
      </c>
      <c r="C150" s="294" t="s">
        <v>2511</v>
      </c>
      <c r="D150" s="14">
        <v>45735</v>
      </c>
      <c r="E150" s="7">
        <v>40</v>
      </c>
      <c r="F150" s="7"/>
      <c r="G150" s="66"/>
      <c r="H150" s="59"/>
      <c r="I150" s="59">
        <v>480</v>
      </c>
      <c r="J150" s="47">
        <f t="shared" si="48"/>
        <v>480</v>
      </c>
      <c r="K150" s="8">
        <f t="shared" si="49"/>
        <v>440</v>
      </c>
      <c r="L150" s="96">
        <f t="shared" si="50"/>
        <v>0.91666666666666663</v>
      </c>
      <c r="M150" s="81">
        <v>1003</v>
      </c>
      <c r="N150" s="8">
        <v>153</v>
      </c>
      <c r="O150" s="8">
        <v>60</v>
      </c>
      <c r="P150" s="96">
        <f t="shared" si="51"/>
        <v>0.89393939393939392</v>
      </c>
      <c r="Q150" s="59">
        <f t="shared" si="52"/>
        <v>1003</v>
      </c>
      <c r="R150" s="252">
        <f t="shared" si="80"/>
        <v>1062</v>
      </c>
      <c r="S150" s="263">
        <v>43</v>
      </c>
      <c r="T150" s="263">
        <v>2</v>
      </c>
      <c r="U150" s="263">
        <v>0</v>
      </c>
      <c r="V150" s="263">
        <v>0</v>
      </c>
      <c r="W150" s="263">
        <v>0</v>
      </c>
      <c r="X150" s="263">
        <v>4</v>
      </c>
      <c r="Y150" s="263">
        <v>0</v>
      </c>
      <c r="Z150" s="263">
        <v>2</v>
      </c>
      <c r="AA150" s="263">
        <v>0</v>
      </c>
      <c r="AB150" s="263">
        <v>41</v>
      </c>
      <c r="AC150" s="263">
        <v>0</v>
      </c>
      <c r="AD150" s="263">
        <v>18</v>
      </c>
      <c r="AE150" s="263"/>
      <c r="AF150" s="263"/>
      <c r="AG150" s="263"/>
      <c r="AH150" s="263"/>
      <c r="AI150" s="263"/>
      <c r="AJ150" s="259"/>
      <c r="AK150" s="263">
        <f t="shared" si="71"/>
        <v>18</v>
      </c>
      <c r="AL150" s="265">
        <f t="shared" si="81"/>
        <v>12</v>
      </c>
      <c r="AM150" s="6">
        <f t="shared" si="72"/>
        <v>18</v>
      </c>
      <c r="AN150" s="255">
        <f t="shared" si="82"/>
        <v>0.94444444444444442</v>
      </c>
      <c r="AO150" s="256">
        <f t="shared" si="83"/>
        <v>0.77391975308641969</v>
      </c>
      <c r="AP150" s="257">
        <f t="shared" si="84"/>
        <v>16949.152542372882</v>
      </c>
      <c r="AQ150" s="263">
        <f t="shared" si="73"/>
        <v>20.5</v>
      </c>
      <c r="AR150" s="263">
        <f t="shared" si="74"/>
        <v>0</v>
      </c>
      <c r="AS150" s="263">
        <f t="shared" si="75"/>
        <v>1.8</v>
      </c>
      <c r="AT150" s="263">
        <f t="shared" si="76"/>
        <v>22.3</v>
      </c>
      <c r="AU150" s="263"/>
      <c r="AV150" s="263"/>
      <c r="AW150" s="263"/>
      <c r="AX150" s="263">
        <f t="shared" si="77"/>
        <v>22.3</v>
      </c>
      <c r="BA150" s="282">
        <f t="shared" si="85"/>
        <v>393.33333333333331</v>
      </c>
      <c r="BB150">
        <v>1</v>
      </c>
      <c r="BC150">
        <f t="shared" si="78"/>
        <v>393.33333333333331</v>
      </c>
      <c r="BD150">
        <f t="shared" si="86"/>
        <v>440</v>
      </c>
      <c r="BE150">
        <f t="shared" si="87"/>
        <v>480</v>
      </c>
      <c r="BF150" s="281">
        <f t="shared" si="79"/>
        <v>0.81944444444444442</v>
      </c>
      <c r="BG150" s="282" t="s">
        <v>2538</v>
      </c>
      <c r="BH150" s="283"/>
    </row>
    <row r="151" spans="1:60" x14ac:dyDescent="0.3">
      <c r="A151">
        <f t="shared" si="88"/>
        <v>149</v>
      </c>
      <c r="B151" s="241" t="s">
        <v>2499</v>
      </c>
      <c r="C151" s="294" t="s">
        <v>2512</v>
      </c>
      <c r="D151" s="14">
        <v>45735</v>
      </c>
      <c r="E151" s="7"/>
      <c r="F151" s="7"/>
      <c r="G151" s="66"/>
      <c r="H151" s="59"/>
      <c r="I151" s="59">
        <v>450</v>
      </c>
      <c r="J151" s="47">
        <f t="shared" si="48"/>
        <v>450</v>
      </c>
      <c r="K151" s="8">
        <f t="shared" si="49"/>
        <v>450</v>
      </c>
      <c r="L151" s="96">
        <f t="shared" si="50"/>
        <v>1</v>
      </c>
      <c r="M151" s="81">
        <v>972</v>
      </c>
      <c r="N151" s="8">
        <v>153</v>
      </c>
      <c r="O151" s="8">
        <v>60</v>
      </c>
      <c r="P151" s="96">
        <f t="shared" si="51"/>
        <v>0.84705882352941164</v>
      </c>
      <c r="Q151" s="59">
        <f t="shared" si="52"/>
        <v>972</v>
      </c>
      <c r="R151" s="252">
        <f t="shared" si="80"/>
        <v>993</v>
      </c>
      <c r="S151" s="263">
        <v>24</v>
      </c>
      <c r="T151" s="263">
        <v>1</v>
      </c>
      <c r="U151" s="263">
        <v>0</v>
      </c>
      <c r="V151" s="263">
        <v>0</v>
      </c>
      <c r="W151" s="263">
        <v>2</v>
      </c>
      <c r="X151" s="263">
        <v>0</v>
      </c>
      <c r="Y151" s="263">
        <v>0</v>
      </c>
      <c r="Z151" s="263">
        <v>0</v>
      </c>
      <c r="AA151" s="263">
        <v>0</v>
      </c>
      <c r="AB151" s="263">
        <v>18</v>
      </c>
      <c r="AC151" s="263">
        <v>0</v>
      </c>
      <c r="AD151" s="263">
        <v>3</v>
      </c>
      <c r="AE151" s="263"/>
      <c r="AF151" s="263"/>
      <c r="AG151" s="263"/>
      <c r="AH151" s="263"/>
      <c r="AI151" s="263"/>
      <c r="AJ151" s="259"/>
      <c r="AK151" s="263">
        <f t="shared" si="71"/>
        <v>3</v>
      </c>
      <c r="AL151" s="265">
        <f t="shared" si="81"/>
        <v>12</v>
      </c>
      <c r="AM151" s="6">
        <f t="shared" si="72"/>
        <v>3</v>
      </c>
      <c r="AN151" s="255">
        <f t="shared" si="82"/>
        <v>0.97885196374622352</v>
      </c>
      <c r="AO151" s="256">
        <f t="shared" si="83"/>
        <v>0.82914519282033039</v>
      </c>
      <c r="AP151" s="257">
        <f t="shared" si="84"/>
        <v>3021.1480362537764</v>
      </c>
      <c r="AQ151" s="263">
        <f t="shared" si="73"/>
        <v>9</v>
      </c>
      <c r="AR151" s="263">
        <f t="shared" si="74"/>
        <v>0</v>
      </c>
      <c r="AS151" s="263">
        <f t="shared" si="75"/>
        <v>0.30000000000000004</v>
      </c>
      <c r="AT151" s="263">
        <f t="shared" si="76"/>
        <v>9.3000000000000007</v>
      </c>
      <c r="AU151" s="263"/>
      <c r="AV151" s="263"/>
      <c r="AW151" s="263"/>
      <c r="AX151" s="263">
        <f t="shared" si="77"/>
        <v>9.3000000000000007</v>
      </c>
      <c r="BA151" s="282">
        <f t="shared" si="85"/>
        <v>381.17647058823525</v>
      </c>
      <c r="BB151">
        <v>1</v>
      </c>
      <c r="BC151">
        <f t="shared" si="78"/>
        <v>381.17647058823525</v>
      </c>
      <c r="BD151">
        <f t="shared" si="86"/>
        <v>450</v>
      </c>
      <c r="BE151">
        <f t="shared" si="87"/>
        <v>450</v>
      </c>
      <c r="BF151" s="281">
        <f t="shared" si="79"/>
        <v>0.84705882352941164</v>
      </c>
      <c r="BG151" s="282" t="s">
        <v>2501</v>
      </c>
      <c r="BH151" s="283"/>
    </row>
    <row r="152" spans="1:60" x14ac:dyDescent="0.3">
      <c r="A152">
        <f t="shared" si="88"/>
        <v>150</v>
      </c>
      <c r="B152" s="241" t="s">
        <v>2499</v>
      </c>
      <c r="C152" s="294" t="s">
        <v>2513</v>
      </c>
      <c r="D152" s="14">
        <v>45735</v>
      </c>
      <c r="E152" s="7"/>
      <c r="F152" s="7"/>
      <c r="G152" s="66"/>
      <c r="H152" s="59"/>
      <c r="I152" s="59">
        <v>510</v>
      </c>
      <c r="J152" s="47">
        <f t="shared" si="48"/>
        <v>510</v>
      </c>
      <c r="K152" s="8">
        <f t="shared" si="49"/>
        <v>510</v>
      </c>
      <c r="L152" s="96">
        <f t="shared" si="50"/>
        <v>1</v>
      </c>
      <c r="M152" s="81">
        <v>925</v>
      </c>
      <c r="N152" s="8">
        <v>153</v>
      </c>
      <c r="O152" s="8">
        <v>60</v>
      </c>
      <c r="P152" s="96">
        <f t="shared" si="51"/>
        <v>0.71126489811610916</v>
      </c>
      <c r="Q152" s="59">
        <f t="shared" si="52"/>
        <v>925</v>
      </c>
      <c r="R152" s="252">
        <f t="shared" si="80"/>
        <v>969</v>
      </c>
      <c r="S152" s="263">
        <v>55</v>
      </c>
      <c r="T152" s="263">
        <v>1</v>
      </c>
      <c r="U152" s="263">
        <v>1</v>
      </c>
      <c r="V152" s="263">
        <v>0</v>
      </c>
      <c r="W152" s="263">
        <v>0</v>
      </c>
      <c r="X152" s="263">
        <v>1</v>
      </c>
      <c r="Y152" s="263">
        <v>0</v>
      </c>
      <c r="Z152" s="263">
        <v>0</v>
      </c>
      <c r="AA152" s="263">
        <v>7</v>
      </c>
      <c r="AB152" s="263">
        <v>39</v>
      </c>
      <c r="AC152" s="263">
        <v>2</v>
      </c>
      <c r="AD152" s="263">
        <v>3</v>
      </c>
      <c r="AE152" s="263"/>
      <c r="AF152" s="263"/>
      <c r="AG152" s="263"/>
      <c r="AH152" s="263"/>
      <c r="AI152" s="263"/>
      <c r="AJ152" s="259"/>
      <c r="AK152" s="263">
        <f t="shared" si="71"/>
        <v>3</v>
      </c>
      <c r="AL152" s="265">
        <f t="shared" si="81"/>
        <v>12</v>
      </c>
      <c r="AM152" s="6">
        <f t="shared" si="54"/>
        <v>3</v>
      </c>
      <c r="AN152" s="255">
        <f t="shared" si="82"/>
        <v>0.95459236326109387</v>
      </c>
      <c r="AO152" s="256">
        <f t="shared" si="83"/>
        <v>0.67896803999731781</v>
      </c>
      <c r="AP152" s="257">
        <f t="shared" si="84"/>
        <v>3095.9752321981427</v>
      </c>
      <c r="AQ152" s="263">
        <f t="shared" si="73"/>
        <v>19.5</v>
      </c>
      <c r="AR152" s="263">
        <f t="shared" si="74"/>
        <v>0.4</v>
      </c>
      <c r="AS152" s="263">
        <f t="shared" si="75"/>
        <v>0.30000000000000004</v>
      </c>
      <c r="AT152" s="263">
        <f t="shared" si="76"/>
        <v>20.2</v>
      </c>
      <c r="AU152" s="263"/>
      <c r="AV152" s="263"/>
      <c r="AW152" s="263"/>
      <c r="AX152" s="263">
        <f t="shared" si="77"/>
        <v>20.2</v>
      </c>
      <c r="BA152" s="282">
        <f t="shared" si="85"/>
        <v>362.74509803921569</v>
      </c>
      <c r="BB152">
        <v>1</v>
      </c>
      <c r="BC152">
        <f t="shared" si="60"/>
        <v>362.74509803921569</v>
      </c>
      <c r="BD152">
        <f t="shared" si="86"/>
        <v>510</v>
      </c>
      <c r="BE152">
        <f t="shared" si="87"/>
        <v>510</v>
      </c>
      <c r="BF152" s="281">
        <f t="shared" si="61"/>
        <v>0.71126489811610916</v>
      </c>
      <c r="BG152" s="282" t="s">
        <v>2498</v>
      </c>
      <c r="BH152" s="283"/>
    </row>
    <row r="153" spans="1:60" x14ac:dyDescent="0.3">
      <c r="A153">
        <f t="shared" si="88"/>
        <v>151</v>
      </c>
      <c r="B153" s="241" t="s">
        <v>2499</v>
      </c>
      <c r="C153" s="294" t="s">
        <v>2511</v>
      </c>
      <c r="D153" s="14">
        <v>45736</v>
      </c>
      <c r="E153" s="7">
        <v>40</v>
      </c>
      <c r="F153" s="7"/>
      <c r="G153" s="66"/>
      <c r="H153" s="59"/>
      <c r="I153" s="59">
        <v>480</v>
      </c>
      <c r="J153" s="47">
        <f t="shared" si="48"/>
        <v>480</v>
      </c>
      <c r="K153" s="8">
        <f t="shared" si="49"/>
        <v>440</v>
      </c>
      <c r="L153" s="96">
        <f t="shared" si="50"/>
        <v>0.91666666666666663</v>
      </c>
      <c r="M153" s="81">
        <v>843</v>
      </c>
      <c r="N153" s="8">
        <v>153</v>
      </c>
      <c r="O153" s="8">
        <v>60</v>
      </c>
      <c r="P153" s="96">
        <f t="shared" si="51"/>
        <v>0.75133689839572182</v>
      </c>
      <c r="Q153" s="59">
        <f t="shared" si="52"/>
        <v>843</v>
      </c>
      <c r="R153" s="252">
        <f t="shared" si="80"/>
        <v>904</v>
      </c>
      <c r="S153" s="263">
        <v>25</v>
      </c>
      <c r="T153" s="263">
        <v>1</v>
      </c>
      <c r="U153" s="263">
        <v>1</v>
      </c>
      <c r="V153" s="263">
        <v>0</v>
      </c>
      <c r="W153" s="263">
        <v>2</v>
      </c>
      <c r="X153" s="263">
        <v>1</v>
      </c>
      <c r="Y153" s="263">
        <v>0</v>
      </c>
      <c r="Z153" s="263">
        <v>15</v>
      </c>
      <c r="AA153" s="263">
        <v>7</v>
      </c>
      <c r="AB153" s="263">
        <v>51</v>
      </c>
      <c r="AC153" s="263">
        <v>1</v>
      </c>
      <c r="AD153" s="263">
        <v>9</v>
      </c>
      <c r="AE153" s="263"/>
      <c r="AF153" s="263"/>
      <c r="AG153" s="263"/>
      <c r="AH153" s="263"/>
      <c r="AI153" s="263"/>
      <c r="AJ153" s="259"/>
      <c r="AK153" s="263">
        <f t="shared" si="71"/>
        <v>9</v>
      </c>
      <c r="AL153" s="265">
        <f t="shared" si="81"/>
        <v>12</v>
      </c>
      <c r="AM153" s="6">
        <f t="shared" si="54"/>
        <v>9</v>
      </c>
      <c r="AN153" s="255">
        <f t="shared" si="82"/>
        <v>0.93252212389380529</v>
      </c>
      <c r="AO153" s="256">
        <f t="shared" si="83"/>
        <v>0.64225175689744907</v>
      </c>
      <c r="AP153" s="257">
        <f t="shared" si="84"/>
        <v>9955.7522123893796</v>
      </c>
      <c r="AQ153" s="263">
        <f t="shared" si="55"/>
        <v>25.5</v>
      </c>
      <c r="AR153" s="263">
        <f t="shared" si="56"/>
        <v>0.2</v>
      </c>
      <c r="AS153" s="263">
        <f t="shared" si="57"/>
        <v>0.9</v>
      </c>
      <c r="AT153" s="263">
        <f t="shared" si="58"/>
        <v>26.599999999999998</v>
      </c>
      <c r="AU153" s="263"/>
      <c r="AV153" s="263"/>
      <c r="AW153" s="263"/>
      <c r="AX153" s="263">
        <f t="shared" si="59"/>
        <v>26.599999999999998</v>
      </c>
      <c r="BA153" s="282">
        <f t="shared" si="85"/>
        <v>330.58823529411762</v>
      </c>
      <c r="BB153">
        <v>1</v>
      </c>
      <c r="BC153">
        <f t="shared" si="60"/>
        <v>330.58823529411762</v>
      </c>
      <c r="BD153">
        <f t="shared" si="86"/>
        <v>440</v>
      </c>
      <c r="BE153">
        <f t="shared" si="87"/>
        <v>480</v>
      </c>
      <c r="BF153" s="281">
        <f t="shared" si="61"/>
        <v>0.68872549019607843</v>
      </c>
      <c r="BG153" s="282" t="s">
        <v>2538</v>
      </c>
      <c r="BH153" s="283"/>
    </row>
    <row r="154" spans="1:60" x14ac:dyDescent="0.3">
      <c r="A154">
        <f t="shared" si="88"/>
        <v>152</v>
      </c>
      <c r="B154" s="241" t="s">
        <v>2499</v>
      </c>
      <c r="C154" s="294" t="s">
        <v>2512</v>
      </c>
      <c r="D154" s="14">
        <v>45736</v>
      </c>
      <c r="E154" s="7"/>
      <c r="F154" s="7"/>
      <c r="G154" s="66"/>
      <c r="H154" s="59"/>
      <c r="I154" s="59">
        <v>450</v>
      </c>
      <c r="J154" s="47">
        <f t="shared" si="48"/>
        <v>450</v>
      </c>
      <c r="K154" s="8">
        <f t="shared" si="49"/>
        <v>450</v>
      </c>
      <c r="L154" s="96">
        <f t="shared" si="50"/>
        <v>1</v>
      </c>
      <c r="M154" s="81">
        <v>908</v>
      </c>
      <c r="N154" s="8">
        <v>153</v>
      </c>
      <c r="O154" s="8">
        <v>60</v>
      </c>
      <c r="P154" s="96">
        <f t="shared" si="51"/>
        <v>0.79128540305010908</v>
      </c>
      <c r="Q154" s="59">
        <f t="shared" si="52"/>
        <v>908</v>
      </c>
      <c r="R154" s="252">
        <f t="shared" si="80"/>
        <v>968</v>
      </c>
      <c r="S154" s="263">
        <v>31</v>
      </c>
      <c r="T154" s="263">
        <v>0</v>
      </c>
      <c r="U154" s="263">
        <v>0</v>
      </c>
      <c r="V154" s="263">
        <v>0</v>
      </c>
      <c r="W154" s="263">
        <v>0</v>
      </c>
      <c r="X154" s="263">
        <v>4</v>
      </c>
      <c r="Y154" s="263">
        <v>0</v>
      </c>
      <c r="Z154" s="263">
        <v>0</v>
      </c>
      <c r="AA154" s="263">
        <v>0</v>
      </c>
      <c r="AB154" s="263">
        <v>55</v>
      </c>
      <c r="AC154" s="263">
        <v>0</v>
      </c>
      <c r="AD154" s="263">
        <v>5</v>
      </c>
      <c r="AE154" s="263"/>
      <c r="AF154" s="263"/>
      <c r="AG154" s="263"/>
      <c r="AH154" s="263"/>
      <c r="AI154" s="263"/>
      <c r="AJ154" s="259"/>
      <c r="AK154" s="263">
        <f t="shared" si="71"/>
        <v>5</v>
      </c>
      <c r="AL154" s="265">
        <f t="shared" si="81"/>
        <v>12</v>
      </c>
      <c r="AM154" s="6">
        <f t="shared" si="54"/>
        <v>5</v>
      </c>
      <c r="AN154" s="255">
        <f t="shared" si="82"/>
        <v>0.93801652892561982</v>
      </c>
      <c r="AO154" s="256">
        <f t="shared" si="83"/>
        <v>0.74223878715857339</v>
      </c>
      <c r="AP154" s="257">
        <f t="shared" si="84"/>
        <v>5165.2892561983472</v>
      </c>
      <c r="AQ154" s="263">
        <f t="shared" si="55"/>
        <v>27.5</v>
      </c>
      <c r="AR154" s="263">
        <f t="shared" si="56"/>
        <v>0</v>
      </c>
      <c r="AS154" s="263">
        <f t="shared" si="57"/>
        <v>0.5</v>
      </c>
      <c r="AT154" s="263">
        <f t="shared" si="58"/>
        <v>28</v>
      </c>
      <c r="AU154" s="263"/>
      <c r="AV154" s="263"/>
      <c r="AW154" s="263"/>
      <c r="AX154" s="263">
        <f t="shared" si="59"/>
        <v>28</v>
      </c>
      <c r="BA154" s="282">
        <f t="shared" si="85"/>
        <v>356.07843137254906</v>
      </c>
      <c r="BB154">
        <v>1</v>
      </c>
      <c r="BC154">
        <f t="shared" si="60"/>
        <v>356.07843137254906</v>
      </c>
      <c r="BD154">
        <f t="shared" si="86"/>
        <v>450</v>
      </c>
      <c r="BE154">
        <f t="shared" si="87"/>
        <v>450</v>
      </c>
      <c r="BF154" s="281">
        <f t="shared" si="61"/>
        <v>0.79128540305010908</v>
      </c>
      <c r="BG154" s="282" t="s">
        <v>2546</v>
      </c>
      <c r="BH154" s="283"/>
    </row>
    <row r="155" spans="1:60" x14ac:dyDescent="0.3">
      <c r="A155">
        <f t="shared" si="88"/>
        <v>153</v>
      </c>
      <c r="B155" s="241" t="s">
        <v>2499</v>
      </c>
      <c r="C155" s="294" t="s">
        <v>2513</v>
      </c>
      <c r="D155" s="14">
        <v>45736</v>
      </c>
      <c r="E155" s="7"/>
      <c r="F155" s="7"/>
      <c r="G155" s="66"/>
      <c r="H155" s="59"/>
      <c r="I155" s="59">
        <v>510</v>
      </c>
      <c r="J155" s="47">
        <f t="shared" si="48"/>
        <v>510</v>
      </c>
      <c r="K155" s="8">
        <f t="shared" si="49"/>
        <v>510</v>
      </c>
      <c r="L155" s="96">
        <f t="shared" si="50"/>
        <v>1</v>
      </c>
      <c r="M155" s="81">
        <v>1068</v>
      </c>
      <c r="N155" s="8">
        <v>153</v>
      </c>
      <c r="O155" s="8">
        <v>60</v>
      </c>
      <c r="P155" s="96">
        <f t="shared" si="51"/>
        <v>0.82122260668973468</v>
      </c>
      <c r="Q155" s="59">
        <f t="shared" si="52"/>
        <v>1068</v>
      </c>
      <c r="R155" s="252">
        <f t="shared" si="80"/>
        <v>1102</v>
      </c>
      <c r="S155" s="263">
        <v>10</v>
      </c>
      <c r="T155" s="263">
        <v>1</v>
      </c>
      <c r="U155" s="263">
        <v>2</v>
      </c>
      <c r="V155" s="263">
        <v>0</v>
      </c>
      <c r="W155" s="263">
        <v>2</v>
      </c>
      <c r="X155" s="263">
        <v>1</v>
      </c>
      <c r="Y155" s="263">
        <v>0</v>
      </c>
      <c r="Z155" s="263">
        <v>1</v>
      </c>
      <c r="AA155" s="263">
        <v>0</v>
      </c>
      <c r="AB155" s="263">
        <v>28</v>
      </c>
      <c r="AC155" s="263">
        <v>1</v>
      </c>
      <c r="AD155" s="263">
        <v>5</v>
      </c>
      <c r="AE155" s="263"/>
      <c r="AF155" s="263"/>
      <c r="AG155" s="263"/>
      <c r="AH155" s="263"/>
      <c r="AI155" s="263"/>
      <c r="AJ155" s="259"/>
      <c r="AK155" s="263">
        <f t="shared" si="71"/>
        <v>5</v>
      </c>
      <c r="AL155" s="265">
        <f t="shared" si="81"/>
        <v>12</v>
      </c>
      <c r="AM155" s="6">
        <f t="shared" si="54"/>
        <v>5</v>
      </c>
      <c r="AN155" s="255">
        <f t="shared" si="82"/>
        <v>0.96914700544464605</v>
      </c>
      <c r="AO155" s="256">
        <f t="shared" si="83"/>
        <v>0.79588543007680268</v>
      </c>
      <c r="AP155" s="257">
        <f t="shared" si="84"/>
        <v>4537.2050816696919</v>
      </c>
      <c r="AQ155" s="263">
        <f t="shared" si="55"/>
        <v>14</v>
      </c>
      <c r="AR155" s="263">
        <f t="shared" si="56"/>
        <v>0.2</v>
      </c>
      <c r="AS155" s="263">
        <f t="shared" si="57"/>
        <v>0.5</v>
      </c>
      <c r="AT155" s="263">
        <f t="shared" si="58"/>
        <v>14.7</v>
      </c>
      <c r="AU155" s="263"/>
      <c r="AV155" s="263"/>
      <c r="AW155" s="263"/>
      <c r="AX155" s="263">
        <f t="shared" si="59"/>
        <v>14.7</v>
      </c>
      <c r="BA155" s="282">
        <f t="shared" si="85"/>
        <v>418.8235294117647</v>
      </c>
      <c r="BB155">
        <v>1</v>
      </c>
      <c r="BC155">
        <f t="shared" si="60"/>
        <v>418.8235294117647</v>
      </c>
      <c r="BD155">
        <f t="shared" si="86"/>
        <v>510</v>
      </c>
      <c r="BE155">
        <f t="shared" si="87"/>
        <v>510</v>
      </c>
      <c r="BF155" s="281">
        <f t="shared" si="61"/>
        <v>0.82122260668973468</v>
      </c>
      <c r="BG155" s="282" t="s">
        <v>2498</v>
      </c>
      <c r="BH155" s="283"/>
    </row>
    <row r="156" spans="1:60" x14ac:dyDescent="0.3">
      <c r="A156">
        <f t="shared" si="88"/>
        <v>154</v>
      </c>
      <c r="B156" s="241" t="s">
        <v>2499</v>
      </c>
      <c r="C156" s="294" t="s">
        <v>2511</v>
      </c>
      <c r="D156" s="14">
        <v>45737</v>
      </c>
      <c r="E156" s="7">
        <v>40</v>
      </c>
      <c r="F156" s="7"/>
      <c r="G156" s="66"/>
      <c r="H156" s="59"/>
      <c r="I156" s="59">
        <v>480</v>
      </c>
      <c r="J156" s="47">
        <f t="shared" si="48"/>
        <v>480</v>
      </c>
      <c r="K156" s="8">
        <f t="shared" si="49"/>
        <v>440</v>
      </c>
      <c r="L156" s="96">
        <f t="shared" si="50"/>
        <v>0.91666666666666663</v>
      </c>
      <c r="M156" s="81">
        <v>948</v>
      </c>
      <c r="N156" s="8">
        <v>153</v>
      </c>
      <c r="O156" s="8">
        <v>60</v>
      </c>
      <c r="P156" s="96">
        <f t="shared" si="51"/>
        <v>0.84491978609625662</v>
      </c>
      <c r="Q156" s="59">
        <f t="shared" si="52"/>
        <v>948</v>
      </c>
      <c r="R156" s="252">
        <f t="shared" si="80"/>
        <v>953</v>
      </c>
      <c r="S156" s="263">
        <v>11</v>
      </c>
      <c r="T156" s="263">
        <v>1</v>
      </c>
      <c r="U156" s="263">
        <v>5</v>
      </c>
      <c r="V156" s="263">
        <v>0</v>
      </c>
      <c r="W156" s="263">
        <v>0</v>
      </c>
      <c r="X156" s="263">
        <v>1</v>
      </c>
      <c r="Y156" s="263">
        <v>0</v>
      </c>
      <c r="Z156" s="263">
        <v>0</v>
      </c>
      <c r="AA156" s="263">
        <v>0</v>
      </c>
      <c r="AB156" s="263">
        <v>0</v>
      </c>
      <c r="AC156" s="263">
        <v>0</v>
      </c>
      <c r="AD156" s="263">
        <v>5</v>
      </c>
      <c r="AE156" s="263"/>
      <c r="AF156" s="263"/>
      <c r="AG156" s="263"/>
      <c r="AH156" s="263"/>
      <c r="AI156" s="263"/>
      <c r="AJ156" s="259"/>
      <c r="AK156" s="263">
        <f t="shared" si="71"/>
        <v>5</v>
      </c>
      <c r="AL156" s="265">
        <f t="shared" si="81"/>
        <v>12</v>
      </c>
      <c r="AM156" s="6">
        <f t="shared" si="54"/>
        <v>5</v>
      </c>
      <c r="AN156" s="255">
        <f t="shared" si="82"/>
        <v>0.99475341028331588</v>
      </c>
      <c r="AO156" s="256">
        <f t="shared" si="83"/>
        <v>0.77044626874884259</v>
      </c>
      <c r="AP156" s="257">
        <f t="shared" si="84"/>
        <v>5246.5897166841551</v>
      </c>
      <c r="AQ156" s="263">
        <f t="shared" si="55"/>
        <v>0</v>
      </c>
      <c r="AR156" s="263">
        <f t="shared" si="56"/>
        <v>0</v>
      </c>
      <c r="AS156" s="263">
        <f t="shared" si="57"/>
        <v>0.5</v>
      </c>
      <c r="AT156" s="263">
        <f t="shared" si="58"/>
        <v>0.5</v>
      </c>
      <c r="AU156" s="263"/>
      <c r="AV156" s="263"/>
      <c r="AW156" s="263"/>
      <c r="AX156" s="263">
        <f t="shared" si="59"/>
        <v>0.5</v>
      </c>
      <c r="BA156" s="282">
        <f t="shared" si="85"/>
        <v>371.76470588235293</v>
      </c>
      <c r="BB156">
        <v>1</v>
      </c>
      <c r="BC156">
        <f t="shared" si="60"/>
        <v>371.76470588235293</v>
      </c>
      <c r="BD156">
        <f t="shared" si="86"/>
        <v>440</v>
      </c>
      <c r="BE156">
        <f t="shared" si="87"/>
        <v>480</v>
      </c>
      <c r="BF156" s="281">
        <f t="shared" si="61"/>
        <v>0.77450980392156865</v>
      </c>
      <c r="BG156" s="282" t="s">
        <v>2538</v>
      </c>
      <c r="BH156" s="283"/>
    </row>
    <row r="157" spans="1:60" x14ac:dyDescent="0.3">
      <c r="A157">
        <f t="shared" si="88"/>
        <v>155</v>
      </c>
      <c r="B157" s="241" t="s">
        <v>2499</v>
      </c>
      <c r="C157" s="294" t="s">
        <v>2512</v>
      </c>
      <c r="D157" s="14">
        <v>45737</v>
      </c>
      <c r="E157" s="7"/>
      <c r="F157" s="7"/>
      <c r="G157" s="66"/>
      <c r="H157" s="59"/>
      <c r="I157" s="59">
        <v>450</v>
      </c>
      <c r="J157" s="47">
        <f t="shared" ref="J157:J158" si="89">I157+H157</f>
        <v>450</v>
      </c>
      <c r="K157" s="8">
        <f t="shared" ref="K157:K158" si="90">IFERROR(J157-E157-F157-G157,"")</f>
        <v>450</v>
      </c>
      <c r="L157" s="96">
        <f t="shared" si="50"/>
        <v>1</v>
      </c>
      <c r="M157" s="81">
        <v>1073</v>
      </c>
      <c r="N157" s="8">
        <v>153</v>
      </c>
      <c r="O157" s="8">
        <v>60</v>
      </c>
      <c r="P157" s="96">
        <f t="shared" ref="P157:P220" si="91">IFERROR((M157/N157*O157)/K157,"")</f>
        <v>0.93507625272331152</v>
      </c>
      <c r="Q157" s="59">
        <f t="shared" ref="Q157:Q220" si="92">M157</f>
        <v>1073</v>
      </c>
      <c r="R157" s="252">
        <f t="shared" si="80"/>
        <v>1084</v>
      </c>
      <c r="S157" s="263">
        <v>1</v>
      </c>
      <c r="T157" s="263">
        <v>0</v>
      </c>
      <c r="U157" s="263">
        <v>0</v>
      </c>
      <c r="V157" s="263">
        <v>18</v>
      </c>
      <c r="W157" s="263">
        <v>0</v>
      </c>
      <c r="X157" s="263">
        <v>7</v>
      </c>
      <c r="Y157" s="263">
        <v>0</v>
      </c>
      <c r="Z157" s="263">
        <v>0</v>
      </c>
      <c r="AA157" s="263">
        <v>0</v>
      </c>
      <c r="AB157" s="263">
        <v>5</v>
      </c>
      <c r="AC157" s="263">
        <v>1</v>
      </c>
      <c r="AD157" s="263">
        <v>5</v>
      </c>
      <c r="AE157" s="263"/>
      <c r="AF157" s="263"/>
      <c r="AG157" s="263"/>
      <c r="AH157" s="263"/>
      <c r="AI157" s="263"/>
      <c r="AJ157" s="259"/>
      <c r="AK157" s="263">
        <f t="shared" ref="AK157:AK220" si="93">+AD157+AE157+AF157+AG157+AH157+AI157</f>
        <v>5</v>
      </c>
      <c r="AL157" s="265">
        <f t="shared" si="81"/>
        <v>12</v>
      </c>
      <c r="AM157" s="6">
        <f t="shared" ref="AM157:AM220" si="94">AK157</f>
        <v>5</v>
      </c>
      <c r="AN157" s="255">
        <f t="shared" si="82"/>
        <v>0.98985239852398521</v>
      </c>
      <c r="AO157" s="256">
        <f t="shared" si="83"/>
        <v>0.92558747156099008</v>
      </c>
      <c r="AP157" s="257">
        <f t="shared" si="84"/>
        <v>4612.5461254612546</v>
      </c>
      <c r="AQ157" s="263">
        <f t="shared" ref="AQ157:AQ220" si="95">+AB157*0.5</f>
        <v>2.5</v>
      </c>
      <c r="AR157" s="263">
        <f t="shared" ref="AR157:AR220" si="96">+AC157*0.2</f>
        <v>0.2</v>
      </c>
      <c r="AS157" s="263">
        <f t="shared" ref="AS157:AS220" si="97">+AD157*0.1</f>
        <v>0.5</v>
      </c>
      <c r="AT157" s="263">
        <f t="shared" ref="AT157:AT220" si="98">SUM(AQ157:AS157)</f>
        <v>3.2</v>
      </c>
      <c r="AU157" s="263"/>
      <c r="AV157" s="263"/>
      <c r="AW157" s="263"/>
      <c r="AX157" s="263">
        <f t="shared" ref="AX157:AX220" si="99">+AW157+AU157+AT157+AV157</f>
        <v>3.2</v>
      </c>
      <c r="BA157" s="282">
        <f t="shared" si="85"/>
        <v>420.78431372549016</v>
      </c>
      <c r="BB157">
        <v>1</v>
      </c>
      <c r="BC157">
        <f t="shared" ref="BC157:BC220" si="100">IFERROR(BA157*BB157,"")</f>
        <v>420.78431372549016</v>
      </c>
      <c r="BD157">
        <f t="shared" si="86"/>
        <v>450</v>
      </c>
      <c r="BE157">
        <f t="shared" si="87"/>
        <v>450</v>
      </c>
      <c r="BF157" s="281">
        <f t="shared" ref="BF157:BF220" si="101">BC157/BE157</f>
        <v>0.93507625272331152</v>
      </c>
      <c r="BG157" s="282" t="s">
        <v>2501</v>
      </c>
      <c r="BH157" s="283"/>
    </row>
    <row r="158" spans="1:60" x14ac:dyDescent="0.3">
      <c r="A158">
        <f t="shared" si="88"/>
        <v>156</v>
      </c>
      <c r="B158" s="241" t="s">
        <v>2499</v>
      </c>
      <c r="C158" s="294" t="s">
        <v>2513</v>
      </c>
      <c r="D158" s="14">
        <v>45737</v>
      </c>
      <c r="E158" s="7"/>
      <c r="F158" s="7"/>
      <c r="G158" s="66"/>
      <c r="H158" s="59"/>
      <c r="I158" s="59">
        <v>510</v>
      </c>
      <c r="J158" s="47">
        <f t="shared" si="89"/>
        <v>510</v>
      </c>
      <c r="K158" s="8">
        <f t="shared" si="90"/>
        <v>510</v>
      </c>
      <c r="L158" s="96">
        <f t="shared" ref="L158:L221" si="102">IFERROR(K158/J158,"")</f>
        <v>1</v>
      </c>
      <c r="M158" s="81">
        <v>1076</v>
      </c>
      <c r="N158" s="8">
        <v>153</v>
      </c>
      <c r="O158" s="8">
        <v>60</v>
      </c>
      <c r="P158" s="96">
        <f t="shared" si="91"/>
        <v>0.82737408688965774</v>
      </c>
      <c r="Q158" s="59">
        <f t="shared" si="92"/>
        <v>1076</v>
      </c>
      <c r="R158" s="252">
        <f t="shared" si="80"/>
        <v>1090</v>
      </c>
      <c r="S158" s="263">
        <v>21</v>
      </c>
      <c r="T158" s="263">
        <v>0</v>
      </c>
      <c r="U158" s="263">
        <v>2</v>
      </c>
      <c r="V158" s="263">
        <v>11</v>
      </c>
      <c r="W158" s="263">
        <v>0</v>
      </c>
      <c r="X158" s="263">
        <v>0</v>
      </c>
      <c r="Y158" s="263">
        <v>0</v>
      </c>
      <c r="Z158" s="263">
        <v>1</v>
      </c>
      <c r="AA158" s="263">
        <v>0</v>
      </c>
      <c r="AB158" s="263">
        <v>10</v>
      </c>
      <c r="AC158" s="263">
        <v>0</v>
      </c>
      <c r="AD158" s="263">
        <v>4</v>
      </c>
      <c r="AE158" s="263"/>
      <c r="AF158" s="263"/>
      <c r="AG158" s="263"/>
      <c r="AH158" s="263"/>
      <c r="AI158" s="263"/>
      <c r="AJ158" s="259"/>
      <c r="AK158" s="263">
        <f t="shared" si="93"/>
        <v>4</v>
      </c>
      <c r="AL158" s="265">
        <f t="shared" si="81"/>
        <v>12</v>
      </c>
      <c r="AM158" s="6">
        <f t="shared" si="94"/>
        <v>4</v>
      </c>
      <c r="AN158" s="255">
        <f t="shared" si="82"/>
        <v>0.98715596330275235</v>
      </c>
      <c r="AO158" s="256">
        <f t="shared" si="83"/>
        <v>0.81674726375529516</v>
      </c>
      <c r="AP158" s="257">
        <f t="shared" si="84"/>
        <v>3669.7247706422022</v>
      </c>
      <c r="AQ158" s="263">
        <f t="shared" si="95"/>
        <v>5</v>
      </c>
      <c r="AR158" s="263">
        <f t="shared" si="96"/>
        <v>0</v>
      </c>
      <c r="AS158" s="263">
        <f t="shared" si="97"/>
        <v>0.4</v>
      </c>
      <c r="AT158" s="263">
        <f t="shared" si="98"/>
        <v>5.4</v>
      </c>
      <c r="AU158" s="263"/>
      <c r="AV158" s="263"/>
      <c r="AW158" s="263"/>
      <c r="AX158" s="263">
        <f t="shared" si="99"/>
        <v>5.4</v>
      </c>
      <c r="BA158" s="282">
        <f t="shared" si="85"/>
        <v>421.96078431372547</v>
      </c>
      <c r="BB158">
        <v>1</v>
      </c>
      <c r="BC158">
        <f t="shared" si="100"/>
        <v>421.96078431372547</v>
      </c>
      <c r="BD158">
        <f t="shared" si="86"/>
        <v>510</v>
      </c>
      <c r="BE158">
        <f t="shared" si="87"/>
        <v>510</v>
      </c>
      <c r="BF158" s="281">
        <f t="shared" si="101"/>
        <v>0.82737408688965774</v>
      </c>
      <c r="BG158" s="282" t="s">
        <v>2498</v>
      </c>
      <c r="BH158" s="283"/>
    </row>
    <row r="159" spans="1:60" x14ac:dyDescent="0.3">
      <c r="A159">
        <f t="shared" si="88"/>
        <v>157</v>
      </c>
      <c r="B159" s="241" t="s">
        <v>2499</v>
      </c>
      <c r="C159" s="294" t="s">
        <v>2511</v>
      </c>
      <c r="D159" s="14">
        <v>45738</v>
      </c>
      <c r="E159" s="7">
        <v>40</v>
      </c>
      <c r="F159" s="7"/>
      <c r="G159" s="66"/>
      <c r="H159" s="59"/>
      <c r="I159" s="59">
        <v>480</v>
      </c>
      <c r="J159" s="47">
        <f t="shared" ref="J159:J222" si="103">I159+H159</f>
        <v>480</v>
      </c>
      <c r="K159" s="8">
        <f t="shared" ref="K159:K222" si="104">IFERROR(J159-E159-F159-G159,"")</f>
        <v>440</v>
      </c>
      <c r="L159" s="96">
        <f t="shared" si="102"/>
        <v>0.91666666666666663</v>
      </c>
      <c r="M159" s="81">
        <v>972</v>
      </c>
      <c r="N159" s="8">
        <v>153</v>
      </c>
      <c r="O159" s="8">
        <v>60</v>
      </c>
      <c r="P159" s="96">
        <f t="shared" si="91"/>
        <v>0.8663101604278074</v>
      </c>
      <c r="Q159" s="59">
        <f t="shared" si="92"/>
        <v>972</v>
      </c>
      <c r="R159" s="252">
        <f t="shared" si="80"/>
        <v>986</v>
      </c>
      <c r="S159" s="263">
        <v>17</v>
      </c>
      <c r="T159" s="263">
        <v>8</v>
      </c>
      <c r="U159" s="263">
        <v>20</v>
      </c>
      <c r="V159" s="263">
        <v>0</v>
      </c>
      <c r="W159" s="263">
        <v>0</v>
      </c>
      <c r="X159" s="263">
        <v>0</v>
      </c>
      <c r="Y159" s="263">
        <v>0</v>
      </c>
      <c r="Z159" s="263">
        <v>0</v>
      </c>
      <c r="AA159" s="263">
        <v>1</v>
      </c>
      <c r="AB159" s="263">
        <v>12</v>
      </c>
      <c r="AC159" s="263">
        <v>0</v>
      </c>
      <c r="AD159" s="263">
        <v>2</v>
      </c>
      <c r="AE159" s="263"/>
      <c r="AF159" s="263"/>
      <c r="AG159" s="263"/>
      <c r="AH159" s="263"/>
      <c r="AI159" s="263"/>
      <c r="AJ159" s="259"/>
      <c r="AK159" s="263">
        <f t="shared" si="93"/>
        <v>2</v>
      </c>
      <c r="AL159" s="265">
        <f t="shared" si="81"/>
        <v>12</v>
      </c>
      <c r="AM159" s="6">
        <f t="shared" si="94"/>
        <v>2</v>
      </c>
      <c r="AN159" s="255">
        <f t="shared" si="82"/>
        <v>0.98580121703853951</v>
      </c>
      <c r="AO159" s="256">
        <f t="shared" si="83"/>
        <v>0.78284214294236953</v>
      </c>
      <c r="AP159" s="257">
        <f t="shared" si="84"/>
        <v>2028.3975659229209</v>
      </c>
      <c r="AQ159" s="263">
        <f t="shared" si="95"/>
        <v>6</v>
      </c>
      <c r="AR159" s="263">
        <f t="shared" si="96"/>
        <v>0</v>
      </c>
      <c r="AS159" s="263">
        <f t="shared" si="97"/>
        <v>0.2</v>
      </c>
      <c r="AT159" s="263">
        <f t="shared" si="98"/>
        <v>6.2</v>
      </c>
      <c r="AU159" s="263"/>
      <c r="AV159" s="263"/>
      <c r="AW159" s="263"/>
      <c r="AX159" s="263">
        <f t="shared" si="99"/>
        <v>6.2</v>
      </c>
      <c r="BA159" s="282">
        <f t="shared" si="85"/>
        <v>381.17647058823525</v>
      </c>
      <c r="BB159">
        <v>1</v>
      </c>
      <c r="BC159">
        <f t="shared" si="100"/>
        <v>381.17647058823525</v>
      </c>
      <c r="BD159">
        <f t="shared" si="86"/>
        <v>440</v>
      </c>
      <c r="BE159">
        <f t="shared" si="87"/>
        <v>480</v>
      </c>
      <c r="BF159" s="281">
        <f t="shared" si="101"/>
        <v>0.79411764705882348</v>
      </c>
      <c r="BG159" s="282" t="s">
        <v>2538</v>
      </c>
      <c r="BH159" s="283"/>
    </row>
    <row r="160" spans="1:60" x14ac:dyDescent="0.3">
      <c r="A160">
        <f t="shared" si="88"/>
        <v>158</v>
      </c>
      <c r="B160" s="241" t="s">
        <v>2499</v>
      </c>
      <c r="C160" s="294" t="s">
        <v>2512</v>
      </c>
      <c r="D160" s="14">
        <v>45738</v>
      </c>
      <c r="E160" s="7"/>
      <c r="F160" s="7"/>
      <c r="G160" s="66"/>
      <c r="H160" s="59"/>
      <c r="I160" s="59">
        <v>450</v>
      </c>
      <c r="J160" s="47">
        <f t="shared" si="103"/>
        <v>450</v>
      </c>
      <c r="K160" s="8">
        <f t="shared" si="104"/>
        <v>450</v>
      </c>
      <c r="L160" s="96">
        <f t="shared" si="102"/>
        <v>1</v>
      </c>
      <c r="M160" s="81">
        <v>702</v>
      </c>
      <c r="N160" s="8">
        <v>153</v>
      </c>
      <c r="O160" s="8">
        <v>60</v>
      </c>
      <c r="P160" s="96">
        <f t="shared" si="91"/>
        <v>0.61176470588235288</v>
      </c>
      <c r="Q160" s="59">
        <f t="shared" si="92"/>
        <v>702</v>
      </c>
      <c r="R160" s="252">
        <f t="shared" si="80"/>
        <v>709</v>
      </c>
      <c r="S160" s="263">
        <v>10</v>
      </c>
      <c r="T160" s="263">
        <v>1</v>
      </c>
      <c r="U160" s="263">
        <v>0</v>
      </c>
      <c r="V160" s="263">
        <v>0</v>
      </c>
      <c r="W160" s="263">
        <v>0</v>
      </c>
      <c r="X160" s="263">
        <v>3</v>
      </c>
      <c r="Y160" s="263">
        <v>0</v>
      </c>
      <c r="Z160" s="263">
        <v>11</v>
      </c>
      <c r="AA160" s="263">
        <v>12</v>
      </c>
      <c r="AB160" s="263">
        <v>4</v>
      </c>
      <c r="AC160" s="263">
        <v>0</v>
      </c>
      <c r="AD160" s="263">
        <v>3</v>
      </c>
      <c r="AE160" s="263"/>
      <c r="AF160" s="263"/>
      <c r="AG160" s="263"/>
      <c r="AH160" s="263"/>
      <c r="AI160" s="263"/>
      <c r="AJ160" s="259"/>
      <c r="AK160" s="263">
        <f t="shared" si="93"/>
        <v>3</v>
      </c>
      <c r="AL160" s="265">
        <f t="shared" si="81"/>
        <v>12</v>
      </c>
      <c r="AM160" s="6">
        <f t="shared" si="94"/>
        <v>3</v>
      </c>
      <c r="AN160" s="255">
        <f t="shared" si="82"/>
        <v>0.99012693935119889</v>
      </c>
      <c r="AO160" s="256">
        <f t="shared" si="83"/>
        <v>0.60572471583838039</v>
      </c>
      <c r="AP160" s="257">
        <f t="shared" si="84"/>
        <v>4231.3117066290552</v>
      </c>
      <c r="AQ160" s="263">
        <f t="shared" si="95"/>
        <v>2</v>
      </c>
      <c r="AR160" s="263">
        <f t="shared" si="96"/>
        <v>0</v>
      </c>
      <c r="AS160" s="263">
        <f t="shared" si="97"/>
        <v>0.30000000000000004</v>
      </c>
      <c r="AT160" s="263">
        <f t="shared" si="98"/>
        <v>2.2999999999999998</v>
      </c>
      <c r="AU160" s="263"/>
      <c r="AV160" s="263"/>
      <c r="AW160" s="263"/>
      <c r="AX160" s="263">
        <f t="shared" si="99"/>
        <v>2.2999999999999998</v>
      </c>
      <c r="BA160" s="282">
        <f t="shared" si="85"/>
        <v>275.29411764705878</v>
      </c>
      <c r="BB160">
        <v>1</v>
      </c>
      <c r="BC160">
        <f t="shared" si="100"/>
        <v>275.29411764705878</v>
      </c>
      <c r="BD160">
        <f t="shared" si="86"/>
        <v>450</v>
      </c>
      <c r="BE160">
        <f t="shared" si="87"/>
        <v>450</v>
      </c>
      <c r="BF160" s="281">
        <f t="shared" si="101"/>
        <v>0.61176470588235288</v>
      </c>
      <c r="BG160" s="282" t="s">
        <v>2501</v>
      </c>
      <c r="BH160" s="283" t="s">
        <v>2546</v>
      </c>
    </row>
    <row r="161" spans="1:60" x14ac:dyDescent="0.3">
      <c r="A161">
        <f t="shared" si="88"/>
        <v>159</v>
      </c>
      <c r="B161" s="241" t="s">
        <v>2499</v>
      </c>
      <c r="C161" s="294" t="s">
        <v>2511</v>
      </c>
      <c r="D161" s="14">
        <v>45740</v>
      </c>
      <c r="E161" s="7">
        <v>72</v>
      </c>
      <c r="F161" s="7"/>
      <c r="G161" s="66"/>
      <c r="H161" s="59"/>
      <c r="I161" s="59">
        <v>480</v>
      </c>
      <c r="J161" s="47">
        <f t="shared" si="103"/>
        <v>480</v>
      </c>
      <c r="K161" s="8">
        <f t="shared" si="104"/>
        <v>408</v>
      </c>
      <c r="L161" s="96">
        <f t="shared" si="102"/>
        <v>0.85</v>
      </c>
      <c r="M161" s="81">
        <v>872</v>
      </c>
      <c r="N161" s="8">
        <v>153</v>
      </c>
      <c r="O161" s="8">
        <v>60</v>
      </c>
      <c r="P161" s="96">
        <f t="shared" si="91"/>
        <v>0.83813917723952336</v>
      </c>
      <c r="Q161" s="59">
        <f t="shared" si="92"/>
        <v>872</v>
      </c>
      <c r="R161" s="252">
        <f t="shared" si="80"/>
        <v>880</v>
      </c>
      <c r="S161" s="263">
        <v>12</v>
      </c>
      <c r="T161" s="263">
        <v>2</v>
      </c>
      <c r="U161" s="263">
        <v>0</v>
      </c>
      <c r="V161" s="263">
        <v>0</v>
      </c>
      <c r="W161" s="263">
        <v>0</v>
      </c>
      <c r="X161" s="263">
        <v>1</v>
      </c>
      <c r="Y161" s="263">
        <v>0</v>
      </c>
      <c r="Z161" s="263">
        <v>0</v>
      </c>
      <c r="AA161" s="263">
        <v>0</v>
      </c>
      <c r="AB161" s="263">
        <v>4</v>
      </c>
      <c r="AC161" s="263">
        <v>0</v>
      </c>
      <c r="AD161" s="263">
        <v>4</v>
      </c>
      <c r="AE161" s="263"/>
      <c r="AF161" s="263"/>
      <c r="AG161" s="263"/>
      <c r="AH161" s="263"/>
      <c r="AI161" s="263"/>
      <c r="AJ161" s="259"/>
      <c r="AK161" s="263">
        <f t="shared" si="93"/>
        <v>4</v>
      </c>
      <c r="AL161" s="265">
        <f t="shared" si="81"/>
        <v>13</v>
      </c>
      <c r="AM161" s="6">
        <f t="shared" si="94"/>
        <v>4</v>
      </c>
      <c r="AN161" s="255">
        <f t="shared" si="82"/>
        <v>0.99090909090909096</v>
      </c>
      <c r="AO161" s="256">
        <f t="shared" si="83"/>
        <v>0.70594177064765307</v>
      </c>
      <c r="AP161" s="257">
        <f t="shared" si="84"/>
        <v>4545.454545454545</v>
      </c>
      <c r="AQ161" s="263">
        <f t="shared" si="95"/>
        <v>2</v>
      </c>
      <c r="AR161" s="263">
        <f t="shared" si="96"/>
        <v>0</v>
      </c>
      <c r="AS161" s="263">
        <f t="shared" si="97"/>
        <v>0.4</v>
      </c>
      <c r="AT161" s="263">
        <f t="shared" si="98"/>
        <v>2.4</v>
      </c>
      <c r="AU161" s="263"/>
      <c r="AV161" s="263"/>
      <c r="AW161" s="263"/>
      <c r="AX161" s="263">
        <f t="shared" si="99"/>
        <v>2.4</v>
      </c>
      <c r="BA161" s="282">
        <f t="shared" si="85"/>
        <v>341.96078431372553</v>
      </c>
      <c r="BB161">
        <v>1</v>
      </c>
      <c r="BC161">
        <f t="shared" si="100"/>
        <v>341.96078431372553</v>
      </c>
      <c r="BD161">
        <f t="shared" si="86"/>
        <v>408</v>
      </c>
      <c r="BE161">
        <f t="shared" si="87"/>
        <v>480</v>
      </c>
      <c r="BF161" s="281">
        <f t="shared" si="101"/>
        <v>0.71241830065359479</v>
      </c>
      <c r="BG161" s="282" t="s">
        <v>2538</v>
      </c>
      <c r="BH161" s="283"/>
    </row>
    <row r="162" spans="1:60" x14ac:dyDescent="0.3">
      <c r="A162">
        <f t="shared" si="88"/>
        <v>160</v>
      </c>
      <c r="B162" s="241" t="s">
        <v>2499</v>
      </c>
      <c r="C162" s="294" t="s">
        <v>2512</v>
      </c>
      <c r="D162" s="14">
        <v>45740</v>
      </c>
      <c r="E162" s="7"/>
      <c r="F162" s="7"/>
      <c r="G162" s="66"/>
      <c r="H162" s="59"/>
      <c r="I162" s="59">
        <v>450</v>
      </c>
      <c r="J162" s="47">
        <f t="shared" si="103"/>
        <v>450</v>
      </c>
      <c r="K162" s="8">
        <f t="shared" si="104"/>
        <v>450</v>
      </c>
      <c r="L162" s="96">
        <f t="shared" si="102"/>
        <v>1</v>
      </c>
      <c r="M162" s="81">
        <v>767</v>
      </c>
      <c r="N162" s="8">
        <v>153</v>
      </c>
      <c r="O162" s="8">
        <v>60</v>
      </c>
      <c r="P162" s="96">
        <f t="shared" si="91"/>
        <v>0.6684095860566448</v>
      </c>
      <c r="Q162" s="59">
        <f t="shared" si="92"/>
        <v>767</v>
      </c>
      <c r="R162" s="252">
        <f t="shared" si="80"/>
        <v>778</v>
      </c>
      <c r="S162" s="263">
        <v>45</v>
      </c>
      <c r="T162" s="263">
        <v>1</v>
      </c>
      <c r="U162" s="263">
        <v>0</v>
      </c>
      <c r="V162" s="263">
        <v>0</v>
      </c>
      <c r="W162" s="263">
        <v>2</v>
      </c>
      <c r="X162" s="263">
        <v>1</v>
      </c>
      <c r="Y162" s="263">
        <v>0</v>
      </c>
      <c r="Z162" s="263">
        <v>0</v>
      </c>
      <c r="AA162" s="263">
        <v>0</v>
      </c>
      <c r="AB162" s="263">
        <v>10</v>
      </c>
      <c r="AC162" s="263">
        <v>0</v>
      </c>
      <c r="AD162" s="263">
        <v>1</v>
      </c>
      <c r="AE162" s="263"/>
      <c r="AF162" s="263"/>
      <c r="AG162" s="263"/>
      <c r="AH162" s="263"/>
      <c r="AI162" s="263"/>
      <c r="AJ162" s="259"/>
      <c r="AK162" s="263">
        <f t="shared" si="93"/>
        <v>1</v>
      </c>
      <c r="AL162" s="265">
        <f t="shared" si="81"/>
        <v>13</v>
      </c>
      <c r="AM162" s="6">
        <f t="shared" si="94"/>
        <v>1</v>
      </c>
      <c r="AN162" s="255">
        <f t="shared" si="82"/>
        <v>0.98586118251928023</v>
      </c>
      <c r="AO162" s="256">
        <f t="shared" si="83"/>
        <v>0.65895906491702649</v>
      </c>
      <c r="AP162" s="257">
        <f t="shared" si="84"/>
        <v>1285.3470437017993</v>
      </c>
      <c r="AQ162" s="263">
        <f t="shared" si="95"/>
        <v>5</v>
      </c>
      <c r="AR162" s="263">
        <f t="shared" si="96"/>
        <v>0</v>
      </c>
      <c r="AS162" s="263">
        <f t="shared" si="97"/>
        <v>0.1</v>
      </c>
      <c r="AT162" s="263">
        <f t="shared" si="98"/>
        <v>5.0999999999999996</v>
      </c>
      <c r="AU162" s="263"/>
      <c r="AV162" s="263"/>
      <c r="AW162" s="263"/>
      <c r="AX162" s="263">
        <f t="shared" si="99"/>
        <v>5.0999999999999996</v>
      </c>
      <c r="BA162" s="282">
        <f t="shared" si="85"/>
        <v>300.78431372549016</v>
      </c>
      <c r="BB162">
        <v>1</v>
      </c>
      <c r="BC162">
        <f t="shared" si="100"/>
        <v>300.78431372549016</v>
      </c>
      <c r="BD162">
        <f t="shared" si="86"/>
        <v>450</v>
      </c>
      <c r="BE162">
        <f t="shared" si="87"/>
        <v>450</v>
      </c>
      <c r="BF162" s="281">
        <f t="shared" si="101"/>
        <v>0.6684095860566448</v>
      </c>
      <c r="BG162" s="282" t="s">
        <v>2498</v>
      </c>
      <c r="BH162" s="283"/>
    </row>
    <row r="163" spans="1:60" x14ac:dyDescent="0.3">
      <c r="A163">
        <f t="shared" si="88"/>
        <v>161</v>
      </c>
      <c r="B163" s="241" t="s">
        <v>2499</v>
      </c>
      <c r="C163" s="294" t="s">
        <v>2513</v>
      </c>
      <c r="D163" s="14">
        <v>45740</v>
      </c>
      <c r="E163" s="7"/>
      <c r="F163" s="7"/>
      <c r="G163" s="66"/>
      <c r="H163" s="59"/>
      <c r="I163" s="59">
        <v>510</v>
      </c>
      <c r="J163" s="47">
        <f t="shared" si="103"/>
        <v>510</v>
      </c>
      <c r="K163" s="8">
        <f t="shared" si="104"/>
        <v>510</v>
      </c>
      <c r="L163" s="96">
        <f t="shared" si="102"/>
        <v>1</v>
      </c>
      <c r="M163" s="81">
        <v>1069</v>
      </c>
      <c r="N163" s="8">
        <v>153</v>
      </c>
      <c r="O163" s="8">
        <v>60</v>
      </c>
      <c r="P163" s="96">
        <f t="shared" si="91"/>
        <v>0.82199154171472522</v>
      </c>
      <c r="Q163" s="59">
        <f t="shared" si="92"/>
        <v>1069</v>
      </c>
      <c r="R163" s="252">
        <f t="shared" si="80"/>
        <v>1080</v>
      </c>
      <c r="S163" s="263">
        <v>28</v>
      </c>
      <c r="T163" s="263">
        <v>2</v>
      </c>
      <c r="U163" s="263">
        <v>0</v>
      </c>
      <c r="V163" s="263">
        <v>0</v>
      </c>
      <c r="W163" s="263">
        <v>0</v>
      </c>
      <c r="X163" s="263">
        <v>1</v>
      </c>
      <c r="Y163" s="263">
        <v>0</v>
      </c>
      <c r="Z163" s="263">
        <v>0</v>
      </c>
      <c r="AA163" s="263">
        <v>0</v>
      </c>
      <c r="AB163" s="263">
        <v>7</v>
      </c>
      <c r="AC163" s="263">
        <v>0</v>
      </c>
      <c r="AD163" s="263">
        <v>4</v>
      </c>
      <c r="AE163" s="263"/>
      <c r="AF163" s="263"/>
      <c r="AG163" s="263"/>
      <c r="AH163" s="263"/>
      <c r="AI163" s="263"/>
      <c r="AJ163" s="259"/>
      <c r="AK163" s="263">
        <f t="shared" si="93"/>
        <v>4</v>
      </c>
      <c r="AL163" s="265">
        <f t="shared" si="81"/>
        <v>13</v>
      </c>
      <c r="AM163" s="6">
        <f t="shared" si="94"/>
        <v>4</v>
      </c>
      <c r="AN163" s="255">
        <f t="shared" si="82"/>
        <v>0.98981481481481481</v>
      </c>
      <c r="AO163" s="256">
        <f t="shared" si="83"/>
        <v>0.81361940564170487</v>
      </c>
      <c r="AP163" s="257">
        <f t="shared" si="84"/>
        <v>3703.7037037037039</v>
      </c>
      <c r="AQ163" s="263">
        <f t="shared" si="95"/>
        <v>3.5</v>
      </c>
      <c r="AR163" s="263">
        <f t="shared" si="96"/>
        <v>0</v>
      </c>
      <c r="AS163" s="263">
        <f t="shared" si="97"/>
        <v>0.4</v>
      </c>
      <c r="AT163" s="263">
        <f t="shared" si="98"/>
        <v>3.9</v>
      </c>
      <c r="AU163" s="263"/>
      <c r="AV163" s="263"/>
      <c r="AW163" s="263"/>
      <c r="AX163" s="263">
        <f t="shared" si="99"/>
        <v>3.9</v>
      </c>
      <c r="BA163" s="282">
        <f t="shared" si="85"/>
        <v>419.21568627450984</v>
      </c>
      <c r="BB163">
        <v>1</v>
      </c>
      <c r="BC163">
        <f t="shared" si="100"/>
        <v>419.21568627450984</v>
      </c>
      <c r="BD163">
        <f t="shared" si="86"/>
        <v>510</v>
      </c>
      <c r="BE163">
        <f t="shared" si="87"/>
        <v>510</v>
      </c>
      <c r="BF163" s="281">
        <f t="shared" si="101"/>
        <v>0.82199154171472522</v>
      </c>
      <c r="BG163" s="282" t="s">
        <v>2547</v>
      </c>
      <c r="BH163" s="283"/>
    </row>
    <row r="164" spans="1:60" x14ac:dyDescent="0.3">
      <c r="A164">
        <f t="shared" si="88"/>
        <v>162</v>
      </c>
      <c r="B164" s="241" t="s">
        <v>2499</v>
      </c>
      <c r="C164" s="294" t="s">
        <v>2511</v>
      </c>
      <c r="D164" s="14">
        <v>45741</v>
      </c>
      <c r="E164" s="7">
        <v>60</v>
      </c>
      <c r="F164" s="7"/>
      <c r="G164" s="66"/>
      <c r="H164" s="59"/>
      <c r="I164" s="59">
        <v>480</v>
      </c>
      <c r="J164" s="47">
        <f t="shared" si="103"/>
        <v>480</v>
      </c>
      <c r="K164" s="8">
        <f t="shared" si="104"/>
        <v>420</v>
      </c>
      <c r="L164" s="96">
        <f t="shared" si="102"/>
        <v>0.875</v>
      </c>
      <c r="M164" s="81">
        <v>954</v>
      </c>
      <c r="N164" s="8">
        <v>153</v>
      </c>
      <c r="O164" s="8">
        <v>60</v>
      </c>
      <c r="P164" s="96">
        <f t="shared" si="91"/>
        <v>0.89075630252100846</v>
      </c>
      <c r="Q164" s="59">
        <f t="shared" si="92"/>
        <v>954</v>
      </c>
      <c r="R164" s="252">
        <f t="shared" si="80"/>
        <v>958</v>
      </c>
      <c r="S164" s="263">
        <v>8</v>
      </c>
      <c r="T164" s="263">
        <v>3</v>
      </c>
      <c r="U164" s="263">
        <v>0</v>
      </c>
      <c r="V164" s="263">
        <v>0</v>
      </c>
      <c r="W164" s="263">
        <v>3</v>
      </c>
      <c r="X164" s="263">
        <v>2</v>
      </c>
      <c r="Y164" s="263">
        <v>0</v>
      </c>
      <c r="Z164" s="263">
        <v>0</v>
      </c>
      <c r="AA164" s="263">
        <v>4</v>
      </c>
      <c r="AB164" s="263">
        <v>0</v>
      </c>
      <c r="AC164" s="263">
        <v>0</v>
      </c>
      <c r="AD164" s="263">
        <v>4</v>
      </c>
      <c r="AE164" s="263"/>
      <c r="AF164" s="263"/>
      <c r="AG164" s="263"/>
      <c r="AH164" s="263"/>
      <c r="AI164" s="263"/>
      <c r="AJ164" s="259"/>
      <c r="AK164" s="263">
        <f t="shared" si="93"/>
        <v>4</v>
      </c>
      <c r="AL164" s="265">
        <f t="shared" si="81"/>
        <v>13</v>
      </c>
      <c r="AM164" s="6">
        <f t="shared" si="94"/>
        <v>4</v>
      </c>
      <c r="AN164" s="255">
        <f t="shared" si="82"/>
        <v>0.99582463465553239</v>
      </c>
      <c r="AO164" s="256">
        <f t="shared" si="83"/>
        <v>0.77615743583445906</v>
      </c>
      <c r="AP164" s="257">
        <f t="shared" si="84"/>
        <v>4175.3653444676402</v>
      </c>
      <c r="AQ164" s="263">
        <f t="shared" si="95"/>
        <v>0</v>
      </c>
      <c r="AR164" s="263">
        <f t="shared" si="96"/>
        <v>0</v>
      </c>
      <c r="AS164" s="263">
        <f t="shared" si="97"/>
        <v>0.4</v>
      </c>
      <c r="AT164" s="263">
        <f t="shared" si="98"/>
        <v>0.4</v>
      </c>
      <c r="AU164" s="263"/>
      <c r="AV164" s="263"/>
      <c r="AW164" s="263"/>
      <c r="AX164" s="263">
        <f t="shared" si="99"/>
        <v>0.4</v>
      </c>
      <c r="BA164" s="282">
        <f t="shared" si="85"/>
        <v>374.11764705882354</v>
      </c>
      <c r="BB164">
        <v>1</v>
      </c>
      <c r="BC164">
        <f t="shared" si="100"/>
        <v>374.11764705882354</v>
      </c>
      <c r="BD164">
        <f t="shared" si="86"/>
        <v>420</v>
      </c>
      <c r="BE164">
        <f t="shared" si="87"/>
        <v>480</v>
      </c>
      <c r="BF164" s="281">
        <f t="shared" si="101"/>
        <v>0.77941176470588236</v>
      </c>
      <c r="BG164" s="282" t="s">
        <v>2538</v>
      </c>
      <c r="BH164" s="283"/>
    </row>
    <row r="165" spans="1:60" x14ac:dyDescent="0.3">
      <c r="A165">
        <f t="shared" si="88"/>
        <v>163</v>
      </c>
      <c r="B165" s="241" t="s">
        <v>2499</v>
      </c>
      <c r="C165" s="294" t="s">
        <v>2512</v>
      </c>
      <c r="D165" s="14">
        <v>45741</v>
      </c>
      <c r="E165" s="7"/>
      <c r="F165" s="7"/>
      <c r="G165" s="66"/>
      <c r="H165" s="59"/>
      <c r="I165" s="59">
        <v>450</v>
      </c>
      <c r="J165" s="47">
        <f t="shared" si="103"/>
        <v>450</v>
      </c>
      <c r="K165" s="8">
        <f t="shared" si="104"/>
        <v>450</v>
      </c>
      <c r="L165" s="96">
        <f t="shared" si="102"/>
        <v>1</v>
      </c>
      <c r="M165" s="81">
        <f>116+84+23+105+142+147+122+58</f>
        <v>797</v>
      </c>
      <c r="N165" s="8">
        <v>153</v>
      </c>
      <c r="O165" s="8">
        <v>60</v>
      </c>
      <c r="P165" s="96">
        <f t="shared" si="91"/>
        <v>0.69455337690631813</v>
      </c>
      <c r="Q165" s="59">
        <f t="shared" si="92"/>
        <v>797</v>
      </c>
      <c r="R165" s="252">
        <f t="shared" si="80"/>
        <v>818</v>
      </c>
      <c r="S165" s="263">
        <v>19</v>
      </c>
      <c r="T165" s="263">
        <v>5</v>
      </c>
      <c r="U165" s="263">
        <v>0</v>
      </c>
      <c r="V165" s="263">
        <v>0</v>
      </c>
      <c r="W165" s="263">
        <v>0</v>
      </c>
      <c r="X165" s="263">
        <v>2</v>
      </c>
      <c r="Y165" s="263">
        <v>0</v>
      </c>
      <c r="Z165" s="263">
        <v>0</v>
      </c>
      <c r="AA165" s="263">
        <v>0</v>
      </c>
      <c r="AB165" s="263">
        <v>16</v>
      </c>
      <c r="AC165" s="263">
        <v>0</v>
      </c>
      <c r="AD165" s="263">
        <v>5</v>
      </c>
      <c r="AE165" s="263"/>
      <c r="AF165" s="263"/>
      <c r="AG165" s="263"/>
      <c r="AH165" s="263"/>
      <c r="AI165" s="263"/>
      <c r="AJ165" s="259"/>
      <c r="AK165" s="263">
        <f t="shared" si="93"/>
        <v>5</v>
      </c>
      <c r="AL165" s="265">
        <f t="shared" si="81"/>
        <v>13</v>
      </c>
      <c r="AM165" s="6">
        <f t="shared" si="94"/>
        <v>5</v>
      </c>
      <c r="AN165" s="255">
        <f t="shared" si="82"/>
        <v>0.97432762836185816</v>
      </c>
      <c r="AO165" s="256">
        <f t="shared" si="83"/>
        <v>0.67672254449185276</v>
      </c>
      <c r="AP165" s="257">
        <f t="shared" si="84"/>
        <v>6112.4694376528123</v>
      </c>
      <c r="AQ165" s="263">
        <f t="shared" si="95"/>
        <v>8</v>
      </c>
      <c r="AR165" s="263">
        <f t="shared" si="96"/>
        <v>0</v>
      </c>
      <c r="AS165" s="263">
        <f t="shared" si="97"/>
        <v>0.5</v>
      </c>
      <c r="AT165" s="263">
        <f t="shared" si="98"/>
        <v>8.5</v>
      </c>
      <c r="AU165" s="263"/>
      <c r="AV165" s="263"/>
      <c r="AW165" s="263"/>
      <c r="AX165" s="263">
        <f t="shared" si="99"/>
        <v>8.5</v>
      </c>
      <c r="BA165" s="282">
        <f t="shared" si="85"/>
        <v>312.54901960784315</v>
      </c>
      <c r="BB165">
        <v>1</v>
      </c>
      <c r="BC165">
        <f t="shared" si="100"/>
        <v>312.54901960784315</v>
      </c>
      <c r="BD165">
        <f t="shared" si="86"/>
        <v>450</v>
      </c>
      <c r="BE165">
        <f t="shared" si="87"/>
        <v>450</v>
      </c>
      <c r="BF165" s="281">
        <f t="shared" si="101"/>
        <v>0.69455337690631813</v>
      </c>
      <c r="BG165" s="282" t="s">
        <v>2549</v>
      </c>
      <c r="BH165" s="283"/>
    </row>
    <row r="166" spans="1:60" x14ac:dyDescent="0.3">
      <c r="A166">
        <f t="shared" si="88"/>
        <v>164</v>
      </c>
      <c r="B166" s="241" t="s">
        <v>2499</v>
      </c>
      <c r="C166" s="294" t="s">
        <v>2513</v>
      </c>
      <c r="D166" s="14">
        <v>45741</v>
      </c>
      <c r="E166" s="7"/>
      <c r="F166" s="7"/>
      <c r="G166" s="66"/>
      <c r="H166" s="59"/>
      <c r="I166" s="59">
        <v>510</v>
      </c>
      <c r="J166" s="47">
        <f t="shared" si="103"/>
        <v>510</v>
      </c>
      <c r="K166" s="8">
        <f t="shared" si="104"/>
        <v>510</v>
      </c>
      <c r="L166" s="96">
        <f t="shared" si="102"/>
        <v>1</v>
      </c>
      <c r="M166" s="81">
        <v>1004</v>
      </c>
      <c r="N166" s="8">
        <v>153</v>
      </c>
      <c r="O166" s="8">
        <v>60</v>
      </c>
      <c r="P166" s="96">
        <f t="shared" si="91"/>
        <v>0.77201076509034983</v>
      </c>
      <c r="Q166" s="59">
        <f t="shared" si="92"/>
        <v>1004</v>
      </c>
      <c r="R166" s="252">
        <f t="shared" si="80"/>
        <v>1016</v>
      </c>
      <c r="S166" s="263">
        <v>14</v>
      </c>
      <c r="T166" s="263">
        <v>1</v>
      </c>
      <c r="U166" s="263">
        <v>0</v>
      </c>
      <c r="V166" s="263">
        <v>5</v>
      </c>
      <c r="W166" s="263">
        <v>2</v>
      </c>
      <c r="X166" s="263">
        <v>0</v>
      </c>
      <c r="Y166" s="263">
        <v>0</v>
      </c>
      <c r="Z166" s="263">
        <v>1</v>
      </c>
      <c r="AA166" s="263">
        <v>1</v>
      </c>
      <c r="AB166" s="263">
        <v>7</v>
      </c>
      <c r="AC166" s="263">
        <v>2</v>
      </c>
      <c r="AD166" s="263">
        <v>3</v>
      </c>
      <c r="AE166" s="263"/>
      <c r="AF166" s="263"/>
      <c r="AG166" s="263"/>
      <c r="AH166" s="263"/>
      <c r="AI166" s="263"/>
      <c r="AJ166" s="259"/>
      <c r="AK166" s="263">
        <f t="shared" si="93"/>
        <v>3</v>
      </c>
      <c r="AL166" s="265">
        <f t="shared" si="81"/>
        <v>13</v>
      </c>
      <c r="AM166" s="6">
        <f t="shared" si="94"/>
        <v>3</v>
      </c>
      <c r="AN166" s="255">
        <f t="shared" si="82"/>
        <v>0.98818897637795278</v>
      </c>
      <c r="AO166" s="256">
        <f t="shared" si="83"/>
        <v>0.76289252770739291</v>
      </c>
      <c r="AP166" s="257">
        <f t="shared" si="84"/>
        <v>2952.7559055118109</v>
      </c>
      <c r="AQ166" s="263">
        <f t="shared" si="95"/>
        <v>3.5</v>
      </c>
      <c r="AR166" s="263">
        <f t="shared" si="96"/>
        <v>0.4</v>
      </c>
      <c r="AS166" s="263">
        <f t="shared" si="97"/>
        <v>0.30000000000000004</v>
      </c>
      <c r="AT166" s="263">
        <f t="shared" si="98"/>
        <v>4.2</v>
      </c>
      <c r="AU166" s="263"/>
      <c r="AV166" s="263"/>
      <c r="AW166" s="263"/>
      <c r="AX166" s="263">
        <f t="shared" si="99"/>
        <v>4.2</v>
      </c>
      <c r="BA166" s="282">
        <f t="shared" si="85"/>
        <v>393.7254901960784</v>
      </c>
      <c r="BB166">
        <v>1</v>
      </c>
      <c r="BC166">
        <f t="shared" si="100"/>
        <v>393.7254901960784</v>
      </c>
      <c r="BD166">
        <f t="shared" si="86"/>
        <v>510</v>
      </c>
      <c r="BE166">
        <f t="shared" si="87"/>
        <v>510</v>
      </c>
      <c r="BF166" s="281">
        <f t="shared" si="101"/>
        <v>0.77201076509034983</v>
      </c>
      <c r="BG166" s="282" t="s">
        <v>2547</v>
      </c>
      <c r="BH166" s="283"/>
    </row>
    <row r="167" spans="1:60" x14ac:dyDescent="0.3">
      <c r="A167">
        <f t="shared" si="88"/>
        <v>165</v>
      </c>
      <c r="B167" s="241" t="s">
        <v>2499</v>
      </c>
      <c r="C167" s="294" t="s">
        <v>2511</v>
      </c>
      <c r="D167" s="14">
        <v>45742</v>
      </c>
      <c r="E167" s="7">
        <v>40</v>
      </c>
      <c r="F167" s="7"/>
      <c r="G167" s="66"/>
      <c r="H167" s="59"/>
      <c r="I167" s="59">
        <v>480</v>
      </c>
      <c r="J167" s="47">
        <f t="shared" si="103"/>
        <v>480</v>
      </c>
      <c r="K167" s="8">
        <f t="shared" si="104"/>
        <v>440</v>
      </c>
      <c r="L167" s="96">
        <f t="shared" si="102"/>
        <v>0.91666666666666663</v>
      </c>
      <c r="M167" s="81">
        <v>964</v>
      </c>
      <c r="N167" s="8">
        <v>153</v>
      </c>
      <c r="O167" s="8">
        <v>60</v>
      </c>
      <c r="P167" s="96">
        <f t="shared" si="91"/>
        <v>0.85918003565062384</v>
      </c>
      <c r="Q167" s="59">
        <f t="shared" si="92"/>
        <v>964</v>
      </c>
      <c r="R167" s="252">
        <f t="shared" si="80"/>
        <v>974</v>
      </c>
      <c r="S167" s="263">
        <v>1</v>
      </c>
      <c r="T167" s="263">
        <v>3</v>
      </c>
      <c r="U167" s="263">
        <v>0</v>
      </c>
      <c r="V167" s="263">
        <v>14</v>
      </c>
      <c r="W167" s="263">
        <v>2</v>
      </c>
      <c r="X167" s="263">
        <v>1</v>
      </c>
      <c r="Y167" s="263">
        <v>0</v>
      </c>
      <c r="Z167" s="263">
        <v>9</v>
      </c>
      <c r="AA167" s="263">
        <v>0</v>
      </c>
      <c r="AB167" s="263">
        <v>2</v>
      </c>
      <c r="AC167" s="263">
        <v>0</v>
      </c>
      <c r="AD167" s="263">
        <v>8</v>
      </c>
      <c r="AE167" s="263"/>
      <c r="AF167" s="263"/>
      <c r="AG167" s="263"/>
      <c r="AH167" s="263"/>
      <c r="AI167" s="263"/>
      <c r="AJ167" s="259"/>
      <c r="AK167" s="263">
        <f t="shared" si="93"/>
        <v>8</v>
      </c>
      <c r="AL167" s="265">
        <f t="shared" si="81"/>
        <v>13</v>
      </c>
      <c r="AM167" s="6">
        <f t="shared" si="94"/>
        <v>8</v>
      </c>
      <c r="AN167" s="255">
        <f t="shared" si="82"/>
        <v>0.98973305954825463</v>
      </c>
      <c r="AO167" s="256">
        <f t="shared" si="83"/>
        <v>0.77949564493833123</v>
      </c>
      <c r="AP167" s="257">
        <f t="shared" si="84"/>
        <v>8213.5523613963051</v>
      </c>
      <c r="AQ167" s="263">
        <f t="shared" si="95"/>
        <v>1</v>
      </c>
      <c r="AR167" s="263">
        <f t="shared" si="96"/>
        <v>0</v>
      </c>
      <c r="AS167" s="263">
        <f t="shared" si="97"/>
        <v>0.8</v>
      </c>
      <c r="AT167" s="263">
        <f t="shared" si="98"/>
        <v>1.8</v>
      </c>
      <c r="AU167" s="263"/>
      <c r="AV167" s="263"/>
      <c r="AW167" s="263"/>
      <c r="AX167" s="263">
        <f t="shared" si="99"/>
        <v>1.8</v>
      </c>
      <c r="BA167" s="282">
        <f t="shared" si="85"/>
        <v>378.03921568627447</v>
      </c>
      <c r="BB167">
        <v>1</v>
      </c>
      <c r="BC167">
        <f t="shared" si="100"/>
        <v>378.03921568627447</v>
      </c>
      <c r="BD167">
        <f t="shared" si="86"/>
        <v>440</v>
      </c>
      <c r="BE167">
        <f t="shared" si="87"/>
        <v>480</v>
      </c>
      <c r="BF167" s="281">
        <f t="shared" si="101"/>
        <v>0.78758169934640521</v>
      </c>
      <c r="BG167" s="282" t="s">
        <v>2538</v>
      </c>
      <c r="BH167" s="283"/>
    </row>
    <row r="168" spans="1:60" x14ac:dyDescent="0.3">
      <c r="A168">
        <f t="shared" si="88"/>
        <v>166</v>
      </c>
      <c r="B168" s="241" t="s">
        <v>2499</v>
      </c>
      <c r="C168" s="294" t="s">
        <v>2512</v>
      </c>
      <c r="D168" s="14">
        <v>45742</v>
      </c>
      <c r="E168" s="7"/>
      <c r="F168" s="7"/>
      <c r="G168" s="66"/>
      <c r="H168" s="59"/>
      <c r="I168" s="59">
        <v>450</v>
      </c>
      <c r="J168" s="47">
        <f t="shared" si="103"/>
        <v>450</v>
      </c>
      <c r="K168" s="8">
        <f t="shared" si="104"/>
        <v>450</v>
      </c>
      <c r="L168" s="96">
        <f t="shared" si="102"/>
        <v>1</v>
      </c>
      <c r="M168" s="81">
        <v>693</v>
      </c>
      <c r="N168" s="8">
        <v>153</v>
      </c>
      <c r="O168" s="8">
        <v>60</v>
      </c>
      <c r="P168" s="96">
        <f t="shared" si="91"/>
        <v>0.60392156862745094</v>
      </c>
      <c r="Q168" s="59">
        <f t="shared" si="92"/>
        <v>693</v>
      </c>
      <c r="R168" s="252">
        <f t="shared" si="80"/>
        <v>718</v>
      </c>
      <c r="S168" s="263">
        <v>2</v>
      </c>
      <c r="T168" s="263">
        <v>0</v>
      </c>
      <c r="U168" s="263">
        <v>0</v>
      </c>
      <c r="V168" s="263">
        <v>12</v>
      </c>
      <c r="W168" s="263">
        <v>0</v>
      </c>
      <c r="X168" s="263">
        <v>0</v>
      </c>
      <c r="Y168" s="263">
        <v>0</v>
      </c>
      <c r="Z168" s="263">
        <v>0</v>
      </c>
      <c r="AA168" s="263">
        <v>2</v>
      </c>
      <c r="AB168" s="263">
        <v>0</v>
      </c>
      <c r="AC168" s="263">
        <v>0</v>
      </c>
      <c r="AD168" s="263">
        <v>25</v>
      </c>
      <c r="AE168" s="263"/>
      <c r="AF168" s="263"/>
      <c r="AG168" s="263"/>
      <c r="AH168" s="263"/>
      <c r="AI168" s="263"/>
      <c r="AJ168" s="259"/>
      <c r="AK168" s="263">
        <f t="shared" si="93"/>
        <v>25</v>
      </c>
      <c r="AL168" s="265">
        <f t="shared" si="81"/>
        <v>13</v>
      </c>
      <c r="AM168" s="6">
        <f t="shared" si="94"/>
        <v>25</v>
      </c>
      <c r="AN168" s="255">
        <f t="shared" si="82"/>
        <v>0.9651810584958217</v>
      </c>
      <c r="AO168" s="256">
        <f t="shared" si="83"/>
        <v>0.58289365885630018</v>
      </c>
      <c r="AP168" s="257">
        <f t="shared" si="84"/>
        <v>34818.941504178278</v>
      </c>
      <c r="AQ168" s="263">
        <f t="shared" si="95"/>
        <v>0</v>
      </c>
      <c r="AR168" s="263">
        <f t="shared" si="96"/>
        <v>0</v>
      </c>
      <c r="AS168" s="263">
        <f t="shared" si="97"/>
        <v>2.5</v>
      </c>
      <c r="AT168" s="263">
        <f t="shared" si="98"/>
        <v>2.5</v>
      </c>
      <c r="AU168" s="263"/>
      <c r="AV168" s="263"/>
      <c r="AW168" s="263"/>
      <c r="AX168" s="263">
        <f t="shared" si="99"/>
        <v>2.5</v>
      </c>
      <c r="BA168" s="282">
        <f t="shared" si="85"/>
        <v>271.76470588235293</v>
      </c>
      <c r="BB168">
        <v>1</v>
      </c>
      <c r="BC168">
        <f t="shared" si="100"/>
        <v>271.76470588235293</v>
      </c>
      <c r="BD168">
        <f t="shared" si="86"/>
        <v>450</v>
      </c>
      <c r="BE168">
        <f t="shared" si="87"/>
        <v>450</v>
      </c>
      <c r="BF168" s="281">
        <f t="shared" si="101"/>
        <v>0.60392156862745094</v>
      </c>
      <c r="BG168" s="282" t="s">
        <v>2549</v>
      </c>
      <c r="BH168" s="283"/>
    </row>
    <row r="169" spans="1:60" x14ac:dyDescent="0.3">
      <c r="A169">
        <f t="shared" si="88"/>
        <v>167</v>
      </c>
      <c r="B169" s="241" t="s">
        <v>2499</v>
      </c>
      <c r="C169" s="294" t="s">
        <v>2513</v>
      </c>
      <c r="D169" s="14">
        <v>45742</v>
      </c>
      <c r="E169" s="7"/>
      <c r="F169" s="7"/>
      <c r="G169" s="66"/>
      <c r="H169" s="59"/>
      <c r="I169" s="59">
        <v>510</v>
      </c>
      <c r="J169" s="47">
        <f t="shared" si="103"/>
        <v>510</v>
      </c>
      <c r="K169" s="8">
        <f t="shared" si="104"/>
        <v>510</v>
      </c>
      <c r="L169" s="96">
        <f t="shared" si="102"/>
        <v>1</v>
      </c>
      <c r="M169" s="81">
        <v>902</v>
      </c>
      <c r="N169" s="8">
        <v>153</v>
      </c>
      <c r="O169" s="8">
        <v>60</v>
      </c>
      <c r="P169" s="96">
        <f t="shared" si="91"/>
        <v>0.69357939254133028</v>
      </c>
      <c r="Q169" s="59">
        <f t="shared" si="92"/>
        <v>902</v>
      </c>
      <c r="R169" s="252">
        <f t="shared" si="80"/>
        <v>922</v>
      </c>
      <c r="S169" s="263">
        <v>9</v>
      </c>
      <c r="T169" s="263">
        <v>1</v>
      </c>
      <c r="U169" s="263">
        <v>0</v>
      </c>
      <c r="V169" s="263">
        <v>14</v>
      </c>
      <c r="W169" s="263">
        <v>0</v>
      </c>
      <c r="X169" s="263">
        <v>9</v>
      </c>
      <c r="Y169" s="263">
        <v>0</v>
      </c>
      <c r="Z169" s="263">
        <v>0</v>
      </c>
      <c r="AA169" s="263">
        <v>0</v>
      </c>
      <c r="AB169" s="263">
        <v>1</v>
      </c>
      <c r="AC169" s="263">
        <v>0</v>
      </c>
      <c r="AD169" s="263">
        <v>19</v>
      </c>
      <c r="AE169" s="263"/>
      <c r="AF169" s="263"/>
      <c r="AG169" s="263"/>
      <c r="AH169" s="263"/>
      <c r="AI169" s="263"/>
      <c r="AJ169" s="259"/>
      <c r="AK169" s="263">
        <f t="shared" si="93"/>
        <v>19</v>
      </c>
      <c r="AL169" s="265">
        <f t="shared" si="81"/>
        <v>13</v>
      </c>
      <c r="AM169" s="6">
        <f t="shared" si="94"/>
        <v>19</v>
      </c>
      <c r="AN169" s="255">
        <f t="shared" si="82"/>
        <v>0.97830802603036882</v>
      </c>
      <c r="AO169" s="256">
        <f t="shared" si="83"/>
        <v>0.67853428641245117</v>
      </c>
      <c r="AP169" s="257">
        <f t="shared" si="84"/>
        <v>20607.375271149675</v>
      </c>
      <c r="AQ169" s="263">
        <f t="shared" si="95"/>
        <v>0.5</v>
      </c>
      <c r="AR169" s="263">
        <f t="shared" si="96"/>
        <v>0</v>
      </c>
      <c r="AS169" s="263">
        <f t="shared" si="97"/>
        <v>1.9000000000000001</v>
      </c>
      <c r="AT169" s="263">
        <f t="shared" si="98"/>
        <v>2.4000000000000004</v>
      </c>
      <c r="AU169" s="263"/>
      <c r="AV169" s="263"/>
      <c r="AW169" s="263"/>
      <c r="AX169" s="263">
        <f t="shared" si="99"/>
        <v>2.4000000000000004</v>
      </c>
      <c r="BA169" s="282">
        <f t="shared" si="85"/>
        <v>353.72549019607845</v>
      </c>
      <c r="BB169">
        <v>1</v>
      </c>
      <c r="BC169">
        <f t="shared" si="100"/>
        <v>353.72549019607845</v>
      </c>
      <c r="BD169">
        <f t="shared" si="86"/>
        <v>510</v>
      </c>
      <c r="BE169">
        <f t="shared" si="87"/>
        <v>510</v>
      </c>
      <c r="BF169" s="281">
        <f t="shared" si="101"/>
        <v>0.69357939254133028</v>
      </c>
      <c r="BG169" s="282" t="s">
        <v>2547</v>
      </c>
      <c r="BH169" s="283"/>
    </row>
    <row r="170" spans="1:60" x14ac:dyDescent="0.3">
      <c r="A170">
        <f t="shared" si="88"/>
        <v>168</v>
      </c>
      <c r="B170" s="241" t="s">
        <v>2499</v>
      </c>
      <c r="C170" s="294" t="s">
        <v>2511</v>
      </c>
      <c r="D170" s="14">
        <v>45743</v>
      </c>
      <c r="E170" s="7">
        <v>40</v>
      </c>
      <c r="F170" s="7"/>
      <c r="G170" s="66"/>
      <c r="H170" s="59"/>
      <c r="I170" s="59">
        <v>480</v>
      </c>
      <c r="J170" s="47">
        <f t="shared" si="103"/>
        <v>480</v>
      </c>
      <c r="K170" s="8">
        <f t="shared" si="104"/>
        <v>440</v>
      </c>
      <c r="L170" s="96">
        <f t="shared" si="102"/>
        <v>0.91666666666666663</v>
      </c>
      <c r="M170" s="81">
        <v>1069</v>
      </c>
      <c r="N170" s="8">
        <v>153</v>
      </c>
      <c r="O170" s="8">
        <v>60</v>
      </c>
      <c r="P170" s="96">
        <f t="shared" si="91"/>
        <v>0.95276292335115875</v>
      </c>
      <c r="Q170" s="59">
        <f t="shared" si="92"/>
        <v>1069</v>
      </c>
      <c r="R170" s="252">
        <f t="shared" si="80"/>
        <v>1078</v>
      </c>
      <c r="S170" s="263">
        <v>5</v>
      </c>
      <c r="T170" s="263">
        <v>2</v>
      </c>
      <c r="U170" s="263">
        <v>0</v>
      </c>
      <c r="V170" s="263">
        <v>5</v>
      </c>
      <c r="W170" s="263">
        <v>0</v>
      </c>
      <c r="X170" s="263">
        <v>10</v>
      </c>
      <c r="Y170" s="263">
        <v>0</v>
      </c>
      <c r="Z170" s="263">
        <v>0</v>
      </c>
      <c r="AA170" s="263">
        <v>0</v>
      </c>
      <c r="AB170" s="263">
        <v>0</v>
      </c>
      <c r="AC170" s="263">
        <v>0</v>
      </c>
      <c r="AD170" s="263">
        <v>9</v>
      </c>
      <c r="AE170" s="263"/>
      <c r="AF170" s="263"/>
      <c r="AG170" s="263"/>
      <c r="AH170" s="263"/>
      <c r="AI170" s="263"/>
      <c r="AJ170" s="259"/>
      <c r="AK170" s="263">
        <f t="shared" si="93"/>
        <v>9</v>
      </c>
      <c r="AL170" s="265">
        <f t="shared" si="81"/>
        <v>13</v>
      </c>
      <c r="AM170" s="6">
        <f t="shared" si="94"/>
        <v>9</v>
      </c>
      <c r="AN170" s="255">
        <f t="shared" si="82"/>
        <v>0.99165120593692024</v>
      </c>
      <c r="AO170" s="256">
        <f t="shared" si="83"/>
        <v>0.86607446008706523</v>
      </c>
      <c r="AP170" s="257">
        <f t="shared" si="84"/>
        <v>8348.7940630797766</v>
      </c>
      <c r="AQ170" s="263">
        <f t="shared" si="95"/>
        <v>0</v>
      </c>
      <c r="AR170" s="263">
        <f t="shared" si="96"/>
        <v>0</v>
      </c>
      <c r="AS170" s="263">
        <f t="shared" si="97"/>
        <v>0.9</v>
      </c>
      <c r="AT170" s="263">
        <f t="shared" si="98"/>
        <v>0.9</v>
      </c>
      <c r="AU170" s="263"/>
      <c r="AV170" s="263"/>
      <c r="AW170" s="263"/>
      <c r="AX170" s="263">
        <f t="shared" si="99"/>
        <v>0.9</v>
      </c>
      <c r="BA170" s="282">
        <f t="shared" si="85"/>
        <v>419.21568627450984</v>
      </c>
      <c r="BB170">
        <v>1</v>
      </c>
      <c r="BC170">
        <f t="shared" si="100"/>
        <v>419.21568627450984</v>
      </c>
      <c r="BD170">
        <f t="shared" si="86"/>
        <v>440</v>
      </c>
      <c r="BE170">
        <f t="shared" si="87"/>
        <v>480</v>
      </c>
      <c r="BF170" s="281">
        <f t="shared" si="101"/>
        <v>0.87336601307189554</v>
      </c>
      <c r="BG170" s="282" t="s">
        <v>2538</v>
      </c>
      <c r="BH170" s="283"/>
    </row>
    <row r="171" spans="1:60" x14ac:dyDescent="0.3">
      <c r="A171">
        <f t="shared" si="88"/>
        <v>169</v>
      </c>
      <c r="B171" s="241" t="s">
        <v>2499</v>
      </c>
      <c r="C171" s="294" t="s">
        <v>2512</v>
      </c>
      <c r="D171" s="14">
        <v>45743</v>
      </c>
      <c r="E171" s="7"/>
      <c r="F171" s="7"/>
      <c r="G171" s="66"/>
      <c r="H171" s="59"/>
      <c r="I171" s="59">
        <v>450</v>
      </c>
      <c r="J171" s="47">
        <f t="shared" si="103"/>
        <v>450</v>
      </c>
      <c r="K171" s="8">
        <f t="shared" si="104"/>
        <v>450</v>
      </c>
      <c r="L171" s="96">
        <f t="shared" si="102"/>
        <v>1</v>
      </c>
      <c r="M171" s="81">
        <f>106+71+103+117+86+135+135+73</f>
        <v>826</v>
      </c>
      <c r="N171" s="8">
        <v>153</v>
      </c>
      <c r="O171" s="8">
        <v>60</v>
      </c>
      <c r="P171" s="96">
        <f t="shared" si="91"/>
        <v>0.71982570806100221</v>
      </c>
      <c r="Q171" s="59">
        <f t="shared" si="92"/>
        <v>826</v>
      </c>
      <c r="R171" s="252">
        <f t="shared" si="80"/>
        <v>837</v>
      </c>
      <c r="S171" s="263">
        <v>3</v>
      </c>
      <c r="T171" s="263">
        <v>2</v>
      </c>
      <c r="U171" s="263">
        <v>0</v>
      </c>
      <c r="V171" s="263">
        <v>0</v>
      </c>
      <c r="W171" s="263">
        <v>0</v>
      </c>
      <c r="X171" s="263">
        <v>1</v>
      </c>
      <c r="Y171" s="263">
        <v>0</v>
      </c>
      <c r="Z171" s="263">
        <v>23</v>
      </c>
      <c r="AA171" s="263">
        <v>0</v>
      </c>
      <c r="AB171" s="263">
        <v>0</v>
      </c>
      <c r="AC171" s="263">
        <v>0</v>
      </c>
      <c r="AD171" s="263">
        <v>11</v>
      </c>
      <c r="AE171" s="263"/>
      <c r="AF171" s="263"/>
      <c r="AG171" s="263"/>
      <c r="AH171" s="263"/>
      <c r="AI171" s="263"/>
      <c r="AJ171" s="259"/>
      <c r="AK171" s="263">
        <f t="shared" si="93"/>
        <v>11</v>
      </c>
      <c r="AL171" s="265">
        <f t="shared" si="81"/>
        <v>13</v>
      </c>
      <c r="AM171" s="6">
        <f t="shared" si="94"/>
        <v>11</v>
      </c>
      <c r="AN171" s="255">
        <f t="shared" si="82"/>
        <v>0.98685782556750301</v>
      </c>
      <c r="AO171" s="256">
        <f t="shared" si="83"/>
        <v>0.71036563304466882</v>
      </c>
      <c r="AP171" s="257">
        <f t="shared" si="84"/>
        <v>13142.174432497013</v>
      </c>
      <c r="AQ171" s="263">
        <f t="shared" si="95"/>
        <v>0</v>
      </c>
      <c r="AR171" s="263">
        <f t="shared" si="96"/>
        <v>0</v>
      </c>
      <c r="AS171" s="263">
        <f t="shared" si="97"/>
        <v>1.1000000000000001</v>
      </c>
      <c r="AT171" s="263">
        <f t="shared" si="98"/>
        <v>1.1000000000000001</v>
      </c>
      <c r="AU171" s="263"/>
      <c r="AV171" s="263"/>
      <c r="AW171" s="263"/>
      <c r="AX171" s="263">
        <f t="shared" si="99"/>
        <v>1.1000000000000001</v>
      </c>
      <c r="BA171" s="282">
        <f t="shared" si="85"/>
        <v>323.92156862745099</v>
      </c>
      <c r="BB171">
        <v>1</v>
      </c>
      <c r="BC171">
        <f t="shared" si="100"/>
        <v>323.92156862745099</v>
      </c>
      <c r="BD171">
        <f t="shared" si="86"/>
        <v>450</v>
      </c>
      <c r="BE171">
        <f t="shared" si="87"/>
        <v>450</v>
      </c>
      <c r="BF171" s="281">
        <f t="shared" si="101"/>
        <v>0.71982570806100221</v>
      </c>
      <c r="BG171" s="282" t="s">
        <v>2549</v>
      </c>
      <c r="BH171" s="283"/>
    </row>
    <row r="172" spans="1:60" x14ac:dyDescent="0.3">
      <c r="A172">
        <f t="shared" si="88"/>
        <v>170</v>
      </c>
      <c r="B172" s="241" t="s">
        <v>2499</v>
      </c>
      <c r="C172" s="294" t="s">
        <v>2513</v>
      </c>
      <c r="D172" s="14">
        <v>45743</v>
      </c>
      <c r="E172" s="7"/>
      <c r="F172" s="7"/>
      <c r="G172" s="66"/>
      <c r="H172" s="59"/>
      <c r="I172" s="59">
        <v>510</v>
      </c>
      <c r="J172" s="47">
        <f t="shared" si="103"/>
        <v>510</v>
      </c>
      <c r="K172" s="8">
        <f t="shared" si="104"/>
        <v>510</v>
      </c>
      <c r="L172" s="96">
        <f t="shared" si="102"/>
        <v>1</v>
      </c>
      <c r="M172" s="81">
        <v>599</v>
      </c>
      <c r="N172" s="8">
        <v>153</v>
      </c>
      <c r="O172" s="8">
        <v>60</v>
      </c>
      <c r="P172" s="96">
        <f t="shared" si="91"/>
        <v>0.46059207996924262</v>
      </c>
      <c r="Q172" s="59">
        <f t="shared" si="92"/>
        <v>599</v>
      </c>
      <c r="R172" s="252">
        <f t="shared" si="80"/>
        <v>623</v>
      </c>
      <c r="S172" s="263">
        <v>1</v>
      </c>
      <c r="T172" s="263">
        <v>0</v>
      </c>
      <c r="U172" s="263">
        <v>0</v>
      </c>
      <c r="V172" s="263">
        <v>0</v>
      </c>
      <c r="W172" s="263">
        <v>0</v>
      </c>
      <c r="X172" s="263">
        <v>6</v>
      </c>
      <c r="Y172" s="263">
        <v>0</v>
      </c>
      <c r="Z172" s="263">
        <v>1</v>
      </c>
      <c r="AA172" s="263">
        <v>0</v>
      </c>
      <c r="AB172" s="263">
        <v>22</v>
      </c>
      <c r="AC172" s="263">
        <v>0</v>
      </c>
      <c r="AD172" s="263">
        <v>2</v>
      </c>
      <c r="AE172" s="263"/>
      <c r="AF172" s="263"/>
      <c r="AG172" s="263"/>
      <c r="AH172" s="263"/>
      <c r="AI172" s="263"/>
      <c r="AJ172" s="259"/>
      <c r="AK172" s="263">
        <f t="shared" si="93"/>
        <v>2</v>
      </c>
      <c r="AL172" s="265">
        <f t="shared" si="81"/>
        <v>13</v>
      </c>
      <c r="AM172" s="6">
        <f t="shared" si="94"/>
        <v>2</v>
      </c>
      <c r="AN172" s="255">
        <f t="shared" si="82"/>
        <v>0.9614767255216693</v>
      </c>
      <c r="AO172" s="256">
        <f t="shared" si="83"/>
        <v>0.44284856485004226</v>
      </c>
      <c r="AP172" s="257">
        <f t="shared" si="84"/>
        <v>3210.2728731942216</v>
      </c>
      <c r="AQ172" s="263">
        <f t="shared" si="95"/>
        <v>11</v>
      </c>
      <c r="AR172" s="263">
        <f t="shared" si="96"/>
        <v>0</v>
      </c>
      <c r="AS172" s="263">
        <f t="shared" si="97"/>
        <v>0.2</v>
      </c>
      <c r="AT172" s="263">
        <f t="shared" si="98"/>
        <v>11.2</v>
      </c>
      <c r="AU172" s="263"/>
      <c r="AV172" s="263"/>
      <c r="AW172" s="263"/>
      <c r="AX172" s="263">
        <f t="shared" si="99"/>
        <v>11.2</v>
      </c>
      <c r="BA172" s="282">
        <f t="shared" si="85"/>
        <v>234.90196078431373</v>
      </c>
      <c r="BB172">
        <v>1</v>
      </c>
      <c r="BC172">
        <f t="shared" si="100"/>
        <v>234.90196078431373</v>
      </c>
      <c r="BD172">
        <f t="shared" si="86"/>
        <v>510</v>
      </c>
      <c r="BE172">
        <f t="shared" si="87"/>
        <v>510</v>
      </c>
      <c r="BF172" s="281">
        <f t="shared" si="101"/>
        <v>0.46059207996924262</v>
      </c>
      <c r="BG172" s="282" t="s">
        <v>2547</v>
      </c>
      <c r="BH172" s="283"/>
    </row>
    <row r="173" spans="1:60" x14ac:dyDescent="0.3">
      <c r="A173">
        <f t="shared" si="88"/>
        <v>171</v>
      </c>
      <c r="B173" s="241" t="s">
        <v>2499</v>
      </c>
      <c r="C173" s="294" t="s">
        <v>2511</v>
      </c>
      <c r="D173" s="14">
        <v>45744</v>
      </c>
      <c r="E173" s="7">
        <v>40</v>
      </c>
      <c r="F173" s="7">
        <v>120</v>
      </c>
      <c r="G173" s="66"/>
      <c r="H173" s="59"/>
      <c r="I173" s="59">
        <v>480</v>
      </c>
      <c r="J173" s="47">
        <f t="shared" si="103"/>
        <v>480</v>
      </c>
      <c r="K173" s="8">
        <f t="shared" si="104"/>
        <v>320</v>
      </c>
      <c r="L173" s="96">
        <f t="shared" si="102"/>
        <v>0.66666666666666663</v>
      </c>
      <c r="M173" s="81">
        <v>544</v>
      </c>
      <c r="N173" s="8">
        <v>153</v>
      </c>
      <c r="O173" s="8">
        <v>60</v>
      </c>
      <c r="P173" s="96">
        <f t="shared" si="91"/>
        <v>0.66666666666666663</v>
      </c>
      <c r="Q173" s="59">
        <f t="shared" si="92"/>
        <v>544</v>
      </c>
      <c r="R173" s="252">
        <f t="shared" si="80"/>
        <v>656</v>
      </c>
      <c r="S173" s="263">
        <v>5</v>
      </c>
      <c r="T173" s="263">
        <v>7</v>
      </c>
      <c r="U173" s="263">
        <v>0</v>
      </c>
      <c r="V173" s="263">
        <v>0</v>
      </c>
      <c r="W173" s="263">
        <v>0</v>
      </c>
      <c r="X173" s="263">
        <v>4</v>
      </c>
      <c r="Y173" s="263">
        <v>0</v>
      </c>
      <c r="Z173" s="263">
        <v>0</v>
      </c>
      <c r="AA173" s="263">
        <v>0</v>
      </c>
      <c r="AB173" s="263">
        <v>109</v>
      </c>
      <c r="AC173" s="263">
        <v>1</v>
      </c>
      <c r="AD173" s="263">
        <v>2</v>
      </c>
      <c r="AE173" s="263"/>
      <c r="AF173" s="263"/>
      <c r="AG173" s="263"/>
      <c r="AH173" s="263"/>
      <c r="AI173" s="263"/>
      <c r="AJ173" s="259"/>
      <c r="AK173" s="263">
        <f t="shared" si="93"/>
        <v>2</v>
      </c>
      <c r="AL173" s="265">
        <f t="shared" si="81"/>
        <v>13</v>
      </c>
      <c r="AM173" s="6">
        <f t="shared" si="94"/>
        <v>2</v>
      </c>
      <c r="AN173" s="255">
        <f t="shared" si="82"/>
        <v>0.82926829268292679</v>
      </c>
      <c r="AO173" s="256">
        <f t="shared" si="83"/>
        <v>0.36856368563685626</v>
      </c>
      <c r="AP173" s="257">
        <f t="shared" si="84"/>
        <v>3048.7804878048782</v>
      </c>
      <c r="AQ173" s="263">
        <f t="shared" si="95"/>
        <v>54.5</v>
      </c>
      <c r="AR173" s="263">
        <f t="shared" si="96"/>
        <v>0.2</v>
      </c>
      <c r="AS173" s="263">
        <f t="shared" si="97"/>
        <v>0.2</v>
      </c>
      <c r="AT173" s="263">
        <f t="shared" si="98"/>
        <v>54.900000000000006</v>
      </c>
      <c r="AU173" s="263"/>
      <c r="AV173" s="263"/>
      <c r="AW173" s="263"/>
      <c r="AX173" s="263">
        <f t="shared" si="99"/>
        <v>54.900000000000006</v>
      </c>
      <c r="BA173" s="282">
        <f t="shared" si="85"/>
        <v>213.33333333333331</v>
      </c>
      <c r="BB173">
        <v>1</v>
      </c>
      <c r="BC173">
        <f t="shared" si="100"/>
        <v>213.33333333333331</v>
      </c>
      <c r="BD173">
        <f t="shared" si="86"/>
        <v>320</v>
      </c>
      <c r="BE173">
        <f t="shared" si="87"/>
        <v>480</v>
      </c>
      <c r="BF173" s="281">
        <f t="shared" si="101"/>
        <v>0.44444444444444442</v>
      </c>
      <c r="BG173" s="282" t="s">
        <v>2538</v>
      </c>
      <c r="BH173" s="283"/>
    </row>
    <row r="174" spans="1:60" x14ac:dyDescent="0.3">
      <c r="A174">
        <f t="shared" si="88"/>
        <v>172</v>
      </c>
      <c r="B174" s="241" t="s">
        <v>2499</v>
      </c>
      <c r="C174" s="294" t="s">
        <v>2512</v>
      </c>
      <c r="D174" s="14">
        <v>45744</v>
      </c>
      <c r="E174" s="7"/>
      <c r="F174" s="7"/>
      <c r="G174" s="66"/>
      <c r="H174" s="59"/>
      <c r="I174" s="59">
        <v>450</v>
      </c>
      <c r="J174" s="47">
        <f t="shared" si="103"/>
        <v>450</v>
      </c>
      <c r="K174" s="8">
        <f t="shared" si="104"/>
        <v>450</v>
      </c>
      <c r="L174" s="96">
        <f t="shared" si="102"/>
        <v>1</v>
      </c>
      <c r="M174" s="81">
        <f>124+37+139+107+32+132+132+79</f>
        <v>782</v>
      </c>
      <c r="N174" s="8">
        <v>153</v>
      </c>
      <c r="O174" s="8">
        <v>60</v>
      </c>
      <c r="P174" s="96">
        <f t="shared" si="91"/>
        <v>0.68148148148148135</v>
      </c>
      <c r="Q174" s="59">
        <f t="shared" si="92"/>
        <v>782</v>
      </c>
      <c r="R174" s="252">
        <f t="shared" si="80"/>
        <v>860</v>
      </c>
      <c r="S174" s="263">
        <v>5</v>
      </c>
      <c r="T174" s="263">
        <v>1</v>
      </c>
      <c r="U174" s="263">
        <v>0</v>
      </c>
      <c r="V174" s="263">
        <v>0</v>
      </c>
      <c r="W174" s="263">
        <v>10</v>
      </c>
      <c r="X174" s="263">
        <v>1</v>
      </c>
      <c r="Y174" s="263">
        <v>0</v>
      </c>
      <c r="Z174" s="263">
        <v>0</v>
      </c>
      <c r="AA174" s="263">
        <v>7</v>
      </c>
      <c r="AB174" s="263">
        <v>75</v>
      </c>
      <c r="AC174" s="263">
        <v>0</v>
      </c>
      <c r="AD174" s="263">
        <v>3</v>
      </c>
      <c r="AE174" s="263"/>
      <c r="AF174" s="263"/>
      <c r="AG174" s="263"/>
      <c r="AH174" s="263"/>
      <c r="AI174" s="263"/>
      <c r="AJ174" s="259"/>
      <c r="AK174" s="263">
        <f t="shared" si="93"/>
        <v>3</v>
      </c>
      <c r="AL174" s="265">
        <f t="shared" si="81"/>
        <v>13</v>
      </c>
      <c r="AM174" s="6">
        <f t="shared" si="94"/>
        <v>3</v>
      </c>
      <c r="AN174" s="255">
        <f t="shared" si="82"/>
        <v>0.90930232558139534</v>
      </c>
      <c r="AO174" s="256">
        <f t="shared" si="83"/>
        <v>0.61967269595176555</v>
      </c>
      <c r="AP174" s="257">
        <f t="shared" si="84"/>
        <v>3488.3720930232557</v>
      </c>
      <c r="AQ174" s="263">
        <f t="shared" si="95"/>
        <v>37.5</v>
      </c>
      <c r="AR174" s="263">
        <f t="shared" si="96"/>
        <v>0</v>
      </c>
      <c r="AS174" s="263">
        <f t="shared" si="97"/>
        <v>0.30000000000000004</v>
      </c>
      <c r="AT174" s="263">
        <f t="shared" si="98"/>
        <v>37.799999999999997</v>
      </c>
      <c r="AU174" s="263"/>
      <c r="AV174" s="263"/>
      <c r="AW174" s="263"/>
      <c r="AX174" s="263">
        <f t="shared" si="99"/>
        <v>37.799999999999997</v>
      </c>
      <c r="BA174" s="282">
        <f t="shared" si="85"/>
        <v>306.66666666666663</v>
      </c>
      <c r="BB174">
        <v>1</v>
      </c>
      <c r="BC174">
        <f t="shared" si="100"/>
        <v>306.66666666666663</v>
      </c>
      <c r="BD174">
        <f t="shared" si="86"/>
        <v>450</v>
      </c>
      <c r="BE174">
        <f t="shared" si="87"/>
        <v>450</v>
      </c>
      <c r="BF174" s="281">
        <f t="shared" si="101"/>
        <v>0.68148148148148135</v>
      </c>
      <c r="BG174" s="282" t="s">
        <v>2549</v>
      </c>
      <c r="BH174" s="283"/>
    </row>
    <row r="175" spans="1:60" x14ac:dyDescent="0.3">
      <c r="A175">
        <f t="shared" si="88"/>
        <v>173</v>
      </c>
      <c r="B175" s="241" t="s">
        <v>2499</v>
      </c>
      <c r="C175" s="294" t="s">
        <v>2513</v>
      </c>
      <c r="D175" s="14">
        <v>45744</v>
      </c>
      <c r="E175" s="7"/>
      <c r="F175" s="7"/>
      <c r="G175" s="66"/>
      <c r="H175" s="59"/>
      <c r="I175" s="59">
        <v>510</v>
      </c>
      <c r="J175" s="47">
        <f t="shared" si="103"/>
        <v>510</v>
      </c>
      <c r="K175" s="8">
        <f t="shared" si="104"/>
        <v>510</v>
      </c>
      <c r="L175" s="96">
        <f t="shared" si="102"/>
        <v>1</v>
      </c>
      <c r="M175" s="81">
        <v>1065</v>
      </c>
      <c r="N175" s="8">
        <v>153</v>
      </c>
      <c r="O175" s="8">
        <v>60</v>
      </c>
      <c r="P175" s="96">
        <f t="shared" si="91"/>
        <v>0.81891580161476352</v>
      </c>
      <c r="Q175" s="59">
        <f t="shared" si="92"/>
        <v>1065</v>
      </c>
      <c r="R175" s="252">
        <f t="shared" si="80"/>
        <v>1113</v>
      </c>
      <c r="S175" s="263">
        <v>29</v>
      </c>
      <c r="T175" s="263">
        <v>1</v>
      </c>
      <c r="U175" s="263">
        <v>0</v>
      </c>
      <c r="V175" s="263">
        <v>0</v>
      </c>
      <c r="W175" s="263">
        <v>0</v>
      </c>
      <c r="X175" s="263">
        <v>13</v>
      </c>
      <c r="Y175" s="263">
        <v>0</v>
      </c>
      <c r="Z175" s="263">
        <v>0</v>
      </c>
      <c r="AA175" s="263">
        <v>1</v>
      </c>
      <c r="AB175" s="263">
        <v>42</v>
      </c>
      <c r="AC175" s="263">
        <v>0</v>
      </c>
      <c r="AD175" s="263">
        <v>6</v>
      </c>
      <c r="AE175" s="263"/>
      <c r="AF175" s="263"/>
      <c r="AG175" s="263"/>
      <c r="AH175" s="263"/>
      <c r="AI175" s="263"/>
      <c r="AJ175" s="259"/>
      <c r="AK175" s="263">
        <f t="shared" si="93"/>
        <v>6</v>
      </c>
      <c r="AL175" s="265">
        <f t="shared" si="81"/>
        <v>13</v>
      </c>
      <c r="AM175" s="6">
        <f t="shared" si="94"/>
        <v>6</v>
      </c>
      <c r="AN175" s="255">
        <f t="shared" si="82"/>
        <v>0.95687331536388143</v>
      </c>
      <c r="AO175" s="256">
        <f t="shared" si="83"/>
        <v>0.7835986780949894</v>
      </c>
      <c r="AP175" s="257">
        <f t="shared" si="84"/>
        <v>5390.8355795148254</v>
      </c>
      <c r="AQ175" s="263">
        <f t="shared" si="95"/>
        <v>21</v>
      </c>
      <c r="AR175" s="263">
        <f t="shared" si="96"/>
        <v>0</v>
      </c>
      <c r="AS175" s="263">
        <f t="shared" si="97"/>
        <v>0.60000000000000009</v>
      </c>
      <c r="AT175" s="263">
        <f t="shared" si="98"/>
        <v>21.6</v>
      </c>
      <c r="AU175" s="263"/>
      <c r="AV175" s="263"/>
      <c r="AW175" s="263"/>
      <c r="AX175" s="263">
        <f t="shared" si="99"/>
        <v>21.6</v>
      </c>
      <c r="BA175" s="282">
        <f t="shared" si="85"/>
        <v>417.64705882352939</v>
      </c>
      <c r="BB175">
        <v>1</v>
      </c>
      <c r="BC175">
        <f t="shared" si="100"/>
        <v>417.64705882352939</v>
      </c>
      <c r="BD175">
        <f t="shared" si="86"/>
        <v>510</v>
      </c>
      <c r="BE175">
        <f t="shared" si="87"/>
        <v>510</v>
      </c>
      <c r="BF175" s="281">
        <f t="shared" si="101"/>
        <v>0.81891580161476352</v>
      </c>
      <c r="BG175" s="282" t="s">
        <v>2547</v>
      </c>
      <c r="BH175" s="283"/>
    </row>
    <row r="176" spans="1:60" x14ac:dyDescent="0.3">
      <c r="A176">
        <f t="shared" si="88"/>
        <v>174</v>
      </c>
      <c r="B176" s="241" t="s">
        <v>2499</v>
      </c>
      <c r="C176" s="294" t="s">
        <v>2511</v>
      </c>
      <c r="D176" s="14">
        <v>45745</v>
      </c>
      <c r="E176" s="7">
        <v>40</v>
      </c>
      <c r="F176" s="7"/>
      <c r="G176" s="66"/>
      <c r="H176" s="59"/>
      <c r="I176" s="59">
        <v>480</v>
      </c>
      <c r="J176" s="47">
        <f t="shared" si="103"/>
        <v>480</v>
      </c>
      <c r="K176" s="8">
        <f t="shared" si="104"/>
        <v>440</v>
      </c>
      <c r="L176" s="96">
        <f t="shared" si="102"/>
        <v>0.91666666666666663</v>
      </c>
      <c r="M176" s="81">
        <v>852</v>
      </c>
      <c r="N176" s="8">
        <v>153</v>
      </c>
      <c r="O176" s="8">
        <v>60</v>
      </c>
      <c r="P176" s="96">
        <f t="shared" si="91"/>
        <v>0.75935828877005351</v>
      </c>
      <c r="Q176" s="59">
        <f t="shared" si="92"/>
        <v>852</v>
      </c>
      <c r="R176" s="252">
        <f t="shared" si="80"/>
        <v>879</v>
      </c>
      <c r="S176" s="263">
        <v>3</v>
      </c>
      <c r="T176" s="263">
        <v>10</v>
      </c>
      <c r="U176" s="263">
        <v>0</v>
      </c>
      <c r="V176" s="263">
        <v>9</v>
      </c>
      <c r="W176" s="263">
        <v>0</v>
      </c>
      <c r="X176" s="263">
        <v>0</v>
      </c>
      <c r="Y176" s="263">
        <v>0</v>
      </c>
      <c r="Z176" s="263">
        <v>4</v>
      </c>
      <c r="AA176" s="263">
        <v>4</v>
      </c>
      <c r="AB176" s="263">
        <v>25</v>
      </c>
      <c r="AC176" s="263">
        <v>0</v>
      </c>
      <c r="AD176" s="263">
        <v>2</v>
      </c>
      <c r="AE176" s="263"/>
      <c r="AF176" s="263"/>
      <c r="AG176" s="263"/>
      <c r="AH176" s="263"/>
      <c r="AI176" s="263"/>
      <c r="AJ176" s="259"/>
      <c r="AK176" s="263">
        <f t="shared" si="93"/>
        <v>2</v>
      </c>
      <c r="AL176" s="265">
        <f t="shared" si="81"/>
        <v>13</v>
      </c>
      <c r="AM176" s="6">
        <f t="shared" si="94"/>
        <v>2</v>
      </c>
      <c r="AN176" s="255">
        <f t="shared" si="82"/>
        <v>0.96928327645051193</v>
      </c>
      <c r="AO176" s="256">
        <f t="shared" si="83"/>
        <v>0.67469718262731715</v>
      </c>
      <c r="AP176" s="257">
        <f t="shared" si="84"/>
        <v>2275.3128555176336</v>
      </c>
      <c r="AQ176" s="263">
        <f t="shared" si="95"/>
        <v>12.5</v>
      </c>
      <c r="AR176" s="263">
        <f t="shared" si="96"/>
        <v>0</v>
      </c>
      <c r="AS176" s="263">
        <f t="shared" si="97"/>
        <v>0.2</v>
      </c>
      <c r="AT176" s="263">
        <f t="shared" si="98"/>
        <v>12.7</v>
      </c>
      <c r="AU176" s="263"/>
      <c r="AV176" s="263"/>
      <c r="AW176" s="263"/>
      <c r="AX176" s="263">
        <f t="shared" si="99"/>
        <v>12.7</v>
      </c>
      <c r="BA176" s="282">
        <f t="shared" si="85"/>
        <v>334.11764705882354</v>
      </c>
      <c r="BB176">
        <v>1</v>
      </c>
      <c r="BC176">
        <f t="shared" si="100"/>
        <v>334.11764705882354</v>
      </c>
      <c r="BD176">
        <f t="shared" si="86"/>
        <v>440</v>
      </c>
      <c r="BE176">
        <f t="shared" si="87"/>
        <v>480</v>
      </c>
      <c r="BF176" s="281">
        <f t="shared" si="101"/>
        <v>0.69607843137254899</v>
      </c>
      <c r="BG176" s="282" t="s">
        <v>2481</v>
      </c>
      <c r="BH176" s="283"/>
    </row>
    <row r="177" spans="1:60" x14ac:dyDescent="0.3">
      <c r="A177">
        <f t="shared" si="88"/>
        <v>175</v>
      </c>
      <c r="B177" s="241" t="s">
        <v>2499</v>
      </c>
      <c r="C177" s="294" t="s">
        <v>2512</v>
      </c>
      <c r="D177" s="14">
        <v>45745</v>
      </c>
      <c r="E177" s="7"/>
      <c r="F177" s="7"/>
      <c r="G177" s="66"/>
      <c r="H177" s="59"/>
      <c r="I177" s="59">
        <v>450</v>
      </c>
      <c r="J177" s="47">
        <f t="shared" si="103"/>
        <v>450</v>
      </c>
      <c r="K177" s="8">
        <f t="shared" si="104"/>
        <v>450</v>
      </c>
      <c r="L177" s="96">
        <f t="shared" si="102"/>
        <v>1</v>
      </c>
      <c r="M177" s="81">
        <f>122+81+118+118+131+11+131+64</f>
        <v>776</v>
      </c>
      <c r="N177" s="8">
        <v>153</v>
      </c>
      <c r="O177" s="8">
        <v>60</v>
      </c>
      <c r="P177" s="96">
        <f t="shared" si="91"/>
        <v>0.67625272331154684</v>
      </c>
      <c r="Q177" s="59">
        <f t="shared" si="92"/>
        <v>776</v>
      </c>
      <c r="R177" s="252">
        <f t="shared" si="80"/>
        <v>809</v>
      </c>
      <c r="S177" s="263">
        <v>10</v>
      </c>
      <c r="T177" s="263">
        <v>1</v>
      </c>
      <c r="U177" s="263">
        <v>0</v>
      </c>
      <c r="V177" s="263">
        <v>11</v>
      </c>
      <c r="W177" s="263">
        <v>0</v>
      </c>
      <c r="X177" s="263">
        <v>7</v>
      </c>
      <c r="Y177" s="263">
        <v>0</v>
      </c>
      <c r="Z177" s="263">
        <v>4</v>
      </c>
      <c r="AA177" s="263">
        <v>0</v>
      </c>
      <c r="AB177" s="263">
        <v>28</v>
      </c>
      <c r="AC177" s="263">
        <v>0</v>
      </c>
      <c r="AD177" s="263">
        <v>5</v>
      </c>
      <c r="AE177" s="263"/>
      <c r="AF177" s="263"/>
      <c r="AG177" s="263"/>
      <c r="AH177" s="263"/>
      <c r="AI177" s="263"/>
      <c r="AJ177" s="259"/>
      <c r="AK177" s="263">
        <f t="shared" si="93"/>
        <v>5</v>
      </c>
      <c r="AL177" s="265">
        <f t="shared" si="81"/>
        <v>13</v>
      </c>
      <c r="AM177" s="6">
        <f t="shared" si="94"/>
        <v>5</v>
      </c>
      <c r="AN177" s="255">
        <f t="shared" si="82"/>
        <v>0.95920889987639057</v>
      </c>
      <c r="AO177" s="256">
        <f t="shared" si="83"/>
        <v>0.64866763076608203</v>
      </c>
      <c r="AP177" s="257">
        <f t="shared" si="84"/>
        <v>6180.469715698393</v>
      </c>
      <c r="AQ177" s="263">
        <f t="shared" si="95"/>
        <v>14</v>
      </c>
      <c r="AR177" s="263">
        <f t="shared" si="96"/>
        <v>0</v>
      </c>
      <c r="AS177" s="263">
        <f t="shared" si="97"/>
        <v>0.5</v>
      </c>
      <c r="AT177" s="263">
        <f t="shared" si="98"/>
        <v>14.5</v>
      </c>
      <c r="AU177" s="263"/>
      <c r="AV177" s="263"/>
      <c r="AW177" s="263"/>
      <c r="AX177" s="263">
        <f t="shared" si="99"/>
        <v>14.5</v>
      </c>
      <c r="BA177" s="282">
        <f t="shared" si="85"/>
        <v>304.31372549019608</v>
      </c>
      <c r="BB177">
        <v>1</v>
      </c>
      <c r="BC177">
        <f t="shared" si="100"/>
        <v>304.31372549019608</v>
      </c>
      <c r="BD177">
        <f t="shared" si="86"/>
        <v>450</v>
      </c>
      <c r="BE177">
        <f t="shared" si="87"/>
        <v>450</v>
      </c>
      <c r="BF177" s="281">
        <f t="shared" si="101"/>
        <v>0.67625272331154684</v>
      </c>
      <c r="BG177" s="282" t="s">
        <v>2550</v>
      </c>
      <c r="BH177" s="283"/>
    </row>
    <row r="178" spans="1:60" x14ac:dyDescent="0.3">
      <c r="A178">
        <f t="shared" si="88"/>
        <v>176</v>
      </c>
      <c r="B178" s="241" t="s">
        <v>2499</v>
      </c>
      <c r="C178" s="294" t="s">
        <v>2511</v>
      </c>
      <c r="D178" s="14">
        <v>45747</v>
      </c>
      <c r="E178" s="7">
        <v>40</v>
      </c>
      <c r="F178" s="7">
        <v>120</v>
      </c>
      <c r="G178" s="66"/>
      <c r="H178" s="59"/>
      <c r="I178" s="59">
        <v>480</v>
      </c>
      <c r="J178" s="47">
        <f t="shared" si="103"/>
        <v>480</v>
      </c>
      <c r="K178" s="8">
        <f t="shared" si="104"/>
        <v>320</v>
      </c>
      <c r="L178" s="96">
        <f t="shared" si="102"/>
        <v>0.66666666666666663</v>
      </c>
      <c r="M178" s="81">
        <v>472</v>
      </c>
      <c r="N178" s="8">
        <v>153</v>
      </c>
      <c r="O178" s="8">
        <v>60</v>
      </c>
      <c r="P178" s="96">
        <f t="shared" si="91"/>
        <v>0.57843137254901955</v>
      </c>
      <c r="Q178" s="59">
        <f t="shared" si="92"/>
        <v>472</v>
      </c>
      <c r="R178" s="252">
        <f t="shared" si="80"/>
        <v>505</v>
      </c>
      <c r="S178" s="263">
        <v>5</v>
      </c>
      <c r="T178" s="263">
        <v>1</v>
      </c>
      <c r="U178" s="263">
        <v>0</v>
      </c>
      <c r="V178" s="263">
        <v>9</v>
      </c>
      <c r="W178" s="263">
        <v>2</v>
      </c>
      <c r="X178" s="263">
        <v>1</v>
      </c>
      <c r="Y178" s="263">
        <v>0</v>
      </c>
      <c r="Z178" s="263">
        <v>0</v>
      </c>
      <c r="AA178" s="263">
        <v>0</v>
      </c>
      <c r="AB178" s="263">
        <v>12</v>
      </c>
      <c r="AC178" s="263">
        <v>0</v>
      </c>
      <c r="AD178" s="263">
        <v>21</v>
      </c>
      <c r="AE178" s="263"/>
      <c r="AF178" s="263"/>
      <c r="AG178" s="263"/>
      <c r="AH178" s="263"/>
      <c r="AI178" s="263"/>
      <c r="AJ178" s="259"/>
      <c r="AK178" s="263">
        <f t="shared" si="93"/>
        <v>21</v>
      </c>
      <c r="AL178" s="265">
        <f t="shared" si="81"/>
        <v>14</v>
      </c>
      <c r="AM178" s="6">
        <f t="shared" si="94"/>
        <v>21</v>
      </c>
      <c r="AN178" s="255">
        <f t="shared" si="82"/>
        <v>0.93465346534653471</v>
      </c>
      <c r="AO178" s="256">
        <f t="shared" si="83"/>
        <v>0.36042192454539568</v>
      </c>
      <c r="AP178" s="257">
        <f t="shared" si="84"/>
        <v>41584.158415841586</v>
      </c>
      <c r="AQ178" s="263">
        <f t="shared" si="95"/>
        <v>6</v>
      </c>
      <c r="AR178" s="263">
        <f t="shared" si="96"/>
        <v>0</v>
      </c>
      <c r="AS178" s="263">
        <f t="shared" si="97"/>
        <v>2.1</v>
      </c>
      <c r="AT178" s="263">
        <f t="shared" si="98"/>
        <v>8.1</v>
      </c>
      <c r="AU178" s="263"/>
      <c r="AV178" s="263"/>
      <c r="AW178" s="263"/>
      <c r="AX178" s="263">
        <f t="shared" si="99"/>
        <v>8.1</v>
      </c>
      <c r="BA178" s="282">
        <f t="shared" si="85"/>
        <v>185.09803921568627</v>
      </c>
      <c r="BB178">
        <v>1</v>
      </c>
      <c r="BC178">
        <f t="shared" si="100"/>
        <v>185.09803921568627</v>
      </c>
      <c r="BD178">
        <f t="shared" si="86"/>
        <v>320</v>
      </c>
      <c r="BE178">
        <f t="shared" si="87"/>
        <v>480</v>
      </c>
      <c r="BF178" s="281">
        <f t="shared" si="101"/>
        <v>0.38562091503267976</v>
      </c>
      <c r="BG178" s="282" t="s">
        <v>2538</v>
      </c>
      <c r="BH178" s="283"/>
    </row>
    <row r="179" spans="1:60" x14ac:dyDescent="0.3">
      <c r="A179">
        <f t="shared" si="88"/>
        <v>177</v>
      </c>
      <c r="B179" s="241" t="s">
        <v>2499</v>
      </c>
      <c r="C179" s="294" t="s">
        <v>2512</v>
      </c>
      <c r="D179" s="14">
        <v>45747</v>
      </c>
      <c r="E179" s="7">
        <v>60</v>
      </c>
      <c r="F179" s="7">
        <v>120</v>
      </c>
      <c r="G179" s="66"/>
      <c r="H179" s="59"/>
      <c r="I179" s="59">
        <v>450</v>
      </c>
      <c r="J179" s="47">
        <f t="shared" si="103"/>
        <v>450</v>
      </c>
      <c r="K179" s="8">
        <f t="shared" si="104"/>
        <v>270</v>
      </c>
      <c r="L179" s="96">
        <f t="shared" si="102"/>
        <v>0.6</v>
      </c>
      <c r="M179" s="81">
        <f>44+27+99+109+66</f>
        <v>345</v>
      </c>
      <c r="N179" s="8">
        <v>153</v>
      </c>
      <c r="O179" s="8">
        <v>60</v>
      </c>
      <c r="P179" s="96">
        <f t="shared" si="91"/>
        <v>0.50108932461873634</v>
      </c>
      <c r="Q179" s="59">
        <f t="shared" si="92"/>
        <v>345</v>
      </c>
      <c r="R179" s="252">
        <f t="shared" si="80"/>
        <v>376</v>
      </c>
      <c r="S179" s="263">
        <v>8</v>
      </c>
      <c r="T179" s="263">
        <v>0</v>
      </c>
      <c r="U179" s="263">
        <v>0</v>
      </c>
      <c r="V179" s="263">
        <v>0</v>
      </c>
      <c r="W179" s="263">
        <v>0</v>
      </c>
      <c r="X179" s="263">
        <v>4</v>
      </c>
      <c r="Y179" s="263">
        <v>0</v>
      </c>
      <c r="Z179" s="263">
        <v>0</v>
      </c>
      <c r="AA179" s="263">
        <v>0</v>
      </c>
      <c r="AB179" s="263">
        <v>13</v>
      </c>
      <c r="AC179" s="263">
        <v>15</v>
      </c>
      <c r="AD179" s="263">
        <v>3</v>
      </c>
      <c r="AE179" s="263"/>
      <c r="AF179" s="263"/>
      <c r="AG179" s="263"/>
      <c r="AH179" s="263"/>
      <c r="AI179" s="263"/>
      <c r="AJ179" s="259"/>
      <c r="AK179" s="263">
        <f t="shared" si="93"/>
        <v>3</v>
      </c>
      <c r="AL179" s="265">
        <f t="shared" si="81"/>
        <v>14</v>
      </c>
      <c r="AM179" s="6">
        <f t="shared" si="94"/>
        <v>3</v>
      </c>
      <c r="AN179" s="255">
        <f t="shared" si="82"/>
        <v>0.91755319148936165</v>
      </c>
      <c r="AO179" s="256">
        <f t="shared" si="83"/>
        <v>0.27586566541510216</v>
      </c>
      <c r="AP179" s="257">
        <f t="shared" si="84"/>
        <v>7978.7234042553182</v>
      </c>
      <c r="AQ179" s="263">
        <f t="shared" si="95"/>
        <v>6.5</v>
      </c>
      <c r="AR179" s="263">
        <f t="shared" si="96"/>
        <v>3</v>
      </c>
      <c r="AS179" s="263">
        <f t="shared" si="97"/>
        <v>0.30000000000000004</v>
      </c>
      <c r="AT179" s="263">
        <f t="shared" si="98"/>
        <v>9.8000000000000007</v>
      </c>
      <c r="AU179" s="263"/>
      <c r="AV179" s="263"/>
      <c r="AW179" s="263"/>
      <c r="AX179" s="263">
        <f t="shared" si="99"/>
        <v>9.8000000000000007</v>
      </c>
      <c r="BA179" s="282">
        <f t="shared" si="85"/>
        <v>135.29411764705881</v>
      </c>
      <c r="BB179">
        <v>1</v>
      </c>
      <c r="BC179">
        <f t="shared" si="100"/>
        <v>135.29411764705881</v>
      </c>
      <c r="BD179">
        <f t="shared" si="86"/>
        <v>270</v>
      </c>
      <c r="BE179">
        <f t="shared" si="87"/>
        <v>450</v>
      </c>
      <c r="BF179" s="281">
        <f t="shared" si="101"/>
        <v>0.30065359477124182</v>
      </c>
      <c r="BG179" s="282" t="s">
        <v>2549</v>
      </c>
      <c r="BH179" s="283"/>
    </row>
    <row r="180" spans="1:60" x14ac:dyDescent="0.3">
      <c r="A180">
        <f t="shared" si="88"/>
        <v>178</v>
      </c>
      <c r="B180" s="241" t="s">
        <v>2499</v>
      </c>
      <c r="C180" s="294" t="s">
        <v>2513</v>
      </c>
      <c r="D180" s="14">
        <v>45747</v>
      </c>
      <c r="E180" s="7"/>
      <c r="F180" s="7">
        <v>60</v>
      </c>
      <c r="G180" s="66"/>
      <c r="H180" s="59"/>
      <c r="I180" s="59">
        <v>510</v>
      </c>
      <c r="J180" s="47">
        <f t="shared" si="103"/>
        <v>510</v>
      </c>
      <c r="K180" s="8">
        <f t="shared" si="104"/>
        <v>450</v>
      </c>
      <c r="L180" s="96">
        <f t="shared" si="102"/>
        <v>0.88235294117647056</v>
      </c>
      <c r="M180" s="81">
        <f>59+121+134+123+117+84+142+147+125</f>
        <v>1052</v>
      </c>
      <c r="N180" s="8">
        <v>153</v>
      </c>
      <c r="O180" s="8">
        <v>60</v>
      </c>
      <c r="P180" s="96">
        <f t="shared" si="91"/>
        <v>0.91677559912854034</v>
      </c>
      <c r="Q180" s="59">
        <f t="shared" si="92"/>
        <v>1052</v>
      </c>
      <c r="R180" s="252">
        <f t="shared" si="80"/>
        <v>1113</v>
      </c>
      <c r="S180" s="263">
        <v>3</v>
      </c>
      <c r="T180" s="263">
        <v>1</v>
      </c>
      <c r="U180" s="263">
        <v>0</v>
      </c>
      <c r="V180" s="263">
        <v>0</v>
      </c>
      <c r="W180" s="263">
        <v>2</v>
      </c>
      <c r="X180" s="263">
        <v>8</v>
      </c>
      <c r="Y180" s="263">
        <v>0</v>
      </c>
      <c r="Z180" s="263">
        <v>0</v>
      </c>
      <c r="AA180" s="263">
        <v>2</v>
      </c>
      <c r="AB180" s="263">
        <v>20</v>
      </c>
      <c r="AC180" s="263">
        <v>22</v>
      </c>
      <c r="AD180" s="263">
        <v>19</v>
      </c>
      <c r="AE180" s="263"/>
      <c r="AF180" s="263"/>
      <c r="AG180" s="263"/>
      <c r="AH180" s="263"/>
      <c r="AI180" s="263"/>
      <c r="AJ180" s="259"/>
      <c r="AK180" s="263">
        <f t="shared" si="93"/>
        <v>19</v>
      </c>
      <c r="AL180" s="265">
        <f t="shared" si="81"/>
        <v>14</v>
      </c>
      <c r="AM180" s="6">
        <f t="shared" si="94"/>
        <v>19</v>
      </c>
      <c r="AN180" s="255">
        <f t="shared" si="82"/>
        <v>0.94519317160826599</v>
      </c>
      <c r="AO180" s="256">
        <f t="shared" si="83"/>
        <v>0.76458532605297647</v>
      </c>
      <c r="AP180" s="257">
        <f t="shared" si="84"/>
        <v>17070.979335130276</v>
      </c>
      <c r="AQ180" s="263">
        <f t="shared" si="95"/>
        <v>10</v>
      </c>
      <c r="AR180" s="263">
        <f t="shared" si="96"/>
        <v>4.4000000000000004</v>
      </c>
      <c r="AS180" s="263">
        <f t="shared" si="97"/>
        <v>1.9000000000000001</v>
      </c>
      <c r="AT180" s="263">
        <f t="shared" si="98"/>
        <v>16.3</v>
      </c>
      <c r="AU180" s="263"/>
      <c r="AV180" s="263"/>
      <c r="AW180" s="263"/>
      <c r="AX180" s="263">
        <f t="shared" si="99"/>
        <v>16.3</v>
      </c>
      <c r="BA180" s="282">
        <f t="shared" si="85"/>
        <v>412.54901960784315</v>
      </c>
      <c r="BB180">
        <v>1</v>
      </c>
      <c r="BC180">
        <f t="shared" si="100"/>
        <v>412.54901960784315</v>
      </c>
      <c r="BD180">
        <f t="shared" si="86"/>
        <v>450</v>
      </c>
      <c r="BE180">
        <f t="shared" si="87"/>
        <v>510</v>
      </c>
      <c r="BF180" s="281">
        <f t="shared" si="101"/>
        <v>0.80891964628988855</v>
      </c>
      <c r="BG180" s="282" t="s">
        <v>2547</v>
      </c>
      <c r="BH180" s="283"/>
    </row>
    <row r="181" spans="1:60" x14ac:dyDescent="0.3">
      <c r="A181">
        <f t="shared" si="88"/>
        <v>179</v>
      </c>
      <c r="B181" s="241" t="s">
        <v>2499</v>
      </c>
      <c r="C181" s="294" t="s">
        <v>2511</v>
      </c>
      <c r="D181" s="14">
        <v>45748</v>
      </c>
      <c r="E181" s="7">
        <v>30</v>
      </c>
      <c r="F181" s="7"/>
      <c r="G181" s="66"/>
      <c r="H181" s="59"/>
      <c r="I181" s="59">
        <v>480</v>
      </c>
      <c r="J181" s="47">
        <f t="shared" si="103"/>
        <v>480</v>
      </c>
      <c r="K181" s="8">
        <f t="shared" si="104"/>
        <v>450</v>
      </c>
      <c r="L181" s="96">
        <f t="shared" si="102"/>
        <v>0.9375</v>
      </c>
      <c r="M181" s="81">
        <v>635</v>
      </c>
      <c r="N181" s="8">
        <v>153</v>
      </c>
      <c r="O181" s="8">
        <v>60</v>
      </c>
      <c r="P181" s="96">
        <f t="shared" si="91"/>
        <v>0.55337690631808278</v>
      </c>
      <c r="Q181" s="59">
        <f t="shared" si="92"/>
        <v>635</v>
      </c>
      <c r="R181" s="252">
        <f t="shared" si="80"/>
        <v>721</v>
      </c>
      <c r="S181" s="263">
        <v>1</v>
      </c>
      <c r="T181" s="263">
        <v>0</v>
      </c>
      <c r="U181" s="263">
        <v>0</v>
      </c>
      <c r="V181" s="263">
        <v>0</v>
      </c>
      <c r="W181" s="263">
        <v>2</v>
      </c>
      <c r="X181" s="263">
        <v>1</v>
      </c>
      <c r="Y181" s="263">
        <v>0</v>
      </c>
      <c r="Z181" s="263">
        <v>0</v>
      </c>
      <c r="AA181" s="263">
        <v>0</v>
      </c>
      <c r="AB181" s="263">
        <v>82</v>
      </c>
      <c r="AC181" s="263">
        <v>4</v>
      </c>
      <c r="AD181" s="263">
        <v>0</v>
      </c>
      <c r="AE181" s="263"/>
      <c r="AF181" s="263"/>
      <c r="AG181" s="263"/>
      <c r="AH181" s="263"/>
      <c r="AI181" s="263"/>
      <c r="AJ181" s="259"/>
      <c r="AK181" s="263">
        <f t="shared" si="93"/>
        <v>0</v>
      </c>
      <c r="AL181" s="265">
        <f t="shared" si="81"/>
        <v>14</v>
      </c>
      <c r="AM181" s="6">
        <f t="shared" si="94"/>
        <v>0</v>
      </c>
      <c r="AN181" s="255">
        <f t="shared" si="82"/>
        <v>0.88072122052704582</v>
      </c>
      <c r="AO181" s="256">
        <f t="shared" si="83"/>
        <v>0.45691011032244611</v>
      </c>
      <c r="AP181" s="257">
        <f t="shared" si="84"/>
        <v>0</v>
      </c>
      <c r="AQ181" s="263">
        <f t="shared" si="95"/>
        <v>41</v>
      </c>
      <c r="AR181" s="263">
        <f t="shared" si="96"/>
        <v>0.8</v>
      </c>
      <c r="AS181" s="263">
        <f t="shared" si="97"/>
        <v>0</v>
      </c>
      <c r="AT181" s="263">
        <f t="shared" si="98"/>
        <v>41.8</v>
      </c>
      <c r="AU181" s="263"/>
      <c r="AV181" s="263"/>
      <c r="AW181" s="263"/>
      <c r="AX181" s="263">
        <f t="shared" si="99"/>
        <v>41.8</v>
      </c>
      <c r="BA181" s="282">
        <f t="shared" si="85"/>
        <v>249.01960784313727</v>
      </c>
      <c r="BB181">
        <v>1</v>
      </c>
      <c r="BC181">
        <f t="shared" si="100"/>
        <v>249.01960784313727</v>
      </c>
      <c r="BD181">
        <f t="shared" si="86"/>
        <v>450</v>
      </c>
      <c r="BE181">
        <f t="shared" si="87"/>
        <v>480</v>
      </c>
      <c r="BF181" s="281">
        <f t="shared" si="101"/>
        <v>0.51879084967320266</v>
      </c>
      <c r="BG181" s="282" t="s">
        <v>2538</v>
      </c>
      <c r="BH181" s="283"/>
    </row>
    <row r="182" spans="1:60" x14ac:dyDescent="0.3">
      <c r="A182">
        <f t="shared" si="88"/>
        <v>180</v>
      </c>
      <c r="B182" s="241" t="s">
        <v>2499</v>
      </c>
      <c r="C182" s="294" t="s">
        <v>2512</v>
      </c>
      <c r="D182" s="14">
        <v>45748</v>
      </c>
      <c r="E182" s="7"/>
      <c r="F182" s="7"/>
      <c r="G182" s="66"/>
      <c r="H182" s="59"/>
      <c r="I182" s="59">
        <v>450</v>
      </c>
      <c r="J182" s="47">
        <f t="shared" si="103"/>
        <v>450</v>
      </c>
      <c r="K182" s="8">
        <f t="shared" si="104"/>
        <v>450</v>
      </c>
      <c r="L182" s="96">
        <f t="shared" si="102"/>
        <v>1</v>
      </c>
      <c r="M182" s="81">
        <f>77+105+127+99+109+103+114+72</f>
        <v>806</v>
      </c>
      <c r="N182" s="8">
        <v>153</v>
      </c>
      <c r="O182" s="8">
        <v>60</v>
      </c>
      <c r="P182" s="96">
        <f t="shared" si="91"/>
        <v>0.70239651416122006</v>
      </c>
      <c r="Q182" s="59">
        <f t="shared" si="92"/>
        <v>806</v>
      </c>
      <c r="R182" s="252">
        <f t="shared" si="80"/>
        <v>875</v>
      </c>
      <c r="S182" s="263">
        <v>7</v>
      </c>
      <c r="T182" s="263">
        <v>1</v>
      </c>
      <c r="U182" s="263">
        <v>1</v>
      </c>
      <c r="V182" s="263">
        <v>0</v>
      </c>
      <c r="W182" s="263">
        <v>0</v>
      </c>
      <c r="X182" s="263">
        <v>9</v>
      </c>
      <c r="Y182" s="263">
        <v>0</v>
      </c>
      <c r="Z182" s="263">
        <v>0</v>
      </c>
      <c r="AA182" s="263">
        <v>1</v>
      </c>
      <c r="AB182" s="263">
        <v>64</v>
      </c>
      <c r="AC182" s="263">
        <v>4</v>
      </c>
      <c r="AD182" s="263">
        <v>1</v>
      </c>
      <c r="AE182" s="263"/>
      <c r="AF182" s="263"/>
      <c r="AG182" s="263"/>
      <c r="AH182" s="263"/>
      <c r="AI182" s="263"/>
      <c r="AJ182" s="259"/>
      <c r="AK182" s="263">
        <f t="shared" si="93"/>
        <v>1</v>
      </c>
      <c r="AL182" s="265">
        <f t="shared" si="81"/>
        <v>14</v>
      </c>
      <c r="AM182" s="6">
        <f t="shared" si="94"/>
        <v>1</v>
      </c>
      <c r="AN182" s="255">
        <f t="shared" si="82"/>
        <v>0.92114285714285715</v>
      </c>
      <c r="AO182" s="256">
        <f t="shared" si="83"/>
        <v>0.64700753190164961</v>
      </c>
      <c r="AP182" s="257">
        <f t="shared" si="84"/>
        <v>1142.8571428571429</v>
      </c>
      <c r="AQ182" s="263">
        <f t="shared" si="95"/>
        <v>32</v>
      </c>
      <c r="AR182" s="263">
        <f t="shared" si="96"/>
        <v>0.8</v>
      </c>
      <c r="AS182" s="263">
        <f t="shared" si="97"/>
        <v>0.1</v>
      </c>
      <c r="AT182" s="263">
        <f t="shared" si="98"/>
        <v>32.9</v>
      </c>
      <c r="AU182" s="263"/>
      <c r="AV182" s="263"/>
      <c r="AW182" s="263"/>
      <c r="AX182" s="263">
        <f t="shared" si="99"/>
        <v>32.9</v>
      </c>
      <c r="BA182" s="282">
        <f t="shared" si="85"/>
        <v>316.07843137254901</v>
      </c>
      <c r="BB182">
        <v>1</v>
      </c>
      <c r="BC182">
        <f t="shared" si="100"/>
        <v>316.07843137254901</v>
      </c>
      <c r="BD182">
        <f t="shared" si="86"/>
        <v>450</v>
      </c>
      <c r="BE182">
        <f t="shared" si="87"/>
        <v>450</v>
      </c>
      <c r="BF182" s="281">
        <f t="shared" si="101"/>
        <v>0.70239651416122006</v>
      </c>
      <c r="BG182" s="282" t="s">
        <v>2549</v>
      </c>
      <c r="BH182" s="283"/>
    </row>
    <row r="183" spans="1:60" x14ac:dyDescent="0.3">
      <c r="A183">
        <f t="shared" si="88"/>
        <v>181</v>
      </c>
      <c r="B183" s="241" t="s">
        <v>2499</v>
      </c>
      <c r="C183" s="294" t="s">
        <v>2513</v>
      </c>
      <c r="D183" s="14">
        <v>45748</v>
      </c>
      <c r="E183" s="7"/>
      <c r="F183" s="7"/>
      <c r="G183" s="66"/>
      <c r="H183" s="59"/>
      <c r="I183" s="59">
        <v>510</v>
      </c>
      <c r="J183" s="47">
        <f t="shared" si="103"/>
        <v>510</v>
      </c>
      <c r="K183" s="8">
        <f t="shared" si="104"/>
        <v>510</v>
      </c>
      <c r="L183" s="96">
        <f t="shared" si="102"/>
        <v>1</v>
      </c>
      <c r="M183" s="81">
        <v>905</v>
      </c>
      <c r="N183" s="8">
        <v>153</v>
      </c>
      <c r="O183" s="8">
        <v>60</v>
      </c>
      <c r="P183" s="96">
        <f t="shared" si="91"/>
        <v>0.69588619761630144</v>
      </c>
      <c r="Q183" s="59">
        <f t="shared" si="92"/>
        <v>905</v>
      </c>
      <c r="R183" s="252">
        <f t="shared" si="80"/>
        <v>979</v>
      </c>
      <c r="S183" s="263">
        <v>5</v>
      </c>
      <c r="T183" s="263">
        <v>1</v>
      </c>
      <c r="U183" s="263">
        <v>0</v>
      </c>
      <c r="V183" s="263">
        <v>0</v>
      </c>
      <c r="W183" s="263">
        <v>0</v>
      </c>
      <c r="X183" s="263">
        <v>4</v>
      </c>
      <c r="Y183" s="263">
        <v>0</v>
      </c>
      <c r="Z183" s="263">
        <v>1</v>
      </c>
      <c r="AA183" s="263">
        <v>2</v>
      </c>
      <c r="AB183" s="263">
        <v>72</v>
      </c>
      <c r="AC183" s="263">
        <v>1</v>
      </c>
      <c r="AD183" s="263">
        <v>1</v>
      </c>
      <c r="AE183" s="263"/>
      <c r="AF183" s="263"/>
      <c r="AG183" s="263"/>
      <c r="AH183" s="263"/>
      <c r="AI183" s="263"/>
      <c r="AJ183" s="259"/>
      <c r="AK183" s="263">
        <f t="shared" si="93"/>
        <v>1</v>
      </c>
      <c r="AL183" s="265">
        <f t="shared" si="81"/>
        <v>14</v>
      </c>
      <c r="AM183" s="6">
        <f t="shared" si="94"/>
        <v>1</v>
      </c>
      <c r="AN183" s="255">
        <f t="shared" si="82"/>
        <v>0.92441266598569971</v>
      </c>
      <c r="AO183" s="256">
        <f t="shared" si="83"/>
        <v>0.6432860151611367</v>
      </c>
      <c r="AP183" s="257">
        <f t="shared" si="84"/>
        <v>1021.4504596527069</v>
      </c>
      <c r="AQ183" s="263">
        <f t="shared" si="95"/>
        <v>36</v>
      </c>
      <c r="AR183" s="263">
        <f t="shared" si="96"/>
        <v>0.2</v>
      </c>
      <c r="AS183" s="263">
        <f t="shared" si="97"/>
        <v>0.1</v>
      </c>
      <c r="AT183" s="263">
        <f t="shared" si="98"/>
        <v>36.300000000000004</v>
      </c>
      <c r="AU183" s="263"/>
      <c r="AV183" s="263"/>
      <c r="AW183" s="263"/>
      <c r="AX183" s="263">
        <f t="shared" si="99"/>
        <v>36.300000000000004</v>
      </c>
      <c r="BA183" s="282">
        <f t="shared" si="85"/>
        <v>354.90196078431376</v>
      </c>
      <c r="BB183">
        <v>1</v>
      </c>
      <c r="BC183">
        <f t="shared" si="100"/>
        <v>354.90196078431376</v>
      </c>
      <c r="BD183">
        <f t="shared" si="86"/>
        <v>510</v>
      </c>
      <c r="BE183">
        <f t="shared" si="87"/>
        <v>510</v>
      </c>
      <c r="BF183" s="281">
        <f t="shared" si="101"/>
        <v>0.69588619761630144</v>
      </c>
      <c r="BG183" s="282" t="s">
        <v>2547</v>
      </c>
      <c r="BH183" s="283"/>
    </row>
    <row r="184" spans="1:60" x14ac:dyDescent="0.3">
      <c r="A184">
        <f t="shared" si="88"/>
        <v>182</v>
      </c>
      <c r="B184" s="241" t="s">
        <v>2499</v>
      </c>
      <c r="C184" s="294" t="s">
        <v>2511</v>
      </c>
      <c r="D184" s="14">
        <v>45749</v>
      </c>
      <c r="E184" s="7">
        <v>40</v>
      </c>
      <c r="F184" s="7">
        <v>20</v>
      </c>
      <c r="G184" s="66"/>
      <c r="H184" s="59"/>
      <c r="I184" s="59">
        <v>480</v>
      </c>
      <c r="J184" s="47">
        <f t="shared" si="103"/>
        <v>480</v>
      </c>
      <c r="K184" s="8">
        <f t="shared" si="104"/>
        <v>420</v>
      </c>
      <c r="L184" s="96">
        <f t="shared" si="102"/>
        <v>0.875</v>
      </c>
      <c r="M184" s="81">
        <f>80+118+84+92+10</f>
        <v>384</v>
      </c>
      <c r="N184" s="8">
        <v>153</v>
      </c>
      <c r="O184" s="8">
        <v>60</v>
      </c>
      <c r="P184" s="96">
        <f t="shared" si="91"/>
        <v>0.35854341736694678</v>
      </c>
      <c r="Q184" s="59">
        <f t="shared" si="92"/>
        <v>384</v>
      </c>
      <c r="R184" s="252">
        <f t="shared" si="80"/>
        <v>429</v>
      </c>
      <c r="S184" s="263">
        <v>12</v>
      </c>
      <c r="T184" s="263">
        <v>1</v>
      </c>
      <c r="U184" s="263">
        <v>0</v>
      </c>
      <c r="V184" s="263">
        <v>0</v>
      </c>
      <c r="W184" s="263">
        <v>0</v>
      </c>
      <c r="X184" s="263">
        <v>3</v>
      </c>
      <c r="Y184" s="263">
        <v>0</v>
      </c>
      <c r="Z184" s="263">
        <v>0</v>
      </c>
      <c r="AA184" s="263">
        <v>5</v>
      </c>
      <c r="AB184" s="263">
        <v>44</v>
      </c>
      <c r="AC184" s="263">
        <v>1</v>
      </c>
      <c r="AD184" s="263">
        <v>0</v>
      </c>
      <c r="AE184" s="263"/>
      <c r="AF184" s="263"/>
      <c r="AG184" s="263"/>
      <c r="AH184" s="263"/>
      <c r="AI184" s="263"/>
      <c r="AJ184" s="259"/>
      <c r="AK184" s="263">
        <f t="shared" si="93"/>
        <v>0</v>
      </c>
      <c r="AL184" s="265">
        <f t="shared" si="81"/>
        <v>14</v>
      </c>
      <c r="AM184" s="6">
        <f t="shared" si="94"/>
        <v>0</v>
      </c>
      <c r="AN184" s="255">
        <f t="shared" si="82"/>
        <v>0.8951048951048951</v>
      </c>
      <c r="AO184" s="256">
        <f t="shared" si="83"/>
        <v>0.28081722199369258</v>
      </c>
      <c r="AP184" s="257">
        <f t="shared" si="84"/>
        <v>0</v>
      </c>
      <c r="AQ184" s="263">
        <f t="shared" si="95"/>
        <v>22</v>
      </c>
      <c r="AR184" s="263">
        <f t="shared" si="96"/>
        <v>0.2</v>
      </c>
      <c r="AS184" s="263">
        <f t="shared" si="97"/>
        <v>0</v>
      </c>
      <c r="AT184" s="263">
        <f t="shared" si="98"/>
        <v>22.2</v>
      </c>
      <c r="AU184" s="263"/>
      <c r="AV184" s="263"/>
      <c r="AW184" s="263"/>
      <c r="AX184" s="263">
        <f t="shared" si="99"/>
        <v>22.2</v>
      </c>
      <c r="BA184" s="282">
        <f t="shared" si="85"/>
        <v>150.58823529411765</v>
      </c>
      <c r="BB184">
        <v>1</v>
      </c>
      <c r="BC184">
        <f t="shared" si="100"/>
        <v>150.58823529411765</v>
      </c>
      <c r="BD184">
        <f t="shared" si="86"/>
        <v>420</v>
      </c>
      <c r="BE184">
        <f t="shared" si="87"/>
        <v>480</v>
      </c>
      <c r="BF184" s="281">
        <f t="shared" si="101"/>
        <v>0.31372549019607843</v>
      </c>
      <c r="BG184" s="282" t="s">
        <v>2538</v>
      </c>
      <c r="BH184" s="283"/>
    </row>
    <row r="185" spans="1:60" x14ac:dyDescent="0.3">
      <c r="A185">
        <f t="shared" si="88"/>
        <v>183</v>
      </c>
      <c r="B185" s="325" t="s">
        <v>2553</v>
      </c>
      <c r="C185" s="326" t="s">
        <v>2512</v>
      </c>
      <c r="D185" s="14">
        <v>45749</v>
      </c>
      <c r="E185" s="7"/>
      <c r="F185" s="7"/>
      <c r="G185" s="66"/>
      <c r="H185" s="59"/>
      <c r="I185" s="59">
        <v>450</v>
      </c>
      <c r="J185" s="47">
        <f t="shared" si="103"/>
        <v>450</v>
      </c>
      <c r="K185" s="8">
        <f t="shared" si="104"/>
        <v>450</v>
      </c>
      <c r="L185" s="96">
        <f t="shared" si="102"/>
        <v>1</v>
      </c>
      <c r="M185" s="81">
        <v>74</v>
      </c>
      <c r="N185" s="8">
        <v>153</v>
      </c>
      <c r="O185" s="8">
        <v>60</v>
      </c>
      <c r="P185" s="96">
        <f t="shared" si="91"/>
        <v>6.4488017429193897E-2</v>
      </c>
      <c r="Q185" s="59">
        <f t="shared" si="92"/>
        <v>74</v>
      </c>
      <c r="R185" s="252">
        <f t="shared" si="80"/>
        <v>74</v>
      </c>
      <c r="S185" s="263"/>
      <c r="T185" s="263"/>
      <c r="U185" s="263"/>
      <c r="V185" s="263"/>
      <c r="W185" s="263"/>
      <c r="X185" s="263"/>
      <c r="Y185" s="263"/>
      <c r="Z185" s="263"/>
      <c r="AA185" s="263"/>
      <c r="AB185" s="263"/>
      <c r="AC185" s="263"/>
      <c r="AD185" s="263"/>
      <c r="AE185" s="263"/>
      <c r="AF185" s="263"/>
      <c r="AG185" s="263"/>
      <c r="AH185" s="263"/>
      <c r="AI185" s="263"/>
      <c r="AJ185" s="259"/>
      <c r="AK185" s="263">
        <f t="shared" si="93"/>
        <v>0</v>
      </c>
      <c r="AL185" s="265">
        <f t="shared" si="81"/>
        <v>14</v>
      </c>
      <c r="AM185" s="6">
        <f t="shared" si="94"/>
        <v>0</v>
      </c>
      <c r="AN185" s="255">
        <f t="shared" si="82"/>
        <v>1</v>
      </c>
      <c r="AO185" s="256">
        <f t="shared" si="83"/>
        <v>6.4488017429193897E-2</v>
      </c>
      <c r="AP185" s="257">
        <f t="shared" si="84"/>
        <v>0</v>
      </c>
      <c r="AQ185" s="263">
        <f t="shared" si="95"/>
        <v>0</v>
      </c>
      <c r="AR185" s="263">
        <f t="shared" si="96"/>
        <v>0</v>
      </c>
      <c r="AS185" s="263">
        <f t="shared" si="97"/>
        <v>0</v>
      </c>
      <c r="AT185" s="263">
        <f t="shared" si="98"/>
        <v>0</v>
      </c>
      <c r="AU185" s="263"/>
      <c r="AV185" s="263"/>
      <c r="AW185" s="263"/>
      <c r="AX185" s="263">
        <f t="shared" si="99"/>
        <v>0</v>
      </c>
      <c r="BA185" s="282">
        <f t="shared" si="85"/>
        <v>29.019607843137255</v>
      </c>
      <c r="BB185">
        <v>1</v>
      </c>
      <c r="BC185">
        <f t="shared" si="100"/>
        <v>29.019607843137255</v>
      </c>
      <c r="BD185">
        <f t="shared" si="86"/>
        <v>450</v>
      </c>
      <c r="BE185">
        <f t="shared" si="87"/>
        <v>450</v>
      </c>
      <c r="BF185" s="281">
        <f t="shared" si="101"/>
        <v>6.4488017429193897E-2</v>
      </c>
      <c r="BG185" s="282" t="s">
        <v>2549</v>
      </c>
      <c r="BH185" s="283"/>
    </row>
    <row r="186" spans="1:60" x14ac:dyDescent="0.3">
      <c r="A186">
        <f t="shared" si="88"/>
        <v>184</v>
      </c>
      <c r="B186" s="325" t="s">
        <v>2553</v>
      </c>
      <c r="C186" s="326" t="s">
        <v>2513</v>
      </c>
      <c r="D186" s="14">
        <v>45749</v>
      </c>
      <c r="E186" s="7"/>
      <c r="F186" s="7"/>
      <c r="G186" s="66"/>
      <c r="H186" s="59"/>
      <c r="I186" s="59">
        <v>510</v>
      </c>
      <c r="J186" s="47">
        <f t="shared" si="103"/>
        <v>510</v>
      </c>
      <c r="K186" s="8">
        <f t="shared" si="104"/>
        <v>510</v>
      </c>
      <c r="L186" s="96">
        <f t="shared" si="102"/>
        <v>1</v>
      </c>
      <c r="M186" s="81">
        <f>835</f>
        <v>835</v>
      </c>
      <c r="N186" s="8">
        <v>153</v>
      </c>
      <c r="O186" s="8">
        <v>60</v>
      </c>
      <c r="P186" s="96">
        <f t="shared" si="91"/>
        <v>0.64206074586697426</v>
      </c>
      <c r="Q186" s="59">
        <f t="shared" si="92"/>
        <v>835</v>
      </c>
      <c r="R186" s="252">
        <f t="shared" si="80"/>
        <v>1502</v>
      </c>
      <c r="S186" s="263"/>
      <c r="T186" s="263"/>
      <c r="U186" s="263"/>
      <c r="V186" s="263"/>
      <c r="W186" s="263"/>
      <c r="X186" s="263"/>
      <c r="Y186" s="263"/>
      <c r="Z186" s="322">
        <v>168</v>
      </c>
      <c r="AA186" s="322"/>
      <c r="AB186" s="322">
        <v>537</v>
      </c>
      <c r="AC186" s="322"/>
      <c r="AD186" s="322">
        <v>130</v>
      </c>
      <c r="AE186" s="263"/>
      <c r="AF186" s="263"/>
      <c r="AG186" s="263"/>
      <c r="AH186" s="263"/>
      <c r="AI186" s="263"/>
      <c r="AJ186" s="259"/>
      <c r="AK186" s="263">
        <f t="shared" si="93"/>
        <v>130</v>
      </c>
      <c r="AL186" s="265">
        <f t="shared" si="81"/>
        <v>14</v>
      </c>
      <c r="AM186" s="6">
        <f t="shared" si="94"/>
        <v>130</v>
      </c>
      <c r="AN186" s="255">
        <f t="shared" si="82"/>
        <v>0.55592543275632489</v>
      </c>
      <c r="AO186" s="256">
        <f t="shared" si="83"/>
        <v>0.35693789800194642</v>
      </c>
      <c r="AP186" s="257">
        <f t="shared" si="84"/>
        <v>86551.264980026637</v>
      </c>
      <c r="AQ186" s="263">
        <f t="shared" si="95"/>
        <v>268.5</v>
      </c>
      <c r="AR186" s="263">
        <f t="shared" si="96"/>
        <v>0</v>
      </c>
      <c r="AS186" s="263">
        <f t="shared" si="97"/>
        <v>13</v>
      </c>
      <c r="AT186" s="263">
        <f t="shared" si="98"/>
        <v>281.5</v>
      </c>
      <c r="AU186" s="263"/>
      <c r="AV186" s="263"/>
      <c r="AW186" s="263"/>
      <c r="AX186" s="263">
        <f t="shared" si="99"/>
        <v>281.5</v>
      </c>
      <c r="BA186" s="282">
        <f t="shared" si="85"/>
        <v>327.45098039215685</v>
      </c>
      <c r="BB186">
        <v>1</v>
      </c>
      <c r="BC186">
        <f t="shared" si="100"/>
        <v>327.45098039215685</v>
      </c>
      <c r="BD186">
        <f t="shared" si="86"/>
        <v>510</v>
      </c>
      <c r="BE186">
        <f t="shared" si="87"/>
        <v>510</v>
      </c>
      <c r="BF186" s="281">
        <f t="shared" si="101"/>
        <v>0.64206074586697426</v>
      </c>
      <c r="BG186" s="282" t="s">
        <v>2547</v>
      </c>
      <c r="BH186" s="283"/>
    </row>
    <row r="187" spans="1:60" x14ac:dyDescent="0.3">
      <c r="A187">
        <f t="shared" si="88"/>
        <v>185</v>
      </c>
      <c r="B187" s="241" t="s">
        <v>2552</v>
      </c>
      <c r="C187" s="294" t="s">
        <v>2511</v>
      </c>
      <c r="D187" s="14">
        <v>45750</v>
      </c>
      <c r="E187" s="7">
        <v>480</v>
      </c>
      <c r="F187" s="7"/>
      <c r="G187" s="66"/>
      <c r="H187" s="59"/>
      <c r="I187" s="59">
        <v>480</v>
      </c>
      <c r="J187" s="47">
        <f t="shared" si="103"/>
        <v>480</v>
      </c>
      <c r="K187" s="8">
        <f t="shared" si="104"/>
        <v>0</v>
      </c>
      <c r="L187" s="96">
        <f t="shared" si="102"/>
        <v>0</v>
      </c>
      <c r="M187" s="81">
        <v>0</v>
      </c>
      <c r="N187" s="8">
        <v>153</v>
      </c>
      <c r="O187" s="8">
        <v>60</v>
      </c>
      <c r="P187" s="96" t="str">
        <f t="shared" si="91"/>
        <v/>
      </c>
      <c r="Q187" s="59">
        <f t="shared" si="92"/>
        <v>0</v>
      </c>
      <c r="R187" s="252">
        <f t="shared" si="80"/>
        <v>0</v>
      </c>
      <c r="S187" s="263"/>
      <c r="T187" s="263"/>
      <c r="U187" s="263"/>
      <c r="V187" s="263"/>
      <c r="W187" s="263"/>
      <c r="X187" s="263"/>
      <c r="Y187" s="263"/>
      <c r="Z187" s="263"/>
      <c r="AA187" s="263"/>
      <c r="AB187" s="263"/>
      <c r="AC187" s="263"/>
      <c r="AD187" s="263"/>
      <c r="AE187" s="263"/>
      <c r="AF187" s="263"/>
      <c r="AG187" s="263"/>
      <c r="AH187" s="263"/>
      <c r="AI187" s="263"/>
      <c r="AJ187" s="259"/>
      <c r="AK187" s="263">
        <f t="shared" si="93"/>
        <v>0</v>
      </c>
      <c r="AL187" s="265">
        <f t="shared" si="81"/>
        <v>14</v>
      </c>
      <c r="AM187" s="6">
        <f t="shared" si="94"/>
        <v>0</v>
      </c>
      <c r="AN187" s="255" t="str">
        <f t="shared" si="82"/>
        <v/>
      </c>
      <c r="AO187" s="256" t="str">
        <f t="shared" si="83"/>
        <v/>
      </c>
      <c r="AP187" s="257" t="str">
        <f t="shared" si="84"/>
        <v/>
      </c>
      <c r="AQ187" s="263">
        <f t="shared" si="95"/>
        <v>0</v>
      </c>
      <c r="AR187" s="263">
        <f t="shared" si="96"/>
        <v>0</v>
      </c>
      <c r="AS187" s="263">
        <f t="shared" si="97"/>
        <v>0</v>
      </c>
      <c r="AT187" s="263">
        <f t="shared" si="98"/>
        <v>0</v>
      </c>
      <c r="AU187" s="263"/>
      <c r="AV187" s="263"/>
      <c r="AW187" s="263"/>
      <c r="AX187" s="263">
        <f t="shared" si="99"/>
        <v>0</v>
      </c>
      <c r="BA187" s="282">
        <f t="shared" si="85"/>
        <v>0</v>
      </c>
      <c r="BB187">
        <v>1</v>
      </c>
      <c r="BC187">
        <f t="shared" si="100"/>
        <v>0</v>
      </c>
      <c r="BD187">
        <f t="shared" si="86"/>
        <v>0</v>
      </c>
      <c r="BE187">
        <f t="shared" si="87"/>
        <v>480</v>
      </c>
      <c r="BF187" s="281">
        <f t="shared" si="101"/>
        <v>0</v>
      </c>
      <c r="BG187" s="282" t="s">
        <v>2538</v>
      </c>
      <c r="BH187" s="283"/>
    </row>
    <row r="188" spans="1:60" x14ac:dyDescent="0.3">
      <c r="A188">
        <f t="shared" si="88"/>
        <v>186</v>
      </c>
      <c r="B188" s="241" t="s">
        <v>2494</v>
      </c>
      <c r="C188" s="294" t="s">
        <v>2512</v>
      </c>
      <c r="D188" s="14">
        <v>45750</v>
      </c>
      <c r="E188" s="7"/>
      <c r="F188" s="7"/>
      <c r="G188" s="66"/>
      <c r="H188" s="59"/>
      <c r="I188" s="59">
        <v>450</v>
      </c>
      <c r="J188" s="47">
        <f t="shared" si="103"/>
        <v>450</v>
      </c>
      <c r="K188" s="8">
        <f t="shared" si="104"/>
        <v>450</v>
      </c>
      <c r="L188" s="96">
        <f t="shared" si="102"/>
        <v>1</v>
      </c>
      <c r="M188" s="81">
        <v>516</v>
      </c>
      <c r="N188" s="8">
        <v>153</v>
      </c>
      <c r="O188" s="8">
        <v>60</v>
      </c>
      <c r="P188" s="96">
        <f t="shared" si="91"/>
        <v>0.44967320261437904</v>
      </c>
      <c r="Q188" s="59">
        <f t="shared" si="92"/>
        <v>516</v>
      </c>
      <c r="R188" s="252">
        <f t="shared" si="80"/>
        <v>554</v>
      </c>
      <c r="S188" s="263">
        <v>25</v>
      </c>
      <c r="T188" s="263">
        <v>3</v>
      </c>
      <c r="U188" s="263">
        <v>0</v>
      </c>
      <c r="V188" s="263">
        <v>0</v>
      </c>
      <c r="W188" s="263">
        <v>0</v>
      </c>
      <c r="X188" s="263">
        <v>3</v>
      </c>
      <c r="Y188" s="263">
        <v>0</v>
      </c>
      <c r="Z188" s="263">
        <v>1</v>
      </c>
      <c r="AA188" s="263">
        <v>0</v>
      </c>
      <c r="AB188" s="263">
        <v>5</v>
      </c>
      <c r="AC188" s="263">
        <v>5</v>
      </c>
      <c r="AD188" s="263">
        <v>28</v>
      </c>
      <c r="AE188" s="263"/>
      <c r="AF188" s="263"/>
      <c r="AG188" s="263"/>
      <c r="AH188" s="263"/>
      <c r="AI188" s="263"/>
      <c r="AJ188" s="259"/>
      <c r="AK188" s="263">
        <f t="shared" si="93"/>
        <v>28</v>
      </c>
      <c r="AL188" s="265">
        <f t="shared" si="81"/>
        <v>14</v>
      </c>
      <c r="AM188" s="6">
        <f t="shared" si="94"/>
        <v>28</v>
      </c>
      <c r="AN188" s="255">
        <f t="shared" si="82"/>
        <v>0.93140794223826717</v>
      </c>
      <c r="AO188" s="256">
        <f t="shared" si="83"/>
        <v>0.41882919232675014</v>
      </c>
      <c r="AP188" s="257">
        <f t="shared" si="84"/>
        <v>50541.516245487364</v>
      </c>
      <c r="AQ188" s="263">
        <f t="shared" si="95"/>
        <v>2.5</v>
      </c>
      <c r="AR188" s="263">
        <f t="shared" si="96"/>
        <v>1</v>
      </c>
      <c r="AS188" s="263">
        <f t="shared" si="97"/>
        <v>2.8000000000000003</v>
      </c>
      <c r="AT188" s="263">
        <f t="shared" si="98"/>
        <v>6.3000000000000007</v>
      </c>
      <c r="AU188" s="263"/>
      <c r="AV188" s="263"/>
      <c r="AW188" s="263"/>
      <c r="AX188" s="263">
        <f t="shared" si="99"/>
        <v>6.3000000000000007</v>
      </c>
      <c r="BA188" s="282">
        <f t="shared" si="85"/>
        <v>202.35294117647058</v>
      </c>
      <c r="BB188">
        <v>1</v>
      </c>
      <c r="BC188">
        <f t="shared" si="100"/>
        <v>202.35294117647058</v>
      </c>
      <c r="BD188">
        <f t="shared" si="86"/>
        <v>450</v>
      </c>
      <c r="BE188">
        <f t="shared" si="87"/>
        <v>450</v>
      </c>
      <c r="BF188" s="281">
        <f t="shared" si="101"/>
        <v>0.44967320261437904</v>
      </c>
      <c r="BG188" s="282" t="s">
        <v>2549</v>
      </c>
      <c r="BH188" s="283"/>
    </row>
    <row r="189" spans="1:60" x14ac:dyDescent="0.3">
      <c r="A189">
        <f t="shared" si="88"/>
        <v>187</v>
      </c>
      <c r="B189" s="241" t="s">
        <v>2494</v>
      </c>
      <c r="C189" s="294" t="s">
        <v>2513</v>
      </c>
      <c r="D189" s="14">
        <v>45750</v>
      </c>
      <c r="E189" s="7"/>
      <c r="F189" s="7"/>
      <c r="G189" s="66"/>
      <c r="H189" s="59"/>
      <c r="I189" s="59">
        <v>510</v>
      </c>
      <c r="J189" s="47">
        <f t="shared" si="103"/>
        <v>510</v>
      </c>
      <c r="K189" s="8">
        <f t="shared" si="104"/>
        <v>510</v>
      </c>
      <c r="L189" s="96">
        <f t="shared" si="102"/>
        <v>1</v>
      </c>
      <c r="M189" s="81">
        <v>740</v>
      </c>
      <c r="N189" s="8">
        <v>153</v>
      </c>
      <c r="O189" s="8">
        <v>60</v>
      </c>
      <c r="P189" s="96">
        <f t="shared" si="91"/>
        <v>0.56901191849288735</v>
      </c>
      <c r="Q189" s="59">
        <f t="shared" si="92"/>
        <v>740</v>
      </c>
      <c r="R189" s="252">
        <f t="shared" si="80"/>
        <v>817</v>
      </c>
      <c r="S189" s="263">
        <v>17</v>
      </c>
      <c r="T189" s="263">
        <v>1</v>
      </c>
      <c r="U189" s="263">
        <v>1</v>
      </c>
      <c r="V189" s="263">
        <v>0</v>
      </c>
      <c r="W189" s="263">
        <v>0</v>
      </c>
      <c r="X189" s="263">
        <v>3</v>
      </c>
      <c r="Y189" s="263">
        <v>0</v>
      </c>
      <c r="Z189" s="263">
        <v>0</v>
      </c>
      <c r="AA189" s="263">
        <v>0</v>
      </c>
      <c r="AB189" s="263">
        <v>15</v>
      </c>
      <c r="AC189" s="263">
        <v>22</v>
      </c>
      <c r="AD189" s="263">
        <v>40</v>
      </c>
      <c r="AE189" s="263"/>
      <c r="AF189" s="263"/>
      <c r="AG189" s="263"/>
      <c r="AH189" s="263"/>
      <c r="AI189" s="263"/>
      <c r="AJ189" s="259"/>
      <c r="AK189" s="263">
        <f t="shared" si="93"/>
        <v>40</v>
      </c>
      <c r="AL189" s="265">
        <f t="shared" si="81"/>
        <v>14</v>
      </c>
      <c r="AM189" s="6">
        <f t="shared" si="94"/>
        <v>40</v>
      </c>
      <c r="AN189" s="255">
        <f t="shared" si="82"/>
        <v>0.90575275397796817</v>
      </c>
      <c r="AO189" s="256">
        <f t="shared" si="83"/>
        <v>0.51538411222121983</v>
      </c>
      <c r="AP189" s="257">
        <f t="shared" si="84"/>
        <v>48959.60832313342</v>
      </c>
      <c r="AQ189" s="263">
        <f t="shared" si="95"/>
        <v>7.5</v>
      </c>
      <c r="AR189" s="263">
        <f t="shared" si="96"/>
        <v>4.4000000000000004</v>
      </c>
      <c r="AS189" s="263">
        <f t="shared" si="97"/>
        <v>4</v>
      </c>
      <c r="AT189" s="263">
        <f t="shared" si="98"/>
        <v>15.9</v>
      </c>
      <c r="AU189" s="263"/>
      <c r="AV189" s="263"/>
      <c r="AW189" s="263"/>
      <c r="AX189" s="263">
        <f t="shared" si="99"/>
        <v>15.9</v>
      </c>
      <c r="BA189" s="282">
        <f t="shared" si="85"/>
        <v>290.19607843137254</v>
      </c>
      <c r="BB189">
        <v>1</v>
      </c>
      <c r="BC189">
        <f t="shared" si="100"/>
        <v>290.19607843137254</v>
      </c>
      <c r="BD189">
        <f t="shared" si="86"/>
        <v>510</v>
      </c>
      <c r="BE189">
        <f t="shared" si="87"/>
        <v>510</v>
      </c>
      <c r="BF189" s="281">
        <f t="shared" si="101"/>
        <v>0.56901191849288735</v>
      </c>
      <c r="BG189" s="282" t="s">
        <v>2547</v>
      </c>
      <c r="BH189" s="283"/>
    </row>
    <row r="190" spans="1:60" x14ac:dyDescent="0.3">
      <c r="A190">
        <f t="shared" si="88"/>
        <v>188</v>
      </c>
      <c r="B190" s="241" t="s">
        <v>2555</v>
      </c>
      <c r="C190" s="294" t="s">
        <v>2511</v>
      </c>
      <c r="D190" s="14">
        <v>45751</v>
      </c>
      <c r="E190" s="7"/>
      <c r="F190" s="7"/>
      <c r="G190" s="66"/>
      <c r="H190" s="59"/>
      <c r="I190" s="59">
        <v>480</v>
      </c>
      <c r="J190" s="47">
        <f t="shared" si="103"/>
        <v>480</v>
      </c>
      <c r="K190" s="8">
        <f t="shared" si="104"/>
        <v>480</v>
      </c>
      <c r="L190" s="96">
        <f t="shared" si="102"/>
        <v>1</v>
      </c>
      <c r="M190" s="81">
        <v>718</v>
      </c>
      <c r="N190" s="8">
        <v>153</v>
      </c>
      <c r="O190" s="8">
        <v>60</v>
      </c>
      <c r="P190" s="96">
        <f t="shared" si="91"/>
        <v>0.58660130718954251</v>
      </c>
      <c r="Q190" s="59">
        <f t="shared" si="92"/>
        <v>718</v>
      </c>
      <c r="R190" s="252">
        <f t="shared" si="80"/>
        <v>750</v>
      </c>
      <c r="S190" s="263">
        <v>8</v>
      </c>
      <c r="T190" s="263">
        <v>2</v>
      </c>
      <c r="U190" s="263">
        <v>3</v>
      </c>
      <c r="V190" s="263">
        <v>0</v>
      </c>
      <c r="W190" s="263">
        <v>0</v>
      </c>
      <c r="X190" s="263">
        <v>13</v>
      </c>
      <c r="Y190" s="263">
        <v>1</v>
      </c>
      <c r="Z190" s="263">
        <v>0</v>
      </c>
      <c r="AA190" s="263">
        <v>0</v>
      </c>
      <c r="AB190" s="263">
        <v>10</v>
      </c>
      <c r="AC190" s="263">
        <v>0</v>
      </c>
      <c r="AD190" s="263">
        <v>22</v>
      </c>
      <c r="AE190" s="263"/>
      <c r="AF190" s="263"/>
      <c r="AG190" s="263"/>
      <c r="AH190" s="263"/>
      <c r="AI190" s="263"/>
      <c r="AJ190" s="259"/>
      <c r="AK190" s="263">
        <f t="shared" si="93"/>
        <v>22</v>
      </c>
      <c r="AL190" s="265">
        <f t="shared" si="81"/>
        <v>14</v>
      </c>
      <c r="AM190" s="6">
        <f t="shared" si="94"/>
        <v>22</v>
      </c>
      <c r="AN190" s="255">
        <f t="shared" si="82"/>
        <v>0.95733333333333337</v>
      </c>
      <c r="AO190" s="256">
        <f t="shared" si="83"/>
        <v>0.56157298474945538</v>
      </c>
      <c r="AP190" s="257">
        <f t="shared" si="84"/>
        <v>29333.333333333332</v>
      </c>
      <c r="AQ190" s="263">
        <f t="shared" si="95"/>
        <v>5</v>
      </c>
      <c r="AR190" s="263">
        <f t="shared" si="96"/>
        <v>0</v>
      </c>
      <c r="AS190" s="263">
        <f t="shared" si="97"/>
        <v>2.2000000000000002</v>
      </c>
      <c r="AT190" s="263">
        <f t="shared" si="98"/>
        <v>7.2</v>
      </c>
      <c r="AU190" s="263"/>
      <c r="AV190" s="263"/>
      <c r="AW190" s="263"/>
      <c r="AX190" s="263">
        <f t="shared" si="99"/>
        <v>7.2</v>
      </c>
      <c r="BA190" s="282">
        <f t="shared" si="85"/>
        <v>281.56862745098039</v>
      </c>
      <c r="BB190">
        <v>1</v>
      </c>
      <c r="BC190">
        <f t="shared" si="100"/>
        <v>281.56862745098039</v>
      </c>
      <c r="BD190">
        <f t="shared" si="86"/>
        <v>480</v>
      </c>
      <c r="BE190">
        <f t="shared" si="87"/>
        <v>480</v>
      </c>
      <c r="BF190" s="281">
        <f t="shared" si="101"/>
        <v>0.58660130718954251</v>
      </c>
      <c r="BG190" s="282" t="s">
        <v>2538</v>
      </c>
      <c r="BH190" s="283"/>
    </row>
    <row r="191" spans="1:60" x14ac:dyDescent="0.3">
      <c r="A191">
        <f t="shared" si="88"/>
        <v>189</v>
      </c>
      <c r="B191" s="327" t="s">
        <v>2554</v>
      </c>
      <c r="C191" s="294" t="s">
        <v>2512</v>
      </c>
      <c r="D191" s="14">
        <v>45751</v>
      </c>
      <c r="E191" s="7"/>
      <c r="F191" s="7"/>
      <c r="G191" s="66"/>
      <c r="H191" s="59"/>
      <c r="I191" s="59">
        <v>450</v>
      </c>
      <c r="J191" s="47">
        <f t="shared" si="103"/>
        <v>450</v>
      </c>
      <c r="K191" s="8">
        <f t="shared" si="104"/>
        <v>450</v>
      </c>
      <c r="L191" s="96">
        <f t="shared" si="102"/>
        <v>1</v>
      </c>
      <c r="M191" s="81">
        <f>77+321+218-40</f>
        <v>576</v>
      </c>
      <c r="N191" s="8">
        <v>153</v>
      </c>
      <c r="O191" s="8">
        <v>60</v>
      </c>
      <c r="P191" s="96">
        <f t="shared" si="91"/>
        <v>0.50196078431372548</v>
      </c>
      <c r="Q191" s="59">
        <f t="shared" si="92"/>
        <v>576</v>
      </c>
      <c r="R191" s="252">
        <f t="shared" si="80"/>
        <v>622</v>
      </c>
      <c r="S191" s="263"/>
      <c r="T191" s="263"/>
      <c r="U191" s="263"/>
      <c r="V191" s="263"/>
      <c r="W191" s="263"/>
      <c r="X191" s="263"/>
      <c r="Y191" s="263"/>
      <c r="Z191" s="263"/>
      <c r="AA191" s="263"/>
      <c r="AB191" s="263"/>
      <c r="AC191" s="263"/>
      <c r="AD191" s="263">
        <v>46</v>
      </c>
      <c r="AE191" s="263"/>
      <c r="AF191" s="263"/>
      <c r="AG191" s="263"/>
      <c r="AH191" s="263"/>
      <c r="AI191" s="263"/>
      <c r="AJ191" s="259"/>
      <c r="AK191" s="263">
        <f t="shared" si="93"/>
        <v>46</v>
      </c>
      <c r="AL191" s="265">
        <f t="shared" si="81"/>
        <v>14</v>
      </c>
      <c r="AM191" s="6">
        <f t="shared" si="94"/>
        <v>46</v>
      </c>
      <c r="AN191" s="255">
        <f t="shared" si="82"/>
        <v>0.92604501607717038</v>
      </c>
      <c r="AO191" s="256">
        <f t="shared" si="83"/>
        <v>0.46483828257991294</v>
      </c>
      <c r="AP191" s="257">
        <f t="shared" si="84"/>
        <v>73954.983922829575</v>
      </c>
      <c r="AQ191" s="263">
        <f t="shared" si="95"/>
        <v>0</v>
      </c>
      <c r="AR191" s="263">
        <f t="shared" si="96"/>
        <v>0</v>
      </c>
      <c r="AS191" s="263">
        <f t="shared" si="97"/>
        <v>4.6000000000000005</v>
      </c>
      <c r="AT191" s="263">
        <f t="shared" si="98"/>
        <v>4.6000000000000005</v>
      </c>
      <c r="AU191" s="263"/>
      <c r="AV191" s="263"/>
      <c r="AW191" s="263"/>
      <c r="AX191" s="263">
        <f t="shared" si="99"/>
        <v>4.6000000000000005</v>
      </c>
      <c r="BA191" s="282">
        <f t="shared" si="85"/>
        <v>225.88235294117646</v>
      </c>
      <c r="BB191">
        <v>1</v>
      </c>
      <c r="BC191">
        <f t="shared" si="100"/>
        <v>225.88235294117646</v>
      </c>
      <c r="BD191">
        <f t="shared" si="86"/>
        <v>450</v>
      </c>
      <c r="BE191">
        <f t="shared" si="87"/>
        <v>450</v>
      </c>
      <c r="BF191" s="281">
        <f t="shared" si="101"/>
        <v>0.50196078431372548</v>
      </c>
      <c r="BG191" s="282" t="s">
        <v>2549</v>
      </c>
      <c r="BH191" s="283"/>
    </row>
    <row r="192" spans="1:60" x14ac:dyDescent="0.3">
      <c r="A192">
        <f t="shared" si="88"/>
        <v>190</v>
      </c>
      <c r="B192" s="327" t="s">
        <v>2556</v>
      </c>
      <c r="C192" s="294" t="s">
        <v>2513</v>
      </c>
      <c r="D192" s="14">
        <v>45751</v>
      </c>
      <c r="E192" s="7"/>
      <c r="F192" s="7"/>
      <c r="G192" s="66"/>
      <c r="H192" s="59"/>
      <c r="I192" s="59">
        <v>510</v>
      </c>
      <c r="J192" s="47">
        <f t="shared" si="103"/>
        <v>510</v>
      </c>
      <c r="K192" s="8">
        <f t="shared" si="104"/>
        <v>510</v>
      </c>
      <c r="L192" s="96">
        <f t="shared" si="102"/>
        <v>1</v>
      </c>
      <c r="M192" s="81">
        <v>218</v>
      </c>
      <c r="N192" s="8">
        <v>153</v>
      </c>
      <c r="O192" s="8">
        <v>60</v>
      </c>
      <c r="P192" s="96">
        <f t="shared" si="91"/>
        <v>0.16762783544790466</v>
      </c>
      <c r="Q192" s="59">
        <f t="shared" si="92"/>
        <v>218</v>
      </c>
      <c r="R192" s="252">
        <f t="shared" si="80"/>
        <v>218</v>
      </c>
      <c r="S192" s="263"/>
      <c r="T192" s="263"/>
      <c r="U192" s="263"/>
      <c r="V192" s="263"/>
      <c r="W192" s="263"/>
      <c r="X192" s="263"/>
      <c r="Y192" s="263"/>
      <c r="Z192" s="263"/>
      <c r="AA192" s="263"/>
      <c r="AB192" s="263"/>
      <c r="AC192" s="263"/>
      <c r="AD192" s="263"/>
      <c r="AE192" s="263"/>
      <c r="AF192" s="263"/>
      <c r="AG192" s="263"/>
      <c r="AH192" s="263"/>
      <c r="AI192" s="263"/>
      <c r="AJ192" s="259"/>
      <c r="AK192" s="263">
        <f t="shared" si="93"/>
        <v>0</v>
      </c>
      <c r="AL192" s="265">
        <f t="shared" si="81"/>
        <v>14</v>
      </c>
      <c r="AM192" s="6">
        <f t="shared" si="94"/>
        <v>0</v>
      </c>
      <c r="AN192" s="255">
        <f t="shared" si="82"/>
        <v>1</v>
      </c>
      <c r="AO192" s="256">
        <f t="shared" si="83"/>
        <v>0.16762783544790466</v>
      </c>
      <c r="AP192" s="257">
        <f t="shared" si="84"/>
        <v>0</v>
      </c>
      <c r="AQ192" s="263">
        <f t="shared" si="95"/>
        <v>0</v>
      </c>
      <c r="AR192" s="263">
        <f t="shared" si="96"/>
        <v>0</v>
      </c>
      <c r="AS192" s="263">
        <f t="shared" si="97"/>
        <v>0</v>
      </c>
      <c r="AT192" s="263">
        <f t="shared" si="98"/>
        <v>0</v>
      </c>
      <c r="AU192" s="263"/>
      <c r="AV192" s="263"/>
      <c r="AW192" s="263"/>
      <c r="AX192" s="263">
        <f t="shared" si="99"/>
        <v>0</v>
      </c>
      <c r="BA192" s="282">
        <f t="shared" si="85"/>
        <v>85.490196078431381</v>
      </c>
      <c r="BB192">
        <v>1</v>
      </c>
      <c r="BC192">
        <f t="shared" si="100"/>
        <v>85.490196078431381</v>
      </c>
      <c r="BD192">
        <f t="shared" si="86"/>
        <v>510</v>
      </c>
      <c r="BE192">
        <f t="shared" si="87"/>
        <v>510</v>
      </c>
      <c r="BF192" s="281">
        <f t="shared" si="101"/>
        <v>0.16762783544790466</v>
      </c>
      <c r="BG192" s="282" t="s">
        <v>2547</v>
      </c>
      <c r="BH192" s="283"/>
    </row>
    <row r="193" spans="1:60" x14ac:dyDescent="0.3">
      <c r="A193">
        <f t="shared" si="88"/>
        <v>191</v>
      </c>
      <c r="B193" s="327" t="s">
        <v>2556</v>
      </c>
      <c r="C193" s="294" t="s">
        <v>2511</v>
      </c>
      <c r="D193" s="14">
        <v>45752</v>
      </c>
      <c r="E193" s="7"/>
      <c r="F193" s="7"/>
      <c r="G193" s="66"/>
      <c r="H193" s="59"/>
      <c r="I193" s="59">
        <v>480</v>
      </c>
      <c r="J193" s="47">
        <f t="shared" si="103"/>
        <v>480</v>
      </c>
      <c r="K193" s="8">
        <f t="shared" si="104"/>
        <v>480</v>
      </c>
      <c r="L193" s="96">
        <f t="shared" si="102"/>
        <v>1</v>
      </c>
      <c r="M193" s="81">
        <v>426</v>
      </c>
      <c r="N193" s="8">
        <v>153</v>
      </c>
      <c r="O193" s="8">
        <v>60</v>
      </c>
      <c r="P193" s="96">
        <f t="shared" si="91"/>
        <v>0.34803921568627449</v>
      </c>
      <c r="Q193" s="59">
        <f t="shared" si="92"/>
        <v>426</v>
      </c>
      <c r="R193" s="252">
        <f t="shared" si="80"/>
        <v>433</v>
      </c>
      <c r="S193" s="263"/>
      <c r="T193" s="263"/>
      <c r="U193" s="263"/>
      <c r="V193" s="263"/>
      <c r="W193" s="263"/>
      <c r="X193" s="263"/>
      <c r="Y193" s="263"/>
      <c r="Z193" s="263">
        <v>296</v>
      </c>
      <c r="AA193" s="263"/>
      <c r="AB193" s="263">
        <v>2</v>
      </c>
      <c r="AC193" s="263"/>
      <c r="AD193" s="263">
        <v>5</v>
      </c>
      <c r="AE193" s="263"/>
      <c r="AF193" s="263"/>
      <c r="AG193" s="263"/>
      <c r="AH193" s="263"/>
      <c r="AI193" s="263"/>
      <c r="AJ193" s="259"/>
      <c r="AK193" s="263">
        <f t="shared" si="93"/>
        <v>5</v>
      </c>
      <c r="AL193" s="265">
        <f t="shared" si="81"/>
        <v>14</v>
      </c>
      <c r="AM193" s="6">
        <f t="shared" si="94"/>
        <v>5</v>
      </c>
      <c r="AN193" s="255">
        <f t="shared" si="82"/>
        <v>0.9838337182448037</v>
      </c>
      <c r="AO193" s="256">
        <f t="shared" si="83"/>
        <v>0.34241271566363263</v>
      </c>
      <c r="AP193" s="257">
        <f t="shared" si="84"/>
        <v>11547.344110854503</v>
      </c>
      <c r="AQ193" s="263">
        <f t="shared" si="95"/>
        <v>1</v>
      </c>
      <c r="AR193" s="263">
        <f t="shared" si="96"/>
        <v>0</v>
      </c>
      <c r="AS193" s="263">
        <f t="shared" si="97"/>
        <v>0.5</v>
      </c>
      <c r="AT193" s="263">
        <f t="shared" si="98"/>
        <v>1.5</v>
      </c>
      <c r="AU193" s="263"/>
      <c r="AV193" s="263"/>
      <c r="AW193" s="263"/>
      <c r="AX193" s="263">
        <f t="shared" si="99"/>
        <v>1.5</v>
      </c>
      <c r="BA193" s="282">
        <f t="shared" si="85"/>
        <v>167.05882352941177</v>
      </c>
      <c r="BB193">
        <v>1</v>
      </c>
      <c r="BC193">
        <f t="shared" si="100"/>
        <v>167.05882352941177</v>
      </c>
      <c r="BD193">
        <f t="shared" si="86"/>
        <v>480</v>
      </c>
      <c r="BE193">
        <f t="shared" si="87"/>
        <v>480</v>
      </c>
      <c r="BF193" s="281">
        <f t="shared" si="101"/>
        <v>0.34803921568627449</v>
      </c>
      <c r="BG193" s="282" t="s">
        <v>2481</v>
      </c>
      <c r="BH193" s="283"/>
    </row>
    <row r="194" spans="1:60" x14ac:dyDescent="0.3">
      <c r="A194">
        <f t="shared" si="88"/>
        <v>192</v>
      </c>
      <c r="B194" s="241" t="s">
        <v>2557</v>
      </c>
      <c r="C194" s="294" t="s">
        <v>2512</v>
      </c>
      <c r="D194" s="14">
        <v>45752</v>
      </c>
      <c r="E194" s="7"/>
      <c r="F194" s="7"/>
      <c r="G194" s="66"/>
      <c r="H194" s="59"/>
      <c r="I194" s="59">
        <v>450</v>
      </c>
      <c r="J194" s="47">
        <f t="shared" si="103"/>
        <v>450</v>
      </c>
      <c r="K194" s="8">
        <f t="shared" si="104"/>
        <v>450</v>
      </c>
      <c r="L194" s="96">
        <f t="shared" si="102"/>
        <v>1</v>
      </c>
      <c r="M194" s="81">
        <f>17+35+12</f>
        <v>64</v>
      </c>
      <c r="N194" s="8">
        <v>153</v>
      </c>
      <c r="O194" s="8">
        <v>60</v>
      </c>
      <c r="P194" s="96">
        <f t="shared" si="91"/>
        <v>5.5773420479302831E-2</v>
      </c>
      <c r="Q194" s="59">
        <f t="shared" si="92"/>
        <v>64</v>
      </c>
      <c r="R194" s="252">
        <f t="shared" si="80"/>
        <v>96</v>
      </c>
      <c r="S194" s="263"/>
      <c r="T194" s="263"/>
      <c r="U194" s="263"/>
      <c r="V194" s="263"/>
      <c r="W194" s="263"/>
      <c r="X194" s="263"/>
      <c r="Y194" s="263"/>
      <c r="Z194" s="263">
        <v>253</v>
      </c>
      <c r="AA194" s="263"/>
      <c r="AB194" s="263">
        <v>6</v>
      </c>
      <c r="AC194" s="263"/>
      <c r="AD194" s="263">
        <v>26</v>
      </c>
      <c r="AE194" s="263"/>
      <c r="AF194" s="263"/>
      <c r="AG194" s="263"/>
      <c r="AH194" s="263"/>
      <c r="AI194" s="263"/>
      <c r="AJ194" s="259"/>
      <c r="AK194" s="263">
        <f t="shared" si="93"/>
        <v>26</v>
      </c>
      <c r="AL194" s="265">
        <f t="shared" si="81"/>
        <v>14</v>
      </c>
      <c r="AM194" s="6">
        <f t="shared" si="94"/>
        <v>26</v>
      </c>
      <c r="AN194" s="255">
        <f t="shared" si="82"/>
        <v>0.66666666666666663</v>
      </c>
      <c r="AO194" s="256">
        <f t="shared" si="83"/>
        <v>3.7182280319535216E-2</v>
      </c>
      <c r="AP194" s="257">
        <f t="shared" si="84"/>
        <v>270833.33333333331</v>
      </c>
      <c r="AQ194" s="263">
        <f t="shared" si="95"/>
        <v>3</v>
      </c>
      <c r="AR194" s="263">
        <f t="shared" si="96"/>
        <v>0</v>
      </c>
      <c r="AS194" s="263">
        <f t="shared" si="97"/>
        <v>2.6</v>
      </c>
      <c r="AT194" s="263">
        <f t="shared" si="98"/>
        <v>5.6</v>
      </c>
      <c r="AU194" s="263"/>
      <c r="AV194" s="263"/>
      <c r="AW194" s="263"/>
      <c r="AX194" s="263">
        <f t="shared" si="99"/>
        <v>5.6</v>
      </c>
      <c r="BA194" s="282">
        <f t="shared" si="85"/>
        <v>25.098039215686274</v>
      </c>
      <c r="BB194">
        <v>1</v>
      </c>
      <c r="BC194">
        <f t="shared" si="100"/>
        <v>25.098039215686274</v>
      </c>
      <c r="BD194">
        <f t="shared" si="86"/>
        <v>450</v>
      </c>
      <c r="BE194">
        <f t="shared" si="87"/>
        <v>450</v>
      </c>
      <c r="BF194" s="281">
        <f t="shared" si="101"/>
        <v>5.5773420479302831E-2</v>
      </c>
      <c r="BG194" s="282" t="s">
        <v>2549</v>
      </c>
      <c r="BH194" s="283"/>
    </row>
    <row r="195" spans="1:60" x14ac:dyDescent="0.3">
      <c r="A195">
        <f t="shared" si="88"/>
        <v>193</v>
      </c>
      <c r="B195" s="241" t="s">
        <v>2558</v>
      </c>
      <c r="C195" s="294" t="s">
        <v>2511</v>
      </c>
      <c r="D195" s="14">
        <v>45754</v>
      </c>
      <c r="E195" s="7"/>
      <c r="F195" s="7"/>
      <c r="G195" s="66"/>
      <c r="H195" s="59"/>
      <c r="I195" s="59">
        <v>480</v>
      </c>
      <c r="J195" s="47">
        <f t="shared" si="103"/>
        <v>480</v>
      </c>
      <c r="K195" s="8">
        <f t="shared" si="104"/>
        <v>480</v>
      </c>
      <c r="L195" s="96">
        <f t="shared" si="102"/>
        <v>1</v>
      </c>
      <c r="M195" s="81">
        <v>250</v>
      </c>
      <c r="N195" s="8">
        <v>153</v>
      </c>
      <c r="O195" s="8">
        <v>60</v>
      </c>
      <c r="P195" s="96">
        <f t="shared" si="91"/>
        <v>0.20424836601307189</v>
      </c>
      <c r="Q195" s="59">
        <f t="shared" si="92"/>
        <v>250</v>
      </c>
      <c r="R195" s="252">
        <f t="shared" ref="R195:R258" si="105">+Q195+AB195+AC195+AD195</f>
        <v>286</v>
      </c>
      <c r="S195" s="263">
        <v>5</v>
      </c>
      <c r="T195" s="263">
        <v>9</v>
      </c>
      <c r="U195" s="263">
        <v>0</v>
      </c>
      <c r="V195" s="263">
        <v>0</v>
      </c>
      <c r="W195" s="263">
        <v>0</v>
      </c>
      <c r="X195" s="263">
        <v>17</v>
      </c>
      <c r="Y195" s="263">
        <v>0</v>
      </c>
      <c r="Z195" s="263">
        <v>4</v>
      </c>
      <c r="AA195" s="263">
        <v>1</v>
      </c>
      <c r="AB195" s="263">
        <v>0</v>
      </c>
      <c r="AC195" s="263">
        <v>0</v>
      </c>
      <c r="AD195" s="263">
        <v>36</v>
      </c>
      <c r="AE195" s="263"/>
      <c r="AF195" s="263"/>
      <c r="AG195" s="263"/>
      <c r="AH195" s="263"/>
      <c r="AI195" s="263"/>
      <c r="AJ195" s="259"/>
      <c r="AK195" s="263">
        <f t="shared" si="93"/>
        <v>36</v>
      </c>
      <c r="AL195" s="265">
        <f t="shared" ref="AL195:AL258" si="106">WEEKNUM(D195,21)</f>
        <v>15</v>
      </c>
      <c r="AM195" s="6">
        <f t="shared" si="94"/>
        <v>36</v>
      </c>
      <c r="AN195" s="255">
        <f t="shared" ref="AN195:AN258" si="107">IFERROR(Q195/R195,"")</f>
        <v>0.87412587412587417</v>
      </c>
      <c r="AO195" s="256">
        <f t="shared" ref="AO195:AO258" si="108">IFERROR(AN195*P195*L195,"")</f>
        <v>0.17853878147995797</v>
      </c>
      <c r="AP195" s="257">
        <f t="shared" ref="AP195:AP258" si="109">IFERROR(AM195/R195*1000000,"")</f>
        <v>125874.12587412588</v>
      </c>
      <c r="AQ195" s="263">
        <f t="shared" si="95"/>
        <v>0</v>
      </c>
      <c r="AR195" s="263">
        <f t="shared" si="96"/>
        <v>0</v>
      </c>
      <c r="AS195" s="263">
        <f t="shared" si="97"/>
        <v>3.6</v>
      </c>
      <c r="AT195" s="263">
        <f t="shared" si="98"/>
        <v>3.6</v>
      </c>
      <c r="AU195" s="263"/>
      <c r="AV195" s="263"/>
      <c r="AW195" s="263"/>
      <c r="AX195" s="263">
        <f t="shared" si="99"/>
        <v>3.6</v>
      </c>
      <c r="BA195" s="282">
        <f t="shared" ref="BA195:BA258" si="110">IFERROR(M195/N195*60,"")</f>
        <v>98.039215686274503</v>
      </c>
      <c r="BB195">
        <v>1</v>
      </c>
      <c r="BC195">
        <f t="shared" si="100"/>
        <v>98.039215686274503</v>
      </c>
      <c r="BD195">
        <f t="shared" ref="BD195:BD258" si="111">IFERROR(BB195*K195,"")</f>
        <v>480</v>
      </c>
      <c r="BE195">
        <f t="shared" ref="BE195:BE258" si="112">J195*BB195</f>
        <v>480</v>
      </c>
      <c r="BF195" s="281">
        <f t="shared" si="101"/>
        <v>0.20424836601307189</v>
      </c>
      <c r="BG195" s="282" t="s">
        <v>2538</v>
      </c>
      <c r="BH195" s="283"/>
    </row>
    <row r="196" spans="1:60" x14ac:dyDescent="0.3">
      <c r="A196">
        <f t="shared" ref="A196:A259" si="113">+A195+1</f>
        <v>194</v>
      </c>
      <c r="B196" s="241" t="s">
        <v>2558</v>
      </c>
      <c r="C196" s="294" t="s">
        <v>2512</v>
      </c>
      <c r="D196" s="14">
        <v>45754</v>
      </c>
      <c r="E196" s="7"/>
      <c r="F196" s="7"/>
      <c r="G196" s="66"/>
      <c r="H196" s="59"/>
      <c r="I196" s="59">
        <v>450</v>
      </c>
      <c r="J196" s="47">
        <f t="shared" si="103"/>
        <v>450</v>
      </c>
      <c r="K196" s="8">
        <f t="shared" si="104"/>
        <v>450</v>
      </c>
      <c r="L196" s="96">
        <f t="shared" si="102"/>
        <v>1</v>
      </c>
      <c r="M196" s="81">
        <v>275</v>
      </c>
      <c r="N196" s="8">
        <v>153</v>
      </c>
      <c r="O196" s="8">
        <v>60</v>
      </c>
      <c r="P196" s="96">
        <f t="shared" si="91"/>
        <v>0.23965141612200436</v>
      </c>
      <c r="Q196" s="59">
        <f t="shared" si="92"/>
        <v>275</v>
      </c>
      <c r="R196" s="252">
        <f t="shared" si="105"/>
        <v>299</v>
      </c>
      <c r="S196" s="263">
        <v>5</v>
      </c>
      <c r="T196" s="263">
        <v>1</v>
      </c>
      <c r="U196" s="263">
        <v>0</v>
      </c>
      <c r="V196" s="263">
        <v>0</v>
      </c>
      <c r="W196" s="263">
        <v>0</v>
      </c>
      <c r="X196" s="263">
        <v>1</v>
      </c>
      <c r="Y196" s="263">
        <v>0</v>
      </c>
      <c r="Z196" s="263">
        <v>0</v>
      </c>
      <c r="AA196" s="263">
        <v>0</v>
      </c>
      <c r="AB196" s="263">
        <v>15</v>
      </c>
      <c r="AC196" s="263">
        <v>0</v>
      </c>
      <c r="AD196" s="263">
        <v>9</v>
      </c>
      <c r="AE196" s="263"/>
      <c r="AF196" s="263"/>
      <c r="AG196" s="263"/>
      <c r="AH196" s="263"/>
      <c r="AI196" s="263"/>
      <c r="AJ196" s="259"/>
      <c r="AK196" s="263">
        <f t="shared" si="93"/>
        <v>9</v>
      </c>
      <c r="AL196" s="265">
        <f t="shared" si="106"/>
        <v>15</v>
      </c>
      <c r="AM196" s="6">
        <f t="shared" si="94"/>
        <v>9</v>
      </c>
      <c r="AN196" s="255">
        <f t="shared" si="107"/>
        <v>0.91973244147157196</v>
      </c>
      <c r="AO196" s="256">
        <f t="shared" si="108"/>
        <v>0.22041518205201072</v>
      </c>
      <c r="AP196" s="257">
        <f t="shared" si="109"/>
        <v>30100.334448160535</v>
      </c>
      <c r="AQ196" s="263">
        <f t="shared" si="95"/>
        <v>7.5</v>
      </c>
      <c r="AR196" s="263">
        <f t="shared" si="96"/>
        <v>0</v>
      </c>
      <c r="AS196" s="263">
        <f t="shared" si="97"/>
        <v>0.9</v>
      </c>
      <c r="AT196" s="263">
        <f t="shared" si="98"/>
        <v>8.4</v>
      </c>
      <c r="AU196" s="263"/>
      <c r="AV196" s="263"/>
      <c r="AW196" s="263"/>
      <c r="AX196" s="263">
        <f t="shared" si="99"/>
        <v>8.4</v>
      </c>
      <c r="BA196" s="282">
        <f t="shared" si="110"/>
        <v>107.84313725490196</v>
      </c>
      <c r="BB196">
        <v>1</v>
      </c>
      <c r="BC196">
        <f t="shared" si="100"/>
        <v>107.84313725490196</v>
      </c>
      <c r="BD196">
        <f t="shared" si="111"/>
        <v>450</v>
      </c>
      <c r="BE196">
        <f t="shared" si="112"/>
        <v>450</v>
      </c>
      <c r="BF196" s="281">
        <f t="shared" si="101"/>
        <v>0.23965141612200436</v>
      </c>
      <c r="BG196" s="282" t="s">
        <v>2549</v>
      </c>
      <c r="BH196" s="283"/>
    </row>
    <row r="197" spans="1:60" x14ac:dyDescent="0.3">
      <c r="A197">
        <f t="shared" si="113"/>
        <v>195</v>
      </c>
      <c r="B197" s="241" t="s">
        <v>2558</v>
      </c>
      <c r="C197" s="294" t="s">
        <v>2513</v>
      </c>
      <c r="D197" s="14">
        <v>45754</v>
      </c>
      <c r="E197" s="7"/>
      <c r="F197" s="7"/>
      <c r="G197" s="66"/>
      <c r="H197" s="59"/>
      <c r="I197" s="59">
        <v>510</v>
      </c>
      <c r="J197" s="47">
        <f t="shared" si="103"/>
        <v>510</v>
      </c>
      <c r="K197" s="8">
        <f t="shared" si="104"/>
        <v>510</v>
      </c>
      <c r="L197" s="96">
        <f t="shared" si="102"/>
        <v>1</v>
      </c>
      <c r="M197" s="81">
        <v>880</v>
      </c>
      <c r="N197" s="8">
        <v>153</v>
      </c>
      <c r="O197" s="8">
        <v>60</v>
      </c>
      <c r="P197" s="96">
        <f t="shared" si="91"/>
        <v>0.67666282199154171</v>
      </c>
      <c r="Q197" s="59">
        <f t="shared" si="92"/>
        <v>880</v>
      </c>
      <c r="R197" s="252">
        <f t="shared" si="105"/>
        <v>887</v>
      </c>
      <c r="S197" s="263">
        <v>29</v>
      </c>
      <c r="T197" s="263">
        <v>0</v>
      </c>
      <c r="U197" s="263">
        <v>0</v>
      </c>
      <c r="V197" s="263">
        <v>0</v>
      </c>
      <c r="W197" s="263">
        <v>2</v>
      </c>
      <c r="X197" s="263">
        <v>8</v>
      </c>
      <c r="Y197" s="263">
        <v>1</v>
      </c>
      <c r="Z197" s="263">
        <v>2</v>
      </c>
      <c r="AA197" s="263">
        <v>1</v>
      </c>
      <c r="AB197" s="263">
        <v>1</v>
      </c>
      <c r="AC197" s="263">
        <v>0</v>
      </c>
      <c r="AD197" s="263">
        <v>6</v>
      </c>
      <c r="AE197" s="263"/>
      <c r="AF197" s="263"/>
      <c r="AG197" s="263"/>
      <c r="AH197" s="263"/>
      <c r="AI197" s="263"/>
      <c r="AJ197" s="259"/>
      <c r="AK197" s="263">
        <f t="shared" si="93"/>
        <v>6</v>
      </c>
      <c r="AL197" s="265">
        <f t="shared" si="106"/>
        <v>15</v>
      </c>
      <c r="AM197" s="6">
        <f t="shared" si="94"/>
        <v>6</v>
      </c>
      <c r="AN197" s="255">
        <f t="shared" si="107"/>
        <v>0.99210822998872605</v>
      </c>
      <c r="AO197" s="256">
        <f t="shared" si="108"/>
        <v>0.67132275462520485</v>
      </c>
      <c r="AP197" s="257">
        <f t="shared" si="109"/>
        <v>6764.3742953776773</v>
      </c>
      <c r="AQ197" s="263">
        <f t="shared" si="95"/>
        <v>0.5</v>
      </c>
      <c r="AR197" s="263">
        <f t="shared" si="96"/>
        <v>0</v>
      </c>
      <c r="AS197" s="263">
        <f t="shared" si="97"/>
        <v>0.60000000000000009</v>
      </c>
      <c r="AT197" s="263">
        <f t="shared" si="98"/>
        <v>1.1000000000000001</v>
      </c>
      <c r="AU197" s="263"/>
      <c r="AV197" s="263"/>
      <c r="AW197" s="263"/>
      <c r="AX197" s="263">
        <f t="shared" si="99"/>
        <v>1.1000000000000001</v>
      </c>
      <c r="BA197" s="282">
        <f t="shared" si="110"/>
        <v>345.0980392156863</v>
      </c>
      <c r="BB197">
        <v>1</v>
      </c>
      <c r="BC197">
        <f t="shared" si="100"/>
        <v>345.0980392156863</v>
      </c>
      <c r="BD197">
        <f t="shared" si="111"/>
        <v>510</v>
      </c>
      <c r="BE197">
        <f t="shared" si="112"/>
        <v>510</v>
      </c>
      <c r="BF197" s="281">
        <f t="shared" si="101"/>
        <v>0.67666282199154171</v>
      </c>
      <c r="BG197" s="282" t="s">
        <v>2547</v>
      </c>
      <c r="BH197" s="283"/>
    </row>
    <row r="198" spans="1:60" x14ac:dyDescent="0.3">
      <c r="A198">
        <f t="shared" si="113"/>
        <v>196</v>
      </c>
      <c r="B198" s="241" t="s">
        <v>2558</v>
      </c>
      <c r="C198" s="294" t="s">
        <v>2511</v>
      </c>
      <c r="D198" s="14">
        <v>45755</v>
      </c>
      <c r="E198" s="7"/>
      <c r="F198" s="7"/>
      <c r="G198" s="66"/>
      <c r="H198" s="59"/>
      <c r="I198" s="59">
        <v>480</v>
      </c>
      <c r="J198" s="47">
        <f t="shared" si="103"/>
        <v>480</v>
      </c>
      <c r="K198" s="8">
        <f t="shared" si="104"/>
        <v>480</v>
      </c>
      <c r="L198" s="96">
        <f t="shared" si="102"/>
        <v>1</v>
      </c>
      <c r="M198" s="81">
        <v>706</v>
      </c>
      <c r="N198" s="8">
        <v>153</v>
      </c>
      <c r="O198" s="8">
        <v>60</v>
      </c>
      <c r="P198" s="96">
        <f t="shared" si="91"/>
        <v>0.57679738562091498</v>
      </c>
      <c r="Q198" s="59">
        <f t="shared" si="92"/>
        <v>706</v>
      </c>
      <c r="R198" s="252">
        <f t="shared" si="105"/>
        <v>716</v>
      </c>
      <c r="S198" s="263">
        <v>4</v>
      </c>
      <c r="T198" s="263">
        <v>0</v>
      </c>
      <c r="U198" s="263">
        <v>0</v>
      </c>
      <c r="V198" s="263">
        <v>0</v>
      </c>
      <c r="W198" s="263">
        <v>0</v>
      </c>
      <c r="X198" s="263">
        <v>4</v>
      </c>
      <c r="Y198" s="263">
        <v>0</v>
      </c>
      <c r="Z198" s="263">
        <v>0</v>
      </c>
      <c r="AA198" s="263">
        <v>0</v>
      </c>
      <c r="AB198" s="263">
        <v>0</v>
      </c>
      <c r="AC198" s="263">
        <v>3</v>
      </c>
      <c r="AD198" s="263">
        <v>7</v>
      </c>
      <c r="AE198" s="263"/>
      <c r="AF198" s="263"/>
      <c r="AG198" s="263"/>
      <c r="AH198" s="263"/>
      <c r="AI198" s="263"/>
      <c r="AJ198" s="259"/>
      <c r="AK198" s="263">
        <f t="shared" si="93"/>
        <v>7</v>
      </c>
      <c r="AL198" s="265">
        <f t="shared" si="106"/>
        <v>15</v>
      </c>
      <c r="AM198" s="6">
        <f t="shared" si="94"/>
        <v>7</v>
      </c>
      <c r="AN198" s="255">
        <f t="shared" si="107"/>
        <v>0.98603351955307261</v>
      </c>
      <c r="AO198" s="256">
        <f t="shared" si="108"/>
        <v>0.56874155621280165</v>
      </c>
      <c r="AP198" s="257">
        <f t="shared" si="109"/>
        <v>9776.5363128491626</v>
      </c>
      <c r="AQ198" s="263">
        <f t="shared" si="95"/>
        <v>0</v>
      </c>
      <c r="AR198" s="263">
        <f t="shared" si="96"/>
        <v>0.60000000000000009</v>
      </c>
      <c r="AS198" s="263">
        <f t="shared" si="97"/>
        <v>0.70000000000000007</v>
      </c>
      <c r="AT198" s="263">
        <f t="shared" si="98"/>
        <v>1.3000000000000003</v>
      </c>
      <c r="AU198" s="263"/>
      <c r="AV198" s="263"/>
      <c r="AW198" s="263"/>
      <c r="AX198" s="263">
        <f t="shared" si="99"/>
        <v>1.3000000000000003</v>
      </c>
      <c r="BA198" s="282">
        <f t="shared" si="110"/>
        <v>276.86274509803917</v>
      </c>
      <c r="BB198">
        <v>1</v>
      </c>
      <c r="BC198">
        <f t="shared" si="100"/>
        <v>276.86274509803917</v>
      </c>
      <c r="BD198">
        <f t="shared" si="111"/>
        <v>480</v>
      </c>
      <c r="BE198">
        <f t="shared" si="112"/>
        <v>480</v>
      </c>
      <c r="BF198" s="281">
        <f t="shared" si="101"/>
        <v>0.57679738562091498</v>
      </c>
      <c r="BG198" s="282" t="s">
        <v>2538</v>
      </c>
      <c r="BH198" s="283"/>
    </row>
    <row r="199" spans="1:60" x14ac:dyDescent="0.3">
      <c r="A199">
        <f t="shared" si="113"/>
        <v>197</v>
      </c>
      <c r="B199" s="241" t="s">
        <v>2560</v>
      </c>
      <c r="C199" s="294" t="s">
        <v>2512</v>
      </c>
      <c r="D199" s="14">
        <v>45755</v>
      </c>
      <c r="E199" s="7"/>
      <c r="F199" s="7"/>
      <c r="G199" s="66"/>
      <c r="H199" s="59"/>
      <c r="I199" s="59">
        <v>450</v>
      </c>
      <c r="J199" s="47">
        <f t="shared" si="103"/>
        <v>450</v>
      </c>
      <c r="K199" s="8">
        <f t="shared" si="104"/>
        <v>450</v>
      </c>
      <c r="L199" s="96">
        <f t="shared" si="102"/>
        <v>1</v>
      </c>
      <c r="M199" s="81">
        <f>493+177</f>
        <v>670</v>
      </c>
      <c r="N199" s="8">
        <v>153</v>
      </c>
      <c r="O199" s="8">
        <v>60</v>
      </c>
      <c r="P199" s="96">
        <f t="shared" si="91"/>
        <v>0.58387799564270149</v>
      </c>
      <c r="Q199" s="59">
        <f t="shared" si="92"/>
        <v>670</v>
      </c>
      <c r="R199" s="252">
        <f t="shared" si="105"/>
        <v>674</v>
      </c>
      <c r="S199" s="263">
        <v>9</v>
      </c>
      <c r="T199" s="263">
        <v>1</v>
      </c>
      <c r="U199" s="263">
        <v>0</v>
      </c>
      <c r="V199" s="263">
        <v>0</v>
      </c>
      <c r="W199" s="263">
        <v>0</v>
      </c>
      <c r="X199" s="263">
        <v>4</v>
      </c>
      <c r="Y199" s="263">
        <v>0</v>
      </c>
      <c r="Z199" s="263">
        <v>0</v>
      </c>
      <c r="AA199" s="263">
        <v>0</v>
      </c>
      <c r="AB199" s="263">
        <v>0</v>
      </c>
      <c r="AC199" s="263">
        <v>0</v>
      </c>
      <c r="AD199" s="263">
        <v>4</v>
      </c>
      <c r="AE199" s="263"/>
      <c r="AF199" s="263"/>
      <c r="AG199" s="263"/>
      <c r="AH199" s="263"/>
      <c r="AI199" s="263"/>
      <c r="AJ199" s="259"/>
      <c r="AK199" s="263">
        <f t="shared" si="93"/>
        <v>4</v>
      </c>
      <c r="AL199" s="265">
        <f t="shared" si="106"/>
        <v>15</v>
      </c>
      <c r="AM199" s="6">
        <f t="shared" si="94"/>
        <v>4</v>
      </c>
      <c r="AN199" s="255">
        <f t="shared" si="107"/>
        <v>0.99406528189910981</v>
      </c>
      <c r="AO199" s="256">
        <f t="shared" si="108"/>
        <v>0.58041284433324924</v>
      </c>
      <c r="AP199" s="257">
        <f t="shared" si="109"/>
        <v>5934.718100890208</v>
      </c>
      <c r="AQ199" s="263">
        <f t="shared" si="95"/>
        <v>0</v>
      </c>
      <c r="AR199" s="263">
        <f t="shared" si="96"/>
        <v>0</v>
      </c>
      <c r="AS199" s="263">
        <f t="shared" si="97"/>
        <v>0.4</v>
      </c>
      <c r="AT199" s="263">
        <f t="shared" si="98"/>
        <v>0.4</v>
      </c>
      <c r="AU199" s="263"/>
      <c r="AV199" s="263"/>
      <c r="AW199" s="263"/>
      <c r="AX199" s="263">
        <f t="shared" si="99"/>
        <v>0.4</v>
      </c>
      <c r="BA199" s="282">
        <f t="shared" si="110"/>
        <v>262.74509803921569</v>
      </c>
      <c r="BB199">
        <v>1</v>
      </c>
      <c r="BC199">
        <f t="shared" si="100"/>
        <v>262.74509803921569</v>
      </c>
      <c r="BD199">
        <f t="shared" si="111"/>
        <v>450</v>
      </c>
      <c r="BE199">
        <f t="shared" si="112"/>
        <v>450</v>
      </c>
      <c r="BF199" s="281">
        <f t="shared" si="101"/>
        <v>0.58387799564270149</v>
      </c>
      <c r="BG199" s="282" t="s">
        <v>2549</v>
      </c>
      <c r="BH199" s="283"/>
    </row>
    <row r="200" spans="1:60" x14ac:dyDescent="0.3">
      <c r="A200">
        <f t="shared" si="113"/>
        <v>198</v>
      </c>
      <c r="B200" s="327" t="s">
        <v>2561</v>
      </c>
      <c r="C200" s="294" t="s">
        <v>2513</v>
      </c>
      <c r="D200" s="14">
        <v>45755</v>
      </c>
      <c r="E200" s="7"/>
      <c r="F200" s="7"/>
      <c r="G200" s="66"/>
      <c r="H200" s="59"/>
      <c r="I200" s="59">
        <v>510</v>
      </c>
      <c r="J200" s="47">
        <f t="shared" si="103"/>
        <v>510</v>
      </c>
      <c r="K200" s="8">
        <f t="shared" si="104"/>
        <v>510</v>
      </c>
      <c r="L200" s="96">
        <f t="shared" si="102"/>
        <v>1</v>
      </c>
      <c r="M200" s="81"/>
      <c r="N200" s="8">
        <v>153</v>
      </c>
      <c r="O200" s="8">
        <v>60</v>
      </c>
      <c r="P200" s="96">
        <f t="shared" si="91"/>
        <v>0</v>
      </c>
      <c r="Q200" s="59">
        <f t="shared" si="92"/>
        <v>0</v>
      </c>
      <c r="R200" s="252">
        <f t="shared" si="105"/>
        <v>0</v>
      </c>
      <c r="S200" s="263"/>
      <c r="T200" s="263"/>
      <c r="U200" s="263"/>
      <c r="V200" s="263"/>
      <c r="W200" s="263"/>
      <c r="X200" s="263"/>
      <c r="Y200" s="263"/>
      <c r="Z200" s="263"/>
      <c r="AA200" s="263"/>
      <c r="AB200" s="263"/>
      <c r="AC200" s="263"/>
      <c r="AD200" s="263"/>
      <c r="AE200" s="263"/>
      <c r="AF200" s="263"/>
      <c r="AG200" s="263"/>
      <c r="AH200" s="263"/>
      <c r="AI200" s="263"/>
      <c r="AJ200" s="259"/>
      <c r="AK200" s="263">
        <f t="shared" si="93"/>
        <v>0</v>
      </c>
      <c r="AL200" s="265">
        <f t="shared" si="106"/>
        <v>15</v>
      </c>
      <c r="AM200" s="6">
        <f t="shared" si="94"/>
        <v>0</v>
      </c>
      <c r="AN200" s="255" t="str">
        <f t="shared" si="107"/>
        <v/>
      </c>
      <c r="AO200" s="256" t="str">
        <f t="shared" si="108"/>
        <v/>
      </c>
      <c r="AP200" s="257" t="str">
        <f t="shared" si="109"/>
        <v/>
      </c>
      <c r="AQ200" s="263">
        <f t="shared" si="95"/>
        <v>0</v>
      </c>
      <c r="AR200" s="263">
        <f t="shared" si="96"/>
        <v>0</v>
      </c>
      <c r="AS200" s="263">
        <f t="shared" si="97"/>
        <v>0</v>
      </c>
      <c r="AT200" s="263">
        <f t="shared" si="98"/>
        <v>0</v>
      </c>
      <c r="AU200" s="263"/>
      <c r="AV200" s="263"/>
      <c r="AW200" s="263"/>
      <c r="AX200" s="263">
        <f t="shared" si="99"/>
        <v>0</v>
      </c>
      <c r="BA200" s="282">
        <f t="shared" si="110"/>
        <v>0</v>
      </c>
      <c r="BB200">
        <v>1</v>
      </c>
      <c r="BC200">
        <f t="shared" si="100"/>
        <v>0</v>
      </c>
      <c r="BD200">
        <f t="shared" si="111"/>
        <v>510</v>
      </c>
      <c r="BE200">
        <f t="shared" si="112"/>
        <v>510</v>
      </c>
      <c r="BF200" s="281">
        <f t="shared" si="101"/>
        <v>0</v>
      </c>
      <c r="BG200" s="282" t="s">
        <v>2547</v>
      </c>
      <c r="BH200" s="283"/>
    </row>
    <row r="201" spans="1:60" x14ac:dyDescent="0.3">
      <c r="A201">
        <f t="shared" si="113"/>
        <v>199</v>
      </c>
      <c r="B201" s="241" t="s">
        <v>2559</v>
      </c>
      <c r="C201" s="294" t="s">
        <v>2511</v>
      </c>
      <c r="D201" s="14">
        <v>45756</v>
      </c>
      <c r="E201" s="7">
        <v>120</v>
      </c>
      <c r="F201" s="7"/>
      <c r="G201" s="66"/>
      <c r="H201" s="59"/>
      <c r="I201" s="59">
        <v>480</v>
      </c>
      <c r="J201" s="47">
        <f t="shared" si="103"/>
        <v>480</v>
      </c>
      <c r="K201" s="8">
        <f t="shared" si="104"/>
        <v>360</v>
      </c>
      <c r="L201" s="96">
        <f t="shared" si="102"/>
        <v>0.75</v>
      </c>
      <c r="M201" s="81">
        <v>719</v>
      </c>
      <c r="N201" s="8">
        <v>153</v>
      </c>
      <c r="O201" s="8">
        <v>60</v>
      </c>
      <c r="P201" s="96">
        <f t="shared" si="91"/>
        <v>0.78322440087145984</v>
      </c>
      <c r="Q201" s="59">
        <f t="shared" si="92"/>
        <v>719</v>
      </c>
      <c r="R201" s="252">
        <f t="shared" si="105"/>
        <v>728</v>
      </c>
      <c r="S201" s="263">
        <v>32</v>
      </c>
      <c r="T201" s="263">
        <v>0</v>
      </c>
      <c r="U201" s="263">
        <v>1</v>
      </c>
      <c r="V201" s="263">
        <v>0</v>
      </c>
      <c r="W201" s="263">
        <v>0</v>
      </c>
      <c r="X201" s="263">
        <v>6</v>
      </c>
      <c r="Y201" s="263">
        <v>1</v>
      </c>
      <c r="Z201" s="263">
        <v>1</v>
      </c>
      <c r="AA201" s="263">
        <v>1</v>
      </c>
      <c r="AB201" s="263">
        <v>0</v>
      </c>
      <c r="AC201" s="263">
        <v>0</v>
      </c>
      <c r="AD201" s="263">
        <v>9</v>
      </c>
      <c r="AE201" s="263"/>
      <c r="AF201" s="263"/>
      <c r="AG201" s="263"/>
      <c r="AH201" s="263"/>
      <c r="AI201" s="263"/>
      <c r="AJ201" s="259"/>
      <c r="AK201" s="263">
        <f t="shared" si="93"/>
        <v>9</v>
      </c>
      <c r="AL201" s="265">
        <f t="shared" si="106"/>
        <v>15</v>
      </c>
      <c r="AM201" s="6">
        <f t="shared" si="94"/>
        <v>9</v>
      </c>
      <c r="AN201" s="255">
        <f t="shared" si="107"/>
        <v>0.98763736263736268</v>
      </c>
      <c r="AO201" s="256">
        <f t="shared" si="108"/>
        <v>0.5801562612224378</v>
      </c>
      <c r="AP201" s="257">
        <f t="shared" si="109"/>
        <v>12362.637362637362</v>
      </c>
      <c r="AQ201" s="263">
        <f t="shared" si="95"/>
        <v>0</v>
      </c>
      <c r="AR201" s="263">
        <f t="shared" si="96"/>
        <v>0</v>
      </c>
      <c r="AS201" s="263">
        <f t="shared" si="97"/>
        <v>0.9</v>
      </c>
      <c r="AT201" s="263">
        <f t="shared" si="98"/>
        <v>0.9</v>
      </c>
      <c r="AU201" s="263">
        <v>4</v>
      </c>
      <c r="AV201" s="263"/>
      <c r="AW201" s="263"/>
      <c r="AX201" s="263">
        <f t="shared" si="99"/>
        <v>4.9000000000000004</v>
      </c>
      <c r="BA201" s="282">
        <f t="shared" si="110"/>
        <v>281.96078431372553</v>
      </c>
      <c r="BB201">
        <v>1</v>
      </c>
      <c r="BC201">
        <f t="shared" si="100"/>
        <v>281.96078431372553</v>
      </c>
      <c r="BD201">
        <f t="shared" si="111"/>
        <v>360</v>
      </c>
      <c r="BE201">
        <f t="shared" si="112"/>
        <v>480</v>
      </c>
      <c r="BF201" s="281">
        <f t="shared" si="101"/>
        <v>0.58741830065359479</v>
      </c>
      <c r="BG201" s="282" t="s">
        <v>2538</v>
      </c>
      <c r="BH201" s="283"/>
    </row>
    <row r="202" spans="1:60" x14ac:dyDescent="0.3">
      <c r="A202">
        <f t="shared" si="113"/>
        <v>200</v>
      </c>
      <c r="B202" s="241" t="s">
        <v>2499</v>
      </c>
      <c r="C202" s="294" t="s">
        <v>2512</v>
      </c>
      <c r="D202" s="14">
        <v>45756</v>
      </c>
      <c r="E202" s="7"/>
      <c r="F202" s="7"/>
      <c r="G202" s="66"/>
      <c r="H202" s="59"/>
      <c r="I202" s="59">
        <v>450</v>
      </c>
      <c r="J202" s="47">
        <f t="shared" si="103"/>
        <v>450</v>
      </c>
      <c r="K202" s="8">
        <f t="shared" si="104"/>
        <v>450</v>
      </c>
      <c r="L202" s="96">
        <f t="shared" si="102"/>
        <v>1</v>
      </c>
      <c r="M202" s="81">
        <v>929</v>
      </c>
      <c r="N202" s="8">
        <v>153</v>
      </c>
      <c r="O202" s="8">
        <v>60</v>
      </c>
      <c r="P202" s="96">
        <f t="shared" si="91"/>
        <v>0.80958605664488015</v>
      </c>
      <c r="Q202" s="59">
        <f t="shared" si="92"/>
        <v>929</v>
      </c>
      <c r="R202" s="252">
        <f t="shared" si="105"/>
        <v>933</v>
      </c>
      <c r="S202" s="263">
        <v>20</v>
      </c>
      <c r="T202" s="263">
        <v>2</v>
      </c>
      <c r="U202" s="263">
        <v>0</v>
      </c>
      <c r="V202" s="263">
        <v>0</v>
      </c>
      <c r="W202" s="263">
        <v>0</v>
      </c>
      <c r="X202" s="263">
        <v>6</v>
      </c>
      <c r="Y202" s="263">
        <v>0</v>
      </c>
      <c r="Z202" s="263">
        <v>0</v>
      </c>
      <c r="AA202" s="263">
        <v>3</v>
      </c>
      <c r="AB202" s="263">
        <v>3</v>
      </c>
      <c r="AC202" s="263">
        <v>0</v>
      </c>
      <c r="AD202" s="263">
        <v>1</v>
      </c>
      <c r="AE202" s="263"/>
      <c r="AF202" s="263"/>
      <c r="AG202" s="263"/>
      <c r="AH202" s="263"/>
      <c r="AI202" s="263"/>
      <c r="AJ202" s="259"/>
      <c r="AK202" s="263">
        <f t="shared" si="93"/>
        <v>1</v>
      </c>
      <c r="AL202" s="265">
        <f t="shared" si="106"/>
        <v>15</v>
      </c>
      <c r="AM202" s="6">
        <f t="shared" si="94"/>
        <v>1</v>
      </c>
      <c r="AN202" s="255">
        <f t="shared" si="107"/>
        <v>0.99571275455519825</v>
      </c>
      <c r="AO202" s="256">
        <f t="shared" si="108"/>
        <v>0.8061151625113544</v>
      </c>
      <c r="AP202" s="257">
        <f t="shared" si="109"/>
        <v>1071.8113612004288</v>
      </c>
      <c r="AQ202" s="263">
        <f t="shared" si="95"/>
        <v>1.5</v>
      </c>
      <c r="AR202" s="263">
        <f t="shared" si="96"/>
        <v>0</v>
      </c>
      <c r="AS202" s="263">
        <f t="shared" si="97"/>
        <v>0.1</v>
      </c>
      <c r="AT202" s="263">
        <f t="shared" si="98"/>
        <v>1.6</v>
      </c>
      <c r="AU202" s="263"/>
      <c r="AV202" s="263"/>
      <c r="AW202" s="263"/>
      <c r="AX202" s="263">
        <f t="shared" si="99"/>
        <v>1.6</v>
      </c>
      <c r="BA202" s="282">
        <f t="shared" si="110"/>
        <v>364.31372549019608</v>
      </c>
      <c r="BB202">
        <v>1</v>
      </c>
      <c r="BC202">
        <f t="shared" si="100"/>
        <v>364.31372549019608</v>
      </c>
      <c r="BD202">
        <f t="shared" si="111"/>
        <v>450</v>
      </c>
      <c r="BE202">
        <f t="shared" si="112"/>
        <v>450</v>
      </c>
      <c r="BF202" s="281">
        <f t="shared" si="101"/>
        <v>0.80958605664488015</v>
      </c>
      <c r="BG202" s="282" t="s">
        <v>2549</v>
      </c>
      <c r="BH202" s="283"/>
    </row>
    <row r="203" spans="1:60" x14ac:dyDescent="0.3">
      <c r="A203">
        <f t="shared" si="113"/>
        <v>201</v>
      </c>
      <c r="B203" s="241" t="s">
        <v>2499</v>
      </c>
      <c r="C203" s="294" t="s">
        <v>2513</v>
      </c>
      <c r="D203" s="14">
        <v>45756</v>
      </c>
      <c r="E203" s="7"/>
      <c r="F203" s="7"/>
      <c r="G203" s="66"/>
      <c r="H203" s="59"/>
      <c r="I203" s="59">
        <v>510</v>
      </c>
      <c r="J203" s="47">
        <f t="shared" si="103"/>
        <v>510</v>
      </c>
      <c r="K203" s="8">
        <f t="shared" si="104"/>
        <v>510</v>
      </c>
      <c r="L203" s="96">
        <f t="shared" si="102"/>
        <v>1</v>
      </c>
      <c r="M203" s="81">
        <v>1168</v>
      </c>
      <c r="N203" s="8">
        <v>153</v>
      </c>
      <c r="O203" s="8">
        <v>60</v>
      </c>
      <c r="P203" s="96">
        <f t="shared" si="91"/>
        <v>0.8981161091887736</v>
      </c>
      <c r="Q203" s="59">
        <f t="shared" si="92"/>
        <v>1168</v>
      </c>
      <c r="R203" s="252">
        <f t="shared" si="105"/>
        <v>1172</v>
      </c>
      <c r="S203" s="263">
        <v>5</v>
      </c>
      <c r="T203" s="263">
        <v>3</v>
      </c>
      <c r="U203" s="263">
        <v>0</v>
      </c>
      <c r="V203" s="263">
        <v>0</v>
      </c>
      <c r="W203" s="263">
        <v>0</v>
      </c>
      <c r="X203" s="263">
        <v>13</v>
      </c>
      <c r="Y203" s="263">
        <v>0</v>
      </c>
      <c r="Z203" s="263">
        <v>1</v>
      </c>
      <c r="AA203" s="263">
        <v>3</v>
      </c>
      <c r="AB203" s="263">
        <v>2</v>
      </c>
      <c r="AC203" s="263">
        <v>1</v>
      </c>
      <c r="AD203" s="263">
        <v>1</v>
      </c>
      <c r="AE203" s="263"/>
      <c r="AF203" s="263"/>
      <c r="AG203" s="263"/>
      <c r="AH203" s="263"/>
      <c r="AI203" s="263"/>
      <c r="AJ203" s="259"/>
      <c r="AK203" s="263">
        <f t="shared" si="93"/>
        <v>1</v>
      </c>
      <c r="AL203" s="265">
        <f t="shared" si="106"/>
        <v>15</v>
      </c>
      <c r="AM203" s="6">
        <f t="shared" si="94"/>
        <v>1</v>
      </c>
      <c r="AN203" s="255">
        <f t="shared" si="107"/>
        <v>0.9965870307167235</v>
      </c>
      <c r="AO203" s="256">
        <f t="shared" si="108"/>
        <v>0.89505086649529653</v>
      </c>
      <c r="AP203" s="257">
        <f t="shared" si="109"/>
        <v>853.24232081911259</v>
      </c>
      <c r="AQ203" s="263">
        <f t="shared" si="95"/>
        <v>1</v>
      </c>
      <c r="AR203" s="263">
        <f t="shared" si="96"/>
        <v>0.2</v>
      </c>
      <c r="AS203" s="263">
        <f t="shared" si="97"/>
        <v>0.1</v>
      </c>
      <c r="AT203" s="263">
        <f t="shared" si="98"/>
        <v>1.3</v>
      </c>
      <c r="AU203" s="263"/>
      <c r="AV203" s="263"/>
      <c r="AW203" s="263"/>
      <c r="AX203" s="263">
        <f t="shared" si="99"/>
        <v>1.3</v>
      </c>
      <c r="BA203" s="282">
        <f t="shared" si="110"/>
        <v>458.03921568627453</v>
      </c>
      <c r="BB203">
        <v>1</v>
      </c>
      <c r="BC203">
        <f t="shared" si="100"/>
        <v>458.03921568627453</v>
      </c>
      <c r="BD203">
        <f t="shared" si="111"/>
        <v>510</v>
      </c>
      <c r="BE203">
        <f t="shared" si="112"/>
        <v>510</v>
      </c>
      <c r="BF203" s="281">
        <f t="shared" si="101"/>
        <v>0.8981161091887736</v>
      </c>
      <c r="BG203" s="282" t="s">
        <v>2547</v>
      </c>
      <c r="BH203" s="283"/>
    </row>
    <row r="204" spans="1:60" x14ac:dyDescent="0.3">
      <c r="A204">
        <f t="shared" si="113"/>
        <v>202</v>
      </c>
      <c r="B204" s="241" t="s">
        <v>2499</v>
      </c>
      <c r="C204" s="294" t="s">
        <v>2511</v>
      </c>
      <c r="D204" s="14">
        <v>45757</v>
      </c>
      <c r="E204" s="7">
        <v>60</v>
      </c>
      <c r="F204" s="7">
        <v>60</v>
      </c>
      <c r="G204" s="66"/>
      <c r="H204" s="59"/>
      <c r="I204" s="59">
        <v>480</v>
      </c>
      <c r="J204" s="47">
        <f t="shared" si="103"/>
        <v>480</v>
      </c>
      <c r="K204" s="8">
        <f t="shared" si="104"/>
        <v>360</v>
      </c>
      <c r="L204" s="96">
        <f t="shared" si="102"/>
        <v>0.75</v>
      </c>
      <c r="M204" s="81">
        <v>914</v>
      </c>
      <c r="N204" s="8">
        <v>153</v>
      </c>
      <c r="O204" s="8">
        <v>60</v>
      </c>
      <c r="P204" s="96">
        <f t="shared" si="91"/>
        <v>0.99564270152505452</v>
      </c>
      <c r="Q204" s="59">
        <f t="shared" si="92"/>
        <v>914</v>
      </c>
      <c r="R204" s="252">
        <f t="shared" si="105"/>
        <v>914</v>
      </c>
      <c r="S204" s="263">
        <v>3</v>
      </c>
      <c r="T204" s="263">
        <v>2</v>
      </c>
      <c r="U204" s="263">
        <v>0</v>
      </c>
      <c r="V204" s="263">
        <v>0</v>
      </c>
      <c r="W204" s="263">
        <v>0</v>
      </c>
      <c r="X204" s="263">
        <v>3</v>
      </c>
      <c r="Y204" s="263">
        <v>0</v>
      </c>
      <c r="Z204" s="263">
        <v>0</v>
      </c>
      <c r="AA204" s="263">
        <v>0</v>
      </c>
      <c r="AB204" s="263">
        <v>0</v>
      </c>
      <c r="AC204" s="263">
        <v>0</v>
      </c>
      <c r="AD204" s="263">
        <v>0</v>
      </c>
      <c r="AE204" s="263"/>
      <c r="AF204" s="263"/>
      <c r="AG204" s="263"/>
      <c r="AH204" s="263"/>
      <c r="AI204" s="263"/>
      <c r="AJ204" s="259"/>
      <c r="AK204" s="263">
        <f t="shared" si="93"/>
        <v>0</v>
      </c>
      <c r="AL204" s="265">
        <f t="shared" si="106"/>
        <v>15</v>
      </c>
      <c r="AM204" s="6">
        <f t="shared" si="94"/>
        <v>0</v>
      </c>
      <c r="AN204" s="255">
        <f t="shared" si="107"/>
        <v>1</v>
      </c>
      <c r="AO204" s="256">
        <f t="shared" si="108"/>
        <v>0.74673202614379086</v>
      </c>
      <c r="AP204" s="257">
        <f t="shared" si="109"/>
        <v>0</v>
      </c>
      <c r="AQ204" s="263">
        <f t="shared" si="95"/>
        <v>0</v>
      </c>
      <c r="AR204" s="263">
        <f t="shared" si="96"/>
        <v>0</v>
      </c>
      <c r="AS204" s="263">
        <f t="shared" si="97"/>
        <v>0</v>
      </c>
      <c r="AT204" s="263">
        <f t="shared" si="98"/>
        <v>0</v>
      </c>
      <c r="AU204" s="263">
        <v>4</v>
      </c>
      <c r="AV204" s="263"/>
      <c r="AW204" s="263"/>
      <c r="AX204" s="263">
        <f t="shared" si="99"/>
        <v>4</v>
      </c>
      <c r="BA204" s="282">
        <f t="shared" si="110"/>
        <v>358.43137254901961</v>
      </c>
      <c r="BB204">
        <v>1</v>
      </c>
      <c r="BC204">
        <f t="shared" si="100"/>
        <v>358.43137254901961</v>
      </c>
      <c r="BD204">
        <f t="shared" si="111"/>
        <v>360</v>
      </c>
      <c r="BE204">
        <f t="shared" si="112"/>
        <v>480</v>
      </c>
      <c r="BF204" s="281">
        <f t="shared" si="101"/>
        <v>0.74673202614379086</v>
      </c>
      <c r="BG204" s="282" t="s">
        <v>2538</v>
      </c>
      <c r="BH204" s="283"/>
    </row>
    <row r="205" spans="1:60" x14ac:dyDescent="0.3">
      <c r="A205">
        <f t="shared" si="113"/>
        <v>203</v>
      </c>
      <c r="B205" s="241" t="s">
        <v>2499</v>
      </c>
      <c r="C205" s="294" t="s">
        <v>2512</v>
      </c>
      <c r="D205" s="14">
        <v>45757</v>
      </c>
      <c r="E205" s="7"/>
      <c r="F205" s="7"/>
      <c r="G205" s="66"/>
      <c r="H205" s="59"/>
      <c r="I205" s="59">
        <v>450</v>
      </c>
      <c r="J205" s="47">
        <f t="shared" si="103"/>
        <v>450</v>
      </c>
      <c r="K205" s="8">
        <f t="shared" si="104"/>
        <v>450</v>
      </c>
      <c r="L205" s="96">
        <f t="shared" si="102"/>
        <v>1</v>
      </c>
      <c r="M205" s="81">
        <v>932</v>
      </c>
      <c r="N205" s="8">
        <v>153</v>
      </c>
      <c r="O205" s="8">
        <v>60</v>
      </c>
      <c r="P205" s="96">
        <f t="shared" si="91"/>
        <v>0.81220043572984757</v>
      </c>
      <c r="Q205" s="59">
        <f t="shared" si="92"/>
        <v>932</v>
      </c>
      <c r="R205" s="252">
        <f t="shared" si="105"/>
        <v>934</v>
      </c>
      <c r="S205" s="263">
        <v>6</v>
      </c>
      <c r="T205" s="263">
        <v>0</v>
      </c>
      <c r="U205" s="263">
        <v>0</v>
      </c>
      <c r="V205" s="263">
        <v>0</v>
      </c>
      <c r="W205" s="263">
        <v>2</v>
      </c>
      <c r="X205" s="263">
        <v>3</v>
      </c>
      <c r="Y205" s="263">
        <v>0</v>
      </c>
      <c r="Z205" s="263">
        <v>0</v>
      </c>
      <c r="AA205" s="263">
        <v>1</v>
      </c>
      <c r="AB205" s="263">
        <v>1</v>
      </c>
      <c r="AC205" s="263">
        <v>1</v>
      </c>
      <c r="AD205" s="263">
        <v>0</v>
      </c>
      <c r="AE205" s="263"/>
      <c r="AF205" s="263"/>
      <c r="AG205" s="263"/>
      <c r="AH205" s="263"/>
      <c r="AI205" s="263"/>
      <c r="AJ205" s="259"/>
      <c r="AK205" s="263">
        <f t="shared" si="93"/>
        <v>0</v>
      </c>
      <c r="AL205" s="265">
        <f t="shared" si="106"/>
        <v>15</v>
      </c>
      <c r="AM205" s="6">
        <f t="shared" si="94"/>
        <v>0</v>
      </c>
      <c r="AN205" s="255">
        <f t="shared" si="107"/>
        <v>0.99785867237687365</v>
      </c>
      <c r="AO205" s="256">
        <f t="shared" si="108"/>
        <v>0.81046124850130397</v>
      </c>
      <c r="AP205" s="257">
        <f t="shared" si="109"/>
        <v>0</v>
      </c>
      <c r="AQ205" s="263">
        <f t="shared" si="95"/>
        <v>0.5</v>
      </c>
      <c r="AR205" s="263">
        <f t="shared" si="96"/>
        <v>0.2</v>
      </c>
      <c r="AS205" s="263">
        <f t="shared" si="97"/>
        <v>0</v>
      </c>
      <c r="AT205" s="263">
        <f t="shared" si="98"/>
        <v>0.7</v>
      </c>
      <c r="AU205" s="263"/>
      <c r="AV205" s="263"/>
      <c r="AW205" s="263"/>
      <c r="AX205" s="263">
        <f t="shared" si="99"/>
        <v>0.7</v>
      </c>
      <c r="BA205" s="282">
        <f t="shared" si="110"/>
        <v>365.49019607843138</v>
      </c>
      <c r="BB205">
        <v>1</v>
      </c>
      <c r="BC205">
        <f t="shared" si="100"/>
        <v>365.49019607843138</v>
      </c>
      <c r="BD205">
        <f t="shared" si="111"/>
        <v>450</v>
      </c>
      <c r="BE205">
        <f t="shared" si="112"/>
        <v>450</v>
      </c>
      <c r="BF205" s="281">
        <f t="shared" si="101"/>
        <v>0.81220043572984757</v>
      </c>
      <c r="BG205" s="282" t="s">
        <v>2549</v>
      </c>
      <c r="BH205" s="283"/>
    </row>
    <row r="206" spans="1:60" x14ac:dyDescent="0.3">
      <c r="A206">
        <f t="shared" si="113"/>
        <v>204</v>
      </c>
      <c r="B206" s="241" t="s">
        <v>2499</v>
      </c>
      <c r="C206" s="294" t="s">
        <v>2513</v>
      </c>
      <c r="D206" s="14">
        <v>45757</v>
      </c>
      <c r="E206" s="7"/>
      <c r="F206" s="7">
        <v>120</v>
      </c>
      <c r="G206" s="66"/>
      <c r="H206" s="59"/>
      <c r="I206" s="59">
        <v>510</v>
      </c>
      <c r="J206" s="47">
        <f t="shared" si="103"/>
        <v>510</v>
      </c>
      <c r="K206" s="8">
        <f t="shared" si="104"/>
        <v>390</v>
      </c>
      <c r="L206" s="96">
        <f t="shared" si="102"/>
        <v>0.76470588235294112</v>
      </c>
      <c r="M206" s="81">
        <v>753</v>
      </c>
      <c r="N206" s="8">
        <v>153</v>
      </c>
      <c r="O206" s="8">
        <v>60</v>
      </c>
      <c r="P206" s="96">
        <f t="shared" si="91"/>
        <v>0.75716440422322784</v>
      </c>
      <c r="Q206" s="59">
        <f t="shared" si="92"/>
        <v>753</v>
      </c>
      <c r="R206" s="252">
        <f t="shared" si="105"/>
        <v>758</v>
      </c>
      <c r="S206" s="263">
        <v>3</v>
      </c>
      <c r="T206" s="263">
        <v>1</v>
      </c>
      <c r="U206" s="263">
        <v>0</v>
      </c>
      <c r="V206" s="263">
        <v>0</v>
      </c>
      <c r="W206" s="263">
        <v>0</v>
      </c>
      <c r="X206" s="263">
        <v>8</v>
      </c>
      <c r="Y206" s="263">
        <v>0</v>
      </c>
      <c r="Z206" s="263">
        <v>0</v>
      </c>
      <c r="AA206" s="263">
        <v>0</v>
      </c>
      <c r="AB206" s="263">
        <v>2</v>
      </c>
      <c r="AC206" s="263">
        <v>1</v>
      </c>
      <c r="AD206" s="263">
        <v>2</v>
      </c>
      <c r="AE206" s="263"/>
      <c r="AF206" s="263"/>
      <c r="AG206" s="263"/>
      <c r="AH206" s="263"/>
      <c r="AI206" s="263"/>
      <c r="AJ206" s="259"/>
      <c r="AK206" s="263">
        <f t="shared" si="93"/>
        <v>2</v>
      </c>
      <c r="AL206" s="265">
        <f t="shared" si="106"/>
        <v>15</v>
      </c>
      <c r="AM206" s="6">
        <f t="shared" si="94"/>
        <v>2</v>
      </c>
      <c r="AN206" s="255">
        <f t="shared" si="107"/>
        <v>0.99340369393139838</v>
      </c>
      <c r="AO206" s="256">
        <f t="shared" si="108"/>
        <v>0.57518875934666902</v>
      </c>
      <c r="AP206" s="257">
        <f t="shared" si="109"/>
        <v>2638.5224274406332</v>
      </c>
      <c r="AQ206" s="263">
        <f t="shared" si="95"/>
        <v>1</v>
      </c>
      <c r="AR206" s="263">
        <f t="shared" si="96"/>
        <v>0.2</v>
      </c>
      <c r="AS206" s="263">
        <f t="shared" si="97"/>
        <v>0.2</v>
      </c>
      <c r="AT206" s="263">
        <f t="shared" si="98"/>
        <v>1.4</v>
      </c>
      <c r="AU206" s="263"/>
      <c r="AV206" s="263"/>
      <c r="AW206" s="263"/>
      <c r="AX206" s="263">
        <f t="shared" si="99"/>
        <v>1.4</v>
      </c>
      <c r="BA206" s="282">
        <f t="shared" si="110"/>
        <v>295.29411764705884</v>
      </c>
      <c r="BB206">
        <v>1</v>
      </c>
      <c r="BC206">
        <f t="shared" si="100"/>
        <v>295.29411764705884</v>
      </c>
      <c r="BD206">
        <f t="shared" si="111"/>
        <v>390</v>
      </c>
      <c r="BE206">
        <f t="shared" si="112"/>
        <v>510</v>
      </c>
      <c r="BF206" s="281">
        <f t="shared" si="101"/>
        <v>0.57900807381776243</v>
      </c>
      <c r="BG206" s="282" t="s">
        <v>2547</v>
      </c>
      <c r="BH206" s="283"/>
    </row>
    <row r="207" spans="1:60" x14ac:dyDescent="0.3">
      <c r="A207">
        <f t="shared" si="113"/>
        <v>205</v>
      </c>
      <c r="B207" s="241" t="s">
        <v>2499</v>
      </c>
      <c r="C207" s="294" t="s">
        <v>2511</v>
      </c>
      <c r="D207" s="14">
        <v>45758</v>
      </c>
      <c r="E207" s="7">
        <v>40</v>
      </c>
      <c r="F207" s="7"/>
      <c r="G207" s="66"/>
      <c r="H207" s="59"/>
      <c r="I207" s="59">
        <v>480</v>
      </c>
      <c r="J207" s="47">
        <f t="shared" si="103"/>
        <v>480</v>
      </c>
      <c r="K207" s="8">
        <f t="shared" si="104"/>
        <v>440</v>
      </c>
      <c r="L207" s="96">
        <f t="shared" si="102"/>
        <v>0.91666666666666663</v>
      </c>
      <c r="M207" s="81">
        <v>948</v>
      </c>
      <c r="N207" s="8">
        <v>153</v>
      </c>
      <c r="O207" s="8">
        <v>60</v>
      </c>
      <c r="P207" s="96">
        <f t="shared" si="91"/>
        <v>0.84491978609625662</v>
      </c>
      <c r="Q207" s="59">
        <f t="shared" si="92"/>
        <v>948</v>
      </c>
      <c r="R207" s="252">
        <f t="shared" si="105"/>
        <v>959</v>
      </c>
      <c r="S207" s="263">
        <v>2</v>
      </c>
      <c r="T207" s="263">
        <v>0</v>
      </c>
      <c r="U207" s="263">
        <v>0</v>
      </c>
      <c r="V207" s="263">
        <v>0</v>
      </c>
      <c r="W207" s="263">
        <v>0</v>
      </c>
      <c r="X207" s="263">
        <v>0</v>
      </c>
      <c r="Y207" s="263">
        <v>0</v>
      </c>
      <c r="Z207" s="263">
        <v>18</v>
      </c>
      <c r="AA207" s="263">
        <v>1</v>
      </c>
      <c r="AB207" s="263">
        <v>6</v>
      </c>
      <c r="AC207" s="263">
        <v>1</v>
      </c>
      <c r="AD207" s="263">
        <v>4</v>
      </c>
      <c r="AE207" s="263"/>
      <c r="AF207" s="263"/>
      <c r="AG207" s="263"/>
      <c r="AH207" s="263"/>
      <c r="AI207" s="263"/>
      <c r="AJ207" s="259"/>
      <c r="AK207" s="263">
        <f t="shared" si="93"/>
        <v>4</v>
      </c>
      <c r="AL207" s="265">
        <f t="shared" si="106"/>
        <v>15</v>
      </c>
      <c r="AM207" s="6">
        <f t="shared" si="94"/>
        <v>4</v>
      </c>
      <c r="AN207" s="255">
        <f t="shared" si="107"/>
        <v>0.98852971845672577</v>
      </c>
      <c r="AO207" s="256">
        <f t="shared" si="108"/>
        <v>0.76562595841256198</v>
      </c>
      <c r="AP207" s="257">
        <f t="shared" si="109"/>
        <v>4171.0114702815436</v>
      </c>
      <c r="AQ207" s="263">
        <f t="shared" si="95"/>
        <v>3</v>
      </c>
      <c r="AR207" s="263">
        <f t="shared" si="96"/>
        <v>0.2</v>
      </c>
      <c r="AS207" s="263">
        <f t="shared" si="97"/>
        <v>0.4</v>
      </c>
      <c r="AT207" s="263">
        <f t="shared" si="98"/>
        <v>3.6</v>
      </c>
      <c r="AU207" s="263"/>
      <c r="AV207" s="263"/>
      <c r="AW207" s="263"/>
      <c r="AX207" s="263">
        <f t="shared" si="99"/>
        <v>3.6</v>
      </c>
      <c r="BA207" s="282">
        <f t="shared" si="110"/>
        <v>371.76470588235293</v>
      </c>
      <c r="BB207">
        <v>1</v>
      </c>
      <c r="BC207">
        <f t="shared" si="100"/>
        <v>371.76470588235293</v>
      </c>
      <c r="BD207">
        <f t="shared" si="111"/>
        <v>440</v>
      </c>
      <c r="BE207">
        <f t="shared" si="112"/>
        <v>480</v>
      </c>
      <c r="BF207" s="281">
        <f t="shared" si="101"/>
        <v>0.77450980392156865</v>
      </c>
      <c r="BG207" s="282" t="s">
        <v>2538</v>
      </c>
      <c r="BH207" s="283"/>
    </row>
    <row r="208" spans="1:60" x14ac:dyDescent="0.3">
      <c r="A208">
        <f t="shared" si="113"/>
        <v>206</v>
      </c>
      <c r="B208" s="241" t="s">
        <v>2499</v>
      </c>
      <c r="C208" s="294" t="s">
        <v>2512</v>
      </c>
      <c r="D208" s="14">
        <v>45758</v>
      </c>
      <c r="E208" s="7"/>
      <c r="F208" s="7"/>
      <c r="G208" s="66"/>
      <c r="H208" s="59"/>
      <c r="I208" s="59">
        <v>450</v>
      </c>
      <c r="J208" s="47">
        <f t="shared" si="103"/>
        <v>450</v>
      </c>
      <c r="K208" s="8">
        <f t="shared" si="104"/>
        <v>450</v>
      </c>
      <c r="L208" s="96">
        <f t="shared" si="102"/>
        <v>1</v>
      </c>
      <c r="M208" s="81">
        <v>603</v>
      </c>
      <c r="N208" s="8">
        <v>153</v>
      </c>
      <c r="O208" s="8">
        <v>60</v>
      </c>
      <c r="P208" s="96">
        <f t="shared" si="91"/>
        <v>0.52549019607843139</v>
      </c>
      <c r="Q208" s="59">
        <f t="shared" si="92"/>
        <v>603</v>
      </c>
      <c r="R208" s="252">
        <f t="shared" si="105"/>
        <v>605</v>
      </c>
      <c r="S208" s="263">
        <v>37</v>
      </c>
      <c r="T208" s="263">
        <v>1</v>
      </c>
      <c r="U208" s="263">
        <v>0</v>
      </c>
      <c r="V208" s="263">
        <v>0</v>
      </c>
      <c r="W208" s="263">
        <v>0</v>
      </c>
      <c r="X208" s="263">
        <v>4</v>
      </c>
      <c r="Y208" s="263">
        <v>0</v>
      </c>
      <c r="Z208" s="263">
        <v>1</v>
      </c>
      <c r="AA208" s="263">
        <v>0</v>
      </c>
      <c r="AB208" s="263">
        <v>1</v>
      </c>
      <c r="AC208" s="263">
        <v>1</v>
      </c>
      <c r="AD208" s="263">
        <v>0</v>
      </c>
      <c r="AE208" s="263"/>
      <c r="AF208" s="263"/>
      <c r="AG208" s="263"/>
      <c r="AH208" s="263"/>
      <c r="AI208" s="263"/>
      <c r="AJ208" s="259"/>
      <c r="AK208" s="263">
        <f t="shared" si="93"/>
        <v>0</v>
      </c>
      <c r="AL208" s="265">
        <f t="shared" si="106"/>
        <v>15</v>
      </c>
      <c r="AM208" s="6">
        <f t="shared" si="94"/>
        <v>0</v>
      </c>
      <c r="AN208" s="255">
        <f t="shared" si="107"/>
        <v>0.99669421487603305</v>
      </c>
      <c r="AO208" s="256">
        <f t="shared" si="108"/>
        <v>0.52375303840544485</v>
      </c>
      <c r="AP208" s="257">
        <f t="shared" si="109"/>
        <v>0</v>
      </c>
      <c r="AQ208" s="263">
        <f t="shared" si="95"/>
        <v>0.5</v>
      </c>
      <c r="AR208" s="263">
        <f t="shared" si="96"/>
        <v>0.2</v>
      </c>
      <c r="AS208" s="263">
        <f t="shared" si="97"/>
        <v>0</v>
      </c>
      <c r="AT208" s="263">
        <f t="shared" si="98"/>
        <v>0.7</v>
      </c>
      <c r="AU208" s="263"/>
      <c r="AV208" s="263"/>
      <c r="AW208" s="263"/>
      <c r="AX208" s="263">
        <f t="shared" si="99"/>
        <v>0.7</v>
      </c>
      <c r="BA208" s="282">
        <f t="shared" si="110"/>
        <v>236.47058823529414</v>
      </c>
      <c r="BB208">
        <v>1</v>
      </c>
      <c r="BC208">
        <f t="shared" si="100"/>
        <v>236.47058823529414</v>
      </c>
      <c r="BD208">
        <f t="shared" si="111"/>
        <v>450</v>
      </c>
      <c r="BE208">
        <f t="shared" si="112"/>
        <v>450</v>
      </c>
      <c r="BF208" s="281">
        <f t="shared" si="101"/>
        <v>0.52549019607843139</v>
      </c>
      <c r="BG208" s="282" t="s">
        <v>2549</v>
      </c>
      <c r="BH208" s="283"/>
    </row>
    <row r="209" spans="1:60" x14ac:dyDescent="0.3">
      <c r="A209">
        <f t="shared" si="113"/>
        <v>207</v>
      </c>
      <c r="B209" s="241" t="s">
        <v>2499</v>
      </c>
      <c r="C209" s="294" t="s">
        <v>2513</v>
      </c>
      <c r="D209" s="14">
        <v>45758</v>
      </c>
      <c r="E209" s="7"/>
      <c r="F209" s="7"/>
      <c r="G209" s="66"/>
      <c r="H209" s="59"/>
      <c r="I209" s="59">
        <v>510</v>
      </c>
      <c r="J209" s="47">
        <f t="shared" si="103"/>
        <v>510</v>
      </c>
      <c r="K209" s="8">
        <f t="shared" si="104"/>
        <v>510</v>
      </c>
      <c r="L209" s="96">
        <f t="shared" si="102"/>
        <v>1</v>
      </c>
      <c r="M209" s="81">
        <v>947</v>
      </c>
      <c r="N209" s="8">
        <v>153</v>
      </c>
      <c r="O209" s="8">
        <v>60</v>
      </c>
      <c r="P209" s="96">
        <f t="shared" si="91"/>
        <v>0.72818146866589772</v>
      </c>
      <c r="Q209" s="59">
        <f t="shared" si="92"/>
        <v>947</v>
      </c>
      <c r="R209" s="252">
        <f t="shared" si="105"/>
        <v>965</v>
      </c>
      <c r="S209" s="263">
        <v>109</v>
      </c>
      <c r="T209" s="263">
        <v>3</v>
      </c>
      <c r="U209" s="263">
        <v>0</v>
      </c>
      <c r="V209" s="263">
        <v>0</v>
      </c>
      <c r="W209" s="263">
        <v>0</v>
      </c>
      <c r="X209" s="263">
        <v>3</v>
      </c>
      <c r="Y209" s="263">
        <v>0</v>
      </c>
      <c r="Z209" s="263">
        <v>1</v>
      </c>
      <c r="AA209" s="263">
        <v>6</v>
      </c>
      <c r="AB209" s="263">
        <v>12</v>
      </c>
      <c r="AC209" s="263">
        <v>3</v>
      </c>
      <c r="AD209" s="263">
        <v>3</v>
      </c>
      <c r="AE209" s="263"/>
      <c r="AF209" s="263"/>
      <c r="AG209" s="263"/>
      <c r="AH209" s="263"/>
      <c r="AI209" s="263"/>
      <c r="AJ209" s="259"/>
      <c r="AK209" s="263">
        <f t="shared" si="93"/>
        <v>3</v>
      </c>
      <c r="AL209" s="265">
        <f t="shared" si="106"/>
        <v>15</v>
      </c>
      <c r="AM209" s="6">
        <f t="shared" si="94"/>
        <v>3</v>
      </c>
      <c r="AN209" s="255">
        <f t="shared" si="107"/>
        <v>0.98134715025906738</v>
      </c>
      <c r="AO209" s="256">
        <f t="shared" si="108"/>
        <v>0.71459880914674112</v>
      </c>
      <c r="AP209" s="257">
        <f t="shared" si="109"/>
        <v>3108.8082901554403</v>
      </c>
      <c r="AQ209" s="263">
        <f t="shared" si="95"/>
        <v>6</v>
      </c>
      <c r="AR209" s="263">
        <f t="shared" si="96"/>
        <v>0.60000000000000009</v>
      </c>
      <c r="AS209" s="263">
        <f t="shared" si="97"/>
        <v>0.30000000000000004</v>
      </c>
      <c r="AT209" s="263">
        <f t="shared" si="98"/>
        <v>6.8999999999999995</v>
      </c>
      <c r="AU209" s="263"/>
      <c r="AV209" s="263"/>
      <c r="AW209" s="263"/>
      <c r="AX209" s="263">
        <f t="shared" si="99"/>
        <v>6.8999999999999995</v>
      </c>
      <c r="BA209" s="282">
        <f t="shared" si="110"/>
        <v>371.37254901960785</v>
      </c>
      <c r="BB209">
        <v>1</v>
      </c>
      <c r="BC209">
        <f t="shared" si="100"/>
        <v>371.37254901960785</v>
      </c>
      <c r="BD209">
        <f t="shared" si="111"/>
        <v>510</v>
      </c>
      <c r="BE209">
        <f t="shared" si="112"/>
        <v>510</v>
      </c>
      <c r="BF209" s="281">
        <f t="shared" si="101"/>
        <v>0.72818146866589772</v>
      </c>
      <c r="BG209" s="282" t="s">
        <v>2547</v>
      </c>
      <c r="BH209" s="283"/>
    </row>
    <row r="210" spans="1:60" x14ac:dyDescent="0.3">
      <c r="A210">
        <f t="shared" si="113"/>
        <v>208</v>
      </c>
      <c r="B210" s="241" t="s">
        <v>2499</v>
      </c>
      <c r="C210" s="294" t="s">
        <v>2511</v>
      </c>
      <c r="D210" s="14">
        <v>45759</v>
      </c>
      <c r="E210" s="7">
        <v>40</v>
      </c>
      <c r="F210" s="7"/>
      <c r="G210" s="66"/>
      <c r="H210" s="59"/>
      <c r="I210" s="59">
        <v>480</v>
      </c>
      <c r="J210" s="47">
        <f t="shared" si="103"/>
        <v>480</v>
      </c>
      <c r="K210" s="8">
        <f t="shared" si="104"/>
        <v>440</v>
      </c>
      <c r="L210" s="96">
        <f t="shared" si="102"/>
        <v>0.91666666666666663</v>
      </c>
      <c r="M210" s="81">
        <v>824</v>
      </c>
      <c r="N210" s="8">
        <v>153</v>
      </c>
      <c r="O210" s="8">
        <v>60</v>
      </c>
      <c r="P210" s="96">
        <f t="shared" si="91"/>
        <v>0.73440285204991096</v>
      </c>
      <c r="Q210" s="59">
        <f t="shared" si="92"/>
        <v>824</v>
      </c>
      <c r="R210" s="252">
        <f t="shared" si="105"/>
        <v>841</v>
      </c>
      <c r="S210" s="263">
        <v>145</v>
      </c>
      <c r="T210" s="263">
        <v>2</v>
      </c>
      <c r="U210" s="263">
        <v>0</v>
      </c>
      <c r="V210" s="263">
        <v>1</v>
      </c>
      <c r="W210" s="263">
        <v>0</v>
      </c>
      <c r="X210" s="263">
        <v>0</v>
      </c>
      <c r="Y210" s="263">
        <v>0</v>
      </c>
      <c r="Z210" s="263">
        <v>2</v>
      </c>
      <c r="AA210" s="263">
        <v>5</v>
      </c>
      <c r="AB210" s="263">
        <v>6</v>
      </c>
      <c r="AC210" s="263">
        <v>7</v>
      </c>
      <c r="AD210" s="263">
        <v>4</v>
      </c>
      <c r="AE210" s="263"/>
      <c r="AF210" s="263"/>
      <c r="AG210" s="263"/>
      <c r="AH210" s="263"/>
      <c r="AI210" s="263"/>
      <c r="AJ210" s="259"/>
      <c r="AK210" s="263">
        <f t="shared" si="93"/>
        <v>4</v>
      </c>
      <c r="AL210" s="265">
        <f t="shared" si="106"/>
        <v>15</v>
      </c>
      <c r="AM210" s="6">
        <f t="shared" si="94"/>
        <v>4</v>
      </c>
      <c r="AN210" s="255">
        <f t="shared" si="107"/>
        <v>0.97978596908442328</v>
      </c>
      <c r="AO210" s="256">
        <f t="shared" si="108"/>
        <v>0.65959447591957909</v>
      </c>
      <c r="AP210" s="257">
        <f t="shared" si="109"/>
        <v>4756.2425683709862</v>
      </c>
      <c r="AQ210" s="263">
        <f t="shared" si="95"/>
        <v>3</v>
      </c>
      <c r="AR210" s="263">
        <f t="shared" si="96"/>
        <v>1.4000000000000001</v>
      </c>
      <c r="AS210" s="263">
        <f t="shared" si="97"/>
        <v>0.4</v>
      </c>
      <c r="AT210" s="263">
        <f t="shared" si="98"/>
        <v>4.8000000000000007</v>
      </c>
      <c r="AU210" s="263"/>
      <c r="AV210" s="263"/>
      <c r="AW210" s="263"/>
      <c r="AX210" s="263">
        <f t="shared" si="99"/>
        <v>4.8000000000000007</v>
      </c>
      <c r="BA210" s="282">
        <f t="shared" si="110"/>
        <v>323.13725490196083</v>
      </c>
      <c r="BB210">
        <v>1</v>
      </c>
      <c r="BC210">
        <f t="shared" si="100"/>
        <v>323.13725490196083</v>
      </c>
      <c r="BD210">
        <f t="shared" si="111"/>
        <v>440</v>
      </c>
      <c r="BE210">
        <f t="shared" si="112"/>
        <v>480</v>
      </c>
      <c r="BF210" s="281">
        <f t="shared" si="101"/>
        <v>0.67320261437908502</v>
      </c>
      <c r="BG210" s="282" t="s">
        <v>2563</v>
      </c>
      <c r="BH210" s="283"/>
    </row>
    <row r="211" spans="1:60" x14ac:dyDescent="0.3">
      <c r="A211">
        <f t="shared" si="113"/>
        <v>209</v>
      </c>
      <c r="B211" s="241" t="s">
        <v>2499</v>
      </c>
      <c r="C211" s="294" t="s">
        <v>2512</v>
      </c>
      <c r="D211" s="14">
        <v>45759</v>
      </c>
      <c r="E211" s="7"/>
      <c r="F211" s="7"/>
      <c r="G211" s="66"/>
      <c r="H211" s="59"/>
      <c r="I211" s="59">
        <v>450</v>
      </c>
      <c r="J211" s="47">
        <f t="shared" si="103"/>
        <v>450</v>
      </c>
      <c r="K211" s="8">
        <f t="shared" si="104"/>
        <v>450</v>
      </c>
      <c r="L211" s="96">
        <f t="shared" si="102"/>
        <v>1</v>
      </c>
      <c r="M211" s="81">
        <v>936</v>
      </c>
      <c r="N211" s="8">
        <v>153</v>
      </c>
      <c r="O211" s="8">
        <v>60</v>
      </c>
      <c r="P211" s="96">
        <f t="shared" si="91"/>
        <v>0.8156862745098038</v>
      </c>
      <c r="Q211" s="59">
        <f t="shared" si="92"/>
        <v>936</v>
      </c>
      <c r="R211" s="252">
        <f t="shared" si="105"/>
        <v>951</v>
      </c>
      <c r="S211" s="263">
        <v>17</v>
      </c>
      <c r="T211" s="263">
        <v>1</v>
      </c>
      <c r="U211" s="263">
        <v>0</v>
      </c>
      <c r="V211" s="263">
        <v>5</v>
      </c>
      <c r="W211" s="263">
        <v>0</v>
      </c>
      <c r="X211" s="263">
        <v>1</v>
      </c>
      <c r="Y211" s="263">
        <v>0</v>
      </c>
      <c r="Z211" s="263">
        <v>0</v>
      </c>
      <c r="AA211" s="263">
        <v>2</v>
      </c>
      <c r="AB211" s="263">
        <v>5</v>
      </c>
      <c r="AC211" s="263">
        <v>4</v>
      </c>
      <c r="AD211" s="263">
        <v>6</v>
      </c>
      <c r="AE211" s="263"/>
      <c r="AF211" s="263"/>
      <c r="AG211" s="263"/>
      <c r="AH211" s="263"/>
      <c r="AI211" s="263"/>
      <c r="AJ211" s="259"/>
      <c r="AK211" s="263">
        <f t="shared" si="93"/>
        <v>6</v>
      </c>
      <c r="AL211" s="265">
        <f t="shared" si="106"/>
        <v>15</v>
      </c>
      <c r="AM211" s="6">
        <f t="shared" si="94"/>
        <v>6</v>
      </c>
      <c r="AN211" s="255">
        <f t="shared" si="107"/>
        <v>0.98422712933753942</v>
      </c>
      <c r="AO211" s="256">
        <f t="shared" si="108"/>
        <v>0.8028205604008164</v>
      </c>
      <c r="AP211" s="257">
        <f t="shared" si="109"/>
        <v>6309.1482649842274</v>
      </c>
      <c r="AQ211" s="263">
        <f t="shared" si="95"/>
        <v>2.5</v>
      </c>
      <c r="AR211" s="263">
        <f t="shared" si="96"/>
        <v>0.8</v>
      </c>
      <c r="AS211" s="263">
        <f t="shared" si="97"/>
        <v>0.60000000000000009</v>
      </c>
      <c r="AT211" s="263">
        <f t="shared" si="98"/>
        <v>3.9</v>
      </c>
      <c r="AU211" s="263"/>
      <c r="AV211" s="263"/>
      <c r="AW211" s="263"/>
      <c r="AX211" s="263">
        <f t="shared" si="99"/>
        <v>3.9</v>
      </c>
      <c r="BA211" s="282">
        <f t="shared" si="110"/>
        <v>367.05882352941171</v>
      </c>
      <c r="BB211">
        <v>1</v>
      </c>
      <c r="BC211">
        <f t="shared" si="100"/>
        <v>367.05882352941171</v>
      </c>
      <c r="BD211">
        <f t="shared" si="111"/>
        <v>450</v>
      </c>
      <c r="BE211">
        <f t="shared" si="112"/>
        <v>450</v>
      </c>
      <c r="BF211" s="281">
        <f t="shared" si="101"/>
        <v>0.8156862745098038</v>
      </c>
      <c r="BG211" s="282" t="s">
        <v>2549</v>
      </c>
      <c r="BH211" s="283"/>
    </row>
    <row r="212" spans="1:60" x14ac:dyDescent="0.3">
      <c r="A212">
        <f t="shared" si="113"/>
        <v>210</v>
      </c>
      <c r="B212" s="241" t="s">
        <v>2499</v>
      </c>
      <c r="C212" s="294" t="s">
        <v>2511</v>
      </c>
      <c r="D212" s="14">
        <v>45761</v>
      </c>
      <c r="E212" s="7">
        <v>40</v>
      </c>
      <c r="F212" s="7"/>
      <c r="G212" s="66"/>
      <c r="H212" s="59"/>
      <c r="I212" s="59">
        <v>480</v>
      </c>
      <c r="J212" s="47">
        <f t="shared" si="103"/>
        <v>480</v>
      </c>
      <c r="K212" s="8">
        <f t="shared" si="104"/>
        <v>440</v>
      </c>
      <c r="L212" s="96">
        <f t="shared" si="102"/>
        <v>0.91666666666666663</v>
      </c>
      <c r="M212" s="81">
        <v>1010</v>
      </c>
      <c r="N212" s="8">
        <v>153</v>
      </c>
      <c r="O212" s="8">
        <v>60</v>
      </c>
      <c r="P212" s="96">
        <f t="shared" si="91"/>
        <v>0.90017825311942956</v>
      </c>
      <c r="Q212" s="59">
        <f t="shared" si="92"/>
        <v>1010</v>
      </c>
      <c r="R212" s="252">
        <f t="shared" si="105"/>
        <v>1020</v>
      </c>
      <c r="S212" s="263">
        <v>16</v>
      </c>
      <c r="T212" s="263">
        <v>0</v>
      </c>
      <c r="U212" s="263">
        <v>2</v>
      </c>
      <c r="V212" s="263">
        <v>1</v>
      </c>
      <c r="W212" s="263">
        <v>0</v>
      </c>
      <c r="X212" s="263">
        <v>1</v>
      </c>
      <c r="Y212" s="263">
        <v>0</v>
      </c>
      <c r="Z212" s="263">
        <v>0</v>
      </c>
      <c r="AA212" s="263">
        <v>0</v>
      </c>
      <c r="AB212" s="263">
        <v>5</v>
      </c>
      <c r="AC212" s="263">
        <v>2</v>
      </c>
      <c r="AD212" s="263">
        <v>3</v>
      </c>
      <c r="AE212" s="263"/>
      <c r="AF212" s="263"/>
      <c r="AG212" s="263"/>
      <c r="AH212" s="263"/>
      <c r="AI212" s="263"/>
      <c r="AJ212" s="259"/>
      <c r="AK212" s="263">
        <f t="shared" si="93"/>
        <v>3</v>
      </c>
      <c r="AL212" s="265">
        <f t="shared" si="106"/>
        <v>16</v>
      </c>
      <c r="AM212" s="6">
        <f t="shared" si="94"/>
        <v>3</v>
      </c>
      <c r="AN212" s="255">
        <f t="shared" si="107"/>
        <v>0.99019607843137258</v>
      </c>
      <c r="AO212" s="256">
        <f t="shared" si="108"/>
        <v>0.81707356145072407</v>
      </c>
      <c r="AP212" s="257">
        <f t="shared" si="109"/>
        <v>2941.1764705882351</v>
      </c>
      <c r="AQ212" s="263">
        <f t="shared" si="95"/>
        <v>2.5</v>
      </c>
      <c r="AR212" s="263">
        <f t="shared" si="96"/>
        <v>0.4</v>
      </c>
      <c r="AS212" s="263">
        <f t="shared" si="97"/>
        <v>0.30000000000000004</v>
      </c>
      <c r="AT212" s="263">
        <f t="shared" si="98"/>
        <v>3.2</v>
      </c>
      <c r="AU212" s="263"/>
      <c r="AV212" s="263"/>
      <c r="AW212" s="263"/>
      <c r="AX212" s="263">
        <f t="shared" si="99"/>
        <v>3.2</v>
      </c>
      <c r="BA212" s="282">
        <f t="shared" si="110"/>
        <v>396.07843137254901</v>
      </c>
      <c r="BB212">
        <v>1</v>
      </c>
      <c r="BC212">
        <f t="shared" si="100"/>
        <v>396.07843137254901</v>
      </c>
      <c r="BD212">
        <f t="shared" si="111"/>
        <v>440</v>
      </c>
      <c r="BE212">
        <f t="shared" si="112"/>
        <v>480</v>
      </c>
      <c r="BF212" s="281">
        <f t="shared" si="101"/>
        <v>0.82516339869281041</v>
      </c>
      <c r="BG212" s="282" t="s">
        <v>2538</v>
      </c>
      <c r="BH212" s="283"/>
    </row>
    <row r="213" spans="1:60" x14ac:dyDescent="0.3">
      <c r="A213">
        <f t="shared" si="113"/>
        <v>211</v>
      </c>
      <c r="B213" s="241" t="s">
        <v>2499</v>
      </c>
      <c r="C213" s="294" t="s">
        <v>2512</v>
      </c>
      <c r="D213" s="14">
        <v>45761</v>
      </c>
      <c r="E213" s="7"/>
      <c r="F213" s="7"/>
      <c r="G213" s="66"/>
      <c r="H213" s="59"/>
      <c r="I213" s="59">
        <v>450</v>
      </c>
      <c r="J213" s="47">
        <f t="shared" si="103"/>
        <v>450</v>
      </c>
      <c r="K213" s="8">
        <f t="shared" si="104"/>
        <v>450</v>
      </c>
      <c r="L213" s="96">
        <f t="shared" si="102"/>
        <v>1</v>
      </c>
      <c r="M213" s="81">
        <v>951</v>
      </c>
      <c r="N213" s="8">
        <v>153</v>
      </c>
      <c r="O213" s="8">
        <v>60</v>
      </c>
      <c r="P213" s="96">
        <f t="shared" si="91"/>
        <v>0.82875816993464047</v>
      </c>
      <c r="Q213" s="59">
        <f t="shared" si="92"/>
        <v>951</v>
      </c>
      <c r="R213" s="252">
        <f t="shared" si="105"/>
        <v>957</v>
      </c>
      <c r="S213" s="263">
        <v>24</v>
      </c>
      <c r="T213" s="263">
        <v>0</v>
      </c>
      <c r="U213" s="263">
        <v>0</v>
      </c>
      <c r="V213" s="263">
        <v>0</v>
      </c>
      <c r="W213" s="263">
        <v>0</v>
      </c>
      <c r="X213" s="263">
        <v>3</v>
      </c>
      <c r="Y213" s="263">
        <v>0</v>
      </c>
      <c r="Z213" s="263">
        <v>0</v>
      </c>
      <c r="AA213" s="263">
        <v>5</v>
      </c>
      <c r="AB213" s="263">
        <v>3</v>
      </c>
      <c r="AC213" s="263">
        <v>1</v>
      </c>
      <c r="AD213" s="263">
        <v>2</v>
      </c>
      <c r="AE213" s="263"/>
      <c r="AF213" s="263"/>
      <c r="AG213" s="263"/>
      <c r="AH213" s="263"/>
      <c r="AI213" s="263"/>
      <c r="AJ213" s="259"/>
      <c r="AK213" s="263">
        <f t="shared" si="93"/>
        <v>2</v>
      </c>
      <c r="AL213" s="265">
        <f t="shared" si="106"/>
        <v>16</v>
      </c>
      <c r="AM213" s="6">
        <f t="shared" si="94"/>
        <v>2</v>
      </c>
      <c r="AN213" s="255">
        <f t="shared" si="107"/>
        <v>0.99373040752351094</v>
      </c>
      <c r="AO213" s="256">
        <f t="shared" si="108"/>
        <v>0.82356219394758945</v>
      </c>
      <c r="AP213" s="257">
        <f t="shared" si="109"/>
        <v>2089.8641588296764</v>
      </c>
      <c r="AQ213" s="263">
        <f t="shared" si="95"/>
        <v>1.5</v>
      </c>
      <c r="AR213" s="263">
        <f t="shared" si="96"/>
        <v>0.2</v>
      </c>
      <c r="AS213" s="263">
        <f t="shared" si="97"/>
        <v>0.2</v>
      </c>
      <c r="AT213" s="263">
        <f t="shared" si="98"/>
        <v>1.9</v>
      </c>
      <c r="AU213" s="263"/>
      <c r="AV213" s="263"/>
      <c r="AW213" s="263"/>
      <c r="AX213" s="263">
        <f t="shared" si="99"/>
        <v>1.9</v>
      </c>
      <c r="BA213" s="282">
        <f t="shared" si="110"/>
        <v>372.94117647058823</v>
      </c>
      <c r="BB213">
        <v>1</v>
      </c>
      <c r="BC213">
        <f t="shared" si="100"/>
        <v>372.94117647058823</v>
      </c>
      <c r="BD213">
        <f t="shared" si="111"/>
        <v>450</v>
      </c>
      <c r="BE213">
        <f t="shared" si="112"/>
        <v>450</v>
      </c>
      <c r="BF213" s="281">
        <f t="shared" si="101"/>
        <v>0.82875816993464047</v>
      </c>
      <c r="BG213" s="282" t="s">
        <v>2549</v>
      </c>
      <c r="BH213" s="283"/>
    </row>
    <row r="214" spans="1:60" x14ac:dyDescent="0.3">
      <c r="A214">
        <f t="shared" si="113"/>
        <v>212</v>
      </c>
      <c r="B214" s="241" t="s">
        <v>2499</v>
      </c>
      <c r="C214" s="294" t="s">
        <v>2513</v>
      </c>
      <c r="D214" s="14">
        <v>45761</v>
      </c>
      <c r="E214" s="7"/>
      <c r="F214" s="7"/>
      <c r="G214" s="66"/>
      <c r="H214" s="59"/>
      <c r="I214" s="59">
        <v>510</v>
      </c>
      <c r="J214" s="47">
        <f t="shared" si="103"/>
        <v>510</v>
      </c>
      <c r="K214" s="8">
        <f t="shared" si="104"/>
        <v>510</v>
      </c>
      <c r="L214" s="96">
        <f t="shared" si="102"/>
        <v>1</v>
      </c>
      <c r="M214" s="81">
        <v>1197</v>
      </c>
      <c r="N214" s="8">
        <v>153</v>
      </c>
      <c r="O214" s="8">
        <v>60</v>
      </c>
      <c r="P214" s="96">
        <f t="shared" si="91"/>
        <v>0.9204152249134947</v>
      </c>
      <c r="Q214" s="59">
        <f t="shared" si="92"/>
        <v>1197</v>
      </c>
      <c r="R214" s="252">
        <f t="shared" si="105"/>
        <v>1224</v>
      </c>
      <c r="S214" s="263">
        <v>24</v>
      </c>
      <c r="T214" s="263">
        <v>1</v>
      </c>
      <c r="U214" s="263">
        <v>1</v>
      </c>
      <c r="V214" s="263">
        <v>0</v>
      </c>
      <c r="W214" s="263">
        <v>0</v>
      </c>
      <c r="X214" s="263">
        <v>0</v>
      </c>
      <c r="Y214" s="263">
        <v>0</v>
      </c>
      <c r="Z214" s="263">
        <v>0</v>
      </c>
      <c r="AA214" s="263">
        <v>29</v>
      </c>
      <c r="AB214" s="263">
        <v>19</v>
      </c>
      <c r="AC214" s="263">
        <v>4</v>
      </c>
      <c r="AD214" s="263">
        <v>4</v>
      </c>
      <c r="AE214" s="263"/>
      <c r="AF214" s="263"/>
      <c r="AG214" s="263"/>
      <c r="AH214" s="263"/>
      <c r="AI214" s="263"/>
      <c r="AJ214" s="259"/>
      <c r="AK214" s="263">
        <f t="shared" si="93"/>
        <v>4</v>
      </c>
      <c r="AL214" s="265">
        <f t="shared" si="106"/>
        <v>16</v>
      </c>
      <c r="AM214" s="6">
        <f t="shared" si="94"/>
        <v>4</v>
      </c>
      <c r="AN214" s="255">
        <f t="shared" si="107"/>
        <v>0.9779411764705882</v>
      </c>
      <c r="AO214" s="256">
        <f t="shared" si="108"/>
        <v>0.90011194789334403</v>
      </c>
      <c r="AP214" s="257">
        <f t="shared" si="109"/>
        <v>3267.9738562091502</v>
      </c>
      <c r="AQ214" s="263">
        <f t="shared" si="95"/>
        <v>9.5</v>
      </c>
      <c r="AR214" s="263">
        <f t="shared" si="96"/>
        <v>0.8</v>
      </c>
      <c r="AS214" s="263">
        <f t="shared" si="97"/>
        <v>0.4</v>
      </c>
      <c r="AT214" s="263">
        <f t="shared" si="98"/>
        <v>10.700000000000001</v>
      </c>
      <c r="AU214" s="263"/>
      <c r="AV214" s="263"/>
      <c r="AW214" s="263"/>
      <c r="AX214" s="263">
        <f t="shared" si="99"/>
        <v>10.700000000000001</v>
      </c>
      <c r="BA214" s="282">
        <f t="shared" si="110"/>
        <v>469.41176470588232</v>
      </c>
      <c r="BB214">
        <v>1</v>
      </c>
      <c r="BC214">
        <f t="shared" si="100"/>
        <v>469.41176470588232</v>
      </c>
      <c r="BD214">
        <f t="shared" si="111"/>
        <v>510</v>
      </c>
      <c r="BE214">
        <f t="shared" si="112"/>
        <v>510</v>
      </c>
      <c r="BF214" s="281">
        <f t="shared" si="101"/>
        <v>0.9204152249134947</v>
      </c>
      <c r="BG214" s="282" t="s">
        <v>2547</v>
      </c>
      <c r="BH214" s="283"/>
    </row>
    <row r="215" spans="1:60" x14ac:dyDescent="0.3">
      <c r="A215">
        <f t="shared" si="113"/>
        <v>213</v>
      </c>
      <c r="B215" s="241" t="s">
        <v>2499</v>
      </c>
      <c r="C215" s="294" t="s">
        <v>2511</v>
      </c>
      <c r="D215" s="14">
        <v>45762</v>
      </c>
      <c r="E215" s="7">
        <v>40</v>
      </c>
      <c r="F215" s="7"/>
      <c r="G215" s="66"/>
      <c r="H215" s="59"/>
      <c r="I215" s="59">
        <v>480</v>
      </c>
      <c r="J215" s="47">
        <f t="shared" si="103"/>
        <v>480</v>
      </c>
      <c r="K215" s="8">
        <f t="shared" si="104"/>
        <v>440</v>
      </c>
      <c r="L215" s="96">
        <f t="shared" si="102"/>
        <v>0.91666666666666663</v>
      </c>
      <c r="M215" s="81">
        <v>1095</v>
      </c>
      <c r="N215" s="8">
        <v>153</v>
      </c>
      <c r="O215" s="8">
        <v>60</v>
      </c>
      <c r="P215" s="96">
        <f t="shared" si="91"/>
        <v>0.97593582887700536</v>
      </c>
      <c r="Q215" s="59">
        <f t="shared" si="92"/>
        <v>1095</v>
      </c>
      <c r="R215" s="252">
        <f t="shared" si="105"/>
        <v>1115</v>
      </c>
      <c r="S215" s="263">
        <v>41</v>
      </c>
      <c r="T215" s="263">
        <v>1</v>
      </c>
      <c r="U215" s="263">
        <v>0</v>
      </c>
      <c r="V215" s="263">
        <v>0</v>
      </c>
      <c r="W215" s="263">
        <v>2</v>
      </c>
      <c r="X215" s="263">
        <v>3</v>
      </c>
      <c r="Y215" s="263">
        <v>0</v>
      </c>
      <c r="Z215" s="263">
        <v>0</v>
      </c>
      <c r="AA215" s="263">
        <v>10</v>
      </c>
      <c r="AB215" s="263">
        <v>19</v>
      </c>
      <c r="AC215" s="263">
        <v>0</v>
      </c>
      <c r="AD215" s="263">
        <v>1</v>
      </c>
      <c r="AE215" s="263"/>
      <c r="AF215" s="263"/>
      <c r="AG215" s="263"/>
      <c r="AH215" s="263"/>
      <c r="AI215" s="263"/>
      <c r="AJ215" s="259"/>
      <c r="AK215" s="263">
        <f t="shared" si="93"/>
        <v>1</v>
      </c>
      <c r="AL215" s="265">
        <f t="shared" si="106"/>
        <v>16</v>
      </c>
      <c r="AM215" s="6">
        <f t="shared" si="94"/>
        <v>1</v>
      </c>
      <c r="AN215" s="255">
        <f t="shared" si="107"/>
        <v>0.98206278026905824</v>
      </c>
      <c r="AO215" s="256">
        <f t="shared" si="108"/>
        <v>0.87856106568187808</v>
      </c>
      <c r="AP215" s="257">
        <f t="shared" si="109"/>
        <v>896.86098654708519</v>
      </c>
      <c r="AQ215" s="263">
        <f t="shared" si="95"/>
        <v>9.5</v>
      </c>
      <c r="AR215" s="263">
        <f t="shared" si="96"/>
        <v>0</v>
      </c>
      <c r="AS215" s="263">
        <f t="shared" si="97"/>
        <v>0.1</v>
      </c>
      <c r="AT215" s="263">
        <f t="shared" si="98"/>
        <v>9.6</v>
      </c>
      <c r="AU215" s="263"/>
      <c r="AV215" s="263"/>
      <c r="AW215" s="263"/>
      <c r="AX215" s="263">
        <f t="shared" si="99"/>
        <v>9.6</v>
      </c>
      <c r="BA215" s="282">
        <f t="shared" si="110"/>
        <v>429.41176470588238</v>
      </c>
      <c r="BB215">
        <v>1</v>
      </c>
      <c r="BC215">
        <f t="shared" si="100"/>
        <v>429.41176470588238</v>
      </c>
      <c r="BD215">
        <f t="shared" si="111"/>
        <v>440</v>
      </c>
      <c r="BE215">
        <f t="shared" si="112"/>
        <v>480</v>
      </c>
      <c r="BF215" s="281">
        <f t="shared" si="101"/>
        <v>0.89460784313725494</v>
      </c>
      <c r="BG215" s="282" t="s">
        <v>2538</v>
      </c>
      <c r="BH215" s="283"/>
    </row>
    <row r="216" spans="1:60" x14ac:dyDescent="0.3">
      <c r="A216">
        <f t="shared" si="113"/>
        <v>214</v>
      </c>
      <c r="B216" s="241" t="s">
        <v>2499</v>
      </c>
      <c r="C216" s="294" t="s">
        <v>2512</v>
      </c>
      <c r="D216" s="14">
        <v>45762</v>
      </c>
      <c r="E216" s="7"/>
      <c r="F216" s="7"/>
      <c r="G216" s="66"/>
      <c r="H216" s="59"/>
      <c r="I216" s="59">
        <v>450</v>
      </c>
      <c r="J216" s="47">
        <f t="shared" si="103"/>
        <v>450</v>
      </c>
      <c r="K216" s="8">
        <f t="shared" si="104"/>
        <v>450</v>
      </c>
      <c r="L216" s="96">
        <f t="shared" si="102"/>
        <v>1</v>
      </c>
      <c r="M216" s="81">
        <v>882</v>
      </c>
      <c r="N216" s="8">
        <v>153</v>
      </c>
      <c r="O216" s="8">
        <v>60</v>
      </c>
      <c r="P216" s="96">
        <f t="shared" si="91"/>
        <v>0.76862745098039209</v>
      </c>
      <c r="Q216" s="59">
        <f t="shared" si="92"/>
        <v>882</v>
      </c>
      <c r="R216" s="252">
        <f t="shared" si="105"/>
        <v>895</v>
      </c>
      <c r="S216" s="263">
        <v>44</v>
      </c>
      <c r="T216" s="263">
        <v>3</v>
      </c>
      <c r="U216" s="263">
        <v>0</v>
      </c>
      <c r="V216" s="263">
        <v>2</v>
      </c>
      <c r="W216" s="263">
        <v>0</v>
      </c>
      <c r="X216" s="263">
        <v>3</v>
      </c>
      <c r="Y216" s="263">
        <v>0</v>
      </c>
      <c r="Z216" s="263">
        <v>0</v>
      </c>
      <c r="AA216" s="263">
        <v>12</v>
      </c>
      <c r="AB216" s="263">
        <v>9</v>
      </c>
      <c r="AC216" s="263">
        <v>2</v>
      </c>
      <c r="AD216" s="263">
        <v>2</v>
      </c>
      <c r="AE216" s="263"/>
      <c r="AF216" s="263"/>
      <c r="AG216" s="263"/>
      <c r="AH216" s="263"/>
      <c r="AI216" s="263"/>
      <c r="AJ216" s="259"/>
      <c r="AK216" s="263">
        <f t="shared" si="93"/>
        <v>2</v>
      </c>
      <c r="AL216" s="265">
        <f t="shared" si="106"/>
        <v>16</v>
      </c>
      <c r="AM216" s="6">
        <f t="shared" si="94"/>
        <v>2</v>
      </c>
      <c r="AN216" s="255">
        <f t="shared" si="107"/>
        <v>0.98547486033519549</v>
      </c>
      <c r="AO216" s="256">
        <f t="shared" si="108"/>
        <v>0.75746302990469916</v>
      </c>
      <c r="AP216" s="257">
        <f t="shared" si="109"/>
        <v>2234.6368715083795</v>
      </c>
      <c r="AQ216" s="263">
        <f t="shared" si="95"/>
        <v>4.5</v>
      </c>
      <c r="AR216" s="263">
        <f t="shared" si="96"/>
        <v>0.4</v>
      </c>
      <c r="AS216" s="263">
        <f t="shared" si="97"/>
        <v>0.2</v>
      </c>
      <c r="AT216" s="263">
        <f t="shared" si="98"/>
        <v>5.1000000000000005</v>
      </c>
      <c r="AU216" s="263"/>
      <c r="AV216" s="263"/>
      <c r="AW216" s="263"/>
      <c r="AX216" s="263">
        <f t="shared" si="99"/>
        <v>5.1000000000000005</v>
      </c>
      <c r="BA216" s="282">
        <f t="shared" si="110"/>
        <v>345.88235294117646</v>
      </c>
      <c r="BB216">
        <v>1</v>
      </c>
      <c r="BC216">
        <f t="shared" si="100"/>
        <v>345.88235294117646</v>
      </c>
      <c r="BD216">
        <f t="shared" si="111"/>
        <v>450</v>
      </c>
      <c r="BE216">
        <f t="shared" si="112"/>
        <v>450</v>
      </c>
      <c r="BF216" s="281">
        <f t="shared" si="101"/>
        <v>0.76862745098039209</v>
      </c>
      <c r="BG216" s="282" t="s">
        <v>2549</v>
      </c>
      <c r="BH216" s="283"/>
    </row>
    <row r="217" spans="1:60" x14ac:dyDescent="0.3">
      <c r="A217">
        <f t="shared" si="113"/>
        <v>215</v>
      </c>
      <c r="B217" s="241" t="s">
        <v>2499</v>
      </c>
      <c r="C217" s="294" t="s">
        <v>2513</v>
      </c>
      <c r="D217" s="14">
        <v>45762</v>
      </c>
      <c r="E217" s="7"/>
      <c r="F217" s="7"/>
      <c r="G217" s="66"/>
      <c r="H217" s="59"/>
      <c r="I217" s="59">
        <v>510</v>
      </c>
      <c r="J217" s="47">
        <f t="shared" si="103"/>
        <v>510</v>
      </c>
      <c r="K217" s="8">
        <f t="shared" si="104"/>
        <v>510</v>
      </c>
      <c r="L217" s="96">
        <f t="shared" si="102"/>
        <v>1</v>
      </c>
      <c r="M217" s="81">
        <v>964</v>
      </c>
      <c r="N217" s="8">
        <v>153</v>
      </c>
      <c r="O217" s="8">
        <v>60</v>
      </c>
      <c r="P217" s="96">
        <f t="shared" si="91"/>
        <v>0.74125336409073428</v>
      </c>
      <c r="Q217" s="59">
        <f t="shared" si="92"/>
        <v>964</v>
      </c>
      <c r="R217" s="252">
        <f t="shared" si="105"/>
        <v>970</v>
      </c>
      <c r="S217" s="263">
        <v>89</v>
      </c>
      <c r="T217" s="263">
        <v>0</v>
      </c>
      <c r="U217" s="263">
        <v>0</v>
      </c>
      <c r="V217" s="263">
        <v>0</v>
      </c>
      <c r="W217" s="263">
        <v>0</v>
      </c>
      <c r="X217" s="263">
        <v>5</v>
      </c>
      <c r="Y217" s="263">
        <v>0</v>
      </c>
      <c r="Z217" s="263">
        <v>0</v>
      </c>
      <c r="AA217" s="263">
        <v>17</v>
      </c>
      <c r="AB217" s="263">
        <v>5</v>
      </c>
      <c r="AC217" s="263">
        <v>0</v>
      </c>
      <c r="AD217" s="263">
        <v>1</v>
      </c>
      <c r="AE217" s="263"/>
      <c r="AF217" s="263"/>
      <c r="AG217" s="263"/>
      <c r="AH217" s="263"/>
      <c r="AI217" s="263"/>
      <c r="AJ217" s="259"/>
      <c r="AK217" s="263">
        <f t="shared" si="93"/>
        <v>1</v>
      </c>
      <c r="AL217" s="265">
        <f t="shared" si="106"/>
        <v>16</v>
      </c>
      <c r="AM217" s="6">
        <f t="shared" si="94"/>
        <v>1</v>
      </c>
      <c r="AN217" s="255">
        <f t="shared" si="107"/>
        <v>0.99381443298969074</v>
      </c>
      <c r="AO217" s="256">
        <f t="shared" si="108"/>
        <v>0.73666829173553383</v>
      </c>
      <c r="AP217" s="257">
        <f t="shared" si="109"/>
        <v>1030.9278350515465</v>
      </c>
      <c r="AQ217" s="263">
        <f t="shared" si="95"/>
        <v>2.5</v>
      </c>
      <c r="AR217" s="263">
        <f t="shared" si="96"/>
        <v>0</v>
      </c>
      <c r="AS217" s="263">
        <f t="shared" si="97"/>
        <v>0.1</v>
      </c>
      <c r="AT217" s="263">
        <f t="shared" si="98"/>
        <v>2.6</v>
      </c>
      <c r="AU217" s="263"/>
      <c r="AV217" s="263"/>
      <c r="AW217" s="263"/>
      <c r="AX217" s="263">
        <f t="shared" si="99"/>
        <v>2.6</v>
      </c>
      <c r="BA217" s="282">
        <f t="shared" si="110"/>
        <v>378.03921568627447</v>
      </c>
      <c r="BB217">
        <v>1</v>
      </c>
      <c r="BC217">
        <f t="shared" si="100"/>
        <v>378.03921568627447</v>
      </c>
      <c r="BD217">
        <f t="shared" si="111"/>
        <v>510</v>
      </c>
      <c r="BE217">
        <f t="shared" si="112"/>
        <v>510</v>
      </c>
      <c r="BF217" s="281">
        <f t="shared" si="101"/>
        <v>0.74125336409073428</v>
      </c>
      <c r="BG217" s="282" t="s">
        <v>2547</v>
      </c>
      <c r="BH217" s="283"/>
    </row>
    <row r="218" spans="1:60" x14ac:dyDescent="0.3">
      <c r="A218">
        <f t="shared" si="113"/>
        <v>216</v>
      </c>
      <c r="B218" s="241" t="s">
        <v>2499</v>
      </c>
      <c r="C218" s="294" t="s">
        <v>2511</v>
      </c>
      <c r="D218" s="14">
        <v>45763</v>
      </c>
      <c r="E218" s="7">
        <v>40</v>
      </c>
      <c r="F218" s="7"/>
      <c r="G218" s="66"/>
      <c r="H218" s="59"/>
      <c r="I218" s="59">
        <v>480</v>
      </c>
      <c r="J218" s="47">
        <f t="shared" si="103"/>
        <v>480</v>
      </c>
      <c r="K218" s="8">
        <f t="shared" si="104"/>
        <v>440</v>
      </c>
      <c r="L218" s="96">
        <f t="shared" si="102"/>
        <v>0.91666666666666663</v>
      </c>
      <c r="M218" s="81">
        <v>1072</v>
      </c>
      <c r="N218" s="8">
        <v>153</v>
      </c>
      <c r="O218" s="8">
        <v>60</v>
      </c>
      <c r="P218" s="96">
        <f t="shared" si="91"/>
        <v>0.9554367201426025</v>
      </c>
      <c r="Q218" s="59">
        <f t="shared" si="92"/>
        <v>1072</v>
      </c>
      <c r="R218" s="252">
        <f t="shared" si="105"/>
        <v>1082</v>
      </c>
      <c r="S218" s="263">
        <v>34</v>
      </c>
      <c r="T218" s="263">
        <v>3</v>
      </c>
      <c r="U218" s="263">
        <v>0</v>
      </c>
      <c r="V218" s="263">
        <v>0</v>
      </c>
      <c r="W218" s="263">
        <v>0</v>
      </c>
      <c r="X218" s="263">
        <v>0</v>
      </c>
      <c r="Y218" s="263">
        <v>0</v>
      </c>
      <c r="Z218" s="263">
        <v>0</v>
      </c>
      <c r="AA218" s="263">
        <v>9</v>
      </c>
      <c r="AB218" s="263">
        <v>4</v>
      </c>
      <c r="AC218" s="263">
        <v>1</v>
      </c>
      <c r="AD218" s="263">
        <v>5</v>
      </c>
      <c r="AE218" s="263"/>
      <c r="AF218" s="263"/>
      <c r="AG218" s="263"/>
      <c r="AH218" s="263"/>
      <c r="AI218" s="263"/>
      <c r="AJ218" s="259"/>
      <c r="AK218" s="263">
        <f t="shared" si="93"/>
        <v>5</v>
      </c>
      <c r="AL218" s="265">
        <f t="shared" si="106"/>
        <v>16</v>
      </c>
      <c r="AM218" s="6">
        <f t="shared" si="94"/>
        <v>5</v>
      </c>
      <c r="AN218" s="255">
        <f t="shared" si="107"/>
        <v>0.99075785582255083</v>
      </c>
      <c r="AO218" s="256">
        <f t="shared" si="108"/>
        <v>0.86772256653739743</v>
      </c>
      <c r="AP218" s="257">
        <f t="shared" si="109"/>
        <v>4621.0720887245843</v>
      </c>
      <c r="AQ218" s="263">
        <f t="shared" si="95"/>
        <v>2</v>
      </c>
      <c r="AR218" s="263">
        <f t="shared" si="96"/>
        <v>0.2</v>
      </c>
      <c r="AS218" s="263">
        <f t="shared" si="97"/>
        <v>0.5</v>
      </c>
      <c r="AT218" s="263">
        <f t="shared" si="98"/>
        <v>2.7</v>
      </c>
      <c r="AU218" s="263"/>
      <c r="AV218" s="263"/>
      <c r="AW218" s="263"/>
      <c r="AX218" s="263">
        <f t="shared" si="99"/>
        <v>2.7</v>
      </c>
      <c r="BA218" s="282">
        <f t="shared" si="110"/>
        <v>420.39215686274508</v>
      </c>
      <c r="BB218">
        <v>1</v>
      </c>
      <c r="BC218">
        <f t="shared" si="100"/>
        <v>420.39215686274508</v>
      </c>
      <c r="BD218">
        <f t="shared" si="111"/>
        <v>440</v>
      </c>
      <c r="BE218">
        <f t="shared" si="112"/>
        <v>480</v>
      </c>
      <c r="BF218" s="281">
        <f t="shared" si="101"/>
        <v>0.87581699346405228</v>
      </c>
      <c r="BG218" s="282" t="s">
        <v>2538</v>
      </c>
      <c r="BH218" s="283"/>
    </row>
    <row r="219" spans="1:60" x14ac:dyDescent="0.3">
      <c r="A219">
        <f t="shared" si="113"/>
        <v>217</v>
      </c>
      <c r="B219" s="241" t="s">
        <v>2499</v>
      </c>
      <c r="C219" s="294" t="s">
        <v>2512</v>
      </c>
      <c r="D219" s="14">
        <v>45763</v>
      </c>
      <c r="E219" s="7"/>
      <c r="F219" s="7"/>
      <c r="G219" s="66"/>
      <c r="H219" s="59"/>
      <c r="I219" s="59">
        <v>450</v>
      </c>
      <c r="J219" s="47">
        <f t="shared" si="103"/>
        <v>450</v>
      </c>
      <c r="K219" s="8">
        <f t="shared" si="104"/>
        <v>450</v>
      </c>
      <c r="L219" s="96">
        <f t="shared" si="102"/>
        <v>1</v>
      </c>
      <c r="M219" s="81">
        <v>1002</v>
      </c>
      <c r="N219" s="8">
        <v>153</v>
      </c>
      <c r="O219" s="8">
        <v>60</v>
      </c>
      <c r="P219" s="96">
        <f t="shared" si="91"/>
        <v>0.87320261437908497</v>
      </c>
      <c r="Q219" s="59">
        <f t="shared" si="92"/>
        <v>1002</v>
      </c>
      <c r="R219" s="252">
        <f t="shared" si="105"/>
        <v>1007</v>
      </c>
      <c r="S219" s="263">
        <v>51</v>
      </c>
      <c r="T219" s="263">
        <v>1</v>
      </c>
      <c r="U219" s="263">
        <v>0</v>
      </c>
      <c r="V219" s="263">
        <v>0</v>
      </c>
      <c r="W219" s="263">
        <v>0</v>
      </c>
      <c r="X219" s="263">
        <v>3</v>
      </c>
      <c r="Y219" s="263">
        <v>0</v>
      </c>
      <c r="Z219" s="263">
        <v>2</v>
      </c>
      <c r="AA219" s="263">
        <v>34</v>
      </c>
      <c r="AB219" s="263">
        <v>1</v>
      </c>
      <c r="AC219" s="263">
        <v>2</v>
      </c>
      <c r="AD219" s="263">
        <v>2</v>
      </c>
      <c r="AE219" s="263"/>
      <c r="AF219" s="263"/>
      <c r="AG219" s="263"/>
      <c r="AH219" s="263"/>
      <c r="AI219" s="263"/>
      <c r="AJ219" s="259"/>
      <c r="AK219" s="263">
        <f t="shared" si="93"/>
        <v>2</v>
      </c>
      <c r="AL219" s="265">
        <f t="shared" si="106"/>
        <v>16</v>
      </c>
      <c r="AM219" s="6">
        <f t="shared" si="94"/>
        <v>2</v>
      </c>
      <c r="AN219" s="255">
        <f t="shared" si="107"/>
        <v>0.9950347567030785</v>
      </c>
      <c r="AO219" s="256">
        <f t="shared" si="108"/>
        <v>0.86886695095118494</v>
      </c>
      <c r="AP219" s="257">
        <f t="shared" si="109"/>
        <v>1986.0973187686195</v>
      </c>
      <c r="AQ219" s="263">
        <f t="shared" si="95"/>
        <v>0.5</v>
      </c>
      <c r="AR219" s="263">
        <f t="shared" si="96"/>
        <v>0.4</v>
      </c>
      <c r="AS219" s="263">
        <f t="shared" si="97"/>
        <v>0.2</v>
      </c>
      <c r="AT219" s="263">
        <f t="shared" si="98"/>
        <v>1.1000000000000001</v>
      </c>
      <c r="AU219" s="263"/>
      <c r="AV219" s="263"/>
      <c r="AW219" s="263"/>
      <c r="AX219" s="263">
        <f t="shared" si="99"/>
        <v>1.1000000000000001</v>
      </c>
      <c r="BA219" s="282">
        <f t="shared" si="110"/>
        <v>392.94117647058823</v>
      </c>
      <c r="BB219">
        <v>1</v>
      </c>
      <c r="BC219">
        <f t="shared" si="100"/>
        <v>392.94117647058823</v>
      </c>
      <c r="BD219">
        <f t="shared" si="111"/>
        <v>450</v>
      </c>
      <c r="BE219">
        <f t="shared" si="112"/>
        <v>450</v>
      </c>
      <c r="BF219" s="281">
        <f t="shared" si="101"/>
        <v>0.87320261437908497</v>
      </c>
      <c r="BG219" s="282" t="s">
        <v>2549</v>
      </c>
      <c r="BH219" s="283"/>
    </row>
    <row r="220" spans="1:60" x14ac:dyDescent="0.3">
      <c r="A220">
        <f t="shared" si="113"/>
        <v>218</v>
      </c>
      <c r="B220" s="241" t="s">
        <v>2499</v>
      </c>
      <c r="C220" s="294" t="s">
        <v>2513</v>
      </c>
      <c r="D220" s="14">
        <v>45763</v>
      </c>
      <c r="E220" s="7"/>
      <c r="F220" s="7"/>
      <c r="G220" s="66"/>
      <c r="H220" s="59"/>
      <c r="I220" s="59">
        <v>510</v>
      </c>
      <c r="J220" s="47">
        <f t="shared" si="103"/>
        <v>510</v>
      </c>
      <c r="K220" s="8">
        <f t="shared" si="104"/>
        <v>510</v>
      </c>
      <c r="L220" s="96">
        <f t="shared" si="102"/>
        <v>1</v>
      </c>
      <c r="M220" s="81">
        <v>1300</v>
      </c>
      <c r="N220" s="8">
        <v>153</v>
      </c>
      <c r="O220" s="8">
        <v>60</v>
      </c>
      <c r="P220" s="96">
        <f t="shared" si="91"/>
        <v>0.99961553248750479</v>
      </c>
      <c r="Q220" s="59">
        <f t="shared" si="92"/>
        <v>1300</v>
      </c>
      <c r="R220" s="252">
        <f t="shared" si="105"/>
        <v>1312</v>
      </c>
      <c r="S220" s="263">
        <v>27</v>
      </c>
      <c r="T220" s="263">
        <v>0</v>
      </c>
      <c r="U220" s="263">
        <v>0</v>
      </c>
      <c r="V220" s="263">
        <v>0</v>
      </c>
      <c r="W220" s="263">
        <v>0</v>
      </c>
      <c r="X220" s="263">
        <v>10</v>
      </c>
      <c r="Y220" s="263">
        <v>0</v>
      </c>
      <c r="Z220" s="263">
        <v>1</v>
      </c>
      <c r="AA220" s="263">
        <v>6</v>
      </c>
      <c r="AB220" s="263">
        <v>5</v>
      </c>
      <c r="AC220" s="263">
        <v>5</v>
      </c>
      <c r="AD220" s="263">
        <v>2</v>
      </c>
      <c r="AE220" s="263"/>
      <c r="AF220" s="263"/>
      <c r="AG220" s="263"/>
      <c r="AH220" s="263"/>
      <c r="AI220" s="263"/>
      <c r="AJ220" s="259"/>
      <c r="AK220" s="263">
        <f t="shared" si="93"/>
        <v>2</v>
      </c>
      <c r="AL220" s="265">
        <f t="shared" si="106"/>
        <v>16</v>
      </c>
      <c r="AM220" s="6">
        <f t="shared" si="94"/>
        <v>2</v>
      </c>
      <c r="AN220" s="255">
        <f t="shared" si="107"/>
        <v>0.99085365853658536</v>
      </c>
      <c r="AO220" s="256">
        <f t="shared" si="108"/>
        <v>0.99047270749524097</v>
      </c>
      <c r="AP220" s="257">
        <f t="shared" si="109"/>
        <v>1524.3902439024391</v>
      </c>
      <c r="AQ220" s="263">
        <f t="shared" si="95"/>
        <v>2.5</v>
      </c>
      <c r="AR220" s="263">
        <f t="shared" si="96"/>
        <v>1</v>
      </c>
      <c r="AS220" s="263">
        <f t="shared" si="97"/>
        <v>0.2</v>
      </c>
      <c r="AT220" s="263">
        <f t="shared" si="98"/>
        <v>3.7</v>
      </c>
      <c r="AU220" s="263"/>
      <c r="AV220" s="263"/>
      <c r="AW220" s="263"/>
      <c r="AX220" s="263">
        <f t="shared" si="99"/>
        <v>3.7</v>
      </c>
      <c r="BA220" s="282">
        <f t="shared" si="110"/>
        <v>509.80392156862746</v>
      </c>
      <c r="BB220">
        <v>1</v>
      </c>
      <c r="BC220">
        <f t="shared" si="100"/>
        <v>509.80392156862746</v>
      </c>
      <c r="BD220">
        <f t="shared" si="111"/>
        <v>510</v>
      </c>
      <c r="BE220">
        <f t="shared" si="112"/>
        <v>510</v>
      </c>
      <c r="BF220" s="281">
        <f t="shared" si="101"/>
        <v>0.99961553248750479</v>
      </c>
      <c r="BG220" s="282" t="s">
        <v>2547</v>
      </c>
      <c r="BH220" s="283"/>
    </row>
    <row r="221" spans="1:60" x14ac:dyDescent="0.3">
      <c r="A221">
        <f t="shared" si="113"/>
        <v>219</v>
      </c>
      <c r="B221" s="241" t="s">
        <v>2499</v>
      </c>
      <c r="C221" s="294" t="s">
        <v>2511</v>
      </c>
      <c r="D221" s="14">
        <v>45764</v>
      </c>
      <c r="E221" s="7">
        <v>40</v>
      </c>
      <c r="F221" s="7"/>
      <c r="G221" s="66"/>
      <c r="H221" s="59"/>
      <c r="I221" s="59">
        <v>480</v>
      </c>
      <c r="J221" s="47">
        <f t="shared" si="103"/>
        <v>480</v>
      </c>
      <c r="K221" s="8">
        <f t="shared" si="104"/>
        <v>440</v>
      </c>
      <c r="L221" s="96">
        <f t="shared" si="102"/>
        <v>0.91666666666666663</v>
      </c>
      <c r="M221" s="81">
        <v>763</v>
      </c>
      <c r="N221" s="8">
        <v>153</v>
      </c>
      <c r="O221" s="8">
        <v>60</v>
      </c>
      <c r="P221" s="96">
        <f t="shared" ref="P221:P461" si="114">IFERROR((M221/N221*O221)/K221,"")</f>
        <v>0.68003565062388593</v>
      </c>
      <c r="Q221" s="59">
        <f t="shared" ref="Q221:Q269" si="115">M221</f>
        <v>763</v>
      </c>
      <c r="R221" s="252">
        <f t="shared" si="105"/>
        <v>808</v>
      </c>
      <c r="S221" s="263">
        <v>23</v>
      </c>
      <c r="T221" s="263">
        <v>0</v>
      </c>
      <c r="U221" s="263">
        <v>0</v>
      </c>
      <c r="V221" s="263">
        <v>0</v>
      </c>
      <c r="W221" s="263">
        <v>0</v>
      </c>
      <c r="X221" s="263">
        <v>0</v>
      </c>
      <c r="Y221" s="263">
        <v>0</v>
      </c>
      <c r="Z221" s="263">
        <v>46</v>
      </c>
      <c r="AA221" s="263">
        <v>5</v>
      </c>
      <c r="AB221" s="263">
        <v>4</v>
      </c>
      <c r="AC221" s="263">
        <v>0</v>
      </c>
      <c r="AD221" s="263">
        <v>41</v>
      </c>
      <c r="AE221" s="263"/>
      <c r="AF221" s="263"/>
      <c r="AG221" s="263"/>
      <c r="AH221" s="263"/>
      <c r="AI221" s="263"/>
      <c r="AJ221" s="259"/>
      <c r="AK221" s="263">
        <f t="shared" ref="AK221:AK270" si="116">+AD221+AE221+AF221+AG221+AH221+AI221</f>
        <v>41</v>
      </c>
      <c r="AL221" s="265">
        <f t="shared" si="106"/>
        <v>16</v>
      </c>
      <c r="AM221" s="6">
        <f t="shared" ref="AM221:AM270" si="117">AK221</f>
        <v>41</v>
      </c>
      <c r="AN221" s="255">
        <f t="shared" si="107"/>
        <v>0.94430693069306926</v>
      </c>
      <c r="AO221" s="256">
        <f t="shared" si="108"/>
        <v>0.58864884650229721</v>
      </c>
      <c r="AP221" s="257">
        <f t="shared" si="109"/>
        <v>50742.574257425746</v>
      </c>
      <c r="AQ221" s="263">
        <f t="shared" ref="AQ221:AQ269" si="118">+AB221*0.5</f>
        <v>2</v>
      </c>
      <c r="AR221" s="263">
        <f t="shared" ref="AR221:AR269" si="119">+AC221*0.2</f>
        <v>0</v>
      </c>
      <c r="AS221" s="263">
        <f t="shared" ref="AS221:AS269" si="120">+AD221*0.1</f>
        <v>4.1000000000000005</v>
      </c>
      <c r="AT221" s="263">
        <f t="shared" ref="AT221:AT269" si="121">SUM(AQ221:AS221)</f>
        <v>6.1000000000000005</v>
      </c>
      <c r="AU221" s="263"/>
      <c r="AV221" s="263"/>
      <c r="AW221" s="263"/>
      <c r="AX221" s="263">
        <f t="shared" ref="AX221:AX269" si="122">+AW221+AU221+AT221+AV221</f>
        <v>6.1000000000000005</v>
      </c>
      <c r="BA221" s="282">
        <f t="shared" si="110"/>
        <v>299.21568627450984</v>
      </c>
      <c r="BB221">
        <v>1</v>
      </c>
      <c r="BC221">
        <f t="shared" ref="BC221:BC269" si="123">IFERROR(BA221*BB221,"")</f>
        <v>299.21568627450984</v>
      </c>
      <c r="BD221">
        <f t="shared" si="111"/>
        <v>440</v>
      </c>
      <c r="BE221">
        <f t="shared" si="112"/>
        <v>480</v>
      </c>
      <c r="BF221" s="281">
        <f t="shared" ref="BF221:BF269" si="124">BC221/BE221</f>
        <v>0.62336601307189554</v>
      </c>
      <c r="BG221" s="282" t="s">
        <v>2526</v>
      </c>
      <c r="BH221" s="283" t="s">
        <v>2533</v>
      </c>
    </row>
    <row r="222" spans="1:60" x14ac:dyDescent="0.3">
      <c r="A222">
        <f t="shared" si="113"/>
        <v>220</v>
      </c>
      <c r="B222" s="241" t="s">
        <v>2499</v>
      </c>
      <c r="C222" s="294" t="s">
        <v>2512</v>
      </c>
      <c r="D222" s="14">
        <v>45764</v>
      </c>
      <c r="E222" s="7"/>
      <c r="F222" s="7"/>
      <c r="G222" s="66"/>
      <c r="H222" s="59"/>
      <c r="I222" s="59">
        <v>450</v>
      </c>
      <c r="J222" s="47">
        <f t="shared" si="103"/>
        <v>450</v>
      </c>
      <c r="K222" s="8">
        <f t="shared" si="104"/>
        <v>450</v>
      </c>
      <c r="L222" s="96">
        <f t="shared" ref="L222:L269" si="125">IFERROR(K222/J222,"")</f>
        <v>1</v>
      </c>
      <c r="M222" s="81">
        <v>510</v>
      </c>
      <c r="N222" s="8">
        <v>153</v>
      </c>
      <c r="O222" s="8">
        <v>60</v>
      </c>
      <c r="P222" s="96">
        <f t="shared" si="114"/>
        <v>0.44444444444444442</v>
      </c>
      <c r="Q222" s="59">
        <f t="shared" si="115"/>
        <v>510</v>
      </c>
      <c r="R222" s="252">
        <f t="shared" si="105"/>
        <v>553</v>
      </c>
      <c r="S222" s="263">
        <v>52</v>
      </c>
      <c r="T222" s="263">
        <v>4</v>
      </c>
      <c r="U222" s="263">
        <v>0</v>
      </c>
      <c r="V222" s="263">
        <v>6</v>
      </c>
      <c r="W222" s="263">
        <v>0</v>
      </c>
      <c r="X222" s="263">
        <v>0</v>
      </c>
      <c r="Y222" s="263">
        <v>0</v>
      </c>
      <c r="Z222" s="263">
        <v>31</v>
      </c>
      <c r="AA222" s="263">
        <v>1</v>
      </c>
      <c r="AB222" s="263">
        <v>1</v>
      </c>
      <c r="AC222" s="263">
        <v>0</v>
      </c>
      <c r="AD222" s="263">
        <v>42</v>
      </c>
      <c r="AE222" s="263"/>
      <c r="AF222" s="263"/>
      <c r="AG222" s="263"/>
      <c r="AH222" s="263"/>
      <c r="AI222" s="263"/>
      <c r="AJ222" s="259"/>
      <c r="AK222" s="263">
        <f t="shared" si="116"/>
        <v>42</v>
      </c>
      <c r="AL222" s="265">
        <f t="shared" si="106"/>
        <v>16</v>
      </c>
      <c r="AM222" s="6">
        <f t="shared" si="117"/>
        <v>42</v>
      </c>
      <c r="AN222" s="255">
        <f t="shared" si="107"/>
        <v>0.92224231464737794</v>
      </c>
      <c r="AO222" s="256">
        <f t="shared" si="108"/>
        <v>0.40988547317661239</v>
      </c>
      <c r="AP222" s="257">
        <f t="shared" si="109"/>
        <v>75949.3670886076</v>
      </c>
      <c r="AQ222" s="263">
        <f t="shared" si="118"/>
        <v>0.5</v>
      </c>
      <c r="AR222" s="263">
        <f t="shared" si="119"/>
        <v>0</v>
      </c>
      <c r="AS222" s="263">
        <f t="shared" si="120"/>
        <v>4.2</v>
      </c>
      <c r="AT222" s="263">
        <f t="shared" si="121"/>
        <v>4.7</v>
      </c>
      <c r="AU222" s="263"/>
      <c r="AV222" s="263"/>
      <c r="AW222" s="263"/>
      <c r="AX222" s="263">
        <f t="shared" si="122"/>
        <v>4.7</v>
      </c>
      <c r="BA222" s="282">
        <f t="shared" si="110"/>
        <v>200</v>
      </c>
      <c r="BB222">
        <v>1</v>
      </c>
      <c r="BC222">
        <f t="shared" si="123"/>
        <v>200</v>
      </c>
      <c r="BD222">
        <f t="shared" si="111"/>
        <v>450</v>
      </c>
      <c r="BE222">
        <f t="shared" si="112"/>
        <v>450</v>
      </c>
      <c r="BF222" s="281">
        <f t="shared" si="124"/>
        <v>0.44444444444444442</v>
      </c>
      <c r="BG222" s="282" t="s">
        <v>2549</v>
      </c>
      <c r="BH222" s="283" t="s">
        <v>2545</v>
      </c>
    </row>
    <row r="223" spans="1:60" x14ac:dyDescent="0.3">
      <c r="A223">
        <f t="shared" si="113"/>
        <v>221</v>
      </c>
      <c r="B223" s="241" t="s">
        <v>2499</v>
      </c>
      <c r="C223" s="294" t="s">
        <v>2511</v>
      </c>
      <c r="D223" s="14">
        <v>45768</v>
      </c>
      <c r="E223" s="7">
        <v>45</v>
      </c>
      <c r="F223" s="7"/>
      <c r="G223" s="66"/>
      <c r="H223" s="59"/>
      <c r="I223" s="59">
        <v>480</v>
      </c>
      <c r="J223" s="47">
        <f t="shared" ref="J223:J270" si="126">I223+H223</f>
        <v>480</v>
      </c>
      <c r="K223" s="8">
        <f t="shared" ref="K223:K270" si="127">IFERROR(J223-E223-F223-G223,"")</f>
        <v>435</v>
      </c>
      <c r="L223" s="96">
        <f t="shared" si="125"/>
        <v>0.90625</v>
      </c>
      <c r="M223" s="81">
        <v>847</v>
      </c>
      <c r="N223" s="8">
        <v>153</v>
      </c>
      <c r="O223" s="8">
        <v>60</v>
      </c>
      <c r="P223" s="96">
        <f t="shared" si="114"/>
        <v>0.7635789948163173</v>
      </c>
      <c r="Q223" s="59">
        <f t="shared" si="115"/>
        <v>847</v>
      </c>
      <c r="R223" s="252">
        <f t="shared" si="105"/>
        <v>872</v>
      </c>
      <c r="S223" s="263">
        <v>35</v>
      </c>
      <c r="T223" s="263">
        <v>0</v>
      </c>
      <c r="U223" s="263">
        <v>0</v>
      </c>
      <c r="V223" s="263">
        <v>6</v>
      </c>
      <c r="W223" s="263">
        <v>0</v>
      </c>
      <c r="X223" s="263">
        <v>3</v>
      </c>
      <c r="Y223" s="263">
        <v>0</v>
      </c>
      <c r="Z223" s="263">
        <v>16</v>
      </c>
      <c r="AA223" s="263">
        <v>3</v>
      </c>
      <c r="AB223" s="263">
        <v>1</v>
      </c>
      <c r="AC223" s="263">
        <v>1</v>
      </c>
      <c r="AD223" s="263">
        <v>23</v>
      </c>
      <c r="AE223" s="263"/>
      <c r="AF223" s="263"/>
      <c r="AG223" s="263"/>
      <c r="AH223" s="263"/>
      <c r="AI223" s="263"/>
      <c r="AJ223" s="259"/>
      <c r="AK223" s="263">
        <f t="shared" si="116"/>
        <v>23</v>
      </c>
      <c r="AL223" s="265">
        <f t="shared" si="106"/>
        <v>17</v>
      </c>
      <c r="AM223" s="6">
        <f t="shared" si="117"/>
        <v>23</v>
      </c>
      <c r="AN223" s="255">
        <f t="shared" si="107"/>
        <v>0.97133027522935778</v>
      </c>
      <c r="AO223" s="256">
        <f t="shared" si="108"/>
        <v>0.67215420189482511</v>
      </c>
      <c r="AP223" s="257">
        <f t="shared" si="109"/>
        <v>26376.146788990827</v>
      </c>
      <c r="AQ223" s="263">
        <f t="shared" si="118"/>
        <v>0.5</v>
      </c>
      <c r="AR223" s="263">
        <f t="shared" si="119"/>
        <v>0.2</v>
      </c>
      <c r="AS223" s="263">
        <f t="shared" si="120"/>
        <v>2.3000000000000003</v>
      </c>
      <c r="AT223" s="263">
        <f t="shared" si="121"/>
        <v>3</v>
      </c>
      <c r="AU223" s="263"/>
      <c r="AV223" s="263"/>
      <c r="AW223" s="263"/>
      <c r="AX223" s="263">
        <f t="shared" si="122"/>
        <v>3</v>
      </c>
      <c r="BA223" s="282">
        <f t="shared" si="110"/>
        <v>332.15686274509801</v>
      </c>
      <c r="BB223">
        <v>1</v>
      </c>
      <c r="BC223">
        <f t="shared" si="123"/>
        <v>332.15686274509801</v>
      </c>
      <c r="BD223">
        <f t="shared" si="111"/>
        <v>435</v>
      </c>
      <c r="BE223">
        <f t="shared" si="112"/>
        <v>480</v>
      </c>
      <c r="BF223" s="281">
        <f t="shared" si="124"/>
        <v>0.69199346405228757</v>
      </c>
      <c r="BG223" s="282" t="s">
        <v>2538</v>
      </c>
      <c r="BH223" s="283"/>
    </row>
    <row r="224" spans="1:60" x14ac:dyDescent="0.3">
      <c r="A224">
        <f t="shared" si="113"/>
        <v>222</v>
      </c>
      <c r="B224" s="241" t="s">
        <v>2499</v>
      </c>
      <c r="C224" s="294" t="s">
        <v>2512</v>
      </c>
      <c r="D224" s="14">
        <v>45768</v>
      </c>
      <c r="E224" s="7"/>
      <c r="F224" s="7"/>
      <c r="G224" s="66"/>
      <c r="H224" s="59"/>
      <c r="I224" s="59">
        <v>450</v>
      </c>
      <c r="J224" s="47">
        <f t="shared" si="126"/>
        <v>450</v>
      </c>
      <c r="K224" s="8">
        <f t="shared" si="127"/>
        <v>450</v>
      </c>
      <c r="L224" s="96">
        <f t="shared" si="125"/>
        <v>1</v>
      </c>
      <c r="M224" s="81">
        <v>780</v>
      </c>
      <c r="N224" s="8">
        <v>153</v>
      </c>
      <c r="O224" s="8">
        <v>60</v>
      </c>
      <c r="P224" s="96">
        <f t="shared" si="114"/>
        <v>0.6797385620915033</v>
      </c>
      <c r="Q224" s="59">
        <f t="shared" si="115"/>
        <v>780</v>
      </c>
      <c r="R224" s="252">
        <f t="shared" si="105"/>
        <v>805</v>
      </c>
      <c r="S224" s="263">
        <v>31</v>
      </c>
      <c r="T224" s="263">
        <v>0</v>
      </c>
      <c r="U224" s="263">
        <v>0</v>
      </c>
      <c r="V224" s="263">
        <v>6</v>
      </c>
      <c r="W224" s="263">
        <v>0</v>
      </c>
      <c r="X224" s="263">
        <v>5</v>
      </c>
      <c r="Y224" s="263">
        <v>0</v>
      </c>
      <c r="Z224" s="263">
        <v>26</v>
      </c>
      <c r="AA224" s="263">
        <v>1</v>
      </c>
      <c r="AB224" s="263">
        <v>18</v>
      </c>
      <c r="AC224" s="263">
        <v>3</v>
      </c>
      <c r="AD224" s="263">
        <v>4</v>
      </c>
      <c r="AE224" s="263"/>
      <c r="AF224" s="263"/>
      <c r="AG224" s="263"/>
      <c r="AH224" s="263"/>
      <c r="AI224" s="263"/>
      <c r="AJ224" s="259"/>
      <c r="AK224" s="263">
        <f t="shared" si="116"/>
        <v>4</v>
      </c>
      <c r="AL224" s="265">
        <f t="shared" si="106"/>
        <v>17</v>
      </c>
      <c r="AM224" s="6">
        <f t="shared" si="117"/>
        <v>4</v>
      </c>
      <c r="AN224" s="255">
        <f t="shared" si="107"/>
        <v>0.96894409937888204</v>
      </c>
      <c r="AO224" s="256">
        <f t="shared" si="108"/>
        <v>0.65862866885884797</v>
      </c>
      <c r="AP224" s="257">
        <f t="shared" si="109"/>
        <v>4968.9440993788821</v>
      </c>
      <c r="AQ224" s="263">
        <f t="shared" si="118"/>
        <v>9</v>
      </c>
      <c r="AR224" s="263">
        <f t="shared" si="119"/>
        <v>0.60000000000000009</v>
      </c>
      <c r="AS224" s="263">
        <f t="shared" si="120"/>
        <v>0.4</v>
      </c>
      <c r="AT224" s="263">
        <f t="shared" si="121"/>
        <v>10</v>
      </c>
      <c r="AU224" s="263"/>
      <c r="AV224" s="263"/>
      <c r="AW224" s="263"/>
      <c r="AX224" s="263">
        <f t="shared" si="122"/>
        <v>10</v>
      </c>
      <c r="BA224" s="282">
        <f t="shared" si="110"/>
        <v>305.88235294117646</v>
      </c>
      <c r="BB224">
        <v>1</v>
      </c>
      <c r="BC224">
        <f t="shared" si="123"/>
        <v>305.88235294117646</v>
      </c>
      <c r="BD224">
        <f t="shared" si="111"/>
        <v>450</v>
      </c>
      <c r="BE224">
        <f t="shared" si="112"/>
        <v>450</v>
      </c>
      <c r="BF224" s="281">
        <f t="shared" si="124"/>
        <v>0.6797385620915033</v>
      </c>
      <c r="BG224" s="282" t="s">
        <v>2549</v>
      </c>
      <c r="BH224" s="283"/>
    </row>
    <row r="225" spans="1:60" x14ac:dyDescent="0.3">
      <c r="A225">
        <f t="shared" si="113"/>
        <v>223</v>
      </c>
      <c r="B225" s="241" t="s">
        <v>2499</v>
      </c>
      <c r="C225" s="294" t="s">
        <v>2513</v>
      </c>
      <c r="D225" s="14">
        <v>45768</v>
      </c>
      <c r="E225" s="7"/>
      <c r="F225" s="7"/>
      <c r="G225" s="66"/>
      <c r="H225" s="59"/>
      <c r="I225" s="59">
        <v>510</v>
      </c>
      <c r="J225" s="47">
        <f t="shared" si="126"/>
        <v>510</v>
      </c>
      <c r="K225" s="8">
        <f t="shared" si="127"/>
        <v>510</v>
      </c>
      <c r="L225" s="96">
        <f t="shared" si="125"/>
        <v>1</v>
      </c>
      <c r="M225" s="81">
        <v>846</v>
      </c>
      <c r="N225" s="8">
        <v>153</v>
      </c>
      <c r="O225" s="8">
        <v>60</v>
      </c>
      <c r="P225" s="96">
        <f t="shared" si="114"/>
        <v>0.65051903114186849</v>
      </c>
      <c r="Q225" s="59">
        <f t="shared" si="115"/>
        <v>846</v>
      </c>
      <c r="R225" s="252">
        <f t="shared" si="105"/>
        <v>915</v>
      </c>
      <c r="S225" s="263">
        <v>28</v>
      </c>
      <c r="T225" s="263">
        <v>1</v>
      </c>
      <c r="U225" s="263">
        <v>0</v>
      </c>
      <c r="V225" s="263">
        <v>3</v>
      </c>
      <c r="W225" s="263">
        <v>2</v>
      </c>
      <c r="X225" s="263">
        <v>2</v>
      </c>
      <c r="Y225" s="263">
        <v>0</v>
      </c>
      <c r="Z225" s="263">
        <v>34</v>
      </c>
      <c r="AA225" s="263">
        <v>15</v>
      </c>
      <c r="AB225" s="263">
        <v>57</v>
      </c>
      <c r="AC225" s="263">
        <v>0</v>
      </c>
      <c r="AD225" s="263">
        <v>12</v>
      </c>
      <c r="AE225" s="263"/>
      <c r="AF225" s="263"/>
      <c r="AG225" s="263"/>
      <c r="AH225" s="263"/>
      <c r="AI225" s="263"/>
      <c r="AJ225" s="259"/>
      <c r="AK225" s="263">
        <f t="shared" si="116"/>
        <v>12</v>
      </c>
      <c r="AL225" s="265">
        <f t="shared" si="106"/>
        <v>17</v>
      </c>
      <c r="AM225" s="6">
        <f t="shared" si="117"/>
        <v>12</v>
      </c>
      <c r="AN225" s="255">
        <f t="shared" si="107"/>
        <v>0.92459016393442628</v>
      </c>
      <c r="AO225" s="256">
        <f t="shared" si="108"/>
        <v>0.60146349764592433</v>
      </c>
      <c r="AP225" s="257">
        <f t="shared" si="109"/>
        <v>13114.754098360656</v>
      </c>
      <c r="AQ225" s="263">
        <f t="shared" si="118"/>
        <v>28.5</v>
      </c>
      <c r="AR225" s="263">
        <f t="shared" si="119"/>
        <v>0</v>
      </c>
      <c r="AS225" s="263">
        <f t="shared" si="120"/>
        <v>1.2000000000000002</v>
      </c>
      <c r="AT225" s="263">
        <f t="shared" si="121"/>
        <v>29.7</v>
      </c>
      <c r="AU225" s="263"/>
      <c r="AV225" s="263"/>
      <c r="AW225" s="263"/>
      <c r="AX225" s="263">
        <f t="shared" si="122"/>
        <v>29.7</v>
      </c>
      <c r="BA225" s="282">
        <f t="shared" si="110"/>
        <v>331.76470588235293</v>
      </c>
      <c r="BB225">
        <v>1</v>
      </c>
      <c r="BC225">
        <f t="shared" si="123"/>
        <v>331.76470588235293</v>
      </c>
      <c r="BD225">
        <f t="shared" si="111"/>
        <v>510</v>
      </c>
      <c r="BE225">
        <f t="shared" si="112"/>
        <v>510</v>
      </c>
      <c r="BF225" s="281">
        <f t="shared" si="124"/>
        <v>0.65051903114186849</v>
      </c>
      <c r="BG225" s="282" t="s">
        <v>2547</v>
      </c>
      <c r="BH225" s="283"/>
    </row>
    <row r="226" spans="1:60" x14ac:dyDescent="0.3">
      <c r="A226">
        <f t="shared" si="113"/>
        <v>224</v>
      </c>
      <c r="B226" s="241" t="s">
        <v>2499</v>
      </c>
      <c r="C226" s="294" t="s">
        <v>2511</v>
      </c>
      <c r="D226" s="14">
        <v>45769</v>
      </c>
      <c r="E226" s="7">
        <v>45</v>
      </c>
      <c r="F226" s="7">
        <f>4*60</f>
        <v>240</v>
      </c>
      <c r="G226" s="66"/>
      <c r="H226" s="59"/>
      <c r="I226" s="59">
        <v>480</v>
      </c>
      <c r="J226" s="47">
        <f t="shared" si="126"/>
        <v>480</v>
      </c>
      <c r="K226" s="8">
        <f t="shared" si="127"/>
        <v>195</v>
      </c>
      <c r="L226" s="96">
        <f t="shared" si="125"/>
        <v>0.40625</v>
      </c>
      <c r="M226" s="81">
        <v>313</v>
      </c>
      <c r="N226" s="8">
        <v>153</v>
      </c>
      <c r="O226" s="8">
        <v>60</v>
      </c>
      <c r="P226" s="96">
        <f t="shared" si="114"/>
        <v>0.62946204122674709</v>
      </c>
      <c r="Q226" s="59">
        <f t="shared" si="115"/>
        <v>313</v>
      </c>
      <c r="R226" s="252">
        <f t="shared" si="105"/>
        <v>424</v>
      </c>
      <c r="S226" s="263">
        <v>61</v>
      </c>
      <c r="T226" s="263">
        <v>10</v>
      </c>
      <c r="U226" s="263">
        <v>0</v>
      </c>
      <c r="V226" s="263">
        <v>0</v>
      </c>
      <c r="W226" s="263">
        <v>0</v>
      </c>
      <c r="X226" s="263">
        <v>0</v>
      </c>
      <c r="Y226" s="263">
        <v>0</v>
      </c>
      <c r="Z226" s="263">
        <v>4</v>
      </c>
      <c r="AA226" s="263">
        <v>9</v>
      </c>
      <c r="AB226" s="263">
        <v>108</v>
      </c>
      <c r="AC226" s="263">
        <v>0</v>
      </c>
      <c r="AD226" s="263">
        <v>3</v>
      </c>
      <c r="AE226" s="263"/>
      <c r="AF226" s="263"/>
      <c r="AG226" s="263"/>
      <c r="AH226" s="263"/>
      <c r="AI226" s="263"/>
      <c r="AJ226" s="259"/>
      <c r="AK226" s="263">
        <f t="shared" si="116"/>
        <v>3</v>
      </c>
      <c r="AL226" s="265">
        <f t="shared" si="106"/>
        <v>17</v>
      </c>
      <c r="AM226" s="6">
        <f t="shared" si="117"/>
        <v>3</v>
      </c>
      <c r="AN226" s="255">
        <f t="shared" si="107"/>
        <v>0.7382075471698113</v>
      </c>
      <c r="AO226" s="256">
        <f t="shared" si="108"/>
        <v>0.18877366198051548</v>
      </c>
      <c r="AP226" s="257">
        <f t="shared" si="109"/>
        <v>7075.4716981132078</v>
      </c>
      <c r="AQ226" s="263">
        <f t="shared" si="118"/>
        <v>54</v>
      </c>
      <c r="AR226" s="263">
        <f t="shared" si="119"/>
        <v>0</v>
      </c>
      <c r="AS226" s="263">
        <f t="shared" si="120"/>
        <v>0.30000000000000004</v>
      </c>
      <c r="AT226" s="263">
        <f t="shared" si="121"/>
        <v>54.3</v>
      </c>
      <c r="AU226" s="263"/>
      <c r="AV226" s="263"/>
      <c r="AW226" s="263"/>
      <c r="AX226" s="263">
        <f t="shared" si="122"/>
        <v>54.3</v>
      </c>
      <c r="BA226" s="282">
        <f t="shared" si="110"/>
        <v>122.74509803921568</v>
      </c>
      <c r="BB226">
        <v>1</v>
      </c>
      <c r="BC226">
        <f t="shared" si="123"/>
        <v>122.74509803921568</v>
      </c>
      <c r="BD226">
        <f t="shared" si="111"/>
        <v>195</v>
      </c>
      <c r="BE226">
        <f t="shared" si="112"/>
        <v>480</v>
      </c>
      <c r="BF226" s="281">
        <f t="shared" si="124"/>
        <v>0.25571895424836599</v>
      </c>
      <c r="BG226" s="282" t="s">
        <v>2538</v>
      </c>
      <c r="BH226" s="283"/>
    </row>
    <row r="227" spans="1:60" x14ac:dyDescent="0.3">
      <c r="A227">
        <f t="shared" si="113"/>
        <v>225</v>
      </c>
      <c r="B227" s="241" t="s">
        <v>2499</v>
      </c>
      <c r="C227" s="294" t="s">
        <v>2512</v>
      </c>
      <c r="D227" s="14">
        <v>45769</v>
      </c>
      <c r="E227" s="7"/>
      <c r="F227" s="7">
        <f>4*60</f>
        <v>240</v>
      </c>
      <c r="G227" s="66"/>
      <c r="H227" s="59"/>
      <c r="I227" s="59">
        <v>450</v>
      </c>
      <c r="J227" s="47">
        <f t="shared" si="126"/>
        <v>450</v>
      </c>
      <c r="K227" s="8">
        <f t="shared" si="127"/>
        <v>210</v>
      </c>
      <c r="L227" s="96">
        <f t="shared" si="125"/>
        <v>0.46666666666666667</v>
      </c>
      <c r="M227" s="81">
        <v>395</v>
      </c>
      <c r="N227" s="8">
        <v>153</v>
      </c>
      <c r="O227" s="8">
        <v>60</v>
      </c>
      <c r="P227" s="96">
        <f t="shared" si="114"/>
        <v>0.73762838468720826</v>
      </c>
      <c r="Q227" s="59">
        <f t="shared" si="115"/>
        <v>395</v>
      </c>
      <c r="R227" s="252">
        <f t="shared" si="105"/>
        <v>468</v>
      </c>
      <c r="S227" s="263">
        <v>119</v>
      </c>
      <c r="T227" s="263">
        <v>0</v>
      </c>
      <c r="U227" s="263">
        <v>0</v>
      </c>
      <c r="V227" s="263">
        <v>0</v>
      </c>
      <c r="W227" s="263">
        <v>0</v>
      </c>
      <c r="X227" s="263">
        <v>0</v>
      </c>
      <c r="Y227" s="263">
        <v>0</v>
      </c>
      <c r="Z227" s="263">
        <v>58</v>
      </c>
      <c r="AA227" s="263">
        <v>37</v>
      </c>
      <c r="AB227" s="263">
        <v>69</v>
      </c>
      <c r="AC227" s="263">
        <v>2</v>
      </c>
      <c r="AD227" s="263">
        <v>2</v>
      </c>
      <c r="AE227" s="263"/>
      <c r="AF227" s="263"/>
      <c r="AG227" s="263"/>
      <c r="AH227" s="263"/>
      <c r="AI227" s="263"/>
      <c r="AJ227" s="259"/>
      <c r="AK227" s="263">
        <f t="shared" si="116"/>
        <v>2</v>
      </c>
      <c r="AL227" s="265">
        <f t="shared" si="106"/>
        <v>17</v>
      </c>
      <c r="AM227" s="6">
        <f t="shared" si="117"/>
        <v>2</v>
      </c>
      <c r="AN227" s="255">
        <f t="shared" si="107"/>
        <v>0.84401709401709402</v>
      </c>
      <c r="AO227" s="256">
        <f t="shared" si="108"/>
        <v>0.29053311733050297</v>
      </c>
      <c r="AP227" s="257">
        <f t="shared" si="109"/>
        <v>4273.5042735042744</v>
      </c>
      <c r="AQ227" s="263">
        <f t="shared" si="118"/>
        <v>34.5</v>
      </c>
      <c r="AR227" s="263">
        <f t="shared" si="119"/>
        <v>0.4</v>
      </c>
      <c r="AS227" s="263">
        <f t="shared" si="120"/>
        <v>0.2</v>
      </c>
      <c r="AT227" s="263">
        <f t="shared" si="121"/>
        <v>35.1</v>
      </c>
      <c r="AU227" s="263"/>
      <c r="AV227" s="263"/>
      <c r="AW227" s="263"/>
      <c r="AX227" s="263">
        <f t="shared" si="122"/>
        <v>35.1</v>
      </c>
      <c r="BA227" s="282">
        <f t="shared" si="110"/>
        <v>154.90196078431373</v>
      </c>
      <c r="BB227">
        <v>1</v>
      </c>
      <c r="BC227">
        <f t="shared" si="123"/>
        <v>154.90196078431373</v>
      </c>
      <c r="BD227">
        <f t="shared" si="111"/>
        <v>210</v>
      </c>
      <c r="BE227">
        <f t="shared" si="112"/>
        <v>450</v>
      </c>
      <c r="BF227" s="281">
        <f t="shared" si="124"/>
        <v>0.34422657952069718</v>
      </c>
      <c r="BG227" s="282" t="s">
        <v>2549</v>
      </c>
      <c r="BH227" s="283"/>
    </row>
    <row r="228" spans="1:60" x14ac:dyDescent="0.3">
      <c r="A228">
        <f t="shared" si="113"/>
        <v>226</v>
      </c>
      <c r="B228" s="241" t="s">
        <v>2499</v>
      </c>
      <c r="C228" s="294" t="s">
        <v>2513</v>
      </c>
      <c r="D228" s="14">
        <v>45769</v>
      </c>
      <c r="E228" s="7"/>
      <c r="F228" s="7">
        <f>33+20+45+20</f>
        <v>118</v>
      </c>
      <c r="G228" s="66"/>
      <c r="H228" s="59"/>
      <c r="I228" s="59">
        <v>510</v>
      </c>
      <c r="J228" s="47">
        <f t="shared" si="126"/>
        <v>510</v>
      </c>
      <c r="K228" s="8">
        <f t="shared" si="127"/>
        <v>392</v>
      </c>
      <c r="L228" s="96">
        <f t="shared" si="125"/>
        <v>0.7686274509803922</v>
      </c>
      <c r="M228" s="81">
        <v>682</v>
      </c>
      <c r="N228" s="8">
        <v>153</v>
      </c>
      <c r="O228" s="8">
        <v>60</v>
      </c>
      <c r="P228" s="96">
        <f t="shared" si="114"/>
        <v>0.68227290916366545</v>
      </c>
      <c r="Q228" s="59">
        <f t="shared" si="115"/>
        <v>682</v>
      </c>
      <c r="R228" s="252">
        <f t="shared" si="105"/>
        <v>739</v>
      </c>
      <c r="S228" s="263">
        <v>72</v>
      </c>
      <c r="T228" s="263">
        <v>1</v>
      </c>
      <c r="U228" s="263">
        <v>0</v>
      </c>
      <c r="V228" s="263">
        <v>0</v>
      </c>
      <c r="W228" s="263">
        <v>2</v>
      </c>
      <c r="X228" s="263">
        <v>3</v>
      </c>
      <c r="Y228" s="263">
        <v>0</v>
      </c>
      <c r="Z228" s="263">
        <v>117</v>
      </c>
      <c r="AA228" s="263">
        <v>3</v>
      </c>
      <c r="AB228" s="263">
        <v>48</v>
      </c>
      <c r="AC228" s="263">
        <v>1</v>
      </c>
      <c r="AD228" s="263">
        <v>8</v>
      </c>
      <c r="AE228" s="263"/>
      <c r="AF228" s="263"/>
      <c r="AG228" s="263"/>
      <c r="AH228" s="263"/>
      <c r="AI228" s="263"/>
      <c r="AJ228" s="259"/>
      <c r="AK228" s="263">
        <f t="shared" si="116"/>
        <v>8</v>
      </c>
      <c r="AL228" s="265">
        <f t="shared" si="106"/>
        <v>17</v>
      </c>
      <c r="AM228" s="6">
        <f t="shared" si="117"/>
        <v>8</v>
      </c>
      <c r="AN228" s="255">
        <f t="shared" si="107"/>
        <v>0.92286874154262521</v>
      </c>
      <c r="AO228" s="256">
        <f t="shared" si="108"/>
        <v>0.48396499940951204</v>
      </c>
      <c r="AP228" s="257">
        <f t="shared" si="109"/>
        <v>10825.439783491205</v>
      </c>
      <c r="AQ228" s="263">
        <f t="shared" si="118"/>
        <v>24</v>
      </c>
      <c r="AR228" s="263">
        <f t="shared" si="119"/>
        <v>0.2</v>
      </c>
      <c r="AS228" s="263">
        <f t="shared" si="120"/>
        <v>0.8</v>
      </c>
      <c r="AT228" s="263">
        <f t="shared" si="121"/>
        <v>25</v>
      </c>
      <c r="AU228" s="263"/>
      <c r="AV228" s="263"/>
      <c r="AW228" s="263"/>
      <c r="AX228" s="263">
        <f t="shared" si="122"/>
        <v>25</v>
      </c>
      <c r="BA228" s="282">
        <f t="shared" si="110"/>
        <v>267.45098039215685</v>
      </c>
      <c r="BB228">
        <v>1</v>
      </c>
      <c r="BC228">
        <f t="shared" si="123"/>
        <v>267.45098039215685</v>
      </c>
      <c r="BD228">
        <f t="shared" si="111"/>
        <v>392</v>
      </c>
      <c r="BE228">
        <f t="shared" si="112"/>
        <v>510</v>
      </c>
      <c r="BF228" s="281">
        <f t="shared" si="124"/>
        <v>0.52441368704344482</v>
      </c>
      <c r="BG228" s="282" t="s">
        <v>2547</v>
      </c>
      <c r="BH228" s="283"/>
    </row>
    <row r="229" spans="1:60" x14ac:dyDescent="0.3">
      <c r="A229">
        <f t="shared" si="113"/>
        <v>227</v>
      </c>
      <c r="B229" s="241" t="s">
        <v>2499</v>
      </c>
      <c r="C229" s="294" t="s">
        <v>2511</v>
      </c>
      <c r="D229" s="14">
        <v>45770</v>
      </c>
      <c r="E229" s="7">
        <v>40</v>
      </c>
      <c r="F229" s="7"/>
      <c r="G229" s="66"/>
      <c r="H229" s="59"/>
      <c r="I229" s="59">
        <v>480</v>
      </c>
      <c r="J229" s="47">
        <f t="shared" si="126"/>
        <v>480</v>
      </c>
      <c r="K229" s="8">
        <f t="shared" si="127"/>
        <v>440</v>
      </c>
      <c r="L229" s="96">
        <f t="shared" si="125"/>
        <v>0.91666666666666663</v>
      </c>
      <c r="M229" s="81">
        <v>721</v>
      </c>
      <c r="N229" s="8">
        <v>153</v>
      </c>
      <c r="O229" s="8">
        <v>60</v>
      </c>
      <c r="P229" s="96">
        <f t="shared" si="114"/>
        <v>0.64260249554367199</v>
      </c>
      <c r="Q229" s="59">
        <f t="shared" si="115"/>
        <v>721</v>
      </c>
      <c r="R229" s="252">
        <f t="shared" si="105"/>
        <v>778</v>
      </c>
      <c r="S229" s="263">
        <v>68</v>
      </c>
      <c r="T229" s="263">
        <v>1</v>
      </c>
      <c r="U229" s="263">
        <v>0</v>
      </c>
      <c r="V229" s="263">
        <v>0</v>
      </c>
      <c r="W229" s="263">
        <v>0</v>
      </c>
      <c r="X229" s="263">
        <v>0</v>
      </c>
      <c r="Y229" s="263">
        <v>0</v>
      </c>
      <c r="Z229" s="263">
        <v>1</v>
      </c>
      <c r="AA229" s="263">
        <v>9</v>
      </c>
      <c r="AB229" s="263">
        <v>50</v>
      </c>
      <c r="AC229" s="263">
        <v>3</v>
      </c>
      <c r="AD229" s="263">
        <v>4</v>
      </c>
      <c r="AE229" s="263"/>
      <c r="AF229" s="263"/>
      <c r="AG229" s="263"/>
      <c r="AH229" s="263"/>
      <c r="AI229" s="263"/>
      <c r="AJ229" s="259"/>
      <c r="AK229" s="263">
        <f t="shared" si="116"/>
        <v>4</v>
      </c>
      <c r="AL229" s="265">
        <f t="shared" si="106"/>
        <v>17</v>
      </c>
      <c r="AM229" s="6">
        <f t="shared" si="117"/>
        <v>4</v>
      </c>
      <c r="AN229" s="255">
        <f t="shared" si="107"/>
        <v>0.92673521850899743</v>
      </c>
      <c r="AO229" s="256">
        <f t="shared" si="108"/>
        <v>0.54589550044525093</v>
      </c>
      <c r="AP229" s="257">
        <f t="shared" si="109"/>
        <v>5141.3881748071972</v>
      </c>
      <c r="AQ229" s="263">
        <f t="shared" si="118"/>
        <v>25</v>
      </c>
      <c r="AR229" s="263">
        <f t="shared" si="119"/>
        <v>0.60000000000000009</v>
      </c>
      <c r="AS229" s="263">
        <f t="shared" si="120"/>
        <v>0.4</v>
      </c>
      <c r="AT229" s="263">
        <f t="shared" si="121"/>
        <v>26</v>
      </c>
      <c r="AU229" s="263"/>
      <c r="AV229" s="263"/>
      <c r="AW229" s="263"/>
      <c r="AX229" s="263">
        <f t="shared" si="122"/>
        <v>26</v>
      </c>
      <c r="BA229" s="282">
        <f t="shared" si="110"/>
        <v>282.74509803921569</v>
      </c>
      <c r="BB229">
        <v>1</v>
      </c>
      <c r="BC229">
        <f t="shared" si="123"/>
        <v>282.74509803921569</v>
      </c>
      <c r="BD229">
        <f t="shared" si="111"/>
        <v>440</v>
      </c>
      <c r="BE229">
        <f t="shared" si="112"/>
        <v>480</v>
      </c>
      <c r="BF229" s="281">
        <f t="shared" si="124"/>
        <v>0.58905228758169936</v>
      </c>
      <c r="BG229" s="282" t="s">
        <v>2538</v>
      </c>
      <c r="BH229" s="283"/>
    </row>
    <row r="230" spans="1:60" x14ac:dyDescent="0.3">
      <c r="A230">
        <f t="shared" si="113"/>
        <v>228</v>
      </c>
      <c r="B230" s="241" t="s">
        <v>2499</v>
      </c>
      <c r="C230" s="294" t="s">
        <v>2512</v>
      </c>
      <c r="D230" s="14">
        <v>45770</v>
      </c>
      <c r="E230" s="7"/>
      <c r="F230" s="7">
        <v>60</v>
      </c>
      <c r="G230" s="66"/>
      <c r="H230" s="59"/>
      <c r="I230" s="59">
        <v>450</v>
      </c>
      <c r="J230" s="47">
        <f t="shared" si="126"/>
        <v>450</v>
      </c>
      <c r="K230" s="8">
        <f t="shared" si="127"/>
        <v>390</v>
      </c>
      <c r="L230" s="96">
        <f t="shared" si="125"/>
        <v>0.8666666666666667</v>
      </c>
      <c r="M230" s="81">
        <v>751</v>
      </c>
      <c r="N230" s="8">
        <v>153</v>
      </c>
      <c r="O230" s="8">
        <v>60</v>
      </c>
      <c r="P230" s="96">
        <f t="shared" si="114"/>
        <v>0.75515334338863749</v>
      </c>
      <c r="Q230" s="59">
        <f t="shared" si="115"/>
        <v>751</v>
      </c>
      <c r="R230" s="252">
        <f t="shared" si="105"/>
        <v>767</v>
      </c>
      <c r="S230" s="263">
        <v>38</v>
      </c>
      <c r="T230" s="263">
        <v>0</v>
      </c>
      <c r="U230" s="263">
        <v>0</v>
      </c>
      <c r="V230" s="263">
        <v>0</v>
      </c>
      <c r="W230" s="263">
        <v>0</v>
      </c>
      <c r="X230" s="263">
        <v>0</v>
      </c>
      <c r="Y230" s="263">
        <v>0</v>
      </c>
      <c r="Z230" s="263">
        <v>0</v>
      </c>
      <c r="AA230" s="263">
        <v>0</v>
      </c>
      <c r="AB230" s="263">
        <v>4</v>
      </c>
      <c r="AC230" s="263">
        <v>3</v>
      </c>
      <c r="AD230" s="263">
        <v>9</v>
      </c>
      <c r="AE230" s="263"/>
      <c r="AF230" s="263"/>
      <c r="AG230" s="263"/>
      <c r="AH230" s="263"/>
      <c r="AI230" s="263"/>
      <c r="AJ230" s="259"/>
      <c r="AK230" s="263">
        <f t="shared" si="116"/>
        <v>9</v>
      </c>
      <c r="AL230" s="265">
        <f t="shared" si="106"/>
        <v>17</v>
      </c>
      <c r="AM230" s="6">
        <f t="shared" si="117"/>
        <v>9</v>
      </c>
      <c r="AN230" s="255">
        <f t="shared" si="107"/>
        <v>0.9791395045632334</v>
      </c>
      <c r="AO230" s="256">
        <f t="shared" si="108"/>
        <v>0.64081374111284373</v>
      </c>
      <c r="AP230" s="257">
        <f t="shared" si="109"/>
        <v>11734.028683181226</v>
      </c>
      <c r="AQ230" s="263">
        <f t="shared" si="118"/>
        <v>2</v>
      </c>
      <c r="AR230" s="263">
        <f t="shared" si="119"/>
        <v>0.60000000000000009</v>
      </c>
      <c r="AS230" s="263">
        <f t="shared" si="120"/>
        <v>0.9</v>
      </c>
      <c r="AT230" s="263">
        <f t="shared" si="121"/>
        <v>3.5</v>
      </c>
      <c r="AU230" s="263"/>
      <c r="AV230" s="263"/>
      <c r="AW230" s="263"/>
      <c r="AX230" s="263">
        <f t="shared" si="122"/>
        <v>3.5</v>
      </c>
      <c r="BA230" s="282">
        <f t="shared" si="110"/>
        <v>294.50980392156862</v>
      </c>
      <c r="BB230">
        <v>1</v>
      </c>
      <c r="BC230">
        <f t="shared" si="123"/>
        <v>294.50980392156862</v>
      </c>
      <c r="BD230">
        <f t="shared" si="111"/>
        <v>390</v>
      </c>
      <c r="BE230">
        <f t="shared" si="112"/>
        <v>450</v>
      </c>
      <c r="BF230" s="281">
        <f t="shared" si="124"/>
        <v>0.6544662309368191</v>
      </c>
      <c r="BG230" s="282" t="s">
        <v>2549</v>
      </c>
      <c r="BH230" s="283"/>
    </row>
    <row r="231" spans="1:60" x14ac:dyDescent="0.3">
      <c r="A231">
        <f t="shared" si="113"/>
        <v>229</v>
      </c>
      <c r="B231" s="241" t="s">
        <v>2499</v>
      </c>
      <c r="C231" s="294" t="s">
        <v>2513</v>
      </c>
      <c r="D231" s="14">
        <v>45770</v>
      </c>
      <c r="E231" s="7"/>
      <c r="F231" s="7">
        <v>60</v>
      </c>
      <c r="G231" s="66"/>
      <c r="H231" s="59"/>
      <c r="I231" s="59">
        <v>510</v>
      </c>
      <c r="J231" s="47">
        <f t="shared" si="126"/>
        <v>510</v>
      </c>
      <c r="K231" s="8">
        <f t="shared" si="127"/>
        <v>450</v>
      </c>
      <c r="L231" s="96">
        <f t="shared" si="125"/>
        <v>0.88235294117647056</v>
      </c>
      <c r="M231" s="81">
        <v>1061</v>
      </c>
      <c r="N231" s="8">
        <v>153</v>
      </c>
      <c r="O231" s="8">
        <v>60</v>
      </c>
      <c r="P231" s="96">
        <f t="shared" si="114"/>
        <v>0.92461873638344239</v>
      </c>
      <c r="Q231" s="59">
        <f t="shared" si="115"/>
        <v>1061</v>
      </c>
      <c r="R231" s="252">
        <f t="shared" si="105"/>
        <v>1104</v>
      </c>
      <c r="S231" s="263">
        <v>14</v>
      </c>
      <c r="T231" s="263">
        <v>0</v>
      </c>
      <c r="U231" s="263">
        <v>0</v>
      </c>
      <c r="V231" s="263">
        <v>0</v>
      </c>
      <c r="W231" s="263">
        <v>0</v>
      </c>
      <c r="X231" s="263">
        <v>2</v>
      </c>
      <c r="Y231" s="263">
        <v>0</v>
      </c>
      <c r="Z231" s="263">
        <v>0</v>
      </c>
      <c r="AA231" s="263">
        <v>4</v>
      </c>
      <c r="AB231" s="263">
        <v>22</v>
      </c>
      <c r="AC231" s="263">
        <v>18</v>
      </c>
      <c r="AD231" s="263">
        <v>3</v>
      </c>
      <c r="AE231" s="263"/>
      <c r="AF231" s="263"/>
      <c r="AG231" s="263"/>
      <c r="AH231" s="263"/>
      <c r="AI231" s="263"/>
      <c r="AJ231" s="259"/>
      <c r="AK231" s="263">
        <f t="shared" si="116"/>
        <v>3</v>
      </c>
      <c r="AL231" s="265">
        <f t="shared" si="106"/>
        <v>17</v>
      </c>
      <c r="AM231" s="6">
        <f t="shared" si="117"/>
        <v>3</v>
      </c>
      <c r="AN231" s="255">
        <f t="shared" si="107"/>
        <v>0.96105072463768115</v>
      </c>
      <c r="AO231" s="256">
        <f t="shared" si="108"/>
        <v>0.78406368230725088</v>
      </c>
      <c r="AP231" s="257">
        <f t="shared" si="109"/>
        <v>2717.391304347826</v>
      </c>
      <c r="AQ231" s="263">
        <f t="shared" si="118"/>
        <v>11</v>
      </c>
      <c r="AR231" s="263">
        <f t="shared" si="119"/>
        <v>3.6</v>
      </c>
      <c r="AS231" s="263">
        <f t="shared" si="120"/>
        <v>0.30000000000000004</v>
      </c>
      <c r="AT231" s="263">
        <f t="shared" si="121"/>
        <v>14.9</v>
      </c>
      <c r="AU231" s="263"/>
      <c r="AV231" s="263"/>
      <c r="AW231" s="263"/>
      <c r="AX231" s="263">
        <f t="shared" si="122"/>
        <v>14.9</v>
      </c>
      <c r="BA231" s="282">
        <f t="shared" si="110"/>
        <v>416.07843137254906</v>
      </c>
      <c r="BB231">
        <v>1</v>
      </c>
      <c r="BC231">
        <f t="shared" si="123"/>
        <v>416.07843137254906</v>
      </c>
      <c r="BD231">
        <f t="shared" si="111"/>
        <v>450</v>
      </c>
      <c r="BE231">
        <f t="shared" si="112"/>
        <v>510</v>
      </c>
      <c r="BF231" s="281">
        <f t="shared" si="124"/>
        <v>0.81584006151480204</v>
      </c>
      <c r="BG231" s="282" t="s">
        <v>2547</v>
      </c>
      <c r="BH231" s="283"/>
    </row>
    <row r="232" spans="1:60" x14ac:dyDescent="0.3">
      <c r="A232">
        <f t="shared" si="113"/>
        <v>230</v>
      </c>
      <c r="B232" s="241" t="s">
        <v>2499</v>
      </c>
      <c r="C232" s="294" t="s">
        <v>2511</v>
      </c>
      <c r="D232" s="14">
        <v>45771</v>
      </c>
      <c r="E232" s="7">
        <v>45</v>
      </c>
      <c r="F232" s="7">
        <v>120</v>
      </c>
      <c r="G232" s="66"/>
      <c r="H232" s="59"/>
      <c r="I232" s="59">
        <v>480</v>
      </c>
      <c r="J232" s="47">
        <f t="shared" si="126"/>
        <v>480</v>
      </c>
      <c r="K232" s="8">
        <f t="shared" si="127"/>
        <v>315</v>
      </c>
      <c r="L232" s="96">
        <f t="shared" si="125"/>
        <v>0.65625</v>
      </c>
      <c r="M232" s="81">
        <v>729</v>
      </c>
      <c r="N232" s="8">
        <v>153</v>
      </c>
      <c r="O232" s="8">
        <v>60</v>
      </c>
      <c r="P232" s="96">
        <f t="shared" si="114"/>
        <v>0.90756302521008403</v>
      </c>
      <c r="Q232" s="59">
        <f t="shared" si="115"/>
        <v>729</v>
      </c>
      <c r="R232" s="252">
        <f t="shared" si="105"/>
        <v>819</v>
      </c>
      <c r="S232" s="263">
        <v>110</v>
      </c>
      <c r="T232" s="263">
        <v>3</v>
      </c>
      <c r="U232" s="263">
        <v>0</v>
      </c>
      <c r="V232" s="263">
        <v>0</v>
      </c>
      <c r="W232" s="263">
        <v>0</v>
      </c>
      <c r="X232" s="263">
        <v>0</v>
      </c>
      <c r="Y232" s="263">
        <v>0</v>
      </c>
      <c r="Z232" s="263">
        <v>1</v>
      </c>
      <c r="AA232" s="263">
        <v>6</v>
      </c>
      <c r="AB232" s="263">
        <v>89</v>
      </c>
      <c r="AC232" s="263">
        <v>0</v>
      </c>
      <c r="AD232" s="263">
        <v>1</v>
      </c>
      <c r="AE232" s="263"/>
      <c r="AF232" s="263"/>
      <c r="AG232" s="263"/>
      <c r="AH232" s="263"/>
      <c r="AI232" s="263"/>
      <c r="AJ232" s="259"/>
      <c r="AK232" s="263">
        <f t="shared" si="116"/>
        <v>1</v>
      </c>
      <c r="AL232" s="265">
        <f t="shared" si="106"/>
        <v>17</v>
      </c>
      <c r="AM232" s="6">
        <f t="shared" si="117"/>
        <v>1</v>
      </c>
      <c r="AN232" s="255">
        <f t="shared" si="107"/>
        <v>0.89010989010989006</v>
      </c>
      <c r="AO232" s="256">
        <f t="shared" si="108"/>
        <v>0.53013897866839044</v>
      </c>
      <c r="AP232" s="257">
        <f t="shared" si="109"/>
        <v>1221.001221001221</v>
      </c>
      <c r="AQ232" s="263">
        <f t="shared" si="118"/>
        <v>44.5</v>
      </c>
      <c r="AR232" s="263">
        <f t="shared" si="119"/>
        <v>0</v>
      </c>
      <c r="AS232" s="263">
        <f t="shared" si="120"/>
        <v>0.1</v>
      </c>
      <c r="AT232" s="263">
        <f t="shared" si="121"/>
        <v>44.6</v>
      </c>
      <c r="AU232" s="263"/>
      <c r="AV232" s="263"/>
      <c r="AW232" s="263"/>
      <c r="AX232" s="263">
        <f t="shared" si="122"/>
        <v>44.6</v>
      </c>
      <c r="BA232" s="282">
        <f t="shared" si="110"/>
        <v>285.88235294117646</v>
      </c>
      <c r="BB232">
        <v>1</v>
      </c>
      <c r="BC232">
        <f t="shared" si="123"/>
        <v>285.88235294117646</v>
      </c>
      <c r="BD232">
        <f t="shared" si="111"/>
        <v>315</v>
      </c>
      <c r="BE232">
        <f t="shared" si="112"/>
        <v>480</v>
      </c>
      <c r="BF232" s="281">
        <f t="shared" si="124"/>
        <v>0.59558823529411764</v>
      </c>
      <c r="BG232" s="282" t="s">
        <v>2538</v>
      </c>
      <c r="BH232" s="283"/>
    </row>
    <row r="233" spans="1:60" x14ac:dyDescent="0.3">
      <c r="A233">
        <f t="shared" si="113"/>
        <v>231</v>
      </c>
      <c r="B233" s="241" t="s">
        <v>2499</v>
      </c>
      <c r="C233" s="294" t="s">
        <v>2512</v>
      </c>
      <c r="D233" s="14">
        <v>45771</v>
      </c>
      <c r="E233" s="7"/>
      <c r="F233" s="7">
        <f>30+30+30</f>
        <v>90</v>
      </c>
      <c r="G233" s="66"/>
      <c r="H233" s="59"/>
      <c r="I233" s="59">
        <v>450</v>
      </c>
      <c r="J233" s="47">
        <f t="shared" si="126"/>
        <v>450</v>
      </c>
      <c r="K233" s="8">
        <f t="shared" si="127"/>
        <v>360</v>
      </c>
      <c r="L233" s="96">
        <f t="shared" si="125"/>
        <v>0.8</v>
      </c>
      <c r="M233" s="81">
        <v>604</v>
      </c>
      <c r="N233" s="8">
        <v>153</v>
      </c>
      <c r="O233" s="8">
        <v>60</v>
      </c>
      <c r="P233" s="96">
        <f t="shared" si="114"/>
        <v>0.65795206971677567</v>
      </c>
      <c r="Q233" s="59">
        <f t="shared" si="115"/>
        <v>604</v>
      </c>
      <c r="R233" s="252">
        <f t="shared" si="105"/>
        <v>608</v>
      </c>
      <c r="S233" s="263">
        <v>56</v>
      </c>
      <c r="T233" s="263">
        <v>1</v>
      </c>
      <c r="U233" s="263">
        <v>0</v>
      </c>
      <c r="V233" s="263">
        <v>10</v>
      </c>
      <c r="W233" s="263">
        <v>0</v>
      </c>
      <c r="X233" s="263">
        <v>2</v>
      </c>
      <c r="Y233" s="263">
        <v>0</v>
      </c>
      <c r="Z233" s="263">
        <v>0</v>
      </c>
      <c r="AA233" s="263">
        <v>1</v>
      </c>
      <c r="AB233" s="263">
        <v>3</v>
      </c>
      <c r="AC233" s="263">
        <v>0</v>
      </c>
      <c r="AD233" s="263">
        <v>1</v>
      </c>
      <c r="AE233" s="263"/>
      <c r="AF233" s="263"/>
      <c r="AG233" s="263"/>
      <c r="AH233" s="263"/>
      <c r="AI233" s="263"/>
      <c r="AJ233" s="259"/>
      <c r="AK233" s="263">
        <f t="shared" si="116"/>
        <v>1</v>
      </c>
      <c r="AL233" s="265">
        <f t="shared" si="106"/>
        <v>17</v>
      </c>
      <c r="AM233" s="6">
        <f t="shared" si="117"/>
        <v>1</v>
      </c>
      <c r="AN233" s="255">
        <f t="shared" si="107"/>
        <v>0.99342105263157898</v>
      </c>
      <c r="AO233" s="256">
        <f t="shared" si="108"/>
        <v>0.52289875014333231</v>
      </c>
      <c r="AP233" s="257">
        <f t="shared" si="109"/>
        <v>1644.7368421052631</v>
      </c>
      <c r="AQ233" s="263">
        <f t="shared" si="118"/>
        <v>1.5</v>
      </c>
      <c r="AR233" s="263">
        <f t="shared" si="119"/>
        <v>0</v>
      </c>
      <c r="AS233" s="263">
        <f t="shared" si="120"/>
        <v>0.1</v>
      </c>
      <c r="AT233" s="263">
        <f t="shared" si="121"/>
        <v>1.6</v>
      </c>
      <c r="AU233" s="263"/>
      <c r="AV233" s="263"/>
      <c r="AW233" s="263"/>
      <c r="AX233" s="263">
        <f t="shared" si="122"/>
        <v>1.6</v>
      </c>
      <c r="BA233" s="282">
        <f t="shared" si="110"/>
        <v>236.86274509803923</v>
      </c>
      <c r="BB233">
        <v>1</v>
      </c>
      <c r="BC233">
        <f t="shared" si="123"/>
        <v>236.86274509803923</v>
      </c>
      <c r="BD233">
        <f t="shared" si="111"/>
        <v>360</v>
      </c>
      <c r="BE233">
        <f t="shared" si="112"/>
        <v>450</v>
      </c>
      <c r="BF233" s="281">
        <f t="shared" si="124"/>
        <v>0.52636165577342053</v>
      </c>
      <c r="BG233" s="282" t="s">
        <v>2549</v>
      </c>
      <c r="BH233" s="283"/>
    </row>
    <row r="234" spans="1:60" x14ac:dyDescent="0.3">
      <c r="A234">
        <f t="shared" si="113"/>
        <v>232</v>
      </c>
      <c r="B234" s="241" t="s">
        <v>2499</v>
      </c>
      <c r="C234" s="294" t="s">
        <v>2513</v>
      </c>
      <c r="D234" s="14">
        <v>45771</v>
      </c>
      <c r="E234" s="7"/>
      <c r="F234" s="7">
        <f>60+60+45+60+30</f>
        <v>255</v>
      </c>
      <c r="G234" s="66"/>
      <c r="H234" s="59"/>
      <c r="I234" s="59">
        <v>510</v>
      </c>
      <c r="J234" s="47">
        <f t="shared" si="126"/>
        <v>510</v>
      </c>
      <c r="K234" s="8">
        <f t="shared" si="127"/>
        <v>255</v>
      </c>
      <c r="L234" s="96">
        <f t="shared" si="125"/>
        <v>0.5</v>
      </c>
      <c r="M234" s="81">
        <v>325</v>
      </c>
      <c r="N234" s="8">
        <v>153</v>
      </c>
      <c r="O234" s="8">
        <v>60</v>
      </c>
      <c r="P234" s="96">
        <f t="shared" si="114"/>
        <v>0.49980776624375239</v>
      </c>
      <c r="Q234" s="59">
        <f t="shared" si="115"/>
        <v>325</v>
      </c>
      <c r="R234" s="252">
        <f t="shared" si="105"/>
        <v>360</v>
      </c>
      <c r="S234" s="263">
        <v>40</v>
      </c>
      <c r="T234" s="263">
        <v>0</v>
      </c>
      <c r="U234" s="263">
        <v>0</v>
      </c>
      <c r="V234" s="263">
        <v>0</v>
      </c>
      <c r="W234" s="263">
        <v>0</v>
      </c>
      <c r="X234" s="263">
        <v>0</v>
      </c>
      <c r="Y234" s="263">
        <v>0</v>
      </c>
      <c r="Z234" s="263">
        <v>1</v>
      </c>
      <c r="AA234" s="263">
        <v>0</v>
      </c>
      <c r="AB234" s="263">
        <v>35</v>
      </c>
      <c r="AC234" s="263">
        <v>0</v>
      </c>
      <c r="AD234" s="263">
        <v>0</v>
      </c>
      <c r="AE234" s="263"/>
      <c r="AF234" s="263"/>
      <c r="AG234" s="263"/>
      <c r="AH234" s="263"/>
      <c r="AI234" s="263"/>
      <c r="AJ234" s="259"/>
      <c r="AK234" s="263">
        <f t="shared" si="116"/>
        <v>0</v>
      </c>
      <c r="AL234" s="265">
        <f t="shared" si="106"/>
        <v>17</v>
      </c>
      <c r="AM234" s="6">
        <f t="shared" si="117"/>
        <v>0</v>
      </c>
      <c r="AN234" s="255">
        <f t="shared" si="107"/>
        <v>0.90277777777777779</v>
      </c>
      <c r="AO234" s="256">
        <f t="shared" si="108"/>
        <v>0.2256076722628049</v>
      </c>
      <c r="AP234" s="257">
        <f t="shared" si="109"/>
        <v>0</v>
      </c>
      <c r="AQ234" s="263">
        <f t="shared" si="118"/>
        <v>17.5</v>
      </c>
      <c r="AR234" s="263">
        <f t="shared" si="119"/>
        <v>0</v>
      </c>
      <c r="AS234" s="263">
        <f t="shared" si="120"/>
        <v>0</v>
      </c>
      <c r="AT234" s="263">
        <f t="shared" si="121"/>
        <v>17.5</v>
      </c>
      <c r="AU234" s="263"/>
      <c r="AV234" s="263"/>
      <c r="AW234" s="263"/>
      <c r="AX234" s="263">
        <f t="shared" si="122"/>
        <v>17.5</v>
      </c>
      <c r="BA234" s="282">
        <f t="shared" si="110"/>
        <v>127.45098039215686</v>
      </c>
      <c r="BB234">
        <v>1</v>
      </c>
      <c r="BC234">
        <f t="shared" si="123"/>
        <v>127.45098039215686</v>
      </c>
      <c r="BD234">
        <f t="shared" si="111"/>
        <v>255</v>
      </c>
      <c r="BE234">
        <f t="shared" si="112"/>
        <v>510</v>
      </c>
      <c r="BF234" s="281">
        <f t="shared" si="124"/>
        <v>0.2499038831218762</v>
      </c>
      <c r="BG234" s="282" t="s">
        <v>2547</v>
      </c>
      <c r="BH234" s="283"/>
    </row>
    <row r="235" spans="1:60" x14ac:dyDescent="0.3">
      <c r="A235">
        <f t="shared" si="113"/>
        <v>233</v>
      </c>
      <c r="B235" s="241" t="s">
        <v>2499</v>
      </c>
      <c r="C235" s="294" t="s">
        <v>2511</v>
      </c>
      <c r="D235" s="14">
        <v>45772</v>
      </c>
      <c r="E235" s="7">
        <v>40</v>
      </c>
      <c r="F235" s="7">
        <f>450-40</f>
        <v>410</v>
      </c>
      <c r="G235" s="66"/>
      <c r="H235" s="59"/>
      <c r="I235" s="59">
        <v>480</v>
      </c>
      <c r="J235" s="47">
        <f t="shared" si="126"/>
        <v>480</v>
      </c>
      <c r="K235" s="8">
        <f t="shared" si="127"/>
        <v>30</v>
      </c>
      <c r="L235" s="96">
        <f t="shared" si="125"/>
        <v>6.25E-2</v>
      </c>
      <c r="M235" s="81">
        <v>25</v>
      </c>
      <c r="N235" s="8">
        <v>153</v>
      </c>
      <c r="O235" s="8">
        <v>60</v>
      </c>
      <c r="P235" s="96">
        <f t="shared" si="114"/>
        <v>0.32679738562091504</v>
      </c>
      <c r="Q235" s="59">
        <f t="shared" si="115"/>
        <v>25</v>
      </c>
      <c r="R235" s="252">
        <f t="shared" si="105"/>
        <v>38</v>
      </c>
      <c r="S235" s="263">
        <v>3</v>
      </c>
      <c r="T235" s="263">
        <v>3</v>
      </c>
      <c r="U235" s="263">
        <v>2</v>
      </c>
      <c r="V235" s="263">
        <v>0</v>
      </c>
      <c r="W235" s="263">
        <v>0</v>
      </c>
      <c r="X235" s="263">
        <v>0</v>
      </c>
      <c r="Y235" s="263">
        <v>0</v>
      </c>
      <c r="Z235" s="263">
        <v>0</v>
      </c>
      <c r="AA235" s="263">
        <v>0</v>
      </c>
      <c r="AB235" s="263">
        <v>4</v>
      </c>
      <c r="AC235" s="263">
        <v>9</v>
      </c>
      <c r="AD235" s="263">
        <v>0</v>
      </c>
      <c r="AE235" s="263"/>
      <c r="AF235" s="263"/>
      <c r="AG235" s="263"/>
      <c r="AH235" s="263"/>
      <c r="AI235" s="263"/>
      <c r="AJ235" s="259"/>
      <c r="AK235" s="263">
        <f t="shared" si="116"/>
        <v>0</v>
      </c>
      <c r="AL235" s="265">
        <f t="shared" si="106"/>
        <v>17</v>
      </c>
      <c r="AM235" s="6">
        <f t="shared" si="117"/>
        <v>0</v>
      </c>
      <c r="AN235" s="255">
        <f t="shared" si="107"/>
        <v>0.65789473684210531</v>
      </c>
      <c r="AO235" s="256">
        <f t="shared" si="108"/>
        <v>1.3437392500859993E-2</v>
      </c>
      <c r="AP235" s="257">
        <f t="shared" si="109"/>
        <v>0</v>
      </c>
      <c r="AQ235" s="263">
        <f t="shared" si="118"/>
        <v>2</v>
      </c>
      <c r="AR235" s="263">
        <f t="shared" si="119"/>
        <v>1.8</v>
      </c>
      <c r="AS235" s="263">
        <f t="shared" si="120"/>
        <v>0</v>
      </c>
      <c r="AT235" s="263">
        <f t="shared" si="121"/>
        <v>3.8</v>
      </c>
      <c r="AU235" s="263"/>
      <c r="AV235" s="263"/>
      <c r="AW235" s="263"/>
      <c r="AX235" s="263">
        <f t="shared" si="122"/>
        <v>3.8</v>
      </c>
      <c r="BA235" s="282">
        <f t="shared" si="110"/>
        <v>9.8039215686274517</v>
      </c>
      <c r="BB235">
        <v>1</v>
      </c>
      <c r="BC235">
        <f t="shared" si="123"/>
        <v>9.8039215686274517</v>
      </c>
      <c r="BD235">
        <f t="shared" si="111"/>
        <v>30</v>
      </c>
      <c r="BE235">
        <f t="shared" si="112"/>
        <v>480</v>
      </c>
      <c r="BF235" s="281">
        <f t="shared" si="124"/>
        <v>2.042483660130719E-2</v>
      </c>
      <c r="BG235" s="282" t="s">
        <v>2538</v>
      </c>
      <c r="BH235" s="283"/>
    </row>
    <row r="236" spans="1:60" x14ac:dyDescent="0.3">
      <c r="A236">
        <f t="shared" si="113"/>
        <v>234</v>
      </c>
      <c r="B236" s="241" t="s">
        <v>2499</v>
      </c>
      <c r="C236" s="294" t="s">
        <v>2512</v>
      </c>
      <c r="D236" s="14">
        <v>45772</v>
      </c>
      <c r="E236" s="7">
        <v>40</v>
      </c>
      <c r="F236" s="7">
        <v>90</v>
      </c>
      <c r="G236" s="66"/>
      <c r="H236" s="59"/>
      <c r="I236" s="59">
        <v>450</v>
      </c>
      <c r="J236" s="47">
        <f t="shared" si="126"/>
        <v>450</v>
      </c>
      <c r="K236" s="8">
        <f t="shared" si="127"/>
        <v>320</v>
      </c>
      <c r="L236" s="96">
        <f t="shared" si="125"/>
        <v>0.71111111111111114</v>
      </c>
      <c r="M236" s="81">
        <v>754</v>
      </c>
      <c r="N236" s="8">
        <v>153</v>
      </c>
      <c r="O236" s="8">
        <v>60</v>
      </c>
      <c r="P236" s="96">
        <f t="shared" si="114"/>
        <v>0.9240196078431373</v>
      </c>
      <c r="Q236" s="59">
        <f t="shared" si="115"/>
        <v>754</v>
      </c>
      <c r="R236" s="252">
        <f t="shared" si="105"/>
        <v>773</v>
      </c>
      <c r="S236" s="263">
        <v>25</v>
      </c>
      <c r="T236" s="263">
        <v>0</v>
      </c>
      <c r="U236" s="263">
        <v>0</v>
      </c>
      <c r="V236" s="263">
        <v>0</v>
      </c>
      <c r="W236" s="263">
        <v>0</v>
      </c>
      <c r="X236" s="263">
        <v>0</v>
      </c>
      <c r="Y236" s="263">
        <v>0</v>
      </c>
      <c r="Z236" s="263">
        <v>0</v>
      </c>
      <c r="AA236" s="263">
        <v>0</v>
      </c>
      <c r="AB236" s="263">
        <v>17</v>
      </c>
      <c r="AC236" s="263">
        <v>0</v>
      </c>
      <c r="AD236" s="263">
        <v>2</v>
      </c>
      <c r="AE236" s="263"/>
      <c r="AF236" s="263"/>
      <c r="AG236" s="263"/>
      <c r="AH236" s="263"/>
      <c r="AI236" s="263"/>
      <c r="AJ236" s="259"/>
      <c r="AK236" s="263">
        <f t="shared" si="116"/>
        <v>2</v>
      </c>
      <c r="AL236" s="265">
        <f t="shared" si="106"/>
        <v>17</v>
      </c>
      <c r="AM236" s="6">
        <f t="shared" si="117"/>
        <v>2</v>
      </c>
      <c r="AN236" s="255">
        <f t="shared" si="107"/>
        <v>0.97542043984476068</v>
      </c>
      <c r="AO236" s="256">
        <f t="shared" si="108"/>
        <v>0.6409298576409147</v>
      </c>
      <c r="AP236" s="257">
        <f t="shared" si="109"/>
        <v>2587.3221216041397</v>
      </c>
      <c r="AQ236" s="263">
        <f t="shared" si="118"/>
        <v>8.5</v>
      </c>
      <c r="AR236" s="263">
        <f t="shared" si="119"/>
        <v>0</v>
      </c>
      <c r="AS236" s="263">
        <f t="shared" si="120"/>
        <v>0.2</v>
      </c>
      <c r="AT236" s="263">
        <f t="shared" si="121"/>
        <v>8.6999999999999993</v>
      </c>
      <c r="AU236" s="263"/>
      <c r="AV236" s="263"/>
      <c r="AW236" s="263"/>
      <c r="AX236" s="263">
        <f t="shared" si="122"/>
        <v>8.6999999999999993</v>
      </c>
      <c r="BA236" s="282">
        <f t="shared" si="110"/>
        <v>295.68627450980392</v>
      </c>
      <c r="BB236">
        <v>1</v>
      </c>
      <c r="BC236">
        <f t="shared" si="123"/>
        <v>295.68627450980392</v>
      </c>
      <c r="BD236">
        <f t="shared" si="111"/>
        <v>320</v>
      </c>
      <c r="BE236">
        <f t="shared" si="112"/>
        <v>450</v>
      </c>
      <c r="BF236" s="281">
        <f t="shared" si="124"/>
        <v>0.65708061002178653</v>
      </c>
      <c r="BG236" s="282" t="s">
        <v>2549</v>
      </c>
      <c r="BH236" s="283"/>
    </row>
    <row r="237" spans="1:60" x14ac:dyDescent="0.3">
      <c r="A237">
        <f t="shared" si="113"/>
        <v>235</v>
      </c>
      <c r="B237" s="241" t="s">
        <v>2499</v>
      </c>
      <c r="C237" s="294" t="s">
        <v>2513</v>
      </c>
      <c r="D237" s="14">
        <v>45772</v>
      </c>
      <c r="E237" s="7"/>
      <c r="F237" s="7"/>
      <c r="G237" s="66"/>
      <c r="H237" s="59"/>
      <c r="I237" s="59">
        <v>510</v>
      </c>
      <c r="J237" s="47">
        <f t="shared" si="126"/>
        <v>510</v>
      </c>
      <c r="K237" s="8">
        <f t="shared" si="127"/>
        <v>510</v>
      </c>
      <c r="L237" s="96">
        <f t="shared" si="125"/>
        <v>1</v>
      </c>
      <c r="M237" s="81">
        <v>1025</v>
      </c>
      <c r="N237" s="8">
        <v>153</v>
      </c>
      <c r="O237" s="8">
        <v>60</v>
      </c>
      <c r="P237" s="96">
        <f t="shared" si="114"/>
        <v>0.78815840061514808</v>
      </c>
      <c r="Q237" s="59">
        <f t="shared" si="115"/>
        <v>1025</v>
      </c>
      <c r="R237" s="252">
        <f t="shared" si="105"/>
        <v>1054</v>
      </c>
      <c r="S237" s="263">
        <v>50</v>
      </c>
      <c r="T237" s="263">
        <v>0</v>
      </c>
      <c r="U237" s="263">
        <v>0</v>
      </c>
      <c r="V237" s="263">
        <v>0</v>
      </c>
      <c r="W237" s="263">
        <v>0</v>
      </c>
      <c r="X237" s="263">
        <v>2</v>
      </c>
      <c r="Y237" s="263">
        <v>0</v>
      </c>
      <c r="Z237" s="263">
        <v>0</v>
      </c>
      <c r="AA237" s="263">
        <v>0</v>
      </c>
      <c r="AB237" s="263">
        <v>26</v>
      </c>
      <c r="AC237" s="263">
        <v>1</v>
      </c>
      <c r="AD237" s="263">
        <v>2</v>
      </c>
      <c r="AE237" s="263"/>
      <c r="AF237" s="263"/>
      <c r="AG237" s="263"/>
      <c r="AH237" s="263"/>
      <c r="AI237" s="263"/>
      <c r="AJ237" s="259"/>
      <c r="AK237" s="263">
        <f t="shared" si="116"/>
        <v>2</v>
      </c>
      <c r="AL237" s="265">
        <f t="shared" si="106"/>
        <v>17</v>
      </c>
      <c r="AM237" s="6">
        <f t="shared" si="117"/>
        <v>2</v>
      </c>
      <c r="AN237" s="255">
        <f t="shared" si="107"/>
        <v>0.97248576850094881</v>
      </c>
      <c r="AO237" s="256">
        <f t="shared" si="108"/>
        <v>0.76647282792270099</v>
      </c>
      <c r="AP237" s="257">
        <f t="shared" si="109"/>
        <v>1897.5332068311195</v>
      </c>
      <c r="AQ237" s="263">
        <f t="shared" si="118"/>
        <v>13</v>
      </c>
      <c r="AR237" s="263">
        <f t="shared" si="119"/>
        <v>0.2</v>
      </c>
      <c r="AS237" s="263">
        <f t="shared" si="120"/>
        <v>0.2</v>
      </c>
      <c r="AT237" s="263">
        <f t="shared" si="121"/>
        <v>13.399999999999999</v>
      </c>
      <c r="AU237" s="263"/>
      <c r="AV237" s="263"/>
      <c r="AW237" s="263"/>
      <c r="AX237" s="263">
        <f t="shared" si="122"/>
        <v>13.399999999999999</v>
      </c>
      <c r="BA237" s="282">
        <f t="shared" si="110"/>
        <v>401.96078431372553</v>
      </c>
      <c r="BB237">
        <v>1</v>
      </c>
      <c r="BC237">
        <f t="shared" si="123"/>
        <v>401.96078431372553</v>
      </c>
      <c r="BD237">
        <f t="shared" si="111"/>
        <v>510</v>
      </c>
      <c r="BE237">
        <f t="shared" si="112"/>
        <v>510</v>
      </c>
      <c r="BF237" s="281">
        <f t="shared" si="124"/>
        <v>0.78815840061514808</v>
      </c>
      <c r="BG237" s="282" t="s">
        <v>2547</v>
      </c>
      <c r="BH237" s="283"/>
    </row>
    <row r="238" spans="1:60" x14ac:dyDescent="0.3">
      <c r="A238">
        <f t="shared" si="113"/>
        <v>236</v>
      </c>
      <c r="B238" s="241" t="s">
        <v>2499</v>
      </c>
      <c r="C238" s="294" t="s">
        <v>2511</v>
      </c>
      <c r="D238" s="14">
        <v>45773</v>
      </c>
      <c r="E238" s="7">
        <v>40</v>
      </c>
      <c r="F238" s="7"/>
      <c r="G238" s="66"/>
      <c r="H238" s="59"/>
      <c r="I238" s="59">
        <v>480</v>
      </c>
      <c r="J238" s="47">
        <f t="shared" si="126"/>
        <v>480</v>
      </c>
      <c r="K238" s="8">
        <f t="shared" si="127"/>
        <v>440</v>
      </c>
      <c r="L238" s="96">
        <f t="shared" si="125"/>
        <v>0.91666666666666663</v>
      </c>
      <c r="M238" s="81">
        <v>1044</v>
      </c>
      <c r="N238" s="8">
        <v>153</v>
      </c>
      <c r="O238" s="8">
        <v>60</v>
      </c>
      <c r="P238" s="96">
        <f t="shared" si="114"/>
        <v>0.93048128342245984</v>
      </c>
      <c r="Q238" s="59">
        <f t="shared" si="115"/>
        <v>1044</v>
      </c>
      <c r="R238" s="252">
        <f t="shared" si="105"/>
        <v>1074</v>
      </c>
      <c r="S238" s="263">
        <v>15</v>
      </c>
      <c r="T238" s="263">
        <v>0</v>
      </c>
      <c r="U238" s="263">
        <v>0</v>
      </c>
      <c r="V238" s="263">
        <v>0</v>
      </c>
      <c r="W238" s="263">
        <v>0</v>
      </c>
      <c r="X238" s="263">
        <v>0</v>
      </c>
      <c r="Y238" s="263">
        <v>0</v>
      </c>
      <c r="Z238" s="263">
        <v>0</v>
      </c>
      <c r="AA238" s="263">
        <v>4</v>
      </c>
      <c r="AB238" s="263">
        <v>25</v>
      </c>
      <c r="AC238" s="263">
        <v>2</v>
      </c>
      <c r="AD238" s="263">
        <v>3</v>
      </c>
      <c r="AE238" s="263"/>
      <c r="AF238" s="263"/>
      <c r="AG238" s="263"/>
      <c r="AH238" s="263"/>
      <c r="AI238" s="263"/>
      <c r="AJ238" s="259"/>
      <c r="AK238" s="263">
        <f t="shared" si="116"/>
        <v>3</v>
      </c>
      <c r="AL238" s="265">
        <f t="shared" si="106"/>
        <v>17</v>
      </c>
      <c r="AM238" s="6">
        <f t="shared" si="117"/>
        <v>3</v>
      </c>
      <c r="AN238" s="255">
        <f t="shared" si="107"/>
        <v>0.97206703910614523</v>
      </c>
      <c r="AO238" s="256">
        <f t="shared" si="108"/>
        <v>0.82911600394347673</v>
      </c>
      <c r="AP238" s="257">
        <f t="shared" si="109"/>
        <v>2793.2960893854752</v>
      </c>
      <c r="AQ238" s="263">
        <f t="shared" si="118"/>
        <v>12.5</v>
      </c>
      <c r="AR238" s="263">
        <f t="shared" si="119"/>
        <v>0.4</v>
      </c>
      <c r="AS238" s="263">
        <f t="shared" si="120"/>
        <v>0.30000000000000004</v>
      </c>
      <c r="AT238" s="263">
        <f t="shared" si="121"/>
        <v>13.200000000000001</v>
      </c>
      <c r="AU238" s="263"/>
      <c r="AV238" s="263"/>
      <c r="AW238" s="263"/>
      <c r="AX238" s="263">
        <f t="shared" si="122"/>
        <v>13.200000000000001</v>
      </c>
      <c r="BA238" s="282">
        <f t="shared" si="110"/>
        <v>409.41176470588232</v>
      </c>
      <c r="BB238">
        <v>1</v>
      </c>
      <c r="BC238">
        <f t="shared" si="123"/>
        <v>409.41176470588232</v>
      </c>
      <c r="BD238">
        <f t="shared" si="111"/>
        <v>440</v>
      </c>
      <c r="BE238">
        <f t="shared" si="112"/>
        <v>480</v>
      </c>
      <c r="BF238" s="281">
        <f t="shared" si="124"/>
        <v>0.8529411764705882</v>
      </c>
      <c r="BG238" s="282" t="s">
        <v>2481</v>
      </c>
      <c r="BH238" s="283"/>
    </row>
    <row r="239" spans="1:60" x14ac:dyDescent="0.3">
      <c r="A239">
        <f t="shared" si="113"/>
        <v>237</v>
      </c>
      <c r="B239" s="241" t="s">
        <v>2499</v>
      </c>
      <c r="C239" s="294" t="s">
        <v>2512</v>
      </c>
      <c r="D239" s="14">
        <v>45773</v>
      </c>
      <c r="E239" s="7"/>
      <c r="F239" s="7"/>
      <c r="G239" s="66"/>
      <c r="H239" s="59"/>
      <c r="I239" s="59">
        <v>450</v>
      </c>
      <c r="J239" s="47">
        <f t="shared" si="126"/>
        <v>450</v>
      </c>
      <c r="K239" s="8">
        <f t="shared" si="127"/>
        <v>450</v>
      </c>
      <c r="L239" s="96">
        <f t="shared" si="125"/>
        <v>1</v>
      </c>
      <c r="M239" s="81">
        <f>75+94+139+128+136+36+119+54</f>
        <v>781</v>
      </c>
      <c r="N239" s="8">
        <v>153</v>
      </c>
      <c r="O239" s="8">
        <v>60</v>
      </c>
      <c r="P239" s="96">
        <f t="shared" si="114"/>
        <v>0.68061002178649233</v>
      </c>
      <c r="Q239" s="59">
        <f t="shared" si="115"/>
        <v>781</v>
      </c>
      <c r="R239" s="252">
        <f t="shared" si="105"/>
        <v>822</v>
      </c>
      <c r="S239" s="263">
        <v>20</v>
      </c>
      <c r="T239" s="263">
        <v>2</v>
      </c>
      <c r="U239" s="263">
        <v>0</v>
      </c>
      <c r="V239" s="263">
        <v>0</v>
      </c>
      <c r="W239" s="263">
        <v>0</v>
      </c>
      <c r="X239" s="263">
        <v>1</v>
      </c>
      <c r="Y239" s="263">
        <v>0</v>
      </c>
      <c r="Z239" s="263">
        <v>0</v>
      </c>
      <c r="AA239" s="263">
        <v>7</v>
      </c>
      <c r="AB239" s="263">
        <v>40</v>
      </c>
      <c r="AC239" s="263">
        <v>1</v>
      </c>
      <c r="AD239" s="263">
        <v>0</v>
      </c>
      <c r="AE239" s="263"/>
      <c r="AF239" s="263"/>
      <c r="AG239" s="263"/>
      <c r="AH239" s="263"/>
      <c r="AI239" s="263"/>
      <c r="AJ239" s="259"/>
      <c r="AK239" s="263">
        <f t="shared" si="116"/>
        <v>0</v>
      </c>
      <c r="AL239" s="265">
        <f t="shared" si="106"/>
        <v>17</v>
      </c>
      <c r="AM239" s="6">
        <f t="shared" si="117"/>
        <v>0</v>
      </c>
      <c r="AN239" s="255">
        <f t="shared" si="107"/>
        <v>0.95012165450121655</v>
      </c>
      <c r="AO239" s="256">
        <f t="shared" si="108"/>
        <v>0.6466623199698911</v>
      </c>
      <c r="AP239" s="257">
        <f t="shared" si="109"/>
        <v>0</v>
      </c>
      <c r="AQ239" s="263">
        <f t="shared" si="118"/>
        <v>20</v>
      </c>
      <c r="AR239" s="263">
        <f t="shared" si="119"/>
        <v>0.2</v>
      </c>
      <c r="AS239" s="263">
        <f t="shared" si="120"/>
        <v>0</v>
      </c>
      <c r="AT239" s="263">
        <f t="shared" si="121"/>
        <v>20.2</v>
      </c>
      <c r="AU239" s="263"/>
      <c r="AV239" s="263"/>
      <c r="AW239" s="263"/>
      <c r="AX239" s="263">
        <f t="shared" si="122"/>
        <v>20.2</v>
      </c>
      <c r="BA239" s="282">
        <f t="shared" si="110"/>
        <v>306.27450980392155</v>
      </c>
      <c r="BB239">
        <v>1</v>
      </c>
      <c r="BC239">
        <f t="shared" si="123"/>
        <v>306.27450980392155</v>
      </c>
      <c r="BD239">
        <f t="shared" si="111"/>
        <v>450</v>
      </c>
      <c r="BE239">
        <f t="shared" si="112"/>
        <v>450</v>
      </c>
      <c r="BF239" s="281">
        <f t="shared" si="124"/>
        <v>0.68061002178649233</v>
      </c>
      <c r="BG239" s="282" t="s">
        <v>2549</v>
      </c>
      <c r="BH239" s="283"/>
    </row>
    <row r="240" spans="1:60" x14ac:dyDescent="0.3">
      <c r="A240">
        <f t="shared" si="113"/>
        <v>238</v>
      </c>
      <c r="B240" s="241" t="s">
        <v>2499</v>
      </c>
      <c r="C240" s="294" t="s">
        <v>2511</v>
      </c>
      <c r="D240" s="14">
        <v>45774</v>
      </c>
      <c r="E240" s="7">
        <v>40</v>
      </c>
      <c r="F240" s="7"/>
      <c r="G240" s="66"/>
      <c r="H240" s="59"/>
      <c r="I240" s="59">
        <v>510</v>
      </c>
      <c r="J240" s="47">
        <f t="shared" si="126"/>
        <v>510</v>
      </c>
      <c r="K240" s="8">
        <f t="shared" si="127"/>
        <v>470</v>
      </c>
      <c r="L240" s="96">
        <f t="shared" si="125"/>
        <v>0.92156862745098034</v>
      </c>
      <c r="M240" s="81">
        <v>1321</v>
      </c>
      <c r="N240" s="8">
        <v>153</v>
      </c>
      <c r="O240" s="8">
        <v>60</v>
      </c>
      <c r="P240" s="96">
        <f t="shared" si="114"/>
        <v>1.1022110972048393</v>
      </c>
      <c r="Q240" s="59">
        <f t="shared" si="115"/>
        <v>1321</v>
      </c>
      <c r="R240" s="252">
        <f t="shared" si="105"/>
        <v>1331</v>
      </c>
      <c r="S240" s="263">
        <v>17</v>
      </c>
      <c r="T240" s="263">
        <v>1</v>
      </c>
      <c r="U240" s="263">
        <v>0</v>
      </c>
      <c r="V240" s="263">
        <v>0</v>
      </c>
      <c r="W240" s="263">
        <v>0</v>
      </c>
      <c r="X240" s="263">
        <v>42</v>
      </c>
      <c r="Y240" s="263">
        <v>0</v>
      </c>
      <c r="Z240" s="263">
        <v>1</v>
      </c>
      <c r="AA240" s="263">
        <v>1</v>
      </c>
      <c r="AB240" s="263">
        <v>8</v>
      </c>
      <c r="AC240" s="263">
        <v>1</v>
      </c>
      <c r="AD240" s="263">
        <v>1</v>
      </c>
      <c r="AE240" s="263"/>
      <c r="AF240" s="263"/>
      <c r="AG240" s="263"/>
      <c r="AH240" s="263"/>
      <c r="AI240" s="263"/>
      <c r="AJ240" s="259"/>
      <c r="AK240" s="263">
        <f t="shared" si="116"/>
        <v>1</v>
      </c>
      <c r="AL240" s="265">
        <f t="shared" si="106"/>
        <v>17</v>
      </c>
      <c r="AM240" s="6">
        <f t="shared" si="117"/>
        <v>1</v>
      </c>
      <c r="AN240" s="255">
        <f t="shared" si="107"/>
        <v>0.99248685199098419</v>
      </c>
      <c r="AO240" s="256">
        <f t="shared" si="108"/>
        <v>1.0081315889889197</v>
      </c>
      <c r="AP240" s="257">
        <f t="shared" si="109"/>
        <v>751.31480090157777</v>
      </c>
      <c r="AQ240" s="263">
        <f t="shared" si="118"/>
        <v>4</v>
      </c>
      <c r="AR240" s="263">
        <f t="shared" si="119"/>
        <v>0.2</v>
      </c>
      <c r="AS240" s="263">
        <f t="shared" si="120"/>
        <v>0.1</v>
      </c>
      <c r="AT240" s="263">
        <f t="shared" si="121"/>
        <v>4.3</v>
      </c>
      <c r="AU240" s="263"/>
      <c r="AV240" s="263"/>
      <c r="AW240" s="263"/>
      <c r="AX240" s="263">
        <f t="shared" si="122"/>
        <v>4.3</v>
      </c>
      <c r="BA240" s="282">
        <f t="shared" si="110"/>
        <v>518.03921568627447</v>
      </c>
      <c r="BB240">
        <v>1</v>
      </c>
      <c r="BC240">
        <f t="shared" si="123"/>
        <v>518.03921568627447</v>
      </c>
      <c r="BD240">
        <f t="shared" si="111"/>
        <v>470</v>
      </c>
      <c r="BE240">
        <f t="shared" si="112"/>
        <v>510</v>
      </c>
      <c r="BF240" s="281">
        <f t="shared" si="124"/>
        <v>1.0157631680123029</v>
      </c>
      <c r="BG240" s="282" t="s">
        <v>2481</v>
      </c>
      <c r="BH240" s="283"/>
    </row>
    <row r="241" spans="1:60" x14ac:dyDescent="0.3">
      <c r="A241">
        <f t="shared" si="113"/>
        <v>239</v>
      </c>
      <c r="B241" s="241" t="s">
        <v>2499</v>
      </c>
      <c r="C241" s="294" t="s">
        <v>2511</v>
      </c>
      <c r="D241" s="14">
        <v>45775</v>
      </c>
      <c r="E241" s="7">
        <v>40</v>
      </c>
      <c r="F241" s="7">
        <f>60*3+30</f>
        <v>210</v>
      </c>
      <c r="G241" s="66"/>
      <c r="H241" s="59"/>
      <c r="I241" s="59">
        <v>480</v>
      </c>
      <c r="J241" s="47">
        <f t="shared" si="126"/>
        <v>480</v>
      </c>
      <c r="K241" s="8">
        <f t="shared" si="127"/>
        <v>230</v>
      </c>
      <c r="L241" s="96">
        <f t="shared" si="125"/>
        <v>0.47916666666666669</v>
      </c>
      <c r="M241" s="81">
        <v>475</v>
      </c>
      <c r="N241" s="8">
        <v>153</v>
      </c>
      <c r="O241" s="8">
        <v>60</v>
      </c>
      <c r="P241" s="96">
        <f t="shared" si="114"/>
        <v>0.80988917306052854</v>
      </c>
      <c r="Q241" s="59">
        <f t="shared" si="115"/>
        <v>475</v>
      </c>
      <c r="R241" s="252">
        <f t="shared" si="105"/>
        <v>487</v>
      </c>
      <c r="S241" s="263">
        <v>12</v>
      </c>
      <c r="T241" s="263">
        <v>0</v>
      </c>
      <c r="U241" s="263">
        <v>0</v>
      </c>
      <c r="V241" s="263">
        <v>0</v>
      </c>
      <c r="W241" s="263">
        <v>0</v>
      </c>
      <c r="X241" s="263">
        <v>4</v>
      </c>
      <c r="Y241" s="263">
        <v>0</v>
      </c>
      <c r="Z241" s="263">
        <v>1</v>
      </c>
      <c r="AA241" s="263">
        <v>0</v>
      </c>
      <c r="AB241" s="263">
        <v>11</v>
      </c>
      <c r="AC241" s="263">
        <v>0</v>
      </c>
      <c r="AD241" s="263">
        <v>1</v>
      </c>
      <c r="AE241" s="263"/>
      <c r="AF241" s="263"/>
      <c r="AG241" s="263"/>
      <c r="AH241" s="263"/>
      <c r="AI241" s="263"/>
      <c r="AJ241" s="259"/>
      <c r="AK241" s="263">
        <f t="shared" si="116"/>
        <v>1</v>
      </c>
      <c r="AL241" s="265">
        <f t="shared" si="106"/>
        <v>18</v>
      </c>
      <c r="AM241" s="6">
        <f t="shared" si="117"/>
        <v>1</v>
      </c>
      <c r="AN241" s="255">
        <f t="shared" si="107"/>
        <v>0.97535934291581106</v>
      </c>
      <c r="AO241" s="256">
        <f t="shared" si="108"/>
        <v>0.37850954892566196</v>
      </c>
      <c r="AP241" s="257">
        <f t="shared" si="109"/>
        <v>2053.3880903490763</v>
      </c>
      <c r="AQ241" s="263">
        <f t="shared" si="118"/>
        <v>5.5</v>
      </c>
      <c r="AR241" s="263">
        <f t="shared" si="119"/>
        <v>0</v>
      </c>
      <c r="AS241" s="263">
        <f t="shared" si="120"/>
        <v>0.1</v>
      </c>
      <c r="AT241" s="263">
        <f t="shared" si="121"/>
        <v>5.6</v>
      </c>
      <c r="AU241" s="263"/>
      <c r="AV241" s="263"/>
      <c r="AW241" s="263"/>
      <c r="AX241" s="263">
        <f t="shared" si="122"/>
        <v>5.6</v>
      </c>
      <c r="BA241" s="282">
        <f t="shared" si="110"/>
        <v>186.27450980392157</v>
      </c>
      <c r="BB241">
        <v>1</v>
      </c>
      <c r="BC241">
        <f t="shared" si="123"/>
        <v>186.27450980392157</v>
      </c>
      <c r="BD241">
        <f t="shared" si="111"/>
        <v>230</v>
      </c>
      <c r="BE241">
        <f t="shared" si="112"/>
        <v>480</v>
      </c>
      <c r="BF241" s="281">
        <f t="shared" si="124"/>
        <v>0.38807189542483661</v>
      </c>
      <c r="BG241" s="282" t="s">
        <v>2538</v>
      </c>
      <c r="BH241" s="283"/>
    </row>
    <row r="242" spans="1:60" x14ac:dyDescent="0.3">
      <c r="A242">
        <f t="shared" si="113"/>
        <v>240</v>
      </c>
      <c r="B242" s="241" t="s">
        <v>2499</v>
      </c>
      <c r="C242" s="294" t="s">
        <v>2512</v>
      </c>
      <c r="D242" s="14">
        <v>45775</v>
      </c>
      <c r="E242" s="7"/>
      <c r="F242" s="7"/>
      <c r="G242" s="66"/>
      <c r="H242" s="59"/>
      <c r="I242" s="59">
        <v>450</v>
      </c>
      <c r="J242" s="47">
        <f t="shared" si="126"/>
        <v>450</v>
      </c>
      <c r="K242" s="8">
        <f t="shared" si="127"/>
        <v>450</v>
      </c>
      <c r="L242" s="96">
        <f t="shared" si="125"/>
        <v>1</v>
      </c>
      <c r="M242" s="81">
        <v>763</v>
      </c>
      <c r="N242" s="8">
        <v>153</v>
      </c>
      <c r="O242" s="8">
        <v>60</v>
      </c>
      <c r="P242" s="96">
        <f t="shared" si="114"/>
        <v>0.66492374727668857</v>
      </c>
      <c r="Q242" s="59">
        <f t="shared" si="115"/>
        <v>763</v>
      </c>
      <c r="R242" s="252">
        <f t="shared" si="105"/>
        <v>785</v>
      </c>
      <c r="S242" s="263">
        <v>11</v>
      </c>
      <c r="T242" s="263">
        <v>1</v>
      </c>
      <c r="U242" s="263">
        <v>0</v>
      </c>
      <c r="V242" s="263">
        <v>0</v>
      </c>
      <c r="W242" s="263">
        <v>0</v>
      </c>
      <c r="X242" s="263">
        <v>0</v>
      </c>
      <c r="Y242" s="263">
        <v>0</v>
      </c>
      <c r="Z242" s="263">
        <v>0</v>
      </c>
      <c r="AA242" s="263">
        <v>0</v>
      </c>
      <c r="AB242" s="263">
        <v>20</v>
      </c>
      <c r="AC242" s="263">
        <v>1</v>
      </c>
      <c r="AD242" s="263">
        <v>1</v>
      </c>
      <c r="AE242" s="263"/>
      <c r="AF242" s="263"/>
      <c r="AG242" s="263"/>
      <c r="AH242" s="263"/>
      <c r="AI242" s="263"/>
      <c r="AJ242" s="259"/>
      <c r="AK242" s="263">
        <f t="shared" si="116"/>
        <v>1</v>
      </c>
      <c r="AL242" s="265">
        <f t="shared" si="106"/>
        <v>18</v>
      </c>
      <c r="AM242" s="6">
        <f t="shared" si="117"/>
        <v>1</v>
      </c>
      <c r="AN242" s="255">
        <f t="shared" si="107"/>
        <v>0.97197452229299364</v>
      </c>
      <c r="AO242" s="256">
        <f t="shared" si="108"/>
        <v>0.64628894162052664</v>
      </c>
      <c r="AP242" s="257">
        <f t="shared" si="109"/>
        <v>1273.8853503184712</v>
      </c>
      <c r="AQ242" s="263">
        <f t="shared" si="118"/>
        <v>10</v>
      </c>
      <c r="AR242" s="263">
        <f t="shared" si="119"/>
        <v>0.2</v>
      </c>
      <c r="AS242" s="263">
        <f t="shared" si="120"/>
        <v>0.1</v>
      </c>
      <c r="AT242" s="263">
        <f t="shared" si="121"/>
        <v>10.299999999999999</v>
      </c>
      <c r="AU242" s="263"/>
      <c r="AV242" s="263"/>
      <c r="AW242" s="263"/>
      <c r="AX242" s="263">
        <f t="shared" si="122"/>
        <v>10.299999999999999</v>
      </c>
      <c r="BA242" s="282">
        <f t="shared" si="110"/>
        <v>299.21568627450984</v>
      </c>
      <c r="BB242">
        <v>1</v>
      </c>
      <c r="BC242">
        <f t="shared" si="123"/>
        <v>299.21568627450984</v>
      </c>
      <c r="BD242">
        <f t="shared" si="111"/>
        <v>450</v>
      </c>
      <c r="BE242">
        <f t="shared" si="112"/>
        <v>450</v>
      </c>
      <c r="BF242" s="281">
        <f t="shared" si="124"/>
        <v>0.66492374727668857</v>
      </c>
      <c r="BG242" s="282" t="s">
        <v>2549</v>
      </c>
      <c r="BH242" s="283"/>
    </row>
    <row r="243" spans="1:60" x14ac:dyDescent="0.3">
      <c r="A243">
        <f t="shared" si="113"/>
        <v>241</v>
      </c>
      <c r="B243" s="241" t="s">
        <v>2499</v>
      </c>
      <c r="C243" s="294" t="s">
        <v>2513</v>
      </c>
      <c r="D243" s="14">
        <v>45775</v>
      </c>
      <c r="E243" s="7"/>
      <c r="F243" s="7"/>
      <c r="G243" s="66"/>
      <c r="H243" s="59"/>
      <c r="I243" s="59">
        <v>510</v>
      </c>
      <c r="J243" s="47">
        <f t="shared" si="126"/>
        <v>510</v>
      </c>
      <c r="K243" s="8">
        <f t="shared" si="127"/>
        <v>510</v>
      </c>
      <c r="L243" s="96">
        <f t="shared" si="125"/>
        <v>1</v>
      </c>
      <c r="M243" s="81">
        <v>1047</v>
      </c>
      <c r="N243" s="8">
        <v>153</v>
      </c>
      <c r="O243" s="8">
        <v>60</v>
      </c>
      <c r="P243" s="96">
        <f t="shared" si="114"/>
        <v>0.80507497116493654</v>
      </c>
      <c r="Q243" s="59">
        <f t="shared" si="115"/>
        <v>1047</v>
      </c>
      <c r="R243" s="252">
        <f t="shared" si="105"/>
        <v>1067</v>
      </c>
      <c r="S243" s="263">
        <v>13</v>
      </c>
      <c r="T243" s="263">
        <v>1</v>
      </c>
      <c r="U243" s="263">
        <v>0</v>
      </c>
      <c r="V243" s="263">
        <v>0</v>
      </c>
      <c r="W243" s="263">
        <v>0</v>
      </c>
      <c r="X243" s="263">
        <v>1</v>
      </c>
      <c r="Y243" s="263">
        <v>0</v>
      </c>
      <c r="Z243" s="263">
        <v>0</v>
      </c>
      <c r="AA243" s="263">
        <v>0</v>
      </c>
      <c r="AB243" s="263">
        <v>12</v>
      </c>
      <c r="AC243" s="263">
        <v>1</v>
      </c>
      <c r="AD243" s="263">
        <v>7</v>
      </c>
      <c r="AE243" s="263"/>
      <c r="AF243" s="263"/>
      <c r="AG243" s="263"/>
      <c r="AH243" s="263"/>
      <c r="AI243" s="263"/>
      <c r="AJ243" s="259"/>
      <c r="AK243" s="263">
        <f t="shared" si="116"/>
        <v>7</v>
      </c>
      <c r="AL243" s="265">
        <f t="shared" si="106"/>
        <v>18</v>
      </c>
      <c r="AM243" s="6">
        <f t="shared" si="117"/>
        <v>7</v>
      </c>
      <c r="AN243" s="255">
        <f t="shared" si="107"/>
        <v>0.98125585754451738</v>
      </c>
      <c r="AO243" s="256">
        <f t="shared" si="108"/>
        <v>0.78998453121807743</v>
      </c>
      <c r="AP243" s="257">
        <f t="shared" si="109"/>
        <v>6560.4498594189317</v>
      </c>
      <c r="AQ243" s="263">
        <f t="shared" si="118"/>
        <v>6</v>
      </c>
      <c r="AR243" s="263">
        <f t="shared" si="119"/>
        <v>0.2</v>
      </c>
      <c r="AS243" s="263">
        <f t="shared" si="120"/>
        <v>0.70000000000000007</v>
      </c>
      <c r="AT243" s="263">
        <f t="shared" si="121"/>
        <v>6.9</v>
      </c>
      <c r="AU243" s="263"/>
      <c r="AV243" s="263"/>
      <c r="AW243" s="263"/>
      <c r="AX243" s="263">
        <f t="shared" si="122"/>
        <v>6.9</v>
      </c>
      <c r="BA243" s="282">
        <f t="shared" si="110"/>
        <v>410.58823529411762</v>
      </c>
      <c r="BB243">
        <v>1</v>
      </c>
      <c r="BC243">
        <f t="shared" si="123"/>
        <v>410.58823529411762</v>
      </c>
      <c r="BD243">
        <f t="shared" si="111"/>
        <v>510</v>
      </c>
      <c r="BE243">
        <f t="shared" si="112"/>
        <v>510</v>
      </c>
      <c r="BF243" s="281">
        <f t="shared" si="124"/>
        <v>0.80507497116493654</v>
      </c>
      <c r="BG243" s="282" t="s">
        <v>2547</v>
      </c>
      <c r="BH243" s="283"/>
    </row>
    <row r="244" spans="1:60" x14ac:dyDescent="0.3">
      <c r="A244">
        <f t="shared" si="113"/>
        <v>242</v>
      </c>
      <c r="B244" s="241" t="s">
        <v>2499</v>
      </c>
      <c r="C244" s="294" t="s">
        <v>2511</v>
      </c>
      <c r="D244" s="14">
        <v>45776</v>
      </c>
      <c r="E244" s="7">
        <v>40</v>
      </c>
      <c r="F244" s="7"/>
      <c r="G244" s="66"/>
      <c r="H244" s="59"/>
      <c r="I244" s="59">
        <v>480</v>
      </c>
      <c r="J244" s="47">
        <f t="shared" si="126"/>
        <v>480</v>
      </c>
      <c r="K244" s="8">
        <f t="shared" si="127"/>
        <v>440</v>
      </c>
      <c r="L244" s="96">
        <f t="shared" si="125"/>
        <v>0.91666666666666663</v>
      </c>
      <c r="M244" s="81">
        <v>524</v>
      </c>
      <c r="N244" s="8">
        <v>153</v>
      </c>
      <c r="O244" s="8">
        <v>60</v>
      </c>
      <c r="P244" s="96">
        <f t="shared" si="114"/>
        <v>0.46702317290552581</v>
      </c>
      <c r="Q244" s="59">
        <f t="shared" si="115"/>
        <v>524</v>
      </c>
      <c r="R244" s="252">
        <f t="shared" si="105"/>
        <v>536</v>
      </c>
      <c r="S244" s="263">
        <v>13</v>
      </c>
      <c r="T244" s="263">
        <v>3</v>
      </c>
      <c r="U244" s="263">
        <v>0</v>
      </c>
      <c r="V244" s="263">
        <v>10</v>
      </c>
      <c r="W244" s="263">
        <v>0</v>
      </c>
      <c r="X244" s="263">
        <v>3</v>
      </c>
      <c r="Y244" s="263">
        <v>0</v>
      </c>
      <c r="Z244" s="263">
        <v>0</v>
      </c>
      <c r="AA244" s="263">
        <v>3</v>
      </c>
      <c r="AB244" s="263">
        <v>10</v>
      </c>
      <c r="AC244" s="263">
        <v>1</v>
      </c>
      <c r="AD244" s="263">
        <v>1</v>
      </c>
      <c r="AE244" s="263"/>
      <c r="AF244" s="263"/>
      <c r="AG244" s="263"/>
      <c r="AH244" s="263"/>
      <c r="AI244" s="263"/>
      <c r="AJ244" s="259"/>
      <c r="AK244" s="263">
        <f t="shared" si="116"/>
        <v>1</v>
      </c>
      <c r="AL244" s="265">
        <f t="shared" si="106"/>
        <v>18</v>
      </c>
      <c r="AM244" s="6">
        <f t="shared" si="117"/>
        <v>1</v>
      </c>
      <c r="AN244" s="255">
        <f t="shared" si="107"/>
        <v>0.97761194029850751</v>
      </c>
      <c r="AO244" s="256">
        <f t="shared" si="108"/>
        <v>0.41852014437615842</v>
      </c>
      <c r="AP244" s="257">
        <f t="shared" si="109"/>
        <v>1865.6716417910447</v>
      </c>
      <c r="AQ244" s="263">
        <f t="shared" si="118"/>
        <v>5</v>
      </c>
      <c r="AR244" s="263">
        <f t="shared" si="119"/>
        <v>0.2</v>
      </c>
      <c r="AS244" s="263">
        <f t="shared" si="120"/>
        <v>0.1</v>
      </c>
      <c r="AT244" s="263">
        <f t="shared" si="121"/>
        <v>5.3</v>
      </c>
      <c r="AU244" s="263"/>
      <c r="AV244" s="263"/>
      <c r="AW244" s="263"/>
      <c r="AX244" s="263">
        <f t="shared" si="122"/>
        <v>5.3</v>
      </c>
      <c r="BA244" s="282">
        <f t="shared" si="110"/>
        <v>205.49019607843135</v>
      </c>
      <c r="BB244">
        <v>1</v>
      </c>
      <c r="BC244">
        <f t="shared" si="123"/>
        <v>205.49019607843135</v>
      </c>
      <c r="BD244">
        <f t="shared" si="111"/>
        <v>440</v>
      </c>
      <c r="BE244">
        <f t="shared" si="112"/>
        <v>480</v>
      </c>
      <c r="BF244" s="281">
        <f t="shared" si="124"/>
        <v>0.42810457516339867</v>
      </c>
      <c r="BG244" s="282" t="s">
        <v>2538</v>
      </c>
      <c r="BH244" s="283"/>
    </row>
    <row r="245" spans="1:60" x14ac:dyDescent="0.3">
      <c r="A245">
        <f t="shared" si="113"/>
        <v>243</v>
      </c>
      <c r="B245" s="241" t="s">
        <v>2499</v>
      </c>
      <c r="C245" s="294" t="s">
        <v>2512</v>
      </c>
      <c r="D245" s="14">
        <v>45776</v>
      </c>
      <c r="E245" s="7"/>
      <c r="F245" s="7"/>
      <c r="G245" s="66"/>
      <c r="H245" s="59"/>
      <c r="I245" s="59">
        <v>450</v>
      </c>
      <c r="J245" s="47">
        <f t="shared" si="126"/>
        <v>450</v>
      </c>
      <c r="K245" s="8">
        <f t="shared" si="127"/>
        <v>450</v>
      </c>
      <c r="L245" s="96">
        <f t="shared" si="125"/>
        <v>1</v>
      </c>
      <c r="M245" s="81">
        <v>961</v>
      </c>
      <c r="N245" s="8">
        <v>153</v>
      </c>
      <c r="O245" s="8">
        <v>60</v>
      </c>
      <c r="P245" s="96">
        <f t="shared" si="114"/>
        <v>0.83747276688453165</v>
      </c>
      <c r="Q245" s="59">
        <f t="shared" si="115"/>
        <v>961</v>
      </c>
      <c r="R245" s="252">
        <f t="shared" si="105"/>
        <v>994</v>
      </c>
      <c r="S245" s="263">
        <v>21</v>
      </c>
      <c r="T245" s="263">
        <v>3</v>
      </c>
      <c r="U245" s="263">
        <v>0</v>
      </c>
      <c r="V245" s="263">
        <v>1</v>
      </c>
      <c r="W245" s="263">
        <v>0</v>
      </c>
      <c r="X245" s="263">
        <v>4</v>
      </c>
      <c r="Y245" s="263">
        <v>0</v>
      </c>
      <c r="Z245" s="263">
        <v>0</v>
      </c>
      <c r="AA245" s="263">
        <v>1</v>
      </c>
      <c r="AB245" s="263">
        <v>27</v>
      </c>
      <c r="AC245" s="263">
        <v>3</v>
      </c>
      <c r="AD245" s="263">
        <v>3</v>
      </c>
      <c r="AE245" s="263"/>
      <c r="AF245" s="263"/>
      <c r="AG245" s="263"/>
      <c r="AH245" s="263"/>
      <c r="AI245" s="263"/>
      <c r="AJ245" s="259"/>
      <c r="AK245" s="263">
        <f t="shared" si="116"/>
        <v>3</v>
      </c>
      <c r="AL245" s="265">
        <f t="shared" si="106"/>
        <v>18</v>
      </c>
      <c r="AM245" s="6">
        <f t="shared" si="117"/>
        <v>3</v>
      </c>
      <c r="AN245" s="255">
        <f t="shared" si="107"/>
        <v>0.96680080482897379</v>
      </c>
      <c r="AO245" s="256">
        <f t="shared" si="108"/>
        <v>0.80966934504631272</v>
      </c>
      <c r="AP245" s="257">
        <f t="shared" si="109"/>
        <v>3018.1086519114688</v>
      </c>
      <c r="AQ245" s="263">
        <f t="shared" si="118"/>
        <v>13.5</v>
      </c>
      <c r="AR245" s="263">
        <f t="shared" si="119"/>
        <v>0.60000000000000009</v>
      </c>
      <c r="AS245" s="263">
        <f t="shared" si="120"/>
        <v>0.30000000000000004</v>
      </c>
      <c r="AT245" s="263">
        <f t="shared" si="121"/>
        <v>14.4</v>
      </c>
      <c r="AU245" s="263"/>
      <c r="AV245" s="263"/>
      <c r="AW245" s="263"/>
      <c r="AX245" s="263">
        <f t="shared" si="122"/>
        <v>14.4</v>
      </c>
      <c r="BA245" s="282">
        <f t="shared" si="110"/>
        <v>376.86274509803923</v>
      </c>
      <c r="BB245">
        <v>1</v>
      </c>
      <c r="BC245">
        <f t="shared" si="123"/>
        <v>376.86274509803923</v>
      </c>
      <c r="BD245">
        <f t="shared" si="111"/>
        <v>450</v>
      </c>
      <c r="BE245">
        <f t="shared" si="112"/>
        <v>450</v>
      </c>
      <c r="BF245" s="281">
        <f t="shared" si="124"/>
        <v>0.83747276688453165</v>
      </c>
      <c r="BG245" s="282" t="s">
        <v>2549</v>
      </c>
      <c r="BH245" s="283"/>
    </row>
    <row r="246" spans="1:60" x14ac:dyDescent="0.3">
      <c r="A246">
        <f t="shared" si="113"/>
        <v>244</v>
      </c>
      <c r="B246" s="241" t="s">
        <v>2499</v>
      </c>
      <c r="C246" s="294" t="s">
        <v>2513</v>
      </c>
      <c r="D246" s="14">
        <v>45776</v>
      </c>
      <c r="E246" s="7"/>
      <c r="F246" s="7"/>
      <c r="G246" s="66"/>
      <c r="H246" s="59"/>
      <c r="I246" s="59">
        <v>510</v>
      </c>
      <c r="J246" s="47">
        <f t="shared" si="126"/>
        <v>510</v>
      </c>
      <c r="K246" s="8">
        <f t="shared" si="127"/>
        <v>510</v>
      </c>
      <c r="L246" s="96">
        <f t="shared" si="125"/>
        <v>1</v>
      </c>
      <c r="M246" s="81">
        <v>765</v>
      </c>
      <c r="N246" s="8">
        <v>153</v>
      </c>
      <c r="O246" s="8">
        <v>60</v>
      </c>
      <c r="P246" s="96">
        <f t="shared" si="114"/>
        <v>0.58823529411764708</v>
      </c>
      <c r="Q246" s="59">
        <f t="shared" si="115"/>
        <v>765</v>
      </c>
      <c r="R246" s="252">
        <f t="shared" si="105"/>
        <v>785</v>
      </c>
      <c r="S246" s="263">
        <v>9</v>
      </c>
      <c r="T246" s="263">
        <v>0</v>
      </c>
      <c r="U246" s="263">
        <v>0</v>
      </c>
      <c r="V246" s="263">
        <v>1</v>
      </c>
      <c r="W246" s="263">
        <v>0</v>
      </c>
      <c r="X246" s="263">
        <v>4</v>
      </c>
      <c r="Y246" s="263">
        <v>0</v>
      </c>
      <c r="Z246" s="263">
        <v>2</v>
      </c>
      <c r="AA246" s="263">
        <v>1</v>
      </c>
      <c r="AB246" s="263">
        <v>9</v>
      </c>
      <c r="AC246" s="263">
        <v>9</v>
      </c>
      <c r="AD246" s="263">
        <v>2</v>
      </c>
      <c r="AE246" s="263"/>
      <c r="AF246" s="263"/>
      <c r="AG246" s="263"/>
      <c r="AH246" s="263"/>
      <c r="AI246" s="263"/>
      <c r="AJ246" s="259"/>
      <c r="AK246" s="263">
        <f t="shared" si="116"/>
        <v>2</v>
      </c>
      <c r="AL246" s="265">
        <f t="shared" si="106"/>
        <v>18</v>
      </c>
      <c r="AM246" s="6">
        <f t="shared" si="117"/>
        <v>2</v>
      </c>
      <c r="AN246" s="255">
        <f t="shared" si="107"/>
        <v>0.97452229299363058</v>
      </c>
      <c r="AO246" s="256">
        <f t="shared" si="108"/>
        <v>0.57324840764331209</v>
      </c>
      <c r="AP246" s="257">
        <f t="shared" si="109"/>
        <v>2547.7707006369424</v>
      </c>
      <c r="AQ246" s="263">
        <f t="shared" si="118"/>
        <v>4.5</v>
      </c>
      <c r="AR246" s="263">
        <f t="shared" si="119"/>
        <v>1.8</v>
      </c>
      <c r="AS246" s="263">
        <f t="shared" si="120"/>
        <v>0.2</v>
      </c>
      <c r="AT246" s="263">
        <f t="shared" si="121"/>
        <v>6.5</v>
      </c>
      <c r="AU246" s="263"/>
      <c r="AV246" s="263"/>
      <c r="AW246" s="263"/>
      <c r="AX246" s="263">
        <f t="shared" si="122"/>
        <v>6.5</v>
      </c>
      <c r="BA246" s="282">
        <f t="shared" si="110"/>
        <v>300</v>
      </c>
      <c r="BB246">
        <v>1</v>
      </c>
      <c r="BC246">
        <f t="shared" si="123"/>
        <v>300</v>
      </c>
      <c r="BD246">
        <f t="shared" si="111"/>
        <v>510</v>
      </c>
      <c r="BE246">
        <f t="shared" si="112"/>
        <v>510</v>
      </c>
      <c r="BF246" s="281">
        <f t="shared" si="124"/>
        <v>0.58823529411764708</v>
      </c>
      <c r="BG246" s="282" t="s">
        <v>2547</v>
      </c>
      <c r="BH246" s="283"/>
    </row>
    <row r="247" spans="1:60" x14ac:dyDescent="0.3">
      <c r="A247">
        <f t="shared" si="113"/>
        <v>245</v>
      </c>
      <c r="B247" s="241" t="s">
        <v>2499</v>
      </c>
      <c r="C247" s="294" t="s">
        <v>2511</v>
      </c>
      <c r="D247" s="14">
        <v>45777</v>
      </c>
      <c r="E247" s="7">
        <v>40</v>
      </c>
      <c r="F247" s="7"/>
      <c r="G247" s="66"/>
      <c r="H247" s="59"/>
      <c r="I247" s="59">
        <v>480</v>
      </c>
      <c r="J247" s="47">
        <f t="shared" si="126"/>
        <v>480</v>
      </c>
      <c r="K247" s="8">
        <f t="shared" si="127"/>
        <v>440</v>
      </c>
      <c r="L247" s="96">
        <f t="shared" si="125"/>
        <v>0.91666666666666663</v>
      </c>
      <c r="M247" s="81">
        <v>990</v>
      </c>
      <c r="N247" s="8">
        <v>153</v>
      </c>
      <c r="O247" s="8">
        <v>60</v>
      </c>
      <c r="P247" s="96">
        <f t="shared" si="114"/>
        <v>0.88235294117647067</v>
      </c>
      <c r="Q247" s="59">
        <f t="shared" si="115"/>
        <v>990</v>
      </c>
      <c r="R247" s="252">
        <f t="shared" si="105"/>
        <v>1025</v>
      </c>
      <c r="S247" s="263">
        <v>20</v>
      </c>
      <c r="T247" s="263">
        <v>0</v>
      </c>
      <c r="U247" s="263">
        <v>0</v>
      </c>
      <c r="V247" s="263">
        <v>2</v>
      </c>
      <c r="W247" s="263">
        <v>0</v>
      </c>
      <c r="X247" s="263">
        <v>1</v>
      </c>
      <c r="Y247" s="263">
        <v>0</v>
      </c>
      <c r="Z247" s="263">
        <v>1</v>
      </c>
      <c r="AA247" s="263">
        <v>1</v>
      </c>
      <c r="AB247" s="263">
        <v>32</v>
      </c>
      <c r="AC247" s="263">
        <v>0</v>
      </c>
      <c r="AD247" s="263">
        <v>3</v>
      </c>
      <c r="AE247" s="263"/>
      <c r="AF247" s="263"/>
      <c r="AG247" s="263"/>
      <c r="AH247" s="263"/>
      <c r="AI247" s="263"/>
      <c r="AJ247" s="259"/>
      <c r="AK247" s="263">
        <f t="shared" si="116"/>
        <v>3</v>
      </c>
      <c r="AL247" s="265">
        <f t="shared" si="106"/>
        <v>18</v>
      </c>
      <c r="AM247" s="6">
        <f t="shared" si="117"/>
        <v>3</v>
      </c>
      <c r="AN247" s="255">
        <f t="shared" si="107"/>
        <v>0.96585365853658534</v>
      </c>
      <c r="AO247" s="256">
        <f t="shared" si="108"/>
        <v>0.78120516499282644</v>
      </c>
      <c r="AP247" s="257">
        <f t="shared" si="109"/>
        <v>2926.8292682926831</v>
      </c>
      <c r="AQ247" s="263">
        <f t="shared" si="118"/>
        <v>16</v>
      </c>
      <c r="AR247" s="263">
        <f t="shared" si="119"/>
        <v>0</v>
      </c>
      <c r="AS247" s="263">
        <f t="shared" si="120"/>
        <v>0.30000000000000004</v>
      </c>
      <c r="AT247" s="263">
        <f t="shared" si="121"/>
        <v>16.3</v>
      </c>
      <c r="AU247" s="263"/>
      <c r="AV247" s="263"/>
      <c r="AW247" s="263"/>
      <c r="AX247" s="263">
        <f t="shared" si="122"/>
        <v>16.3</v>
      </c>
      <c r="BA247" s="282">
        <f t="shared" si="110"/>
        <v>388.23529411764707</v>
      </c>
      <c r="BB247">
        <v>1</v>
      </c>
      <c r="BC247">
        <f t="shared" si="123"/>
        <v>388.23529411764707</v>
      </c>
      <c r="BD247">
        <f t="shared" si="111"/>
        <v>440</v>
      </c>
      <c r="BE247">
        <f t="shared" si="112"/>
        <v>480</v>
      </c>
      <c r="BF247" s="281">
        <f t="shared" si="124"/>
        <v>0.80882352941176472</v>
      </c>
      <c r="BG247" s="282" t="s">
        <v>2538</v>
      </c>
      <c r="BH247" s="283"/>
    </row>
    <row r="248" spans="1:60" x14ac:dyDescent="0.3">
      <c r="A248">
        <f t="shared" si="113"/>
        <v>246</v>
      </c>
      <c r="B248" s="241" t="s">
        <v>2499</v>
      </c>
      <c r="C248" s="294" t="s">
        <v>2512</v>
      </c>
      <c r="D248" s="14">
        <v>45777</v>
      </c>
      <c r="E248" s="7"/>
      <c r="F248" s="7"/>
      <c r="G248" s="66"/>
      <c r="H248" s="59"/>
      <c r="I248" s="59">
        <v>450</v>
      </c>
      <c r="J248" s="47">
        <f t="shared" si="126"/>
        <v>450</v>
      </c>
      <c r="K248" s="8">
        <f t="shared" si="127"/>
        <v>450</v>
      </c>
      <c r="L248" s="96">
        <f t="shared" si="125"/>
        <v>1</v>
      </c>
      <c r="M248" s="81">
        <v>742</v>
      </c>
      <c r="N248" s="8">
        <v>153</v>
      </c>
      <c r="O248" s="8">
        <v>60</v>
      </c>
      <c r="P248" s="96">
        <f t="shared" si="114"/>
        <v>0.64662309368191717</v>
      </c>
      <c r="Q248" s="59">
        <f t="shared" si="115"/>
        <v>742</v>
      </c>
      <c r="R248" s="252">
        <f t="shared" si="105"/>
        <v>764</v>
      </c>
      <c r="S248" s="263">
        <v>16</v>
      </c>
      <c r="T248" s="263">
        <v>1</v>
      </c>
      <c r="U248" s="263">
        <v>0</v>
      </c>
      <c r="V248" s="263">
        <v>0</v>
      </c>
      <c r="W248" s="263">
        <v>0</v>
      </c>
      <c r="X248" s="263">
        <v>3</v>
      </c>
      <c r="Y248" s="263">
        <v>0</v>
      </c>
      <c r="Z248" s="263">
        <v>0</v>
      </c>
      <c r="AA248" s="263">
        <v>3</v>
      </c>
      <c r="AB248" s="263">
        <v>17</v>
      </c>
      <c r="AC248" s="263">
        <v>2</v>
      </c>
      <c r="AD248" s="263">
        <v>3</v>
      </c>
      <c r="AE248" s="263"/>
      <c r="AF248" s="263"/>
      <c r="AG248" s="263"/>
      <c r="AH248" s="263"/>
      <c r="AI248" s="263"/>
      <c r="AJ248" s="259"/>
      <c r="AK248" s="263">
        <f t="shared" si="116"/>
        <v>3</v>
      </c>
      <c r="AL248" s="265">
        <f t="shared" si="106"/>
        <v>18</v>
      </c>
      <c r="AM248" s="6">
        <f t="shared" si="117"/>
        <v>3</v>
      </c>
      <c r="AN248" s="255">
        <f t="shared" si="107"/>
        <v>0.97120418848167545</v>
      </c>
      <c r="AO248" s="256">
        <f t="shared" si="108"/>
        <v>0.62800305695285674</v>
      </c>
      <c r="AP248" s="257">
        <f t="shared" si="109"/>
        <v>3926.7015706806283</v>
      </c>
      <c r="AQ248" s="263">
        <f t="shared" si="118"/>
        <v>8.5</v>
      </c>
      <c r="AR248" s="263">
        <f t="shared" si="119"/>
        <v>0.4</v>
      </c>
      <c r="AS248" s="263">
        <f t="shared" si="120"/>
        <v>0.30000000000000004</v>
      </c>
      <c r="AT248" s="263">
        <f t="shared" si="121"/>
        <v>9.2000000000000011</v>
      </c>
      <c r="AU248" s="263"/>
      <c r="AV248" s="263"/>
      <c r="AW248" s="263"/>
      <c r="AX248" s="263">
        <f t="shared" si="122"/>
        <v>9.2000000000000011</v>
      </c>
      <c r="BA248" s="282">
        <f t="shared" si="110"/>
        <v>290.98039215686271</v>
      </c>
      <c r="BB248">
        <v>1</v>
      </c>
      <c r="BC248">
        <f t="shared" si="123"/>
        <v>290.98039215686271</v>
      </c>
      <c r="BD248">
        <f t="shared" si="111"/>
        <v>450</v>
      </c>
      <c r="BE248">
        <f t="shared" si="112"/>
        <v>450</v>
      </c>
      <c r="BF248" s="281">
        <f t="shared" si="124"/>
        <v>0.64662309368191717</v>
      </c>
      <c r="BG248" s="282" t="s">
        <v>2549</v>
      </c>
      <c r="BH248" s="283"/>
    </row>
    <row r="249" spans="1:60" x14ac:dyDescent="0.3">
      <c r="A249">
        <f t="shared" si="113"/>
        <v>247</v>
      </c>
      <c r="B249" s="295" t="s">
        <v>2569</v>
      </c>
      <c r="C249" s="294" t="s">
        <v>2513</v>
      </c>
      <c r="D249" s="14">
        <v>45777</v>
      </c>
      <c r="E249" s="7"/>
      <c r="F249" s="7"/>
      <c r="G249" s="66"/>
      <c r="H249" s="59"/>
      <c r="I249" s="59">
        <v>510</v>
      </c>
      <c r="J249" s="47">
        <f t="shared" si="126"/>
        <v>510</v>
      </c>
      <c r="K249" s="8">
        <f t="shared" si="127"/>
        <v>510</v>
      </c>
      <c r="L249" s="96">
        <f t="shared" si="125"/>
        <v>1</v>
      </c>
      <c r="M249" s="81">
        <v>795</v>
      </c>
      <c r="N249" s="8">
        <v>153</v>
      </c>
      <c r="O249" s="8">
        <v>60</v>
      </c>
      <c r="P249" s="96">
        <f t="shared" si="114"/>
        <v>0.61130334486735871</v>
      </c>
      <c r="Q249" s="59">
        <f t="shared" si="115"/>
        <v>795</v>
      </c>
      <c r="R249" s="252">
        <f t="shared" si="105"/>
        <v>826</v>
      </c>
      <c r="S249" s="263">
        <v>8</v>
      </c>
      <c r="T249" s="263">
        <v>2</v>
      </c>
      <c r="U249" s="263">
        <v>0</v>
      </c>
      <c r="V249" s="263">
        <v>0</v>
      </c>
      <c r="W249" s="263">
        <v>0</v>
      </c>
      <c r="X249" s="263">
        <v>4</v>
      </c>
      <c r="Y249" s="263">
        <v>0</v>
      </c>
      <c r="Z249" s="263">
        <v>3</v>
      </c>
      <c r="AA249" s="263">
        <v>3</v>
      </c>
      <c r="AB249" s="263">
        <v>22</v>
      </c>
      <c r="AC249" s="263">
        <v>6</v>
      </c>
      <c r="AD249" s="263">
        <v>3</v>
      </c>
      <c r="AE249" s="263"/>
      <c r="AF249" s="263"/>
      <c r="AG249" s="263"/>
      <c r="AH249" s="263"/>
      <c r="AI249" s="263"/>
      <c r="AJ249" s="259"/>
      <c r="AK249" s="263">
        <f t="shared" si="116"/>
        <v>3</v>
      </c>
      <c r="AL249" s="265">
        <f t="shared" si="106"/>
        <v>18</v>
      </c>
      <c r="AM249" s="6">
        <f t="shared" si="117"/>
        <v>3</v>
      </c>
      <c r="AN249" s="255">
        <f t="shared" si="107"/>
        <v>0.96246973365617439</v>
      </c>
      <c r="AO249" s="256">
        <f t="shared" si="108"/>
        <v>0.58836096751761524</v>
      </c>
      <c r="AP249" s="257">
        <f t="shared" si="109"/>
        <v>3631.9612590799034</v>
      </c>
      <c r="AQ249" s="263">
        <f t="shared" si="118"/>
        <v>11</v>
      </c>
      <c r="AR249" s="263">
        <f t="shared" si="119"/>
        <v>1.2000000000000002</v>
      </c>
      <c r="AS249" s="263">
        <f t="shared" si="120"/>
        <v>0.30000000000000004</v>
      </c>
      <c r="AT249" s="263">
        <f t="shared" si="121"/>
        <v>12.5</v>
      </c>
      <c r="AU249" s="263"/>
      <c r="AV249" s="263"/>
      <c r="AW249" s="263"/>
      <c r="AX249" s="263">
        <f t="shared" si="122"/>
        <v>12.5</v>
      </c>
      <c r="BA249" s="282">
        <f t="shared" si="110"/>
        <v>311.76470588235293</v>
      </c>
      <c r="BB249">
        <v>1</v>
      </c>
      <c r="BC249">
        <f t="shared" si="123"/>
        <v>311.76470588235293</v>
      </c>
      <c r="BD249">
        <f t="shared" si="111"/>
        <v>510</v>
      </c>
      <c r="BE249">
        <f t="shared" si="112"/>
        <v>510</v>
      </c>
      <c r="BF249" s="281">
        <f t="shared" si="124"/>
        <v>0.61130334486735871</v>
      </c>
      <c r="BG249" s="282" t="s">
        <v>2547</v>
      </c>
      <c r="BH249" s="283"/>
    </row>
    <row r="250" spans="1:60" x14ac:dyDescent="0.3">
      <c r="A250">
        <f t="shared" si="113"/>
        <v>248</v>
      </c>
      <c r="B250" s="241" t="s">
        <v>2567</v>
      </c>
      <c r="C250" s="294" t="s">
        <v>2511</v>
      </c>
      <c r="D250" s="14">
        <v>45779</v>
      </c>
      <c r="E250" s="7">
        <f>60*6</f>
        <v>360</v>
      </c>
      <c r="F250" s="7"/>
      <c r="G250" s="66"/>
      <c r="H250" s="59"/>
      <c r="I250" s="59">
        <v>480</v>
      </c>
      <c r="J250" s="47">
        <f t="shared" si="126"/>
        <v>480</v>
      </c>
      <c r="K250" s="8">
        <f t="shared" si="127"/>
        <v>120</v>
      </c>
      <c r="L250" s="96">
        <f t="shared" si="125"/>
        <v>0.25</v>
      </c>
      <c r="M250" s="81">
        <v>66</v>
      </c>
      <c r="N250" s="8">
        <v>153</v>
      </c>
      <c r="O250" s="8">
        <v>60</v>
      </c>
      <c r="P250" s="96">
        <f t="shared" si="114"/>
        <v>0.21568627450980393</v>
      </c>
      <c r="Q250" s="59">
        <f t="shared" si="115"/>
        <v>66</v>
      </c>
      <c r="R250" s="252">
        <f t="shared" si="105"/>
        <v>110</v>
      </c>
      <c r="S250" s="263">
        <v>2</v>
      </c>
      <c r="T250" s="263">
        <v>0</v>
      </c>
      <c r="U250" s="263">
        <v>0</v>
      </c>
      <c r="V250" s="263">
        <v>0</v>
      </c>
      <c r="W250" s="263">
        <v>0</v>
      </c>
      <c r="X250" s="263">
        <v>1</v>
      </c>
      <c r="Y250" s="263">
        <v>0</v>
      </c>
      <c r="Z250" s="263">
        <v>0</v>
      </c>
      <c r="AA250" s="263">
        <v>0</v>
      </c>
      <c r="AB250" s="263">
        <v>0</v>
      </c>
      <c r="AC250" s="263">
        <v>0</v>
      </c>
      <c r="AD250" s="263">
        <v>44</v>
      </c>
      <c r="AE250" s="263"/>
      <c r="AF250" s="263"/>
      <c r="AG250" s="263"/>
      <c r="AH250" s="263"/>
      <c r="AI250" s="263"/>
      <c r="AJ250" s="259"/>
      <c r="AK250" s="263">
        <f t="shared" si="116"/>
        <v>44</v>
      </c>
      <c r="AL250" s="265">
        <f t="shared" si="106"/>
        <v>18</v>
      </c>
      <c r="AM250" s="6">
        <f t="shared" si="117"/>
        <v>44</v>
      </c>
      <c r="AN250" s="255">
        <f t="shared" si="107"/>
        <v>0.6</v>
      </c>
      <c r="AO250" s="256">
        <f t="shared" si="108"/>
        <v>3.2352941176470591E-2</v>
      </c>
      <c r="AP250" s="257">
        <f t="shared" si="109"/>
        <v>400000</v>
      </c>
      <c r="AQ250" s="263">
        <f t="shared" si="118"/>
        <v>0</v>
      </c>
      <c r="AR250" s="263">
        <f>+AC250*0.2</f>
        <v>0</v>
      </c>
      <c r="AS250" s="263">
        <f>+AD250*0.1</f>
        <v>4.4000000000000004</v>
      </c>
      <c r="AT250" s="263">
        <f t="shared" si="121"/>
        <v>4.4000000000000004</v>
      </c>
      <c r="AU250" s="263"/>
      <c r="AV250" s="263"/>
      <c r="AW250" s="263"/>
      <c r="AX250" s="263">
        <f>+AW250+AU250+AT250+AV250</f>
        <v>4.4000000000000004</v>
      </c>
      <c r="BA250" s="282">
        <f t="shared" si="110"/>
        <v>25.882352941176471</v>
      </c>
      <c r="BB250">
        <v>1</v>
      </c>
      <c r="BC250">
        <f t="shared" si="123"/>
        <v>25.882352941176471</v>
      </c>
      <c r="BD250">
        <f t="shared" si="111"/>
        <v>120</v>
      </c>
      <c r="BE250">
        <f t="shared" si="112"/>
        <v>480</v>
      </c>
      <c r="BF250" s="281">
        <f t="shared" si="124"/>
        <v>5.3921568627450983E-2</v>
      </c>
      <c r="BG250" s="282" t="s">
        <v>2538</v>
      </c>
      <c r="BH250" s="283"/>
    </row>
    <row r="251" spans="1:60" x14ac:dyDescent="0.3">
      <c r="A251">
        <f t="shared" si="113"/>
        <v>249</v>
      </c>
      <c r="B251" s="241" t="s">
        <v>2567</v>
      </c>
      <c r="C251" s="294" t="s">
        <v>2512</v>
      </c>
      <c r="D251" s="14">
        <v>45779</v>
      </c>
      <c r="E251" s="7"/>
      <c r="F251" s="7"/>
      <c r="G251" s="66"/>
      <c r="H251" s="59"/>
      <c r="I251" s="59">
        <v>450</v>
      </c>
      <c r="J251" s="47">
        <f t="shared" si="126"/>
        <v>450</v>
      </c>
      <c r="K251" s="8">
        <f t="shared" si="127"/>
        <v>450</v>
      </c>
      <c r="L251" s="96">
        <f t="shared" si="125"/>
        <v>1</v>
      </c>
      <c r="M251" s="81">
        <v>509</v>
      </c>
      <c r="N251" s="8">
        <v>153</v>
      </c>
      <c r="O251" s="8">
        <v>60</v>
      </c>
      <c r="P251" s="96">
        <f t="shared" si="114"/>
        <v>0.44357298474945539</v>
      </c>
      <c r="Q251" s="59">
        <f t="shared" si="115"/>
        <v>509</v>
      </c>
      <c r="R251" s="252">
        <f t="shared" si="105"/>
        <v>696</v>
      </c>
      <c r="S251" s="263">
        <v>21</v>
      </c>
      <c r="T251" s="263">
        <v>4</v>
      </c>
      <c r="U251" s="263">
        <v>1</v>
      </c>
      <c r="V251" s="263">
        <v>0</v>
      </c>
      <c r="W251" s="263">
        <v>0</v>
      </c>
      <c r="X251" s="263">
        <v>25</v>
      </c>
      <c r="Y251" s="263">
        <v>1</v>
      </c>
      <c r="Z251" s="263">
        <v>1</v>
      </c>
      <c r="AA251" s="263">
        <v>0</v>
      </c>
      <c r="AB251" s="263">
        <v>3</v>
      </c>
      <c r="AC251" s="263">
        <v>1</v>
      </c>
      <c r="AD251" s="263">
        <v>183</v>
      </c>
      <c r="AE251" s="263"/>
      <c r="AF251" s="263"/>
      <c r="AG251" s="263"/>
      <c r="AH251" s="263"/>
      <c r="AI251" s="263"/>
      <c r="AJ251" s="259"/>
      <c r="AK251" s="263">
        <f t="shared" si="116"/>
        <v>183</v>
      </c>
      <c r="AL251" s="265">
        <f t="shared" si="106"/>
        <v>18</v>
      </c>
      <c r="AM251" s="6">
        <f t="shared" si="117"/>
        <v>183</v>
      </c>
      <c r="AN251" s="255">
        <f t="shared" si="107"/>
        <v>0.73132183908045978</v>
      </c>
      <c r="AO251" s="256">
        <f t="shared" si="108"/>
        <v>0.32439461097338046</v>
      </c>
      <c r="AP251" s="257">
        <f t="shared" si="109"/>
        <v>262931.03448275861</v>
      </c>
      <c r="AQ251" s="263">
        <f t="shared" si="118"/>
        <v>1.5</v>
      </c>
      <c r="AR251" s="263">
        <f t="shared" si="119"/>
        <v>0.2</v>
      </c>
      <c r="AS251" s="263">
        <f t="shared" si="120"/>
        <v>18.3</v>
      </c>
      <c r="AT251" s="263">
        <f t="shared" si="121"/>
        <v>20</v>
      </c>
      <c r="AU251" s="263"/>
      <c r="AV251" s="263"/>
      <c r="AW251" s="263"/>
      <c r="AX251" s="263">
        <f t="shared" si="122"/>
        <v>20</v>
      </c>
      <c r="BA251" s="282">
        <f t="shared" si="110"/>
        <v>199.60784313725492</v>
      </c>
      <c r="BB251">
        <v>1</v>
      </c>
      <c r="BC251">
        <f t="shared" si="123"/>
        <v>199.60784313725492</v>
      </c>
      <c r="BD251">
        <f t="shared" si="111"/>
        <v>450</v>
      </c>
      <c r="BE251">
        <f t="shared" si="112"/>
        <v>450</v>
      </c>
      <c r="BF251" s="281">
        <f t="shared" si="124"/>
        <v>0.44357298474945539</v>
      </c>
      <c r="BG251" s="282" t="s">
        <v>2549</v>
      </c>
      <c r="BH251" s="283"/>
    </row>
    <row r="252" spans="1:60" x14ac:dyDescent="0.3">
      <c r="A252">
        <f t="shared" si="113"/>
        <v>250</v>
      </c>
      <c r="B252" s="295" t="s">
        <v>2568</v>
      </c>
      <c r="C252" s="294" t="s">
        <v>2513</v>
      </c>
      <c r="D252" s="14">
        <v>45779</v>
      </c>
      <c r="E252" s="7"/>
      <c r="F252" s="7"/>
      <c r="G252" s="66"/>
      <c r="H252" s="59"/>
      <c r="I252" s="59">
        <v>510</v>
      </c>
      <c r="J252" s="47">
        <f t="shared" si="126"/>
        <v>510</v>
      </c>
      <c r="K252" s="8">
        <f t="shared" si="127"/>
        <v>510</v>
      </c>
      <c r="L252" s="96">
        <f t="shared" si="125"/>
        <v>1</v>
      </c>
      <c r="M252" s="81">
        <v>721</v>
      </c>
      <c r="N252" s="8">
        <v>153</v>
      </c>
      <c r="O252" s="8">
        <v>60</v>
      </c>
      <c r="P252" s="96">
        <f t="shared" si="114"/>
        <v>0.55440215301806994</v>
      </c>
      <c r="Q252" s="59">
        <f t="shared" si="115"/>
        <v>721</v>
      </c>
      <c r="R252" s="252">
        <f t="shared" si="105"/>
        <v>832</v>
      </c>
      <c r="S252" s="263">
        <v>41</v>
      </c>
      <c r="T252" s="263">
        <v>3</v>
      </c>
      <c r="U252" s="263">
        <v>0</v>
      </c>
      <c r="V252" s="263">
        <v>0</v>
      </c>
      <c r="W252" s="263">
        <v>2</v>
      </c>
      <c r="X252" s="263">
        <v>15</v>
      </c>
      <c r="Y252" s="263">
        <v>0</v>
      </c>
      <c r="Z252" s="263">
        <v>0</v>
      </c>
      <c r="AA252" s="263">
        <v>2</v>
      </c>
      <c r="AB252" s="263">
        <v>5</v>
      </c>
      <c r="AC252" s="263">
        <v>13</v>
      </c>
      <c r="AD252" s="263">
        <v>93</v>
      </c>
      <c r="AE252" s="263"/>
      <c r="AF252" s="263"/>
      <c r="AG252" s="263"/>
      <c r="AH252" s="263"/>
      <c r="AI252" s="263"/>
      <c r="AJ252" s="259"/>
      <c r="AK252" s="263">
        <f t="shared" si="116"/>
        <v>93</v>
      </c>
      <c r="AL252" s="265">
        <f t="shared" si="106"/>
        <v>18</v>
      </c>
      <c r="AM252" s="6">
        <f t="shared" si="117"/>
        <v>93</v>
      </c>
      <c r="AN252" s="255">
        <f t="shared" si="107"/>
        <v>0.86658653846153844</v>
      </c>
      <c r="AO252" s="256">
        <f t="shared" si="108"/>
        <v>0.48043744269955341</v>
      </c>
      <c r="AP252" s="257">
        <f t="shared" si="109"/>
        <v>111778.84615384616</v>
      </c>
      <c r="AQ252" s="263">
        <f t="shared" si="118"/>
        <v>2.5</v>
      </c>
      <c r="AR252" s="263">
        <f t="shared" si="119"/>
        <v>2.6</v>
      </c>
      <c r="AS252" s="263">
        <f t="shared" si="120"/>
        <v>9.3000000000000007</v>
      </c>
      <c r="AT252" s="263">
        <f t="shared" si="121"/>
        <v>14.4</v>
      </c>
      <c r="AU252" s="263"/>
      <c r="AV252" s="263"/>
      <c r="AW252" s="263"/>
      <c r="AX252" s="263">
        <f t="shared" si="122"/>
        <v>14.4</v>
      </c>
      <c r="BA252" s="282">
        <f t="shared" si="110"/>
        <v>282.74509803921569</v>
      </c>
      <c r="BB252">
        <v>1</v>
      </c>
      <c r="BC252">
        <f t="shared" si="123"/>
        <v>282.74509803921569</v>
      </c>
      <c r="BD252">
        <f t="shared" si="111"/>
        <v>510</v>
      </c>
      <c r="BE252">
        <f t="shared" si="112"/>
        <v>510</v>
      </c>
      <c r="BF252" s="281">
        <f t="shared" si="124"/>
        <v>0.55440215301806994</v>
      </c>
      <c r="BG252" s="282" t="s">
        <v>2547</v>
      </c>
      <c r="BH252" s="283"/>
    </row>
    <row r="253" spans="1:60" x14ac:dyDescent="0.3">
      <c r="A253">
        <f t="shared" si="113"/>
        <v>251</v>
      </c>
      <c r="B253" s="295" t="s">
        <v>2570</v>
      </c>
      <c r="C253" s="294" t="s">
        <v>2511</v>
      </c>
      <c r="D253" s="14">
        <v>45780</v>
      </c>
      <c r="E253" s="7">
        <f>60*3</f>
        <v>180</v>
      </c>
      <c r="F253" s="7"/>
      <c r="G253" s="66"/>
      <c r="H253" s="59"/>
      <c r="I253" s="59">
        <v>480</v>
      </c>
      <c r="J253" s="47">
        <f t="shared" si="126"/>
        <v>480</v>
      </c>
      <c r="K253" s="8">
        <f t="shared" si="127"/>
        <v>300</v>
      </c>
      <c r="L253" s="96">
        <f t="shared" si="125"/>
        <v>0.625</v>
      </c>
      <c r="M253" s="81">
        <f>32+125+121+110+110</f>
        <v>498</v>
      </c>
      <c r="N253" s="8">
        <v>153</v>
      </c>
      <c r="O253" s="8">
        <v>60</v>
      </c>
      <c r="P253" s="96">
        <f t="shared" si="114"/>
        <v>0.65098039215686265</v>
      </c>
      <c r="Q253" s="59">
        <f t="shared" si="115"/>
        <v>498</v>
      </c>
      <c r="R253" s="252">
        <f t="shared" si="105"/>
        <v>513</v>
      </c>
      <c r="S253" s="263">
        <v>11</v>
      </c>
      <c r="T253" s="263">
        <v>1</v>
      </c>
      <c r="U253" s="263">
        <v>1</v>
      </c>
      <c r="V253" s="263">
        <v>3</v>
      </c>
      <c r="W253" s="263">
        <v>0</v>
      </c>
      <c r="X253" s="263">
        <v>12</v>
      </c>
      <c r="Y253" s="263">
        <v>0</v>
      </c>
      <c r="Z253" s="263">
        <v>1</v>
      </c>
      <c r="AA253" s="263">
        <v>2</v>
      </c>
      <c r="AB253" s="263">
        <v>11</v>
      </c>
      <c r="AC253" s="263">
        <v>1</v>
      </c>
      <c r="AD253" s="263">
        <v>3</v>
      </c>
      <c r="AE253" s="263"/>
      <c r="AF253" s="263"/>
      <c r="AG253" s="263"/>
      <c r="AH253" s="263"/>
      <c r="AI253" s="263"/>
      <c r="AJ253" s="259"/>
      <c r="AK253" s="263">
        <f t="shared" si="116"/>
        <v>3</v>
      </c>
      <c r="AL253" s="265">
        <f t="shared" si="106"/>
        <v>18</v>
      </c>
      <c r="AM253" s="6">
        <f t="shared" si="117"/>
        <v>3</v>
      </c>
      <c r="AN253" s="255">
        <f t="shared" si="107"/>
        <v>0.9707602339181286</v>
      </c>
      <c r="AO253" s="256">
        <f t="shared" si="108"/>
        <v>0.39496617360394443</v>
      </c>
      <c r="AP253" s="257">
        <f t="shared" si="109"/>
        <v>5847.9532163742688</v>
      </c>
      <c r="AQ253" s="263">
        <f t="shared" si="118"/>
        <v>5.5</v>
      </c>
      <c r="AR253" s="263">
        <f t="shared" si="119"/>
        <v>0.2</v>
      </c>
      <c r="AS253" s="263">
        <f t="shared" si="120"/>
        <v>0.30000000000000004</v>
      </c>
      <c r="AT253" s="263">
        <f t="shared" si="121"/>
        <v>6</v>
      </c>
      <c r="AU253" s="263"/>
      <c r="AV253" s="263"/>
      <c r="AW253" s="263"/>
      <c r="AX253" s="263">
        <f t="shared" si="122"/>
        <v>6</v>
      </c>
      <c r="BA253" s="282">
        <f t="shared" si="110"/>
        <v>195.29411764705881</v>
      </c>
      <c r="BB253">
        <v>1</v>
      </c>
      <c r="BC253">
        <f t="shared" si="123"/>
        <v>195.29411764705881</v>
      </c>
      <c r="BD253">
        <f t="shared" si="111"/>
        <v>300</v>
      </c>
      <c r="BE253">
        <f t="shared" si="112"/>
        <v>480</v>
      </c>
      <c r="BF253" s="281">
        <f t="shared" si="124"/>
        <v>0.40686274509803921</v>
      </c>
      <c r="BG253" s="282" t="s">
        <v>2481</v>
      </c>
      <c r="BH253" s="283"/>
    </row>
    <row r="254" spans="1:60" x14ac:dyDescent="0.3">
      <c r="A254">
        <f t="shared" si="113"/>
        <v>252</v>
      </c>
      <c r="B254" s="241" t="s">
        <v>2499</v>
      </c>
      <c r="C254" s="294" t="s">
        <v>2512</v>
      </c>
      <c r="D254" s="14">
        <v>45780</v>
      </c>
      <c r="E254" s="7"/>
      <c r="F254" s="7"/>
      <c r="G254" s="66"/>
      <c r="H254" s="59"/>
      <c r="I254" s="59">
        <v>450</v>
      </c>
      <c r="J254" s="47">
        <f t="shared" si="126"/>
        <v>450</v>
      </c>
      <c r="K254" s="8">
        <f t="shared" si="127"/>
        <v>450</v>
      </c>
      <c r="L254" s="96">
        <f t="shared" si="125"/>
        <v>1</v>
      </c>
      <c r="M254" s="81">
        <v>844</v>
      </c>
      <c r="N254" s="8">
        <v>153</v>
      </c>
      <c r="O254" s="8">
        <v>60</v>
      </c>
      <c r="P254" s="96">
        <f t="shared" si="114"/>
        <v>0.73551198257080619</v>
      </c>
      <c r="Q254" s="59">
        <f t="shared" si="115"/>
        <v>844</v>
      </c>
      <c r="R254" s="252">
        <f t="shared" si="105"/>
        <v>859</v>
      </c>
      <c r="S254" s="263">
        <v>16</v>
      </c>
      <c r="T254" s="263">
        <v>2</v>
      </c>
      <c r="U254" s="263">
        <v>0</v>
      </c>
      <c r="V254" s="263">
        <v>0</v>
      </c>
      <c r="W254" s="263">
        <v>10</v>
      </c>
      <c r="X254" s="263">
        <v>1</v>
      </c>
      <c r="Y254" s="263">
        <v>0</v>
      </c>
      <c r="Z254" s="263">
        <v>0</v>
      </c>
      <c r="AA254" s="263">
        <v>5</v>
      </c>
      <c r="AB254" s="263">
        <v>2</v>
      </c>
      <c r="AC254" s="263">
        <v>4</v>
      </c>
      <c r="AD254" s="263">
        <v>9</v>
      </c>
      <c r="AE254" s="263"/>
      <c r="AF254" s="263"/>
      <c r="AG254" s="263"/>
      <c r="AH254" s="263"/>
      <c r="AI254" s="263"/>
      <c r="AJ254" s="259"/>
      <c r="AK254" s="263">
        <f t="shared" si="116"/>
        <v>9</v>
      </c>
      <c r="AL254" s="265">
        <f t="shared" si="106"/>
        <v>18</v>
      </c>
      <c r="AM254" s="6">
        <f t="shared" si="117"/>
        <v>9</v>
      </c>
      <c r="AN254" s="255">
        <f t="shared" si="107"/>
        <v>0.9825378346915018</v>
      </c>
      <c r="AO254" s="256">
        <f t="shared" si="108"/>
        <v>0.72266835074477354</v>
      </c>
      <c r="AP254" s="257">
        <f t="shared" si="109"/>
        <v>10477.299185098953</v>
      </c>
      <c r="AQ254" s="263">
        <f t="shared" si="118"/>
        <v>1</v>
      </c>
      <c r="AR254" s="263">
        <f t="shared" si="119"/>
        <v>0.8</v>
      </c>
      <c r="AS254" s="263">
        <f t="shared" si="120"/>
        <v>0.9</v>
      </c>
      <c r="AT254" s="263">
        <f t="shared" si="121"/>
        <v>2.7</v>
      </c>
      <c r="AU254" s="263"/>
      <c r="AV254" s="263"/>
      <c r="AW254" s="263"/>
      <c r="AX254" s="263">
        <f t="shared" si="122"/>
        <v>2.7</v>
      </c>
      <c r="BA254" s="282">
        <f t="shared" si="110"/>
        <v>330.98039215686276</v>
      </c>
      <c r="BB254">
        <v>1</v>
      </c>
      <c r="BC254">
        <f t="shared" si="123"/>
        <v>330.98039215686276</v>
      </c>
      <c r="BD254">
        <f t="shared" si="111"/>
        <v>450</v>
      </c>
      <c r="BE254">
        <f t="shared" si="112"/>
        <v>450</v>
      </c>
      <c r="BF254" s="281">
        <f t="shared" si="124"/>
        <v>0.73551198257080619</v>
      </c>
      <c r="BG254" s="282" t="s">
        <v>2549</v>
      </c>
      <c r="BH254" s="283"/>
    </row>
    <row r="255" spans="1:60" x14ac:dyDescent="0.3">
      <c r="A255">
        <f t="shared" si="113"/>
        <v>253</v>
      </c>
      <c r="B255" s="241" t="s">
        <v>2499</v>
      </c>
      <c r="C255" s="294" t="s">
        <v>2511</v>
      </c>
      <c r="D255" s="14">
        <v>45781</v>
      </c>
      <c r="E255" s="7">
        <v>60</v>
      </c>
      <c r="F255" s="7"/>
      <c r="G255" s="66"/>
      <c r="H255" s="59"/>
      <c r="I255" s="59">
        <v>510</v>
      </c>
      <c r="J255" s="47">
        <f t="shared" si="126"/>
        <v>510</v>
      </c>
      <c r="K255" s="8">
        <f t="shared" si="127"/>
        <v>450</v>
      </c>
      <c r="L255" s="96">
        <f t="shared" si="125"/>
        <v>0.88235294117647056</v>
      </c>
      <c r="M255" s="81">
        <v>1057</v>
      </c>
      <c r="N255" s="8">
        <v>153</v>
      </c>
      <c r="O255" s="8">
        <v>60</v>
      </c>
      <c r="P255" s="96">
        <f t="shared" si="114"/>
        <v>0.92113289760348582</v>
      </c>
      <c r="Q255" s="59">
        <f t="shared" si="115"/>
        <v>1057</v>
      </c>
      <c r="R255" s="252">
        <f t="shared" si="105"/>
        <v>1068</v>
      </c>
      <c r="S255" s="263">
        <v>41</v>
      </c>
      <c r="T255" s="263">
        <v>0</v>
      </c>
      <c r="U255" s="263">
        <v>2</v>
      </c>
      <c r="V255" s="263">
        <v>0</v>
      </c>
      <c r="W255" s="263">
        <v>23</v>
      </c>
      <c r="X255" s="263">
        <v>15</v>
      </c>
      <c r="Y255" s="263">
        <v>0</v>
      </c>
      <c r="Z255" s="263">
        <v>5</v>
      </c>
      <c r="AA255" s="263">
        <v>3</v>
      </c>
      <c r="AB255" s="263">
        <v>6</v>
      </c>
      <c r="AC255" s="263">
        <v>3</v>
      </c>
      <c r="AD255" s="263">
        <v>2</v>
      </c>
      <c r="AE255" s="263"/>
      <c r="AF255" s="263"/>
      <c r="AG255" s="263"/>
      <c r="AH255" s="263"/>
      <c r="AI255" s="263"/>
      <c r="AJ255" s="259"/>
      <c r="AK255" s="263">
        <f t="shared" si="116"/>
        <v>2</v>
      </c>
      <c r="AL255" s="265">
        <f t="shared" si="106"/>
        <v>18</v>
      </c>
      <c r="AM255" s="6">
        <f t="shared" si="117"/>
        <v>2</v>
      </c>
      <c r="AN255" s="255">
        <f t="shared" si="107"/>
        <v>0.98970037453183524</v>
      </c>
      <c r="AO255" s="256">
        <f t="shared" si="108"/>
        <v>0.80439315331038053</v>
      </c>
      <c r="AP255" s="257">
        <f t="shared" si="109"/>
        <v>1872.6591760299625</v>
      </c>
      <c r="AQ255" s="263">
        <f t="shared" si="118"/>
        <v>3</v>
      </c>
      <c r="AR255" s="263">
        <f t="shared" si="119"/>
        <v>0.60000000000000009</v>
      </c>
      <c r="AS255" s="263">
        <f t="shared" si="120"/>
        <v>0.2</v>
      </c>
      <c r="AT255" s="263">
        <f t="shared" si="121"/>
        <v>3.8000000000000003</v>
      </c>
      <c r="AU255" s="263"/>
      <c r="AV255" s="263"/>
      <c r="AW255" s="263"/>
      <c r="AX255" s="263">
        <f t="shared" si="122"/>
        <v>3.8000000000000003</v>
      </c>
      <c r="BA255" s="282">
        <f t="shared" si="110"/>
        <v>414.50980392156862</v>
      </c>
      <c r="BB255">
        <v>1</v>
      </c>
      <c r="BC255">
        <f t="shared" si="123"/>
        <v>414.50980392156862</v>
      </c>
      <c r="BD255">
        <f t="shared" si="111"/>
        <v>450</v>
      </c>
      <c r="BE255">
        <f t="shared" si="112"/>
        <v>510</v>
      </c>
      <c r="BF255" s="281">
        <f t="shared" si="124"/>
        <v>0.81276432141484045</v>
      </c>
      <c r="BG255" s="282" t="s">
        <v>2481</v>
      </c>
      <c r="BH255" s="283"/>
    </row>
    <row r="256" spans="1:60" x14ac:dyDescent="0.3">
      <c r="A256">
        <f t="shared" si="113"/>
        <v>254</v>
      </c>
      <c r="B256" s="241" t="s">
        <v>2499</v>
      </c>
      <c r="C256" s="294" t="s">
        <v>2511</v>
      </c>
      <c r="D256" s="14">
        <v>45782</v>
      </c>
      <c r="E256" s="7">
        <v>33</v>
      </c>
      <c r="F256" s="7"/>
      <c r="G256" s="66"/>
      <c r="H256" s="59"/>
      <c r="I256" s="59">
        <v>480</v>
      </c>
      <c r="J256" s="47">
        <f t="shared" si="126"/>
        <v>480</v>
      </c>
      <c r="K256" s="8">
        <f t="shared" si="127"/>
        <v>447</v>
      </c>
      <c r="L256" s="96">
        <f t="shared" si="125"/>
        <v>0.93125000000000002</v>
      </c>
      <c r="M256" s="81">
        <v>900</v>
      </c>
      <c r="N256" s="8">
        <v>153</v>
      </c>
      <c r="O256" s="8">
        <v>60</v>
      </c>
      <c r="P256" s="96">
        <f t="shared" si="114"/>
        <v>0.78957757599684186</v>
      </c>
      <c r="Q256" s="59">
        <f t="shared" si="115"/>
        <v>900</v>
      </c>
      <c r="R256" s="252">
        <f t="shared" si="105"/>
        <v>907</v>
      </c>
      <c r="S256" s="263">
        <v>31</v>
      </c>
      <c r="T256" s="263">
        <v>3</v>
      </c>
      <c r="U256" s="263">
        <v>3</v>
      </c>
      <c r="V256" s="263">
        <v>0</v>
      </c>
      <c r="W256" s="263">
        <v>6</v>
      </c>
      <c r="X256" s="263">
        <v>3</v>
      </c>
      <c r="Y256" s="263">
        <v>0</v>
      </c>
      <c r="Z256" s="263">
        <v>0</v>
      </c>
      <c r="AA256" s="263">
        <v>2</v>
      </c>
      <c r="AB256" s="263">
        <v>4</v>
      </c>
      <c r="AC256" s="263">
        <v>2</v>
      </c>
      <c r="AD256" s="263">
        <v>1</v>
      </c>
      <c r="AE256" s="263"/>
      <c r="AF256" s="263"/>
      <c r="AG256" s="263"/>
      <c r="AH256" s="263"/>
      <c r="AI256" s="263"/>
      <c r="AJ256" s="259"/>
      <c r="AK256" s="263">
        <f t="shared" si="116"/>
        <v>1</v>
      </c>
      <c r="AL256" s="265">
        <f t="shared" si="106"/>
        <v>19</v>
      </c>
      <c r="AM256" s="6">
        <f t="shared" si="117"/>
        <v>1</v>
      </c>
      <c r="AN256" s="255">
        <f t="shared" si="107"/>
        <v>0.99228224917309815</v>
      </c>
      <c r="AO256" s="256">
        <f t="shared" si="108"/>
        <v>0.72961930086257232</v>
      </c>
      <c r="AP256" s="257">
        <f t="shared" si="109"/>
        <v>1102.5358324145534</v>
      </c>
      <c r="AQ256" s="263">
        <f t="shared" si="118"/>
        <v>2</v>
      </c>
      <c r="AR256" s="263">
        <f t="shared" si="119"/>
        <v>0.4</v>
      </c>
      <c r="AS256" s="263">
        <f t="shared" si="120"/>
        <v>0.1</v>
      </c>
      <c r="AT256" s="263">
        <f t="shared" si="121"/>
        <v>2.5</v>
      </c>
      <c r="AU256" s="263"/>
      <c r="AV256" s="263"/>
      <c r="AW256" s="263"/>
      <c r="AX256" s="263">
        <f t="shared" si="122"/>
        <v>2.5</v>
      </c>
      <c r="BA256" s="282">
        <f t="shared" si="110"/>
        <v>352.94117647058829</v>
      </c>
      <c r="BB256">
        <v>1</v>
      </c>
      <c r="BC256">
        <f t="shared" si="123"/>
        <v>352.94117647058829</v>
      </c>
      <c r="BD256">
        <f t="shared" si="111"/>
        <v>447</v>
      </c>
      <c r="BE256">
        <f t="shared" si="112"/>
        <v>480</v>
      </c>
      <c r="BF256" s="281">
        <f t="shared" si="124"/>
        <v>0.73529411764705899</v>
      </c>
      <c r="BG256" s="282" t="s">
        <v>2538</v>
      </c>
      <c r="BH256" s="283"/>
    </row>
    <row r="257" spans="1:60" x14ac:dyDescent="0.3">
      <c r="A257">
        <f t="shared" si="113"/>
        <v>255</v>
      </c>
      <c r="B257" s="241" t="s">
        <v>2499</v>
      </c>
      <c r="C257" s="294" t="s">
        <v>2512</v>
      </c>
      <c r="D257" s="14">
        <v>45782</v>
      </c>
      <c r="E257" s="7"/>
      <c r="F257" s="7"/>
      <c r="G257" s="66"/>
      <c r="H257" s="59"/>
      <c r="I257" s="59">
        <v>450</v>
      </c>
      <c r="J257" s="47">
        <f t="shared" si="126"/>
        <v>450</v>
      </c>
      <c r="K257" s="8">
        <f t="shared" si="127"/>
        <v>450</v>
      </c>
      <c r="L257" s="96">
        <f t="shared" si="125"/>
        <v>1</v>
      </c>
      <c r="M257" s="81">
        <v>1039</v>
      </c>
      <c r="N257" s="8">
        <v>153</v>
      </c>
      <c r="O257" s="8">
        <v>60</v>
      </c>
      <c r="P257" s="96">
        <f t="shared" si="114"/>
        <v>0.90544662309368185</v>
      </c>
      <c r="Q257" s="59">
        <f t="shared" si="115"/>
        <v>1039</v>
      </c>
      <c r="R257" s="252">
        <f t="shared" si="105"/>
        <v>1063</v>
      </c>
      <c r="S257" s="263">
        <v>15</v>
      </c>
      <c r="T257" s="263">
        <v>0</v>
      </c>
      <c r="U257" s="263">
        <v>0</v>
      </c>
      <c r="V257" s="263">
        <v>10</v>
      </c>
      <c r="W257" s="263">
        <v>14</v>
      </c>
      <c r="X257" s="263">
        <v>1</v>
      </c>
      <c r="Y257" s="263">
        <v>0</v>
      </c>
      <c r="Z257" s="263">
        <v>14</v>
      </c>
      <c r="AA257" s="263">
        <v>2</v>
      </c>
      <c r="AB257" s="263">
        <v>17</v>
      </c>
      <c r="AC257" s="263">
        <v>0</v>
      </c>
      <c r="AD257" s="263">
        <v>7</v>
      </c>
      <c r="AE257" s="263"/>
      <c r="AF257" s="263"/>
      <c r="AG257" s="263"/>
      <c r="AH257" s="263"/>
      <c r="AI257" s="263"/>
      <c r="AJ257" s="259"/>
      <c r="AK257" s="263">
        <f t="shared" si="116"/>
        <v>7</v>
      </c>
      <c r="AL257" s="265">
        <f t="shared" si="106"/>
        <v>19</v>
      </c>
      <c r="AM257" s="6">
        <f t="shared" si="117"/>
        <v>7</v>
      </c>
      <c r="AN257" s="255">
        <f t="shared" si="107"/>
        <v>0.97742238946378179</v>
      </c>
      <c r="AO257" s="256">
        <f t="shared" si="108"/>
        <v>0.8850038018761387</v>
      </c>
      <c r="AP257" s="257">
        <f t="shared" si="109"/>
        <v>6585.1364063969895</v>
      </c>
      <c r="AQ257" s="263">
        <f t="shared" si="118"/>
        <v>8.5</v>
      </c>
      <c r="AR257" s="263">
        <f t="shared" si="119"/>
        <v>0</v>
      </c>
      <c r="AS257" s="263">
        <f t="shared" si="120"/>
        <v>0.70000000000000007</v>
      </c>
      <c r="AT257" s="263">
        <f t="shared" si="121"/>
        <v>9.1999999999999993</v>
      </c>
      <c r="AU257" s="263"/>
      <c r="AV257" s="263"/>
      <c r="AW257" s="263"/>
      <c r="AX257" s="263">
        <f t="shared" si="122"/>
        <v>9.1999999999999993</v>
      </c>
      <c r="BA257" s="282">
        <f t="shared" si="110"/>
        <v>407.45098039215685</v>
      </c>
      <c r="BB257">
        <v>1</v>
      </c>
      <c r="BC257">
        <f t="shared" si="123"/>
        <v>407.45098039215685</v>
      </c>
      <c r="BD257">
        <f t="shared" si="111"/>
        <v>450</v>
      </c>
      <c r="BE257">
        <f t="shared" si="112"/>
        <v>450</v>
      </c>
      <c r="BF257" s="281">
        <f t="shared" si="124"/>
        <v>0.90544662309368185</v>
      </c>
      <c r="BG257" s="282" t="s">
        <v>2549</v>
      </c>
      <c r="BH257" s="283"/>
    </row>
    <row r="258" spans="1:60" x14ac:dyDescent="0.3">
      <c r="A258">
        <f t="shared" si="113"/>
        <v>256</v>
      </c>
      <c r="B258" s="241" t="s">
        <v>2499</v>
      </c>
      <c r="C258" s="294" t="s">
        <v>2513</v>
      </c>
      <c r="D258" s="14">
        <v>45782</v>
      </c>
      <c r="E258" s="7"/>
      <c r="F258" s="7"/>
      <c r="G258" s="66"/>
      <c r="H258" s="59"/>
      <c r="I258" s="59">
        <v>510</v>
      </c>
      <c r="J258" s="47">
        <f t="shared" si="126"/>
        <v>510</v>
      </c>
      <c r="K258" s="8">
        <f t="shared" si="127"/>
        <v>510</v>
      </c>
      <c r="L258" s="96">
        <f t="shared" si="125"/>
        <v>1</v>
      </c>
      <c r="M258" s="81">
        <v>722</v>
      </c>
      <c r="N258" s="8">
        <v>153</v>
      </c>
      <c r="O258" s="8">
        <v>60</v>
      </c>
      <c r="P258" s="96">
        <f t="shared" si="114"/>
        <v>0.55517108804306037</v>
      </c>
      <c r="Q258" s="59">
        <f t="shared" si="115"/>
        <v>722</v>
      </c>
      <c r="R258" s="252">
        <f t="shared" si="105"/>
        <v>746</v>
      </c>
      <c r="S258" s="263">
        <v>6</v>
      </c>
      <c r="T258" s="263">
        <v>2</v>
      </c>
      <c r="U258" s="263">
        <v>0</v>
      </c>
      <c r="V258" s="263">
        <v>0</v>
      </c>
      <c r="W258" s="263">
        <v>2</v>
      </c>
      <c r="X258" s="263">
        <v>0</v>
      </c>
      <c r="Y258" s="263">
        <v>0</v>
      </c>
      <c r="Z258" s="263">
        <v>0</v>
      </c>
      <c r="AA258" s="263">
        <v>0</v>
      </c>
      <c r="AB258" s="263">
        <v>11</v>
      </c>
      <c r="AC258" s="263">
        <v>2</v>
      </c>
      <c r="AD258" s="263">
        <v>11</v>
      </c>
      <c r="AE258" s="263"/>
      <c r="AF258" s="263"/>
      <c r="AG258" s="263"/>
      <c r="AH258" s="263"/>
      <c r="AI258" s="263"/>
      <c r="AJ258" s="259"/>
      <c r="AK258" s="263">
        <f t="shared" si="116"/>
        <v>11</v>
      </c>
      <c r="AL258" s="265">
        <f t="shared" si="106"/>
        <v>19</v>
      </c>
      <c r="AM258" s="6">
        <f t="shared" si="117"/>
        <v>11</v>
      </c>
      <c r="AN258" s="255">
        <f t="shared" si="107"/>
        <v>0.96782841823056298</v>
      </c>
      <c r="AO258" s="256">
        <f t="shared" si="108"/>
        <v>0.53731035598805577</v>
      </c>
      <c r="AP258" s="257">
        <f t="shared" si="109"/>
        <v>14745.308310991957</v>
      </c>
      <c r="AQ258" s="263">
        <f t="shared" si="118"/>
        <v>5.5</v>
      </c>
      <c r="AR258" s="263">
        <f t="shared" si="119"/>
        <v>0.4</v>
      </c>
      <c r="AS258" s="263">
        <f t="shared" si="120"/>
        <v>1.1000000000000001</v>
      </c>
      <c r="AT258" s="263">
        <f t="shared" si="121"/>
        <v>7</v>
      </c>
      <c r="AU258" s="263"/>
      <c r="AV258" s="263"/>
      <c r="AW258" s="263"/>
      <c r="AX258" s="263">
        <f t="shared" si="122"/>
        <v>7</v>
      </c>
      <c r="BA258" s="282">
        <f t="shared" si="110"/>
        <v>283.13725490196077</v>
      </c>
      <c r="BB258">
        <v>1</v>
      </c>
      <c r="BC258">
        <f t="shared" si="123"/>
        <v>283.13725490196077</v>
      </c>
      <c r="BD258">
        <f t="shared" si="111"/>
        <v>510</v>
      </c>
      <c r="BE258">
        <f t="shared" si="112"/>
        <v>510</v>
      </c>
      <c r="BF258" s="281">
        <f t="shared" si="124"/>
        <v>0.55517108804306037</v>
      </c>
      <c r="BG258" s="282" t="s">
        <v>2547</v>
      </c>
      <c r="BH258" s="283"/>
    </row>
    <row r="259" spans="1:60" x14ac:dyDescent="0.3">
      <c r="A259">
        <f t="shared" si="113"/>
        <v>257</v>
      </c>
      <c r="B259" s="241" t="s">
        <v>2499</v>
      </c>
      <c r="C259" s="294" t="s">
        <v>2511</v>
      </c>
      <c r="D259" s="14">
        <v>45783</v>
      </c>
      <c r="E259" s="7">
        <v>45</v>
      </c>
      <c r="F259" s="7"/>
      <c r="G259" s="66"/>
      <c r="H259" s="59"/>
      <c r="I259" s="59">
        <v>480</v>
      </c>
      <c r="J259" s="47">
        <f t="shared" si="126"/>
        <v>480</v>
      </c>
      <c r="K259" s="8">
        <f t="shared" si="127"/>
        <v>435</v>
      </c>
      <c r="L259" s="96">
        <f t="shared" si="125"/>
        <v>0.90625</v>
      </c>
      <c r="M259" s="81">
        <v>920</v>
      </c>
      <c r="N259" s="8">
        <v>153</v>
      </c>
      <c r="O259" s="8">
        <v>60</v>
      </c>
      <c r="P259" s="96">
        <f t="shared" si="114"/>
        <v>0.82938922695514983</v>
      </c>
      <c r="Q259" s="59">
        <f t="shared" si="115"/>
        <v>920</v>
      </c>
      <c r="R259" s="252">
        <f t="shared" ref="R259:R318" si="128">+Q259+AB259+AC259+AD259</f>
        <v>934</v>
      </c>
      <c r="S259" s="263">
        <v>9</v>
      </c>
      <c r="T259" s="263">
        <v>1</v>
      </c>
      <c r="U259" s="263">
        <v>0</v>
      </c>
      <c r="V259" s="263">
        <v>2</v>
      </c>
      <c r="W259" s="263">
        <v>12</v>
      </c>
      <c r="X259" s="263">
        <v>0</v>
      </c>
      <c r="Y259" s="263">
        <v>0</v>
      </c>
      <c r="Z259" s="263">
        <v>0</v>
      </c>
      <c r="AA259" s="263">
        <v>1</v>
      </c>
      <c r="AB259" s="263">
        <v>2</v>
      </c>
      <c r="AC259" s="263">
        <v>2</v>
      </c>
      <c r="AD259" s="263">
        <v>10</v>
      </c>
      <c r="AE259" s="263"/>
      <c r="AF259" s="263"/>
      <c r="AG259" s="263"/>
      <c r="AH259" s="263"/>
      <c r="AI259" s="263"/>
      <c r="AJ259" s="259"/>
      <c r="AK259" s="263">
        <f t="shared" si="116"/>
        <v>10</v>
      </c>
      <c r="AL259" s="265">
        <f t="shared" ref="AL259:AL322" si="129">WEEKNUM(D259,21)</f>
        <v>19</v>
      </c>
      <c r="AM259" s="6">
        <f t="shared" si="117"/>
        <v>10</v>
      </c>
      <c r="AN259" s="255">
        <f t="shared" ref="AN259:AN322" si="130">IFERROR(Q259/R259,"")</f>
        <v>0.98501070663811563</v>
      </c>
      <c r="AO259" s="256">
        <f t="shared" ref="AO259:AO322" si="131">IFERROR(AN259*P259*L259,"")</f>
        <v>0.74036752459727639</v>
      </c>
      <c r="AP259" s="257">
        <f t="shared" ref="AP259:AP322" si="132">IFERROR(AM259/R259*1000000,"")</f>
        <v>10706.638115631691</v>
      </c>
      <c r="AQ259" s="263">
        <f t="shared" si="118"/>
        <v>1</v>
      </c>
      <c r="AR259" s="263">
        <f t="shared" si="119"/>
        <v>0.4</v>
      </c>
      <c r="AS259" s="263">
        <f t="shared" si="120"/>
        <v>1</v>
      </c>
      <c r="AT259" s="263">
        <f t="shared" si="121"/>
        <v>2.4</v>
      </c>
      <c r="AU259" s="263"/>
      <c r="AV259" s="263"/>
      <c r="AW259" s="263"/>
      <c r="AX259" s="263">
        <f t="shared" si="122"/>
        <v>2.4</v>
      </c>
      <c r="BA259" s="282">
        <f t="shared" ref="BA259:BA322" si="133">IFERROR(M259/N259*60,"")</f>
        <v>360.78431372549016</v>
      </c>
      <c r="BB259">
        <v>1</v>
      </c>
      <c r="BC259">
        <f t="shared" si="123"/>
        <v>360.78431372549016</v>
      </c>
      <c r="BD259">
        <f t="shared" ref="BD259:BD322" si="134">IFERROR(BB259*K259,"")</f>
        <v>435</v>
      </c>
      <c r="BE259">
        <f t="shared" ref="BE259:BE322" si="135">J259*BB259</f>
        <v>480</v>
      </c>
      <c r="BF259" s="281">
        <f t="shared" si="124"/>
        <v>0.75163398692810446</v>
      </c>
      <c r="BG259" s="282"/>
      <c r="BH259" s="283"/>
    </row>
    <row r="260" spans="1:60" x14ac:dyDescent="0.3">
      <c r="A260">
        <f t="shared" ref="A260:A560" si="136">+A259+1</f>
        <v>258</v>
      </c>
      <c r="B260" s="241" t="s">
        <v>2499</v>
      </c>
      <c r="C260" s="294" t="s">
        <v>2512</v>
      </c>
      <c r="D260" s="14">
        <v>45783</v>
      </c>
      <c r="E260" s="7"/>
      <c r="F260" s="7"/>
      <c r="G260" s="66"/>
      <c r="H260" s="59"/>
      <c r="I260" s="59">
        <v>450</v>
      </c>
      <c r="J260" s="47">
        <f t="shared" si="126"/>
        <v>450</v>
      </c>
      <c r="K260" s="8">
        <f t="shared" si="127"/>
        <v>450</v>
      </c>
      <c r="L260" s="96">
        <f t="shared" si="125"/>
        <v>1</v>
      </c>
      <c r="M260" s="81">
        <v>588</v>
      </c>
      <c r="N260" s="8">
        <v>153</v>
      </c>
      <c r="O260" s="8">
        <v>60</v>
      </c>
      <c r="P260" s="96">
        <f t="shared" si="114"/>
        <v>0.51241830065359473</v>
      </c>
      <c r="Q260" s="59">
        <f t="shared" si="115"/>
        <v>588</v>
      </c>
      <c r="R260" s="252">
        <f t="shared" si="128"/>
        <v>621</v>
      </c>
      <c r="S260" s="263">
        <v>17</v>
      </c>
      <c r="T260" s="263">
        <v>9</v>
      </c>
      <c r="U260" s="263">
        <v>5</v>
      </c>
      <c r="V260" s="263">
        <v>0</v>
      </c>
      <c r="W260" s="263">
        <v>34</v>
      </c>
      <c r="X260" s="263">
        <v>0</v>
      </c>
      <c r="Y260" s="263">
        <v>0</v>
      </c>
      <c r="Z260" s="263">
        <v>1</v>
      </c>
      <c r="AA260" s="263">
        <v>3</v>
      </c>
      <c r="AB260" s="263">
        <v>27</v>
      </c>
      <c r="AC260" s="263">
        <v>0</v>
      </c>
      <c r="AD260" s="263">
        <v>6</v>
      </c>
      <c r="AE260" s="263"/>
      <c r="AF260" s="263"/>
      <c r="AG260" s="263"/>
      <c r="AH260" s="263"/>
      <c r="AI260" s="263"/>
      <c r="AJ260" s="259"/>
      <c r="AK260" s="263">
        <f t="shared" si="116"/>
        <v>6</v>
      </c>
      <c r="AL260" s="265">
        <f t="shared" si="129"/>
        <v>19</v>
      </c>
      <c r="AM260" s="6">
        <f t="shared" si="117"/>
        <v>6</v>
      </c>
      <c r="AN260" s="255">
        <f t="shared" si="130"/>
        <v>0.9468599033816425</v>
      </c>
      <c r="AO260" s="256">
        <f t="shared" si="131"/>
        <v>0.48518834264784816</v>
      </c>
      <c r="AP260" s="257">
        <f t="shared" si="132"/>
        <v>9661.8357487922694</v>
      </c>
      <c r="AQ260" s="263">
        <f t="shared" si="118"/>
        <v>13.5</v>
      </c>
      <c r="AR260" s="263">
        <f t="shared" si="119"/>
        <v>0</v>
      </c>
      <c r="AS260" s="263">
        <f t="shared" si="120"/>
        <v>0.60000000000000009</v>
      </c>
      <c r="AT260" s="263">
        <f t="shared" si="121"/>
        <v>14.1</v>
      </c>
      <c r="AU260" s="263"/>
      <c r="AV260" s="263"/>
      <c r="AW260" s="263"/>
      <c r="AX260" s="263">
        <f t="shared" si="122"/>
        <v>14.1</v>
      </c>
      <c r="BA260" s="282">
        <f t="shared" si="133"/>
        <v>230.58823529411765</v>
      </c>
      <c r="BB260">
        <v>1</v>
      </c>
      <c r="BC260">
        <f t="shared" si="123"/>
        <v>230.58823529411765</v>
      </c>
      <c r="BD260">
        <f t="shared" si="134"/>
        <v>450</v>
      </c>
      <c r="BE260">
        <f t="shared" si="135"/>
        <v>450</v>
      </c>
      <c r="BF260" s="281">
        <f t="shared" si="124"/>
        <v>0.51241830065359473</v>
      </c>
      <c r="BG260" s="282"/>
      <c r="BH260" s="283"/>
    </row>
    <row r="261" spans="1:60" x14ac:dyDescent="0.3">
      <c r="A261">
        <f t="shared" si="136"/>
        <v>259</v>
      </c>
      <c r="B261" s="241" t="s">
        <v>2499</v>
      </c>
      <c r="C261" s="294" t="s">
        <v>2513</v>
      </c>
      <c r="D261" s="14">
        <v>45783</v>
      </c>
      <c r="E261" s="7"/>
      <c r="F261" s="7"/>
      <c r="G261" s="66"/>
      <c r="H261" s="59"/>
      <c r="I261" s="59">
        <v>510</v>
      </c>
      <c r="J261" s="47">
        <f t="shared" si="126"/>
        <v>510</v>
      </c>
      <c r="K261" s="8">
        <f t="shared" si="127"/>
        <v>510</v>
      </c>
      <c r="L261" s="96">
        <f t="shared" si="125"/>
        <v>1</v>
      </c>
      <c r="M261" s="81">
        <v>1265</v>
      </c>
      <c r="N261" s="8">
        <v>153</v>
      </c>
      <c r="O261" s="8">
        <v>60</v>
      </c>
      <c r="P261" s="96">
        <f t="shared" si="114"/>
        <v>0.97270280661284125</v>
      </c>
      <c r="Q261" s="59">
        <f t="shared" si="115"/>
        <v>1265</v>
      </c>
      <c r="R261" s="252">
        <f t="shared" si="128"/>
        <v>1281</v>
      </c>
      <c r="S261" s="263">
        <v>25</v>
      </c>
      <c r="T261" s="263">
        <v>4</v>
      </c>
      <c r="U261" s="263">
        <v>13</v>
      </c>
      <c r="V261" s="263">
        <v>0</v>
      </c>
      <c r="W261" s="263">
        <v>2</v>
      </c>
      <c r="X261" s="263">
        <v>0</v>
      </c>
      <c r="Y261" s="263">
        <v>0</v>
      </c>
      <c r="Z261" s="263">
        <v>0</v>
      </c>
      <c r="AA261" s="263">
        <v>4</v>
      </c>
      <c r="AB261" s="263">
        <v>11</v>
      </c>
      <c r="AC261" s="263">
        <v>3</v>
      </c>
      <c r="AD261" s="263">
        <v>2</v>
      </c>
      <c r="AE261" s="263"/>
      <c r="AF261" s="263"/>
      <c r="AG261" s="263"/>
      <c r="AH261" s="263"/>
      <c r="AI261" s="263"/>
      <c r="AJ261" s="259"/>
      <c r="AK261" s="263">
        <f t="shared" si="116"/>
        <v>2</v>
      </c>
      <c r="AL261" s="265">
        <f t="shared" si="129"/>
        <v>19</v>
      </c>
      <c r="AM261" s="6">
        <f t="shared" si="117"/>
        <v>2</v>
      </c>
      <c r="AN261" s="255">
        <f t="shared" si="130"/>
        <v>0.98750975800156127</v>
      </c>
      <c r="AO261" s="256">
        <f t="shared" si="131"/>
        <v>0.96055351316568627</v>
      </c>
      <c r="AP261" s="257">
        <f t="shared" si="132"/>
        <v>1561.28024980484</v>
      </c>
      <c r="AQ261" s="263">
        <f t="shared" si="118"/>
        <v>5.5</v>
      </c>
      <c r="AR261" s="263">
        <f t="shared" si="119"/>
        <v>0.60000000000000009</v>
      </c>
      <c r="AS261" s="263">
        <f t="shared" si="120"/>
        <v>0.2</v>
      </c>
      <c r="AT261" s="263">
        <f t="shared" si="121"/>
        <v>6.3</v>
      </c>
      <c r="AU261" s="263"/>
      <c r="AV261" s="263"/>
      <c r="AW261" s="263"/>
      <c r="AX261" s="263">
        <f t="shared" si="122"/>
        <v>6.3</v>
      </c>
      <c r="BA261" s="282">
        <f t="shared" si="133"/>
        <v>496.07843137254906</v>
      </c>
      <c r="BB261">
        <v>1</v>
      </c>
      <c r="BC261">
        <f t="shared" si="123"/>
        <v>496.07843137254906</v>
      </c>
      <c r="BD261">
        <f t="shared" si="134"/>
        <v>510</v>
      </c>
      <c r="BE261">
        <f t="shared" si="135"/>
        <v>510</v>
      </c>
      <c r="BF261" s="281">
        <f t="shared" si="124"/>
        <v>0.97270280661284125</v>
      </c>
      <c r="BG261" s="282"/>
      <c r="BH261" s="283"/>
    </row>
    <row r="262" spans="1:60" x14ac:dyDescent="0.3">
      <c r="A262">
        <f t="shared" si="136"/>
        <v>260</v>
      </c>
      <c r="B262" s="241" t="s">
        <v>2499</v>
      </c>
      <c r="C262" s="294" t="s">
        <v>2511</v>
      </c>
      <c r="D262" s="14">
        <v>45784</v>
      </c>
      <c r="E262" s="7">
        <v>40</v>
      </c>
      <c r="F262" s="7"/>
      <c r="G262" s="66"/>
      <c r="H262" s="59"/>
      <c r="I262" s="59">
        <v>480</v>
      </c>
      <c r="J262" s="47">
        <f t="shared" si="126"/>
        <v>480</v>
      </c>
      <c r="K262" s="8">
        <f t="shared" si="127"/>
        <v>440</v>
      </c>
      <c r="L262" s="96">
        <f t="shared" si="125"/>
        <v>0.91666666666666663</v>
      </c>
      <c r="M262" s="81">
        <v>1092</v>
      </c>
      <c r="N262" s="8">
        <v>153</v>
      </c>
      <c r="O262" s="8">
        <v>60</v>
      </c>
      <c r="P262" s="96">
        <f t="shared" si="114"/>
        <v>0.9732620320855615</v>
      </c>
      <c r="Q262" s="59">
        <f t="shared" si="115"/>
        <v>1092</v>
      </c>
      <c r="R262" s="252">
        <f t="shared" si="128"/>
        <v>1103</v>
      </c>
      <c r="S262" s="263">
        <v>23</v>
      </c>
      <c r="T262" s="263">
        <v>2</v>
      </c>
      <c r="U262" s="263">
        <v>10</v>
      </c>
      <c r="V262" s="263">
        <v>1</v>
      </c>
      <c r="W262" s="263">
        <v>0</v>
      </c>
      <c r="X262" s="263">
        <v>4</v>
      </c>
      <c r="Y262" s="263">
        <v>0</v>
      </c>
      <c r="Z262" s="263">
        <v>0</v>
      </c>
      <c r="AA262" s="263">
        <v>4</v>
      </c>
      <c r="AB262" s="263">
        <v>1</v>
      </c>
      <c r="AC262" s="263">
        <v>2</v>
      </c>
      <c r="AD262" s="263">
        <v>8</v>
      </c>
      <c r="AE262" s="263"/>
      <c r="AF262" s="263"/>
      <c r="AG262" s="263"/>
      <c r="AH262" s="263"/>
      <c r="AI262" s="263"/>
      <c r="AJ262" s="259"/>
      <c r="AK262" s="263">
        <f t="shared" si="116"/>
        <v>8</v>
      </c>
      <c r="AL262" s="265">
        <f t="shared" si="129"/>
        <v>19</v>
      </c>
      <c r="AM262" s="6">
        <f t="shared" si="117"/>
        <v>8</v>
      </c>
      <c r="AN262" s="255">
        <f t="shared" si="130"/>
        <v>0.99002719854941068</v>
      </c>
      <c r="AO262" s="256">
        <f t="shared" si="131"/>
        <v>0.88325955949016055</v>
      </c>
      <c r="AP262" s="257">
        <f t="shared" si="132"/>
        <v>7252.9465095194919</v>
      </c>
      <c r="AQ262" s="263">
        <f t="shared" si="118"/>
        <v>0.5</v>
      </c>
      <c r="AR262" s="263">
        <f t="shared" si="119"/>
        <v>0.4</v>
      </c>
      <c r="AS262" s="263">
        <f t="shared" si="120"/>
        <v>0.8</v>
      </c>
      <c r="AT262" s="263">
        <f t="shared" si="121"/>
        <v>1.7000000000000002</v>
      </c>
      <c r="AU262" s="263"/>
      <c r="AV262" s="263"/>
      <c r="AW262" s="263"/>
      <c r="AX262" s="263">
        <f t="shared" si="122"/>
        <v>1.7000000000000002</v>
      </c>
      <c r="BA262" s="282">
        <f t="shared" si="133"/>
        <v>428.23529411764707</v>
      </c>
      <c r="BB262">
        <v>1</v>
      </c>
      <c r="BC262">
        <f t="shared" si="123"/>
        <v>428.23529411764707</v>
      </c>
      <c r="BD262">
        <f t="shared" si="134"/>
        <v>440</v>
      </c>
      <c r="BE262">
        <f t="shared" si="135"/>
        <v>480</v>
      </c>
      <c r="BF262" s="281">
        <f t="shared" si="124"/>
        <v>0.89215686274509809</v>
      </c>
      <c r="BG262" s="282"/>
      <c r="BH262" s="283"/>
    </row>
    <row r="263" spans="1:60" x14ac:dyDescent="0.3">
      <c r="A263">
        <f t="shared" si="136"/>
        <v>261</v>
      </c>
      <c r="B263" s="241" t="s">
        <v>2499</v>
      </c>
      <c r="C263" s="294" t="s">
        <v>2512</v>
      </c>
      <c r="D263" s="14">
        <v>45784</v>
      </c>
      <c r="E263" s="7"/>
      <c r="F263" s="7"/>
      <c r="G263" s="66"/>
      <c r="H263" s="59"/>
      <c r="I263" s="59">
        <v>450</v>
      </c>
      <c r="J263" s="47">
        <f t="shared" si="126"/>
        <v>450</v>
      </c>
      <c r="K263" s="8">
        <f t="shared" si="127"/>
        <v>450</v>
      </c>
      <c r="L263" s="96">
        <f t="shared" si="125"/>
        <v>1</v>
      </c>
      <c r="M263" s="81">
        <v>1013</v>
      </c>
      <c r="N263" s="8">
        <v>153</v>
      </c>
      <c r="O263" s="8">
        <v>60</v>
      </c>
      <c r="P263" s="96">
        <f t="shared" si="114"/>
        <v>0.88278867102396508</v>
      </c>
      <c r="Q263" s="59">
        <f t="shared" si="115"/>
        <v>1013</v>
      </c>
      <c r="R263" s="252">
        <f t="shared" si="128"/>
        <v>1026</v>
      </c>
      <c r="S263" s="263">
        <v>18</v>
      </c>
      <c r="T263" s="263">
        <v>5</v>
      </c>
      <c r="U263" s="263">
        <v>7</v>
      </c>
      <c r="V263" s="263">
        <v>1</v>
      </c>
      <c r="W263" s="263">
        <v>6</v>
      </c>
      <c r="X263" s="263">
        <v>2</v>
      </c>
      <c r="Y263" s="263">
        <v>1</v>
      </c>
      <c r="Z263" s="263">
        <v>0</v>
      </c>
      <c r="AA263" s="263">
        <v>1</v>
      </c>
      <c r="AB263" s="263">
        <v>8</v>
      </c>
      <c r="AC263" s="263">
        <v>1</v>
      </c>
      <c r="AD263" s="263">
        <v>4</v>
      </c>
      <c r="AE263" s="263"/>
      <c r="AF263" s="263"/>
      <c r="AG263" s="263"/>
      <c r="AH263" s="263"/>
      <c r="AI263" s="263"/>
      <c r="AJ263" s="259"/>
      <c r="AK263" s="263">
        <f t="shared" si="116"/>
        <v>4</v>
      </c>
      <c r="AL263" s="265">
        <f t="shared" si="129"/>
        <v>19</v>
      </c>
      <c r="AM263" s="6">
        <f t="shared" si="117"/>
        <v>4</v>
      </c>
      <c r="AN263" s="255">
        <f t="shared" si="130"/>
        <v>0.98732943469785572</v>
      </c>
      <c r="AO263" s="256">
        <f t="shared" si="131"/>
        <v>0.87160323951976282</v>
      </c>
      <c r="AP263" s="257">
        <f t="shared" si="132"/>
        <v>3898.6354775828459</v>
      </c>
      <c r="AQ263" s="263">
        <f t="shared" si="118"/>
        <v>4</v>
      </c>
      <c r="AR263" s="263">
        <f t="shared" si="119"/>
        <v>0.2</v>
      </c>
      <c r="AS263" s="263">
        <f t="shared" si="120"/>
        <v>0.4</v>
      </c>
      <c r="AT263" s="263">
        <f t="shared" si="121"/>
        <v>4.6000000000000005</v>
      </c>
      <c r="AU263" s="263"/>
      <c r="AV263" s="263"/>
      <c r="AW263" s="263"/>
      <c r="AX263" s="263">
        <f t="shared" si="122"/>
        <v>4.6000000000000005</v>
      </c>
      <c r="BA263" s="282">
        <f t="shared" si="133"/>
        <v>397.25490196078431</v>
      </c>
      <c r="BB263">
        <v>1</v>
      </c>
      <c r="BC263">
        <f t="shared" si="123"/>
        <v>397.25490196078431</v>
      </c>
      <c r="BD263">
        <f t="shared" si="134"/>
        <v>450</v>
      </c>
      <c r="BE263">
        <f t="shared" si="135"/>
        <v>450</v>
      </c>
      <c r="BF263" s="281">
        <f t="shared" si="124"/>
        <v>0.88278867102396508</v>
      </c>
      <c r="BG263" s="282"/>
      <c r="BH263" s="283"/>
    </row>
    <row r="264" spans="1:60" x14ac:dyDescent="0.3">
      <c r="A264">
        <f t="shared" si="136"/>
        <v>262</v>
      </c>
      <c r="B264" s="241" t="s">
        <v>2499</v>
      </c>
      <c r="C264" s="294" t="s">
        <v>2513</v>
      </c>
      <c r="D264" s="14">
        <v>45784</v>
      </c>
      <c r="E264" s="7"/>
      <c r="F264" s="7"/>
      <c r="G264" s="66"/>
      <c r="H264" s="59"/>
      <c r="I264" s="59">
        <v>510</v>
      </c>
      <c r="J264" s="47">
        <f t="shared" si="126"/>
        <v>510</v>
      </c>
      <c r="K264" s="8">
        <f t="shared" si="127"/>
        <v>510</v>
      </c>
      <c r="L264" s="96">
        <f t="shared" si="125"/>
        <v>1</v>
      </c>
      <c r="M264" s="81">
        <v>991</v>
      </c>
      <c r="N264" s="8">
        <v>153</v>
      </c>
      <c r="O264" s="8">
        <v>60</v>
      </c>
      <c r="P264" s="96">
        <f t="shared" si="114"/>
        <v>0.76201460976547486</v>
      </c>
      <c r="Q264" s="59">
        <f t="shared" si="115"/>
        <v>991</v>
      </c>
      <c r="R264" s="252">
        <f t="shared" si="128"/>
        <v>1009</v>
      </c>
      <c r="S264" s="263">
        <v>15</v>
      </c>
      <c r="T264" s="263">
        <v>1</v>
      </c>
      <c r="U264" s="263">
        <v>7</v>
      </c>
      <c r="V264" s="263">
        <v>2</v>
      </c>
      <c r="W264" s="263">
        <v>2</v>
      </c>
      <c r="X264" s="263">
        <v>1</v>
      </c>
      <c r="Y264" s="263">
        <v>0</v>
      </c>
      <c r="Z264" s="263">
        <v>0</v>
      </c>
      <c r="AA264" s="263">
        <v>3</v>
      </c>
      <c r="AB264" s="263">
        <v>12</v>
      </c>
      <c r="AC264" s="263">
        <v>1</v>
      </c>
      <c r="AD264" s="263">
        <v>5</v>
      </c>
      <c r="AE264" s="263"/>
      <c r="AF264" s="263"/>
      <c r="AG264" s="263"/>
      <c r="AH264" s="263"/>
      <c r="AI264" s="263"/>
      <c r="AJ264" s="259"/>
      <c r="AK264" s="263">
        <f t="shared" si="116"/>
        <v>5</v>
      </c>
      <c r="AL264" s="265">
        <f t="shared" si="129"/>
        <v>19</v>
      </c>
      <c r="AM264" s="6">
        <f t="shared" si="117"/>
        <v>5</v>
      </c>
      <c r="AN264" s="255">
        <f t="shared" si="130"/>
        <v>0.98216055500495536</v>
      </c>
      <c r="AO264" s="256">
        <f t="shared" si="131"/>
        <v>0.7484206920491433</v>
      </c>
      <c r="AP264" s="257">
        <f t="shared" si="132"/>
        <v>4955.4013875123883</v>
      </c>
      <c r="AQ264" s="263">
        <f t="shared" si="118"/>
        <v>6</v>
      </c>
      <c r="AR264" s="263">
        <f t="shared" si="119"/>
        <v>0.2</v>
      </c>
      <c r="AS264" s="263">
        <f t="shared" si="120"/>
        <v>0.5</v>
      </c>
      <c r="AT264" s="263">
        <f t="shared" si="121"/>
        <v>6.7</v>
      </c>
      <c r="AU264" s="263"/>
      <c r="AV264" s="263"/>
      <c r="AW264" s="263"/>
      <c r="AX264" s="263">
        <f t="shared" si="122"/>
        <v>6.7</v>
      </c>
      <c r="BA264" s="282">
        <f t="shared" si="133"/>
        <v>388.62745098039215</v>
      </c>
      <c r="BB264">
        <v>1</v>
      </c>
      <c r="BC264">
        <f t="shared" si="123"/>
        <v>388.62745098039215</v>
      </c>
      <c r="BD264">
        <f t="shared" si="134"/>
        <v>510</v>
      </c>
      <c r="BE264">
        <f t="shared" si="135"/>
        <v>510</v>
      </c>
      <c r="BF264" s="281">
        <f t="shared" si="124"/>
        <v>0.76201460976547486</v>
      </c>
      <c r="BG264" s="282"/>
      <c r="BH264" s="283"/>
    </row>
    <row r="265" spans="1:60" x14ac:dyDescent="0.3">
      <c r="A265">
        <f t="shared" si="136"/>
        <v>263</v>
      </c>
      <c r="B265" s="329" t="s">
        <v>2573</v>
      </c>
      <c r="C265" s="294" t="s">
        <v>2511</v>
      </c>
      <c r="D265" s="14">
        <v>45785</v>
      </c>
      <c r="E265" s="7"/>
      <c r="F265" s="7"/>
      <c r="G265" s="66"/>
      <c r="H265" s="59"/>
      <c r="I265" s="59"/>
      <c r="J265" s="47"/>
      <c r="K265" s="8"/>
      <c r="L265" s="96" t="str">
        <f t="shared" si="125"/>
        <v/>
      </c>
      <c r="M265" s="81"/>
      <c r="N265" s="8">
        <v>153</v>
      </c>
      <c r="O265" s="8">
        <v>60</v>
      </c>
      <c r="P265" s="96" t="str">
        <f t="shared" si="114"/>
        <v/>
      </c>
      <c r="Q265" s="59">
        <f t="shared" si="115"/>
        <v>0</v>
      </c>
      <c r="R265" s="252">
        <f t="shared" si="128"/>
        <v>0</v>
      </c>
      <c r="S265" s="263"/>
      <c r="T265" s="263"/>
      <c r="U265" s="263"/>
      <c r="V265" s="263"/>
      <c r="W265" s="263"/>
      <c r="X265" s="263"/>
      <c r="Y265" s="263"/>
      <c r="Z265" s="263"/>
      <c r="AA265" s="263"/>
      <c r="AB265" s="263"/>
      <c r="AC265" s="263"/>
      <c r="AD265" s="263"/>
      <c r="AE265" s="263"/>
      <c r="AF265" s="263"/>
      <c r="AG265" s="263"/>
      <c r="AH265" s="263"/>
      <c r="AI265" s="263"/>
      <c r="AJ265" s="259"/>
      <c r="AK265" s="263">
        <f t="shared" si="116"/>
        <v>0</v>
      </c>
      <c r="AL265" s="265">
        <f t="shared" si="129"/>
        <v>19</v>
      </c>
      <c r="AM265" s="6">
        <f t="shared" si="117"/>
        <v>0</v>
      </c>
      <c r="AN265" s="255" t="str">
        <f t="shared" si="130"/>
        <v/>
      </c>
      <c r="AO265" s="256" t="str">
        <f t="shared" si="131"/>
        <v/>
      </c>
      <c r="AP265" s="257" t="str">
        <f t="shared" si="132"/>
        <v/>
      </c>
      <c r="AQ265" s="263">
        <f t="shared" si="118"/>
        <v>0</v>
      </c>
      <c r="AR265" s="263">
        <f t="shared" si="119"/>
        <v>0</v>
      </c>
      <c r="AS265" s="263">
        <f t="shared" si="120"/>
        <v>0</v>
      </c>
      <c r="AT265" s="263">
        <f t="shared" si="121"/>
        <v>0</v>
      </c>
      <c r="AU265" s="263"/>
      <c r="AV265" s="263"/>
      <c r="AW265" s="263"/>
      <c r="AX265" s="263">
        <f t="shared" si="122"/>
        <v>0</v>
      </c>
      <c r="BA265" s="282">
        <f t="shared" si="133"/>
        <v>0</v>
      </c>
      <c r="BB265">
        <v>1</v>
      </c>
      <c r="BC265">
        <f t="shared" si="123"/>
        <v>0</v>
      </c>
      <c r="BD265">
        <f t="shared" si="134"/>
        <v>0</v>
      </c>
      <c r="BE265">
        <f t="shared" si="135"/>
        <v>0</v>
      </c>
      <c r="BF265" s="281" t="e">
        <f t="shared" si="124"/>
        <v>#DIV/0!</v>
      </c>
      <c r="BG265" s="282"/>
      <c r="BH265" s="283"/>
    </row>
    <row r="266" spans="1:60" x14ac:dyDescent="0.3">
      <c r="A266">
        <f t="shared" si="136"/>
        <v>264</v>
      </c>
      <c r="B266" s="329" t="s">
        <v>2573</v>
      </c>
      <c r="C266" s="294" t="s">
        <v>2512</v>
      </c>
      <c r="D266" s="14">
        <v>45785</v>
      </c>
      <c r="E266" s="7"/>
      <c r="F266" s="7"/>
      <c r="G266" s="66"/>
      <c r="H266" s="59"/>
      <c r="I266" s="59"/>
      <c r="J266" s="47"/>
      <c r="K266" s="8"/>
      <c r="L266" s="96" t="str">
        <f t="shared" si="125"/>
        <v/>
      </c>
      <c r="M266" s="81"/>
      <c r="N266" s="8">
        <v>153</v>
      </c>
      <c r="O266" s="8">
        <v>60</v>
      </c>
      <c r="P266" s="96" t="str">
        <f t="shared" si="114"/>
        <v/>
      </c>
      <c r="Q266" s="59">
        <f t="shared" si="115"/>
        <v>0</v>
      </c>
      <c r="R266" s="252">
        <f t="shared" si="128"/>
        <v>0</v>
      </c>
      <c r="S266" s="263"/>
      <c r="T266" s="263"/>
      <c r="U266" s="263"/>
      <c r="V266" s="263"/>
      <c r="W266" s="263"/>
      <c r="X266" s="263"/>
      <c r="Y266" s="263"/>
      <c r="Z266" s="263"/>
      <c r="AA266" s="263"/>
      <c r="AB266" s="263"/>
      <c r="AC266" s="263"/>
      <c r="AD266" s="263"/>
      <c r="AE266" s="263"/>
      <c r="AF266" s="263"/>
      <c r="AG266" s="263"/>
      <c r="AH266" s="263"/>
      <c r="AI266" s="263"/>
      <c r="AJ266" s="259"/>
      <c r="AK266" s="263">
        <f t="shared" si="116"/>
        <v>0</v>
      </c>
      <c r="AL266" s="265">
        <f t="shared" si="129"/>
        <v>19</v>
      </c>
      <c r="AM266" s="6">
        <f t="shared" si="117"/>
        <v>0</v>
      </c>
      <c r="AN266" s="255" t="str">
        <f t="shared" si="130"/>
        <v/>
      </c>
      <c r="AO266" s="256" t="str">
        <f t="shared" si="131"/>
        <v/>
      </c>
      <c r="AP266" s="257" t="str">
        <f t="shared" si="132"/>
        <v/>
      </c>
      <c r="AQ266" s="263">
        <f t="shared" si="118"/>
        <v>0</v>
      </c>
      <c r="AR266" s="263">
        <f t="shared" si="119"/>
        <v>0</v>
      </c>
      <c r="AS266" s="263">
        <f t="shared" si="120"/>
        <v>0</v>
      </c>
      <c r="AT266" s="263">
        <f t="shared" si="121"/>
        <v>0</v>
      </c>
      <c r="AU266" s="263"/>
      <c r="AV266" s="263"/>
      <c r="AW266" s="263"/>
      <c r="AX266" s="263">
        <f t="shared" si="122"/>
        <v>0</v>
      </c>
      <c r="BA266" s="282">
        <f t="shared" si="133"/>
        <v>0</v>
      </c>
      <c r="BB266">
        <v>1</v>
      </c>
      <c r="BC266">
        <f t="shared" si="123"/>
        <v>0</v>
      </c>
      <c r="BD266">
        <f t="shared" si="134"/>
        <v>0</v>
      </c>
      <c r="BE266">
        <f t="shared" si="135"/>
        <v>0</v>
      </c>
      <c r="BF266" s="281" t="e">
        <f t="shared" si="124"/>
        <v>#DIV/0!</v>
      </c>
      <c r="BG266" s="282"/>
      <c r="BH266" s="283"/>
    </row>
    <row r="267" spans="1:60" x14ac:dyDescent="0.3">
      <c r="A267">
        <f t="shared" si="136"/>
        <v>265</v>
      </c>
      <c r="B267" s="329" t="s">
        <v>2573</v>
      </c>
      <c r="C267" s="294" t="s">
        <v>2513</v>
      </c>
      <c r="D267" s="14">
        <v>45785</v>
      </c>
      <c r="E267" s="7"/>
      <c r="F267" s="7"/>
      <c r="G267" s="66"/>
      <c r="H267" s="59"/>
      <c r="I267" s="59"/>
      <c r="J267" s="47"/>
      <c r="K267" s="8"/>
      <c r="L267" s="96" t="str">
        <f t="shared" si="125"/>
        <v/>
      </c>
      <c r="M267" s="81"/>
      <c r="N267" s="8">
        <v>153</v>
      </c>
      <c r="O267" s="8">
        <v>60</v>
      </c>
      <c r="P267" s="96" t="str">
        <f t="shared" si="114"/>
        <v/>
      </c>
      <c r="Q267" s="59">
        <f t="shared" si="115"/>
        <v>0</v>
      </c>
      <c r="R267" s="252">
        <f t="shared" si="128"/>
        <v>0</v>
      </c>
      <c r="S267" s="263"/>
      <c r="T267" s="263"/>
      <c r="U267" s="263"/>
      <c r="V267" s="263"/>
      <c r="W267" s="263"/>
      <c r="X267" s="263"/>
      <c r="Y267" s="263"/>
      <c r="Z267" s="263"/>
      <c r="AA267" s="263"/>
      <c r="AB267" s="263"/>
      <c r="AC267" s="263"/>
      <c r="AD267" s="263"/>
      <c r="AE267" s="263"/>
      <c r="AF267" s="263"/>
      <c r="AG267" s="263"/>
      <c r="AH267" s="263"/>
      <c r="AI267" s="263"/>
      <c r="AJ267" s="259"/>
      <c r="AK267" s="263">
        <f t="shared" si="116"/>
        <v>0</v>
      </c>
      <c r="AL267" s="265">
        <f t="shared" si="129"/>
        <v>19</v>
      </c>
      <c r="AM267" s="6">
        <f t="shared" si="117"/>
        <v>0</v>
      </c>
      <c r="AN267" s="255" t="str">
        <f t="shared" si="130"/>
        <v/>
      </c>
      <c r="AO267" s="256" t="str">
        <f t="shared" si="131"/>
        <v/>
      </c>
      <c r="AP267" s="257" t="str">
        <f t="shared" si="132"/>
        <v/>
      </c>
      <c r="AQ267" s="263">
        <f t="shared" si="118"/>
        <v>0</v>
      </c>
      <c r="AR267" s="263">
        <f t="shared" si="119"/>
        <v>0</v>
      </c>
      <c r="AS267" s="263">
        <f t="shared" si="120"/>
        <v>0</v>
      </c>
      <c r="AT267" s="263">
        <f t="shared" si="121"/>
        <v>0</v>
      </c>
      <c r="AU267" s="263"/>
      <c r="AV267" s="263"/>
      <c r="AW267" s="263"/>
      <c r="AX267" s="263">
        <f t="shared" si="122"/>
        <v>0</v>
      </c>
      <c r="BA267" s="282">
        <f t="shared" si="133"/>
        <v>0</v>
      </c>
      <c r="BB267">
        <v>1</v>
      </c>
      <c r="BC267">
        <f t="shared" si="123"/>
        <v>0</v>
      </c>
      <c r="BD267">
        <f t="shared" si="134"/>
        <v>0</v>
      </c>
      <c r="BE267">
        <f t="shared" si="135"/>
        <v>0</v>
      </c>
      <c r="BF267" s="281" t="e">
        <f t="shared" si="124"/>
        <v>#DIV/0!</v>
      </c>
      <c r="BG267" s="282"/>
      <c r="BH267" s="283"/>
    </row>
    <row r="268" spans="1:60" x14ac:dyDescent="0.3">
      <c r="A268">
        <f t="shared" si="136"/>
        <v>266</v>
      </c>
      <c r="B268" s="329" t="s">
        <v>2573</v>
      </c>
      <c r="C268" s="294" t="s">
        <v>2511</v>
      </c>
      <c r="D268" s="14">
        <v>45786</v>
      </c>
      <c r="E268" s="7"/>
      <c r="F268" s="7"/>
      <c r="G268" s="66"/>
      <c r="H268" s="59"/>
      <c r="I268" s="59"/>
      <c r="J268" s="47"/>
      <c r="K268" s="8"/>
      <c r="L268" s="96" t="str">
        <f t="shared" si="125"/>
        <v/>
      </c>
      <c r="M268" s="81"/>
      <c r="N268" s="8">
        <v>153</v>
      </c>
      <c r="O268" s="8">
        <v>60</v>
      </c>
      <c r="P268" s="96" t="str">
        <f t="shared" si="114"/>
        <v/>
      </c>
      <c r="Q268" s="59">
        <f t="shared" si="115"/>
        <v>0</v>
      </c>
      <c r="R268" s="252">
        <f t="shared" si="128"/>
        <v>0</v>
      </c>
      <c r="S268" s="263"/>
      <c r="T268" s="263"/>
      <c r="U268" s="263"/>
      <c r="V268" s="263"/>
      <c r="W268" s="263"/>
      <c r="X268" s="263"/>
      <c r="Y268" s="263"/>
      <c r="Z268" s="263"/>
      <c r="AA268" s="263"/>
      <c r="AB268" s="263"/>
      <c r="AC268" s="263"/>
      <c r="AD268" s="263"/>
      <c r="AE268" s="263"/>
      <c r="AF268" s="263"/>
      <c r="AG268" s="263"/>
      <c r="AH268" s="263"/>
      <c r="AI268" s="263"/>
      <c r="AJ268" s="259"/>
      <c r="AK268" s="263">
        <f t="shared" si="116"/>
        <v>0</v>
      </c>
      <c r="AL268" s="265">
        <f t="shared" si="129"/>
        <v>19</v>
      </c>
      <c r="AM268" s="6">
        <f t="shared" si="117"/>
        <v>0</v>
      </c>
      <c r="AN268" s="255" t="str">
        <f t="shared" si="130"/>
        <v/>
      </c>
      <c r="AO268" s="256" t="str">
        <f t="shared" si="131"/>
        <v/>
      </c>
      <c r="AP268" s="257" t="str">
        <f t="shared" si="132"/>
        <v/>
      </c>
      <c r="AQ268" s="263">
        <f t="shared" si="118"/>
        <v>0</v>
      </c>
      <c r="AR268" s="263">
        <f t="shared" si="119"/>
        <v>0</v>
      </c>
      <c r="AS268" s="263">
        <f t="shared" si="120"/>
        <v>0</v>
      </c>
      <c r="AT268" s="263">
        <f t="shared" si="121"/>
        <v>0</v>
      </c>
      <c r="AU268" s="263"/>
      <c r="AV268" s="263"/>
      <c r="AW268" s="263"/>
      <c r="AX268" s="263">
        <f t="shared" si="122"/>
        <v>0</v>
      </c>
      <c r="BA268" s="282">
        <f t="shared" si="133"/>
        <v>0</v>
      </c>
      <c r="BB268">
        <v>1</v>
      </c>
      <c r="BC268">
        <f t="shared" si="123"/>
        <v>0</v>
      </c>
      <c r="BD268">
        <f t="shared" si="134"/>
        <v>0</v>
      </c>
      <c r="BE268">
        <f t="shared" si="135"/>
        <v>0</v>
      </c>
      <c r="BF268" s="281" t="e">
        <f t="shared" si="124"/>
        <v>#DIV/0!</v>
      </c>
      <c r="BG268" s="282"/>
      <c r="BH268" s="283"/>
    </row>
    <row r="269" spans="1:60" x14ac:dyDescent="0.3">
      <c r="A269">
        <f t="shared" si="136"/>
        <v>267</v>
      </c>
      <c r="B269" s="295" t="s">
        <v>2574</v>
      </c>
      <c r="C269" s="294" t="s">
        <v>2512</v>
      </c>
      <c r="D269" s="14">
        <v>45786</v>
      </c>
      <c r="E269" s="7">
        <f>60*3</f>
        <v>180</v>
      </c>
      <c r="F269" s="7"/>
      <c r="G269" s="66"/>
      <c r="H269" s="59"/>
      <c r="I269" s="59">
        <v>320</v>
      </c>
      <c r="J269" s="47">
        <f t="shared" si="126"/>
        <v>320</v>
      </c>
      <c r="K269" s="8">
        <f t="shared" si="127"/>
        <v>140</v>
      </c>
      <c r="L269" s="96">
        <f t="shared" si="125"/>
        <v>0.4375</v>
      </c>
      <c r="M269" s="81">
        <v>508</v>
      </c>
      <c r="N269" s="8">
        <v>153</v>
      </c>
      <c r="O269" s="8">
        <v>60</v>
      </c>
      <c r="P269" s="96">
        <f t="shared" si="114"/>
        <v>1.4229691876750701</v>
      </c>
      <c r="Q269" s="59">
        <f t="shared" si="115"/>
        <v>508</v>
      </c>
      <c r="R269" s="252">
        <f t="shared" si="128"/>
        <v>511</v>
      </c>
      <c r="S269" s="263">
        <v>2</v>
      </c>
      <c r="T269" s="263">
        <v>0</v>
      </c>
      <c r="U269" s="263">
        <v>1</v>
      </c>
      <c r="V269" s="263">
        <v>0</v>
      </c>
      <c r="W269" s="263">
        <v>4</v>
      </c>
      <c r="X269" s="263">
        <v>0</v>
      </c>
      <c r="Y269" s="263">
        <v>1</v>
      </c>
      <c r="Z269" s="263">
        <v>0</v>
      </c>
      <c r="AA269" s="263">
        <v>0</v>
      </c>
      <c r="AB269" s="263">
        <v>1</v>
      </c>
      <c r="AC269" s="263">
        <v>0</v>
      </c>
      <c r="AD269" s="263">
        <v>2</v>
      </c>
      <c r="AE269" s="263"/>
      <c r="AF269" s="263"/>
      <c r="AG269" s="263"/>
      <c r="AH269" s="263"/>
      <c r="AI269" s="263"/>
      <c r="AJ269" s="259"/>
      <c r="AK269" s="263">
        <f t="shared" si="116"/>
        <v>2</v>
      </c>
      <c r="AL269" s="265">
        <f t="shared" si="129"/>
        <v>19</v>
      </c>
      <c r="AM269" s="6">
        <f t="shared" si="117"/>
        <v>2</v>
      </c>
      <c r="AN269" s="255">
        <f t="shared" si="130"/>
        <v>0.9941291585127201</v>
      </c>
      <c r="AO269" s="256">
        <f t="shared" si="131"/>
        <v>0.61889413299566398</v>
      </c>
      <c r="AP269" s="257">
        <f t="shared" si="132"/>
        <v>3913.8943248532287</v>
      </c>
      <c r="AQ269" s="263">
        <f t="shared" si="118"/>
        <v>0.5</v>
      </c>
      <c r="AR269" s="263">
        <f t="shared" si="119"/>
        <v>0</v>
      </c>
      <c r="AS269" s="263">
        <f t="shared" si="120"/>
        <v>0.2</v>
      </c>
      <c r="AT269" s="263">
        <f t="shared" si="121"/>
        <v>0.7</v>
      </c>
      <c r="AU269" s="263"/>
      <c r="AV269" s="263"/>
      <c r="AW269" s="263"/>
      <c r="AX269" s="263">
        <f t="shared" si="122"/>
        <v>0.7</v>
      </c>
      <c r="BA269" s="282">
        <f t="shared" si="133"/>
        <v>199.21568627450981</v>
      </c>
      <c r="BB269">
        <v>1</v>
      </c>
      <c r="BC269">
        <f t="shared" si="123"/>
        <v>199.21568627450981</v>
      </c>
      <c r="BD269">
        <f t="shared" si="134"/>
        <v>140</v>
      </c>
      <c r="BE269">
        <f t="shared" si="135"/>
        <v>320</v>
      </c>
      <c r="BF269" s="281">
        <f t="shared" si="124"/>
        <v>0.62254901960784315</v>
      </c>
      <c r="BG269" s="282"/>
      <c r="BH269" s="283"/>
    </row>
    <row r="270" spans="1:60" x14ac:dyDescent="0.3">
      <c r="A270">
        <f t="shared" si="136"/>
        <v>268</v>
      </c>
      <c r="B270" s="241" t="s">
        <v>2499</v>
      </c>
      <c r="C270" s="294" t="s">
        <v>2513</v>
      </c>
      <c r="D270" s="14">
        <v>45786</v>
      </c>
      <c r="E270" s="7"/>
      <c r="F270" s="7"/>
      <c r="G270" s="66"/>
      <c r="H270" s="59"/>
      <c r="I270" s="59">
        <v>510</v>
      </c>
      <c r="J270" s="47">
        <f t="shared" si="126"/>
        <v>510</v>
      </c>
      <c r="K270" s="8">
        <f t="shared" si="127"/>
        <v>510</v>
      </c>
      <c r="L270" s="96">
        <f t="shared" ref="L270" si="137">IFERROR(K270/J270,"")</f>
        <v>1</v>
      </c>
      <c r="M270" s="81"/>
      <c r="N270" s="8">
        <v>153</v>
      </c>
      <c r="O270" s="8">
        <v>60</v>
      </c>
      <c r="P270" s="96">
        <f t="shared" si="114"/>
        <v>0</v>
      </c>
      <c r="Q270" s="59">
        <f t="shared" ref="Q270" si="138">M270</f>
        <v>0</v>
      </c>
      <c r="R270" s="252">
        <f t="shared" si="128"/>
        <v>0</v>
      </c>
      <c r="S270" s="263"/>
      <c r="T270" s="263"/>
      <c r="U270" s="263"/>
      <c r="V270" s="263"/>
      <c r="W270" s="263"/>
      <c r="X270" s="263"/>
      <c r="Y270" s="263"/>
      <c r="Z270" s="263"/>
      <c r="AA270" s="263"/>
      <c r="AB270" s="263"/>
      <c r="AC270" s="263"/>
      <c r="AD270" s="263"/>
      <c r="AE270" s="263"/>
      <c r="AF270" s="263"/>
      <c r="AG270" s="263"/>
      <c r="AH270" s="263"/>
      <c r="AI270" s="263"/>
      <c r="AJ270" s="259"/>
      <c r="AK270" s="263">
        <f t="shared" si="116"/>
        <v>0</v>
      </c>
      <c r="AL270" s="265">
        <f t="shared" si="129"/>
        <v>19</v>
      </c>
      <c r="AM270" s="6">
        <f t="shared" si="117"/>
        <v>0</v>
      </c>
      <c r="AN270" s="255" t="str">
        <f t="shared" si="130"/>
        <v/>
      </c>
      <c r="AO270" s="256" t="str">
        <f t="shared" si="131"/>
        <v/>
      </c>
      <c r="AP270" s="257" t="str">
        <f t="shared" si="132"/>
        <v/>
      </c>
      <c r="AQ270" s="263">
        <f t="shared" ref="AQ270" si="139">+AB270*0.5</f>
        <v>0</v>
      </c>
      <c r="AR270" s="263">
        <f t="shared" ref="AR270" si="140">+AC270*0.2</f>
        <v>0</v>
      </c>
      <c r="AS270" s="263">
        <f t="shared" ref="AS270" si="141">+AD270*0.1</f>
        <v>0</v>
      </c>
      <c r="AT270" s="263">
        <f t="shared" ref="AT270" si="142">SUM(AQ270:AS270)</f>
        <v>0</v>
      </c>
      <c r="AU270" s="263"/>
      <c r="AV270" s="263"/>
      <c r="AW270" s="263"/>
      <c r="AX270" s="263">
        <f t="shared" ref="AX270" si="143">+AW270+AU270+AT270+AV270</f>
        <v>0</v>
      </c>
      <c r="BA270" s="282">
        <f t="shared" si="133"/>
        <v>0</v>
      </c>
      <c r="BB270">
        <v>1</v>
      </c>
      <c r="BC270">
        <f t="shared" ref="BC270" si="144">IFERROR(BA270*BB270,"")</f>
        <v>0</v>
      </c>
      <c r="BD270">
        <f t="shared" si="134"/>
        <v>510</v>
      </c>
      <c r="BE270">
        <f t="shared" si="135"/>
        <v>510</v>
      </c>
      <c r="BF270" s="281">
        <f t="shared" ref="BF270" si="145">BC270/BE270</f>
        <v>0</v>
      </c>
      <c r="BG270" s="282"/>
      <c r="BH270" s="283"/>
    </row>
    <row r="271" spans="1:60" x14ac:dyDescent="0.3">
      <c r="A271">
        <f t="shared" si="136"/>
        <v>269</v>
      </c>
      <c r="B271" s="241" t="s">
        <v>2499</v>
      </c>
      <c r="C271" s="294" t="s">
        <v>2511</v>
      </c>
      <c r="D271" s="14">
        <v>45788</v>
      </c>
      <c r="E271" s="7">
        <v>45</v>
      </c>
      <c r="F271" s="7"/>
      <c r="G271" s="66"/>
      <c r="H271" s="59"/>
      <c r="I271" s="59">
        <v>510</v>
      </c>
      <c r="J271" s="47">
        <f t="shared" ref="J271:J306" si="146">I271+H271</f>
        <v>510</v>
      </c>
      <c r="K271" s="8">
        <f t="shared" ref="K271:K306" si="147">IFERROR(J271-E271-F271-G271,"")</f>
        <v>465</v>
      </c>
      <c r="L271" s="96">
        <f t="shared" ref="L271:L306" si="148">IFERROR(K271/J271,"")</f>
        <v>0.91176470588235292</v>
      </c>
      <c r="M271" s="81">
        <v>1125</v>
      </c>
      <c r="N271" s="8">
        <v>153</v>
      </c>
      <c r="O271" s="8">
        <v>60</v>
      </c>
      <c r="P271" s="96">
        <f t="shared" si="114"/>
        <v>0.94876660341555963</v>
      </c>
      <c r="Q271" s="59">
        <f t="shared" ref="Q271:Q550" si="149">M271</f>
        <v>1125</v>
      </c>
      <c r="R271" s="252">
        <f t="shared" si="128"/>
        <v>1128</v>
      </c>
      <c r="S271" s="263">
        <v>10</v>
      </c>
      <c r="T271" s="263">
        <v>0</v>
      </c>
      <c r="U271" s="263">
        <v>1</v>
      </c>
      <c r="V271" s="263">
        <v>0</v>
      </c>
      <c r="W271" s="263">
        <v>4</v>
      </c>
      <c r="X271" s="263">
        <v>2</v>
      </c>
      <c r="Y271" s="263">
        <v>0</v>
      </c>
      <c r="Z271" s="263">
        <v>0</v>
      </c>
      <c r="AA271" s="263">
        <v>1</v>
      </c>
      <c r="AB271" s="263">
        <v>1</v>
      </c>
      <c r="AC271" s="263">
        <v>1</v>
      </c>
      <c r="AD271" s="263">
        <v>1</v>
      </c>
      <c r="AE271" s="263"/>
      <c r="AF271" s="263"/>
      <c r="AG271" s="263"/>
      <c r="AH271" s="263"/>
      <c r="AI271" s="263"/>
      <c r="AJ271" s="259"/>
      <c r="AK271" s="263">
        <f t="shared" ref="AK271:AK306" si="150">+AD271+AE271+AF271+AG271+AH271+AI271</f>
        <v>1</v>
      </c>
      <c r="AL271" s="265">
        <f t="shared" si="129"/>
        <v>19</v>
      </c>
      <c r="AM271" s="6">
        <f t="shared" ref="AM271:AM306" si="151">AK271</f>
        <v>1</v>
      </c>
      <c r="AN271" s="255">
        <f t="shared" si="130"/>
        <v>0.99734042553191493</v>
      </c>
      <c r="AO271" s="256">
        <f t="shared" si="131"/>
        <v>0.86275123315909585</v>
      </c>
      <c r="AP271" s="257">
        <f t="shared" si="132"/>
        <v>886.52482269503548</v>
      </c>
      <c r="AQ271" s="263">
        <f t="shared" ref="AQ271:AQ306" si="152">+AB271*0.5</f>
        <v>0.5</v>
      </c>
      <c r="AR271" s="263">
        <f t="shared" ref="AR271:AR306" si="153">+AC271*0.2</f>
        <v>0.2</v>
      </c>
      <c r="AS271" s="263">
        <f t="shared" ref="AS271:AS306" si="154">+AD271*0.1</f>
        <v>0.1</v>
      </c>
      <c r="AT271" s="263">
        <f t="shared" ref="AT271:AT306" si="155">SUM(AQ271:AS271)</f>
        <v>0.79999999999999993</v>
      </c>
      <c r="AU271" s="263"/>
      <c r="AV271" s="263"/>
      <c r="AW271" s="263"/>
      <c r="AX271" s="263">
        <f t="shared" ref="AX271:AX306" si="156">+AW271+AU271+AT271+AV271</f>
        <v>0.79999999999999993</v>
      </c>
      <c r="BA271" s="282">
        <f t="shared" si="133"/>
        <v>441.17647058823525</v>
      </c>
      <c r="BB271">
        <v>1</v>
      </c>
      <c r="BC271">
        <f t="shared" ref="BC271:BC306" si="157">IFERROR(BA271*BB271,"")</f>
        <v>441.17647058823525</v>
      </c>
      <c r="BD271">
        <f t="shared" si="134"/>
        <v>465</v>
      </c>
      <c r="BE271">
        <f t="shared" si="135"/>
        <v>510</v>
      </c>
      <c r="BF271" s="281">
        <f t="shared" ref="BF271:BF306" si="158">BC271/BE271</f>
        <v>0.86505190311418678</v>
      </c>
      <c r="BG271" s="282"/>
      <c r="BH271" s="283"/>
    </row>
    <row r="272" spans="1:60" x14ac:dyDescent="0.3">
      <c r="A272">
        <f t="shared" si="136"/>
        <v>270</v>
      </c>
      <c r="B272" s="241" t="s">
        <v>2499</v>
      </c>
      <c r="C272" s="294" t="s">
        <v>2511</v>
      </c>
      <c r="D272" s="14">
        <v>45789</v>
      </c>
      <c r="E272" s="7">
        <v>45</v>
      </c>
      <c r="F272" s="7"/>
      <c r="G272" s="66"/>
      <c r="H272" s="59"/>
      <c r="I272" s="59">
        <v>480</v>
      </c>
      <c r="J272" s="47">
        <f t="shared" si="146"/>
        <v>480</v>
      </c>
      <c r="K272" s="8">
        <f t="shared" si="147"/>
        <v>435</v>
      </c>
      <c r="L272" s="96">
        <f t="shared" si="148"/>
        <v>0.90625</v>
      </c>
      <c r="M272" s="81">
        <v>913</v>
      </c>
      <c r="N272" s="8">
        <v>153</v>
      </c>
      <c r="O272" s="8">
        <v>60</v>
      </c>
      <c r="P272" s="96">
        <f t="shared" si="114"/>
        <v>0.82307865675005643</v>
      </c>
      <c r="Q272" s="59">
        <f t="shared" si="149"/>
        <v>913</v>
      </c>
      <c r="R272" s="252">
        <f t="shared" si="128"/>
        <v>924</v>
      </c>
      <c r="S272" s="263">
        <v>14</v>
      </c>
      <c r="T272" s="263">
        <v>7</v>
      </c>
      <c r="U272" s="263">
        <v>0</v>
      </c>
      <c r="V272" s="263">
        <v>6</v>
      </c>
      <c r="W272" s="263">
        <v>3</v>
      </c>
      <c r="X272" s="263">
        <v>0</v>
      </c>
      <c r="Y272" s="263">
        <v>2</v>
      </c>
      <c r="Z272" s="263">
        <v>0</v>
      </c>
      <c r="AA272" s="263">
        <v>0</v>
      </c>
      <c r="AB272" s="263">
        <v>7</v>
      </c>
      <c r="AC272" s="263">
        <v>2</v>
      </c>
      <c r="AD272" s="263">
        <v>2</v>
      </c>
      <c r="AE272" s="263"/>
      <c r="AF272" s="263"/>
      <c r="AG272" s="263"/>
      <c r="AH272" s="263"/>
      <c r="AI272" s="263"/>
      <c r="AJ272" s="259"/>
      <c r="AK272" s="263">
        <f t="shared" si="150"/>
        <v>2</v>
      </c>
      <c r="AL272" s="265">
        <f t="shared" si="129"/>
        <v>20</v>
      </c>
      <c r="AM272" s="6">
        <f t="shared" si="151"/>
        <v>2</v>
      </c>
      <c r="AN272" s="255">
        <f t="shared" si="130"/>
        <v>0.98809523809523814</v>
      </c>
      <c r="AO272" s="256">
        <f t="shared" si="131"/>
        <v>0.73703509181450366</v>
      </c>
      <c r="AP272" s="257">
        <f t="shared" si="132"/>
        <v>2164.5021645021643</v>
      </c>
      <c r="AQ272" s="263">
        <f t="shared" si="152"/>
        <v>3.5</v>
      </c>
      <c r="AR272" s="263">
        <f t="shared" si="153"/>
        <v>0.4</v>
      </c>
      <c r="AS272" s="263">
        <f t="shared" si="154"/>
        <v>0.2</v>
      </c>
      <c r="AT272" s="263">
        <f t="shared" si="155"/>
        <v>4.0999999999999996</v>
      </c>
      <c r="AU272" s="263"/>
      <c r="AV272" s="263"/>
      <c r="AW272" s="263"/>
      <c r="AX272" s="263">
        <f t="shared" si="156"/>
        <v>4.0999999999999996</v>
      </c>
      <c r="BA272" s="282">
        <f t="shared" si="133"/>
        <v>358.03921568627453</v>
      </c>
      <c r="BB272">
        <v>1</v>
      </c>
      <c r="BC272">
        <f t="shared" si="157"/>
        <v>358.03921568627453</v>
      </c>
      <c r="BD272">
        <f t="shared" si="134"/>
        <v>435</v>
      </c>
      <c r="BE272">
        <f t="shared" si="135"/>
        <v>480</v>
      </c>
      <c r="BF272" s="281">
        <f t="shared" si="158"/>
        <v>0.74591503267973858</v>
      </c>
      <c r="BG272" s="282" t="s">
        <v>2481</v>
      </c>
      <c r="BH272" s="283"/>
    </row>
    <row r="273" spans="1:60" x14ac:dyDescent="0.3">
      <c r="A273">
        <f t="shared" si="136"/>
        <v>271</v>
      </c>
      <c r="B273" s="241" t="s">
        <v>2499</v>
      </c>
      <c r="C273" s="294" t="s">
        <v>2512</v>
      </c>
      <c r="D273" s="14">
        <v>45789</v>
      </c>
      <c r="E273" s="7"/>
      <c r="F273" s="7"/>
      <c r="G273" s="66"/>
      <c r="H273" s="59"/>
      <c r="I273" s="59">
        <v>450</v>
      </c>
      <c r="J273" s="47">
        <f t="shared" si="146"/>
        <v>450</v>
      </c>
      <c r="K273" s="8">
        <f t="shared" si="147"/>
        <v>450</v>
      </c>
      <c r="L273" s="96">
        <f t="shared" si="148"/>
        <v>1</v>
      </c>
      <c r="M273" s="81">
        <v>882</v>
      </c>
      <c r="N273" s="8">
        <v>153</v>
      </c>
      <c r="O273" s="8">
        <v>60</v>
      </c>
      <c r="P273" s="96">
        <f t="shared" si="114"/>
        <v>0.76862745098039209</v>
      </c>
      <c r="Q273" s="59">
        <f t="shared" si="149"/>
        <v>882</v>
      </c>
      <c r="R273" s="252">
        <f t="shared" si="128"/>
        <v>891</v>
      </c>
      <c r="S273" s="263">
        <v>8</v>
      </c>
      <c r="T273" s="263">
        <v>2</v>
      </c>
      <c r="U273" s="263">
        <v>0</v>
      </c>
      <c r="V273" s="263">
        <v>4</v>
      </c>
      <c r="W273" s="263">
        <v>10</v>
      </c>
      <c r="X273" s="263">
        <v>4</v>
      </c>
      <c r="Y273" s="263">
        <v>1</v>
      </c>
      <c r="Z273" s="263">
        <v>2</v>
      </c>
      <c r="AA273" s="263">
        <v>2</v>
      </c>
      <c r="AB273" s="263">
        <v>5</v>
      </c>
      <c r="AC273" s="263">
        <v>3</v>
      </c>
      <c r="AD273" s="263">
        <v>1</v>
      </c>
      <c r="AE273" s="263"/>
      <c r="AF273" s="263"/>
      <c r="AG273" s="263"/>
      <c r="AH273" s="263"/>
      <c r="AI273" s="263"/>
      <c r="AJ273" s="259"/>
      <c r="AK273" s="263">
        <f t="shared" si="150"/>
        <v>1</v>
      </c>
      <c r="AL273" s="265">
        <f t="shared" si="129"/>
        <v>20</v>
      </c>
      <c r="AM273" s="6">
        <f t="shared" si="151"/>
        <v>1</v>
      </c>
      <c r="AN273" s="255">
        <f t="shared" si="130"/>
        <v>0.98989898989898994</v>
      </c>
      <c r="AO273" s="256">
        <f t="shared" si="131"/>
        <v>0.76086353733412548</v>
      </c>
      <c r="AP273" s="257">
        <f t="shared" si="132"/>
        <v>1122.3344556677891</v>
      </c>
      <c r="AQ273" s="263">
        <f t="shared" si="152"/>
        <v>2.5</v>
      </c>
      <c r="AR273" s="263">
        <f t="shared" si="153"/>
        <v>0.60000000000000009</v>
      </c>
      <c r="AS273" s="263">
        <f t="shared" si="154"/>
        <v>0.1</v>
      </c>
      <c r="AT273" s="263">
        <f t="shared" si="155"/>
        <v>3.2</v>
      </c>
      <c r="AU273" s="263"/>
      <c r="AV273" s="263"/>
      <c r="AW273" s="263"/>
      <c r="AX273" s="263">
        <f t="shared" si="156"/>
        <v>3.2</v>
      </c>
      <c r="BA273" s="282">
        <f t="shared" si="133"/>
        <v>345.88235294117646</v>
      </c>
      <c r="BB273">
        <v>1</v>
      </c>
      <c r="BC273">
        <f t="shared" si="157"/>
        <v>345.88235294117646</v>
      </c>
      <c r="BD273">
        <f t="shared" si="134"/>
        <v>450</v>
      </c>
      <c r="BE273">
        <f t="shared" si="135"/>
        <v>450</v>
      </c>
      <c r="BF273" s="281">
        <f t="shared" si="158"/>
        <v>0.76862745098039209</v>
      </c>
      <c r="BG273" s="282" t="s">
        <v>2549</v>
      </c>
      <c r="BH273" s="283"/>
    </row>
    <row r="274" spans="1:60" x14ac:dyDescent="0.3">
      <c r="A274">
        <f t="shared" si="136"/>
        <v>272</v>
      </c>
      <c r="B274" s="241" t="s">
        <v>2499</v>
      </c>
      <c r="C274" s="294" t="s">
        <v>2513</v>
      </c>
      <c r="D274" s="14">
        <v>45789</v>
      </c>
      <c r="E274" s="7"/>
      <c r="F274" s="7"/>
      <c r="G274" s="66"/>
      <c r="H274" s="59"/>
      <c r="I274" s="59">
        <v>510</v>
      </c>
      <c r="J274" s="47">
        <f t="shared" si="146"/>
        <v>510</v>
      </c>
      <c r="K274" s="8">
        <f t="shared" si="147"/>
        <v>510</v>
      </c>
      <c r="L274" s="96">
        <f t="shared" si="148"/>
        <v>1</v>
      </c>
      <c r="M274" s="81">
        <v>1282</v>
      </c>
      <c r="N274" s="8">
        <v>153</v>
      </c>
      <c r="O274" s="8">
        <v>60</v>
      </c>
      <c r="P274" s="96">
        <f t="shared" si="114"/>
        <v>0.98577470203767781</v>
      </c>
      <c r="Q274" s="59">
        <f t="shared" si="149"/>
        <v>1282</v>
      </c>
      <c r="R274" s="252">
        <f t="shared" si="128"/>
        <v>1298</v>
      </c>
      <c r="S274" s="263">
        <v>6</v>
      </c>
      <c r="T274" s="263">
        <v>1</v>
      </c>
      <c r="U274" s="263">
        <v>2</v>
      </c>
      <c r="V274" s="263">
        <v>2</v>
      </c>
      <c r="W274" s="263">
        <v>0</v>
      </c>
      <c r="X274" s="263">
        <v>1</v>
      </c>
      <c r="Y274" s="263">
        <v>1</v>
      </c>
      <c r="Z274" s="263">
        <v>0</v>
      </c>
      <c r="AA274" s="263">
        <v>0</v>
      </c>
      <c r="AB274" s="263">
        <v>9</v>
      </c>
      <c r="AC274" s="263">
        <v>6</v>
      </c>
      <c r="AD274" s="263">
        <v>1</v>
      </c>
      <c r="AE274" s="263"/>
      <c r="AF274" s="263"/>
      <c r="AG274" s="263"/>
      <c r="AH274" s="263"/>
      <c r="AI274" s="263"/>
      <c r="AJ274" s="259"/>
      <c r="AK274" s="263">
        <f t="shared" si="150"/>
        <v>1</v>
      </c>
      <c r="AL274" s="265">
        <f t="shared" si="129"/>
        <v>20</v>
      </c>
      <c r="AM274" s="6">
        <f t="shared" si="151"/>
        <v>1</v>
      </c>
      <c r="AN274" s="255">
        <f t="shared" si="130"/>
        <v>0.98767334360554704</v>
      </c>
      <c r="AO274" s="256">
        <f t="shared" si="131"/>
        <v>0.97362339600331516</v>
      </c>
      <c r="AP274" s="257">
        <f t="shared" si="132"/>
        <v>770.41602465331277</v>
      </c>
      <c r="AQ274" s="263">
        <f t="shared" si="152"/>
        <v>4.5</v>
      </c>
      <c r="AR274" s="263">
        <f t="shared" si="153"/>
        <v>1.2000000000000002</v>
      </c>
      <c r="AS274" s="263">
        <f t="shared" si="154"/>
        <v>0.1</v>
      </c>
      <c r="AT274" s="263">
        <f t="shared" si="155"/>
        <v>5.8</v>
      </c>
      <c r="AU274" s="263"/>
      <c r="AV274" s="263"/>
      <c r="AW274" s="263"/>
      <c r="AX274" s="263">
        <f t="shared" si="156"/>
        <v>5.8</v>
      </c>
      <c r="BA274" s="282">
        <f t="shared" si="133"/>
        <v>502.74509803921569</v>
      </c>
      <c r="BB274">
        <v>1</v>
      </c>
      <c r="BC274">
        <f t="shared" si="157"/>
        <v>502.74509803921569</v>
      </c>
      <c r="BD274">
        <f t="shared" si="134"/>
        <v>510</v>
      </c>
      <c r="BE274">
        <f t="shared" si="135"/>
        <v>510</v>
      </c>
      <c r="BF274" s="281">
        <f t="shared" si="158"/>
        <v>0.98577470203767781</v>
      </c>
      <c r="BG274" s="282" t="s">
        <v>2544</v>
      </c>
      <c r="BH274" s="283"/>
    </row>
    <row r="275" spans="1:60" x14ac:dyDescent="0.3">
      <c r="A275">
        <f t="shared" si="136"/>
        <v>273</v>
      </c>
      <c r="B275" s="241" t="s">
        <v>2499</v>
      </c>
      <c r="C275" s="294" t="s">
        <v>2511</v>
      </c>
      <c r="D275" s="14">
        <v>45790</v>
      </c>
      <c r="E275" s="7">
        <v>45</v>
      </c>
      <c r="F275" s="7"/>
      <c r="G275" s="66"/>
      <c r="H275" s="59"/>
      <c r="I275" s="59">
        <v>480</v>
      </c>
      <c r="J275" s="47">
        <f t="shared" si="146"/>
        <v>480</v>
      </c>
      <c r="K275" s="8">
        <f t="shared" si="147"/>
        <v>435</v>
      </c>
      <c r="L275" s="96">
        <f t="shared" si="148"/>
        <v>0.90625</v>
      </c>
      <c r="M275" s="81">
        <v>1184</v>
      </c>
      <c r="N275" s="8">
        <v>153</v>
      </c>
      <c r="O275" s="8">
        <v>60</v>
      </c>
      <c r="P275" s="96">
        <f t="shared" si="114"/>
        <v>1.067387874690106</v>
      </c>
      <c r="Q275" s="59">
        <f t="shared" si="149"/>
        <v>1184</v>
      </c>
      <c r="R275" s="252">
        <f t="shared" si="128"/>
        <v>1198</v>
      </c>
      <c r="S275" s="263">
        <v>13</v>
      </c>
      <c r="T275" s="263">
        <v>1</v>
      </c>
      <c r="U275" s="263">
        <v>0</v>
      </c>
      <c r="V275" s="263">
        <v>0</v>
      </c>
      <c r="W275" s="263">
        <v>0</v>
      </c>
      <c r="X275" s="263">
        <v>1</v>
      </c>
      <c r="Y275" s="263">
        <v>2</v>
      </c>
      <c r="Z275" s="263">
        <v>0</v>
      </c>
      <c r="AA275" s="263">
        <v>1</v>
      </c>
      <c r="AB275" s="263">
        <v>6</v>
      </c>
      <c r="AC275" s="263">
        <v>5</v>
      </c>
      <c r="AD275" s="263">
        <v>3</v>
      </c>
      <c r="AE275" s="263"/>
      <c r="AF275" s="263"/>
      <c r="AG275" s="263"/>
      <c r="AH275" s="263"/>
      <c r="AI275" s="263"/>
      <c r="AJ275" s="259"/>
      <c r="AK275" s="263">
        <f t="shared" si="150"/>
        <v>3</v>
      </c>
      <c r="AL275" s="265">
        <f t="shared" si="129"/>
        <v>20</v>
      </c>
      <c r="AM275" s="6">
        <f t="shared" si="151"/>
        <v>3</v>
      </c>
      <c r="AN275" s="255">
        <f t="shared" si="130"/>
        <v>0.98831385642737901</v>
      </c>
      <c r="AO275" s="256">
        <f t="shared" si="131"/>
        <v>0.95601601798203983</v>
      </c>
      <c r="AP275" s="257">
        <f t="shared" si="132"/>
        <v>2504.1736227045076</v>
      </c>
      <c r="AQ275" s="263">
        <f t="shared" si="152"/>
        <v>3</v>
      </c>
      <c r="AR275" s="263">
        <f t="shared" si="153"/>
        <v>1</v>
      </c>
      <c r="AS275" s="263">
        <f t="shared" si="154"/>
        <v>0.30000000000000004</v>
      </c>
      <c r="AT275" s="263">
        <f t="shared" si="155"/>
        <v>4.3</v>
      </c>
      <c r="AU275" s="263"/>
      <c r="AV275" s="263"/>
      <c r="AW275" s="263"/>
      <c r="AX275" s="263">
        <f t="shared" si="156"/>
        <v>4.3</v>
      </c>
      <c r="BA275" s="282">
        <f t="shared" si="133"/>
        <v>464.31372549019608</v>
      </c>
      <c r="BB275">
        <v>1</v>
      </c>
      <c r="BC275">
        <f t="shared" si="157"/>
        <v>464.31372549019608</v>
      </c>
      <c r="BD275">
        <f t="shared" si="134"/>
        <v>435</v>
      </c>
      <c r="BE275">
        <f t="shared" si="135"/>
        <v>480</v>
      </c>
      <c r="BF275" s="281">
        <f t="shared" si="158"/>
        <v>0.9673202614379085</v>
      </c>
      <c r="BG275" s="282" t="s">
        <v>2481</v>
      </c>
      <c r="BH275" s="283"/>
    </row>
    <row r="276" spans="1:60" x14ac:dyDescent="0.3">
      <c r="A276">
        <f t="shared" si="136"/>
        <v>274</v>
      </c>
      <c r="B276" s="241" t="s">
        <v>2499</v>
      </c>
      <c r="C276" s="294" t="s">
        <v>2512</v>
      </c>
      <c r="D276" s="14">
        <v>45790</v>
      </c>
      <c r="E276" s="7"/>
      <c r="F276" s="7"/>
      <c r="G276" s="66"/>
      <c r="H276" s="59"/>
      <c r="I276" s="59">
        <v>450</v>
      </c>
      <c r="J276" s="47">
        <f t="shared" si="146"/>
        <v>450</v>
      </c>
      <c r="K276" s="8">
        <f t="shared" si="147"/>
        <v>450</v>
      </c>
      <c r="L276" s="96">
        <f t="shared" si="148"/>
        <v>1</v>
      </c>
      <c r="M276" s="81">
        <v>1155</v>
      </c>
      <c r="N276" s="8">
        <v>153</v>
      </c>
      <c r="O276" s="8">
        <v>60</v>
      </c>
      <c r="P276" s="96">
        <f t="shared" si="114"/>
        <v>1.0065359477124183</v>
      </c>
      <c r="Q276" s="59">
        <f t="shared" si="149"/>
        <v>1155</v>
      </c>
      <c r="R276" s="252">
        <f t="shared" si="128"/>
        <v>1161</v>
      </c>
      <c r="S276" s="263">
        <v>9</v>
      </c>
      <c r="T276" s="263">
        <v>0</v>
      </c>
      <c r="U276" s="263">
        <v>0</v>
      </c>
      <c r="V276" s="263">
        <v>1</v>
      </c>
      <c r="W276" s="263">
        <v>10</v>
      </c>
      <c r="X276" s="263">
        <v>2</v>
      </c>
      <c r="Y276" s="263">
        <v>5</v>
      </c>
      <c r="Z276" s="263">
        <v>1</v>
      </c>
      <c r="AA276" s="263">
        <v>4</v>
      </c>
      <c r="AB276" s="263">
        <v>4</v>
      </c>
      <c r="AC276" s="263">
        <v>2</v>
      </c>
      <c r="AD276" s="263">
        <v>0</v>
      </c>
      <c r="AE276" s="263"/>
      <c r="AF276" s="263"/>
      <c r="AG276" s="263"/>
      <c r="AH276" s="263"/>
      <c r="AI276" s="263"/>
      <c r="AJ276" s="259"/>
      <c r="AK276" s="263">
        <f t="shared" si="150"/>
        <v>0</v>
      </c>
      <c r="AL276" s="265">
        <f t="shared" si="129"/>
        <v>20</v>
      </c>
      <c r="AM276" s="6">
        <f t="shared" si="151"/>
        <v>0</v>
      </c>
      <c r="AN276" s="255">
        <f t="shared" si="130"/>
        <v>0.9948320413436692</v>
      </c>
      <c r="AO276" s="256">
        <f t="shared" si="131"/>
        <v>1.0013342115485298</v>
      </c>
      <c r="AP276" s="257">
        <f t="shared" si="132"/>
        <v>0</v>
      </c>
      <c r="AQ276" s="263">
        <f t="shared" si="152"/>
        <v>2</v>
      </c>
      <c r="AR276" s="263">
        <f t="shared" si="153"/>
        <v>0.4</v>
      </c>
      <c r="AS276" s="263">
        <f t="shared" si="154"/>
        <v>0</v>
      </c>
      <c r="AT276" s="263">
        <f t="shared" si="155"/>
        <v>2.4</v>
      </c>
      <c r="AU276" s="263"/>
      <c r="AV276" s="263"/>
      <c r="AW276" s="263"/>
      <c r="AX276" s="263">
        <f t="shared" si="156"/>
        <v>2.4</v>
      </c>
      <c r="BA276" s="282">
        <f t="shared" si="133"/>
        <v>452.94117647058823</v>
      </c>
      <c r="BB276">
        <v>1</v>
      </c>
      <c r="BC276">
        <f t="shared" si="157"/>
        <v>452.94117647058823</v>
      </c>
      <c r="BD276">
        <f t="shared" si="134"/>
        <v>450</v>
      </c>
      <c r="BE276">
        <f t="shared" si="135"/>
        <v>450</v>
      </c>
      <c r="BF276" s="281">
        <f t="shared" si="158"/>
        <v>1.0065359477124183</v>
      </c>
      <c r="BG276" s="282" t="s">
        <v>2549</v>
      </c>
      <c r="BH276" s="283"/>
    </row>
    <row r="277" spans="1:60" x14ac:dyDescent="0.3">
      <c r="A277">
        <f t="shared" si="136"/>
        <v>275</v>
      </c>
      <c r="B277" s="241" t="s">
        <v>2499</v>
      </c>
      <c r="C277" s="294" t="s">
        <v>2513</v>
      </c>
      <c r="D277" s="14">
        <v>45790</v>
      </c>
      <c r="E277" s="7"/>
      <c r="F277" s="7"/>
      <c r="G277" s="66"/>
      <c r="H277" s="59"/>
      <c r="I277" s="59">
        <v>510</v>
      </c>
      <c r="J277" s="47">
        <f t="shared" si="146"/>
        <v>510</v>
      </c>
      <c r="K277" s="8">
        <f t="shared" si="147"/>
        <v>510</v>
      </c>
      <c r="L277" s="96">
        <f t="shared" si="148"/>
        <v>1</v>
      </c>
      <c r="M277" s="81">
        <v>970</v>
      </c>
      <c r="N277" s="8">
        <v>153</v>
      </c>
      <c r="O277" s="8">
        <v>60</v>
      </c>
      <c r="P277" s="96">
        <f t="shared" si="114"/>
        <v>0.74586697424067661</v>
      </c>
      <c r="Q277" s="59">
        <f t="shared" si="149"/>
        <v>970</v>
      </c>
      <c r="R277" s="252">
        <f t="shared" si="128"/>
        <v>977</v>
      </c>
      <c r="S277" s="263">
        <v>17</v>
      </c>
      <c r="T277" s="263">
        <v>1</v>
      </c>
      <c r="U277" s="263">
        <v>1</v>
      </c>
      <c r="V277" s="263">
        <v>7</v>
      </c>
      <c r="W277" s="263">
        <v>8</v>
      </c>
      <c r="X277" s="263">
        <v>0</v>
      </c>
      <c r="Y277" s="263">
        <v>2</v>
      </c>
      <c r="Z277" s="263">
        <v>0</v>
      </c>
      <c r="AA277" s="263">
        <v>0</v>
      </c>
      <c r="AB277" s="263">
        <v>6</v>
      </c>
      <c r="AC277" s="263">
        <v>1</v>
      </c>
      <c r="AD277" s="263">
        <v>0</v>
      </c>
      <c r="AE277" s="263"/>
      <c r="AF277" s="263"/>
      <c r="AG277" s="263"/>
      <c r="AH277" s="263"/>
      <c r="AI277" s="263"/>
      <c r="AJ277" s="259"/>
      <c r="AK277" s="263">
        <f t="shared" si="150"/>
        <v>0</v>
      </c>
      <c r="AL277" s="265">
        <f t="shared" si="129"/>
        <v>20</v>
      </c>
      <c r="AM277" s="6">
        <f t="shared" si="151"/>
        <v>0</v>
      </c>
      <c r="AN277" s="255">
        <f t="shared" si="130"/>
        <v>0.99283520982599793</v>
      </c>
      <c r="AO277" s="256">
        <f t="shared" si="131"/>
        <v>0.7405229938725244</v>
      </c>
      <c r="AP277" s="257">
        <f t="shared" si="132"/>
        <v>0</v>
      </c>
      <c r="AQ277" s="263">
        <f t="shared" si="152"/>
        <v>3</v>
      </c>
      <c r="AR277" s="263">
        <f t="shared" si="153"/>
        <v>0.2</v>
      </c>
      <c r="AS277" s="263">
        <f t="shared" si="154"/>
        <v>0</v>
      </c>
      <c r="AT277" s="263">
        <f t="shared" si="155"/>
        <v>3.2</v>
      </c>
      <c r="AU277" s="263"/>
      <c r="AV277" s="263"/>
      <c r="AW277" s="263"/>
      <c r="AX277" s="263">
        <f t="shared" si="156"/>
        <v>3.2</v>
      </c>
      <c r="BA277" s="282">
        <f t="shared" si="133"/>
        <v>380.39215686274508</v>
      </c>
      <c r="BB277">
        <v>1</v>
      </c>
      <c r="BC277">
        <f t="shared" si="157"/>
        <v>380.39215686274508</v>
      </c>
      <c r="BD277">
        <f t="shared" si="134"/>
        <v>510</v>
      </c>
      <c r="BE277">
        <f t="shared" si="135"/>
        <v>510</v>
      </c>
      <c r="BF277" s="281">
        <f t="shared" si="158"/>
        <v>0.74586697424067661</v>
      </c>
      <c r="BG277" s="282" t="s">
        <v>2544</v>
      </c>
      <c r="BH277" s="283"/>
    </row>
    <row r="278" spans="1:60" x14ac:dyDescent="0.3">
      <c r="A278">
        <f t="shared" si="136"/>
        <v>276</v>
      </c>
      <c r="B278" s="241" t="s">
        <v>2499</v>
      </c>
      <c r="C278" s="294" t="s">
        <v>2511</v>
      </c>
      <c r="D278" s="14">
        <v>45791</v>
      </c>
      <c r="E278" s="7">
        <v>45</v>
      </c>
      <c r="F278" s="7"/>
      <c r="G278" s="66"/>
      <c r="H278" s="59"/>
      <c r="I278" s="59">
        <v>480</v>
      </c>
      <c r="J278" s="47">
        <f t="shared" si="146"/>
        <v>480</v>
      </c>
      <c r="K278" s="8">
        <f t="shared" si="147"/>
        <v>435</v>
      </c>
      <c r="L278" s="96">
        <f t="shared" si="148"/>
        <v>0.90625</v>
      </c>
      <c r="M278" s="81">
        <v>1084</v>
      </c>
      <c r="N278" s="8">
        <v>153</v>
      </c>
      <c r="O278" s="8">
        <v>60</v>
      </c>
      <c r="P278" s="96">
        <f t="shared" si="114"/>
        <v>0.97723687176019824</v>
      </c>
      <c r="Q278" s="59">
        <f t="shared" si="149"/>
        <v>1084</v>
      </c>
      <c r="R278" s="252">
        <f t="shared" si="128"/>
        <v>1098</v>
      </c>
      <c r="S278" s="263">
        <v>23</v>
      </c>
      <c r="T278" s="263">
        <v>0</v>
      </c>
      <c r="U278" s="263">
        <v>0</v>
      </c>
      <c r="V278" s="263">
        <v>5</v>
      </c>
      <c r="W278" s="263">
        <v>0</v>
      </c>
      <c r="X278" s="263">
        <v>0</v>
      </c>
      <c r="Y278" s="263">
        <v>2</v>
      </c>
      <c r="Z278" s="263">
        <v>1</v>
      </c>
      <c r="AA278" s="263">
        <v>1</v>
      </c>
      <c r="AB278" s="263">
        <v>10</v>
      </c>
      <c r="AC278" s="263">
        <v>1</v>
      </c>
      <c r="AD278" s="263">
        <v>3</v>
      </c>
      <c r="AE278" s="263"/>
      <c r="AF278" s="263"/>
      <c r="AG278" s="263"/>
      <c r="AH278" s="263"/>
      <c r="AI278" s="263"/>
      <c r="AJ278" s="259"/>
      <c r="AK278" s="263">
        <f t="shared" si="150"/>
        <v>3</v>
      </c>
      <c r="AL278" s="265">
        <f t="shared" si="129"/>
        <v>20</v>
      </c>
      <c r="AM278" s="6">
        <f t="shared" si="151"/>
        <v>3</v>
      </c>
      <c r="AN278" s="255">
        <f t="shared" si="130"/>
        <v>0.98724954462659376</v>
      </c>
      <c r="AO278" s="256">
        <f t="shared" si="131"/>
        <v>0.87432884507780029</v>
      </c>
      <c r="AP278" s="257">
        <f t="shared" si="132"/>
        <v>2732.2404371584698</v>
      </c>
      <c r="AQ278" s="263">
        <f t="shared" si="152"/>
        <v>5</v>
      </c>
      <c r="AR278" s="263">
        <f t="shared" si="153"/>
        <v>0.2</v>
      </c>
      <c r="AS278" s="263">
        <f t="shared" si="154"/>
        <v>0.30000000000000004</v>
      </c>
      <c r="AT278" s="263">
        <f t="shared" si="155"/>
        <v>5.5</v>
      </c>
      <c r="AU278" s="263"/>
      <c r="AV278" s="263"/>
      <c r="AW278" s="263"/>
      <c r="AX278" s="263">
        <f t="shared" si="156"/>
        <v>5.5</v>
      </c>
      <c r="BA278" s="282">
        <f t="shared" si="133"/>
        <v>425.09803921568624</v>
      </c>
      <c r="BB278">
        <v>1</v>
      </c>
      <c r="BC278">
        <f t="shared" si="157"/>
        <v>425.09803921568624</v>
      </c>
      <c r="BD278">
        <f t="shared" si="134"/>
        <v>435</v>
      </c>
      <c r="BE278">
        <f t="shared" si="135"/>
        <v>480</v>
      </c>
      <c r="BF278" s="281">
        <f t="shared" si="158"/>
        <v>0.8856209150326797</v>
      </c>
      <c r="BG278" s="282" t="s">
        <v>2481</v>
      </c>
      <c r="BH278" s="283"/>
    </row>
    <row r="279" spans="1:60" x14ac:dyDescent="0.3">
      <c r="A279">
        <f t="shared" si="136"/>
        <v>277</v>
      </c>
      <c r="B279" s="241" t="s">
        <v>2499</v>
      </c>
      <c r="C279" s="294" t="s">
        <v>2512</v>
      </c>
      <c r="D279" s="14">
        <v>45791</v>
      </c>
      <c r="E279" s="7"/>
      <c r="F279" s="7"/>
      <c r="G279" s="66"/>
      <c r="H279" s="59"/>
      <c r="I279" s="59">
        <v>450</v>
      </c>
      <c r="J279" s="47">
        <f t="shared" si="146"/>
        <v>450</v>
      </c>
      <c r="K279" s="8">
        <f t="shared" si="147"/>
        <v>450</v>
      </c>
      <c r="L279" s="96">
        <f t="shared" si="148"/>
        <v>1</v>
      </c>
      <c r="M279" s="81">
        <v>1102</v>
      </c>
      <c r="N279" s="8">
        <v>153</v>
      </c>
      <c r="O279" s="8">
        <v>60</v>
      </c>
      <c r="P279" s="96">
        <f t="shared" si="114"/>
        <v>0.96034858387799571</v>
      </c>
      <c r="Q279" s="59">
        <f t="shared" si="149"/>
        <v>1102</v>
      </c>
      <c r="R279" s="252">
        <f t="shared" si="128"/>
        <v>1109</v>
      </c>
      <c r="S279" s="263">
        <v>8</v>
      </c>
      <c r="T279" s="263">
        <v>2</v>
      </c>
      <c r="U279" s="263">
        <v>0</v>
      </c>
      <c r="V279" s="263">
        <v>1</v>
      </c>
      <c r="W279" s="263">
        <v>20</v>
      </c>
      <c r="X279" s="263">
        <v>0</v>
      </c>
      <c r="Y279" s="263">
        <v>0</v>
      </c>
      <c r="Z279" s="263">
        <v>0</v>
      </c>
      <c r="AA279" s="263">
        <v>0</v>
      </c>
      <c r="AB279" s="263">
        <v>5</v>
      </c>
      <c r="AC279" s="263">
        <v>1</v>
      </c>
      <c r="AD279" s="263">
        <v>1</v>
      </c>
      <c r="AE279" s="263"/>
      <c r="AF279" s="263"/>
      <c r="AG279" s="263"/>
      <c r="AH279" s="263"/>
      <c r="AI279" s="263"/>
      <c r="AJ279" s="259"/>
      <c r="AK279" s="263">
        <f t="shared" si="150"/>
        <v>1</v>
      </c>
      <c r="AL279" s="265">
        <f t="shared" si="129"/>
        <v>20</v>
      </c>
      <c r="AM279" s="6">
        <f t="shared" si="151"/>
        <v>1</v>
      </c>
      <c r="AN279" s="255">
        <f t="shared" si="130"/>
        <v>0.99368800721370609</v>
      </c>
      <c r="AO279" s="256">
        <f t="shared" si="131"/>
        <v>0.95428687054423023</v>
      </c>
      <c r="AP279" s="257">
        <f t="shared" si="132"/>
        <v>901.71325518485116</v>
      </c>
      <c r="AQ279" s="263">
        <f t="shared" si="152"/>
        <v>2.5</v>
      </c>
      <c r="AR279" s="263">
        <f t="shared" si="153"/>
        <v>0.2</v>
      </c>
      <c r="AS279" s="263">
        <f t="shared" si="154"/>
        <v>0.1</v>
      </c>
      <c r="AT279" s="263">
        <f t="shared" si="155"/>
        <v>2.8000000000000003</v>
      </c>
      <c r="AU279" s="263"/>
      <c r="AV279" s="263"/>
      <c r="AW279" s="263"/>
      <c r="AX279" s="263">
        <f t="shared" si="156"/>
        <v>2.8000000000000003</v>
      </c>
      <c r="BA279" s="282">
        <f t="shared" si="133"/>
        <v>432.15686274509807</v>
      </c>
      <c r="BB279">
        <v>1</v>
      </c>
      <c r="BC279">
        <f t="shared" si="157"/>
        <v>432.15686274509807</v>
      </c>
      <c r="BD279">
        <f t="shared" si="134"/>
        <v>450</v>
      </c>
      <c r="BE279">
        <f t="shared" si="135"/>
        <v>450</v>
      </c>
      <c r="BF279" s="281">
        <f t="shared" si="158"/>
        <v>0.96034858387799571</v>
      </c>
      <c r="BG279" s="282" t="s">
        <v>2549</v>
      </c>
      <c r="BH279" s="283"/>
    </row>
    <row r="280" spans="1:60" x14ac:dyDescent="0.3">
      <c r="A280">
        <f t="shared" si="136"/>
        <v>278</v>
      </c>
      <c r="B280" s="241" t="s">
        <v>2499</v>
      </c>
      <c r="C280" s="294" t="s">
        <v>2513</v>
      </c>
      <c r="D280" s="14">
        <v>45791</v>
      </c>
      <c r="E280" s="7"/>
      <c r="F280" s="7"/>
      <c r="G280" s="66"/>
      <c r="H280" s="59"/>
      <c r="I280" s="59">
        <v>510</v>
      </c>
      <c r="J280" s="47">
        <f t="shared" si="146"/>
        <v>510</v>
      </c>
      <c r="K280" s="8">
        <f t="shared" si="147"/>
        <v>510</v>
      </c>
      <c r="L280" s="96">
        <f t="shared" si="148"/>
        <v>1</v>
      </c>
      <c r="M280" s="81">
        <v>913</v>
      </c>
      <c r="N280" s="8">
        <v>153</v>
      </c>
      <c r="O280" s="8">
        <v>60</v>
      </c>
      <c r="P280" s="96">
        <f t="shared" si="114"/>
        <v>0.70203767781622461</v>
      </c>
      <c r="Q280" s="59">
        <f t="shared" si="149"/>
        <v>913</v>
      </c>
      <c r="R280" s="252">
        <f t="shared" si="128"/>
        <v>918</v>
      </c>
      <c r="S280" s="263">
        <v>12</v>
      </c>
      <c r="T280" s="263">
        <v>2</v>
      </c>
      <c r="U280" s="263">
        <v>0</v>
      </c>
      <c r="V280" s="263">
        <v>1</v>
      </c>
      <c r="W280" s="263">
        <v>50</v>
      </c>
      <c r="X280" s="263">
        <v>0</v>
      </c>
      <c r="Y280" s="263">
        <v>0</v>
      </c>
      <c r="Z280" s="263">
        <v>1</v>
      </c>
      <c r="AA280" s="263">
        <v>0</v>
      </c>
      <c r="AB280" s="263">
        <v>1</v>
      </c>
      <c r="AC280" s="263">
        <v>4</v>
      </c>
      <c r="AD280" s="263">
        <v>0</v>
      </c>
      <c r="AE280" s="263"/>
      <c r="AF280" s="263"/>
      <c r="AG280" s="263"/>
      <c r="AH280" s="263"/>
      <c r="AI280" s="263"/>
      <c r="AJ280" s="259"/>
      <c r="AK280" s="263">
        <f t="shared" si="150"/>
        <v>0</v>
      </c>
      <c r="AL280" s="265">
        <f t="shared" si="129"/>
        <v>20</v>
      </c>
      <c r="AM280" s="6">
        <f t="shared" si="151"/>
        <v>0</v>
      </c>
      <c r="AN280" s="255">
        <f t="shared" si="130"/>
        <v>0.99455337690631807</v>
      </c>
      <c r="AO280" s="256">
        <f t="shared" si="131"/>
        <v>0.69821394318759589</v>
      </c>
      <c r="AP280" s="257">
        <f t="shared" si="132"/>
        <v>0</v>
      </c>
      <c r="AQ280" s="263">
        <f t="shared" si="152"/>
        <v>0.5</v>
      </c>
      <c r="AR280" s="263">
        <f t="shared" si="153"/>
        <v>0.8</v>
      </c>
      <c r="AS280" s="263">
        <f t="shared" si="154"/>
        <v>0</v>
      </c>
      <c r="AT280" s="263">
        <f t="shared" si="155"/>
        <v>1.3</v>
      </c>
      <c r="AU280" s="263"/>
      <c r="AV280" s="263"/>
      <c r="AW280" s="263"/>
      <c r="AX280" s="263">
        <f t="shared" si="156"/>
        <v>1.3</v>
      </c>
      <c r="BA280" s="282">
        <f t="shared" si="133"/>
        <v>358.03921568627453</v>
      </c>
      <c r="BB280">
        <v>1</v>
      </c>
      <c r="BC280">
        <f t="shared" si="157"/>
        <v>358.03921568627453</v>
      </c>
      <c r="BD280">
        <f t="shared" si="134"/>
        <v>510</v>
      </c>
      <c r="BE280">
        <f t="shared" si="135"/>
        <v>510</v>
      </c>
      <c r="BF280" s="281">
        <f t="shared" si="158"/>
        <v>0.70203767781622461</v>
      </c>
      <c r="BG280" s="282" t="s">
        <v>2544</v>
      </c>
      <c r="BH280" s="283"/>
    </row>
    <row r="281" spans="1:60" x14ac:dyDescent="0.3">
      <c r="A281">
        <f t="shared" si="136"/>
        <v>279</v>
      </c>
      <c r="B281" s="241" t="s">
        <v>2499</v>
      </c>
      <c r="C281" s="294" t="s">
        <v>2511</v>
      </c>
      <c r="D281" s="14">
        <v>45792</v>
      </c>
      <c r="E281" s="7">
        <v>40</v>
      </c>
      <c r="F281" s="7"/>
      <c r="G281" s="66"/>
      <c r="H281" s="59"/>
      <c r="I281" s="59">
        <v>480</v>
      </c>
      <c r="J281" s="47">
        <f t="shared" si="146"/>
        <v>480</v>
      </c>
      <c r="K281" s="8">
        <f t="shared" si="147"/>
        <v>440</v>
      </c>
      <c r="L281" s="96">
        <f t="shared" si="148"/>
        <v>0.91666666666666663</v>
      </c>
      <c r="M281" s="81">
        <v>1080</v>
      </c>
      <c r="N281" s="8">
        <v>153</v>
      </c>
      <c r="O281" s="8">
        <v>60</v>
      </c>
      <c r="P281" s="96">
        <f t="shared" si="114"/>
        <v>0.96256684491978606</v>
      </c>
      <c r="Q281" s="59">
        <f t="shared" si="149"/>
        <v>1080</v>
      </c>
      <c r="R281" s="252">
        <f t="shared" si="128"/>
        <v>1095</v>
      </c>
      <c r="S281" s="263">
        <v>13</v>
      </c>
      <c r="T281" s="263">
        <v>5</v>
      </c>
      <c r="U281" s="263">
        <v>1</v>
      </c>
      <c r="V281" s="263">
        <v>10</v>
      </c>
      <c r="W281" s="263">
        <v>45</v>
      </c>
      <c r="X281" s="263">
        <v>0</v>
      </c>
      <c r="Y281" s="263">
        <v>2</v>
      </c>
      <c r="Z281" s="263">
        <v>0</v>
      </c>
      <c r="AA281" s="263">
        <v>0</v>
      </c>
      <c r="AB281" s="263">
        <v>14</v>
      </c>
      <c r="AC281" s="263">
        <v>1</v>
      </c>
      <c r="AD281" s="263">
        <v>0</v>
      </c>
      <c r="AE281" s="263"/>
      <c r="AF281" s="263"/>
      <c r="AG281" s="263"/>
      <c r="AH281" s="263"/>
      <c r="AI281" s="263"/>
      <c r="AJ281" s="259"/>
      <c r="AK281" s="263">
        <f t="shared" si="150"/>
        <v>0</v>
      </c>
      <c r="AL281" s="265">
        <f t="shared" si="129"/>
        <v>20</v>
      </c>
      <c r="AM281" s="6">
        <f t="shared" si="151"/>
        <v>0</v>
      </c>
      <c r="AN281" s="255">
        <f t="shared" si="130"/>
        <v>0.98630136986301364</v>
      </c>
      <c r="AO281" s="256">
        <f t="shared" si="131"/>
        <v>0.87026591458501201</v>
      </c>
      <c r="AP281" s="257">
        <f t="shared" si="132"/>
        <v>0</v>
      </c>
      <c r="AQ281" s="263">
        <f t="shared" si="152"/>
        <v>7</v>
      </c>
      <c r="AR281" s="263">
        <f t="shared" si="153"/>
        <v>0.2</v>
      </c>
      <c r="AS281" s="263">
        <f t="shared" si="154"/>
        <v>0</v>
      </c>
      <c r="AT281" s="263">
        <f t="shared" si="155"/>
        <v>7.2</v>
      </c>
      <c r="AU281" s="263"/>
      <c r="AV281" s="263"/>
      <c r="AW281" s="263"/>
      <c r="AX281" s="263">
        <f t="shared" si="156"/>
        <v>7.2</v>
      </c>
      <c r="BA281" s="282">
        <f t="shared" si="133"/>
        <v>423.52941176470586</v>
      </c>
      <c r="BB281">
        <v>1</v>
      </c>
      <c r="BC281">
        <f t="shared" si="157"/>
        <v>423.52941176470586</v>
      </c>
      <c r="BD281">
        <f t="shared" si="134"/>
        <v>440</v>
      </c>
      <c r="BE281">
        <f t="shared" si="135"/>
        <v>480</v>
      </c>
      <c r="BF281" s="281">
        <f t="shared" si="158"/>
        <v>0.88235294117647056</v>
      </c>
      <c r="BG281" s="282" t="s">
        <v>2481</v>
      </c>
      <c r="BH281" s="283"/>
    </row>
    <row r="282" spans="1:60" x14ac:dyDescent="0.3">
      <c r="A282">
        <f t="shared" si="136"/>
        <v>280</v>
      </c>
      <c r="B282" s="241" t="s">
        <v>2499</v>
      </c>
      <c r="C282" s="294" t="s">
        <v>2512</v>
      </c>
      <c r="D282" s="14">
        <v>45792</v>
      </c>
      <c r="E282" s="7"/>
      <c r="F282" s="7"/>
      <c r="G282" s="66"/>
      <c r="H282" s="59"/>
      <c r="I282" s="59">
        <v>450</v>
      </c>
      <c r="J282" s="47">
        <f t="shared" si="146"/>
        <v>450</v>
      </c>
      <c r="K282" s="8">
        <f t="shared" si="147"/>
        <v>450</v>
      </c>
      <c r="L282" s="96">
        <f t="shared" si="148"/>
        <v>1</v>
      </c>
      <c r="M282" s="81">
        <v>1165</v>
      </c>
      <c r="N282" s="8">
        <v>153</v>
      </c>
      <c r="O282" s="8">
        <v>60</v>
      </c>
      <c r="P282" s="96">
        <f t="shared" si="114"/>
        <v>1.0152505446623092</v>
      </c>
      <c r="Q282" s="59">
        <f t="shared" si="149"/>
        <v>1165</v>
      </c>
      <c r="R282" s="252">
        <f t="shared" si="128"/>
        <v>1174</v>
      </c>
      <c r="S282" s="263">
        <v>6</v>
      </c>
      <c r="T282" s="263">
        <v>0</v>
      </c>
      <c r="U282" s="263">
        <v>0</v>
      </c>
      <c r="V282" s="263">
        <v>3</v>
      </c>
      <c r="W282" s="263">
        <v>2</v>
      </c>
      <c r="X282" s="263">
        <v>1</v>
      </c>
      <c r="Y282" s="263">
        <v>4</v>
      </c>
      <c r="Z282" s="263">
        <v>0</v>
      </c>
      <c r="AA282" s="263">
        <v>0</v>
      </c>
      <c r="AB282" s="263">
        <v>9</v>
      </c>
      <c r="AC282" s="263">
        <v>0</v>
      </c>
      <c r="AD282" s="263">
        <v>0</v>
      </c>
      <c r="AE282" s="263"/>
      <c r="AF282" s="263"/>
      <c r="AG282" s="263"/>
      <c r="AH282" s="263"/>
      <c r="AI282" s="263"/>
      <c r="AJ282" s="259"/>
      <c r="AK282" s="263">
        <f t="shared" si="150"/>
        <v>0</v>
      </c>
      <c r="AL282" s="265">
        <f t="shared" si="129"/>
        <v>20</v>
      </c>
      <c r="AM282" s="6">
        <f t="shared" si="151"/>
        <v>0</v>
      </c>
      <c r="AN282" s="255">
        <f t="shared" si="130"/>
        <v>0.99233390119250431</v>
      </c>
      <c r="AO282" s="256">
        <f t="shared" si="131"/>
        <v>1.0074675336725643</v>
      </c>
      <c r="AP282" s="257">
        <f t="shared" si="132"/>
        <v>0</v>
      </c>
      <c r="AQ282" s="263">
        <f t="shared" si="152"/>
        <v>4.5</v>
      </c>
      <c r="AR282" s="263">
        <f t="shared" si="153"/>
        <v>0</v>
      </c>
      <c r="AS282" s="263">
        <f t="shared" si="154"/>
        <v>0</v>
      </c>
      <c r="AT282" s="263">
        <f t="shared" si="155"/>
        <v>4.5</v>
      </c>
      <c r="AU282" s="263"/>
      <c r="AV282" s="263"/>
      <c r="AW282" s="263"/>
      <c r="AX282" s="263">
        <f t="shared" si="156"/>
        <v>4.5</v>
      </c>
      <c r="BA282" s="282">
        <f t="shared" si="133"/>
        <v>456.86274509803917</v>
      </c>
      <c r="BB282">
        <v>1</v>
      </c>
      <c r="BC282">
        <f t="shared" si="157"/>
        <v>456.86274509803917</v>
      </c>
      <c r="BD282">
        <f t="shared" si="134"/>
        <v>450</v>
      </c>
      <c r="BE282">
        <f t="shared" si="135"/>
        <v>450</v>
      </c>
      <c r="BF282" s="281">
        <f t="shared" si="158"/>
        <v>1.0152505446623092</v>
      </c>
      <c r="BG282" s="282" t="s">
        <v>2549</v>
      </c>
      <c r="BH282" s="283"/>
    </row>
    <row r="283" spans="1:60" x14ac:dyDescent="0.3">
      <c r="A283">
        <f t="shared" si="136"/>
        <v>281</v>
      </c>
      <c r="B283" s="241" t="s">
        <v>2499</v>
      </c>
      <c r="C283" s="294" t="s">
        <v>2513</v>
      </c>
      <c r="D283" s="14">
        <v>45792</v>
      </c>
      <c r="E283" s="7"/>
      <c r="F283" s="7"/>
      <c r="G283" s="66"/>
      <c r="H283" s="59"/>
      <c r="I283" s="59">
        <v>510</v>
      </c>
      <c r="J283" s="47">
        <f t="shared" si="146"/>
        <v>510</v>
      </c>
      <c r="K283" s="8">
        <f t="shared" si="147"/>
        <v>510</v>
      </c>
      <c r="L283" s="96">
        <f t="shared" si="148"/>
        <v>1</v>
      </c>
      <c r="M283" s="81">
        <v>1301</v>
      </c>
      <c r="N283" s="8">
        <v>153</v>
      </c>
      <c r="O283" s="8">
        <v>60</v>
      </c>
      <c r="P283" s="96">
        <f t="shared" si="114"/>
        <v>1.0003844675124951</v>
      </c>
      <c r="Q283" s="59">
        <f t="shared" si="149"/>
        <v>1301</v>
      </c>
      <c r="R283" s="252">
        <f t="shared" si="128"/>
        <v>1308</v>
      </c>
      <c r="S283" s="263">
        <v>17</v>
      </c>
      <c r="T283" s="263">
        <v>2</v>
      </c>
      <c r="U283" s="263">
        <v>0</v>
      </c>
      <c r="V283" s="263">
        <v>5</v>
      </c>
      <c r="W283" s="263">
        <v>0</v>
      </c>
      <c r="X283" s="263">
        <v>4</v>
      </c>
      <c r="Y283" s="263">
        <v>3</v>
      </c>
      <c r="Z283" s="263">
        <v>2</v>
      </c>
      <c r="AA283" s="263">
        <v>1</v>
      </c>
      <c r="AB283" s="263">
        <v>0</v>
      </c>
      <c r="AC283" s="263">
        <v>4</v>
      </c>
      <c r="AD283" s="263">
        <v>3</v>
      </c>
      <c r="AE283" s="263"/>
      <c r="AF283" s="263"/>
      <c r="AG283" s="263"/>
      <c r="AH283" s="263"/>
      <c r="AI283" s="263"/>
      <c r="AJ283" s="259"/>
      <c r="AK283" s="263">
        <f t="shared" si="150"/>
        <v>3</v>
      </c>
      <c r="AL283" s="265">
        <f t="shared" si="129"/>
        <v>20</v>
      </c>
      <c r="AM283" s="6">
        <f t="shared" si="151"/>
        <v>3</v>
      </c>
      <c r="AN283" s="255">
        <f t="shared" si="130"/>
        <v>0.99464831804281351</v>
      </c>
      <c r="AO283" s="256">
        <f t="shared" si="131"/>
        <v>0.99503072800745884</v>
      </c>
      <c r="AP283" s="257">
        <f t="shared" si="132"/>
        <v>2293.5779816513764</v>
      </c>
      <c r="AQ283" s="263">
        <f t="shared" si="152"/>
        <v>0</v>
      </c>
      <c r="AR283" s="263">
        <f t="shared" si="153"/>
        <v>0.8</v>
      </c>
      <c r="AS283" s="263">
        <f t="shared" si="154"/>
        <v>0.30000000000000004</v>
      </c>
      <c r="AT283" s="263">
        <f t="shared" si="155"/>
        <v>1.1000000000000001</v>
      </c>
      <c r="AU283" s="263"/>
      <c r="AV283" s="263"/>
      <c r="AW283" s="263"/>
      <c r="AX283" s="263">
        <f t="shared" si="156"/>
        <v>1.1000000000000001</v>
      </c>
      <c r="BA283" s="282">
        <f t="shared" si="133"/>
        <v>510.19607843137254</v>
      </c>
      <c r="BB283">
        <v>1</v>
      </c>
      <c r="BC283">
        <f t="shared" si="157"/>
        <v>510.19607843137254</v>
      </c>
      <c r="BD283">
        <f t="shared" si="134"/>
        <v>510</v>
      </c>
      <c r="BE283">
        <f t="shared" si="135"/>
        <v>510</v>
      </c>
      <c r="BF283" s="281">
        <f t="shared" si="158"/>
        <v>1.0003844675124951</v>
      </c>
      <c r="BG283" s="282" t="s">
        <v>2544</v>
      </c>
      <c r="BH283" s="283"/>
    </row>
    <row r="284" spans="1:60" x14ac:dyDescent="0.3">
      <c r="A284">
        <f t="shared" si="136"/>
        <v>282</v>
      </c>
      <c r="B284" s="241" t="s">
        <v>2499</v>
      </c>
      <c r="C284" s="294" t="s">
        <v>2511</v>
      </c>
      <c r="D284" s="14">
        <v>45793</v>
      </c>
      <c r="E284" s="7">
        <v>40</v>
      </c>
      <c r="F284" s="7"/>
      <c r="G284" s="66"/>
      <c r="H284" s="59"/>
      <c r="I284" s="59">
        <v>480</v>
      </c>
      <c r="J284" s="47">
        <f t="shared" si="146"/>
        <v>480</v>
      </c>
      <c r="K284" s="8">
        <f t="shared" si="147"/>
        <v>440</v>
      </c>
      <c r="L284" s="96">
        <f t="shared" si="148"/>
        <v>0.91666666666666663</v>
      </c>
      <c r="M284" s="81">
        <v>1140</v>
      </c>
      <c r="N284" s="8">
        <v>153</v>
      </c>
      <c r="O284" s="8">
        <v>60</v>
      </c>
      <c r="P284" s="96">
        <f t="shared" si="114"/>
        <v>1.0160427807486632</v>
      </c>
      <c r="Q284" s="59">
        <f t="shared" si="149"/>
        <v>1140</v>
      </c>
      <c r="R284" s="252">
        <f t="shared" si="128"/>
        <v>1173</v>
      </c>
      <c r="S284" s="263">
        <v>18</v>
      </c>
      <c r="T284" s="263">
        <v>1</v>
      </c>
      <c r="U284" s="263">
        <v>0</v>
      </c>
      <c r="V284" s="263">
        <v>12</v>
      </c>
      <c r="W284" s="263">
        <v>0</v>
      </c>
      <c r="X284" s="263">
        <v>0</v>
      </c>
      <c r="Y284" s="263">
        <v>11</v>
      </c>
      <c r="Z284" s="263">
        <v>2</v>
      </c>
      <c r="AA284" s="263">
        <v>0</v>
      </c>
      <c r="AB284" s="263">
        <v>30</v>
      </c>
      <c r="AC284" s="263">
        <v>0</v>
      </c>
      <c r="AD284" s="263">
        <v>3</v>
      </c>
      <c r="AE284" s="263"/>
      <c r="AF284" s="263"/>
      <c r="AG284" s="263"/>
      <c r="AH284" s="263"/>
      <c r="AI284" s="263"/>
      <c r="AJ284" s="259"/>
      <c r="AK284" s="263">
        <f t="shared" si="150"/>
        <v>3</v>
      </c>
      <c r="AL284" s="265">
        <f t="shared" si="129"/>
        <v>20</v>
      </c>
      <c r="AM284" s="6">
        <f t="shared" si="151"/>
        <v>3</v>
      </c>
      <c r="AN284" s="255">
        <f t="shared" si="130"/>
        <v>0.97186700767263423</v>
      </c>
      <c r="AO284" s="256">
        <f t="shared" si="131"/>
        <v>0.90517025224412018</v>
      </c>
      <c r="AP284" s="257">
        <f t="shared" si="132"/>
        <v>2557.5447570332485</v>
      </c>
      <c r="AQ284" s="263">
        <f t="shared" si="152"/>
        <v>15</v>
      </c>
      <c r="AR284" s="263">
        <f t="shared" si="153"/>
        <v>0</v>
      </c>
      <c r="AS284" s="263">
        <f t="shared" si="154"/>
        <v>0.30000000000000004</v>
      </c>
      <c r="AT284" s="263">
        <f t="shared" si="155"/>
        <v>15.3</v>
      </c>
      <c r="AU284" s="263"/>
      <c r="AV284" s="263"/>
      <c r="AW284" s="263"/>
      <c r="AX284" s="263">
        <f t="shared" si="156"/>
        <v>15.3</v>
      </c>
      <c r="BA284" s="282">
        <f t="shared" si="133"/>
        <v>447.05882352941177</v>
      </c>
      <c r="BB284">
        <v>1</v>
      </c>
      <c r="BC284">
        <f t="shared" si="157"/>
        <v>447.05882352941177</v>
      </c>
      <c r="BD284">
        <f t="shared" si="134"/>
        <v>440</v>
      </c>
      <c r="BE284">
        <f t="shared" si="135"/>
        <v>480</v>
      </c>
      <c r="BF284" s="281">
        <f t="shared" si="158"/>
        <v>0.93137254901960786</v>
      </c>
      <c r="BG284" s="282" t="s">
        <v>2481</v>
      </c>
      <c r="BH284" s="283"/>
    </row>
    <row r="285" spans="1:60" x14ac:dyDescent="0.3">
      <c r="A285">
        <f t="shared" si="136"/>
        <v>283</v>
      </c>
      <c r="B285" s="241" t="s">
        <v>2499</v>
      </c>
      <c r="C285" s="294" t="s">
        <v>2512</v>
      </c>
      <c r="D285" s="14">
        <v>45793</v>
      </c>
      <c r="E285" s="7"/>
      <c r="F285" s="7"/>
      <c r="G285" s="66"/>
      <c r="H285" s="59"/>
      <c r="I285" s="59">
        <v>450</v>
      </c>
      <c r="J285" s="47">
        <f t="shared" si="146"/>
        <v>450</v>
      </c>
      <c r="K285" s="8">
        <f t="shared" si="147"/>
        <v>450</v>
      </c>
      <c r="L285" s="96">
        <f t="shared" si="148"/>
        <v>1</v>
      </c>
      <c r="M285" s="81">
        <f>114+99+170+156+167+125+150+86</f>
        <v>1067</v>
      </c>
      <c r="N285" s="8">
        <v>153</v>
      </c>
      <c r="O285" s="8">
        <v>60</v>
      </c>
      <c r="P285" s="96">
        <f t="shared" si="114"/>
        <v>0.9298474945533769</v>
      </c>
      <c r="Q285" s="59">
        <f t="shared" si="149"/>
        <v>1067</v>
      </c>
      <c r="R285" s="252">
        <f t="shared" si="128"/>
        <v>1101</v>
      </c>
      <c r="S285" s="263">
        <v>14</v>
      </c>
      <c r="T285" s="263">
        <v>3</v>
      </c>
      <c r="U285" s="263">
        <v>0</v>
      </c>
      <c r="V285" s="263">
        <v>7</v>
      </c>
      <c r="W285" s="263">
        <v>0</v>
      </c>
      <c r="X285" s="263">
        <v>1</v>
      </c>
      <c r="Y285" s="263">
        <v>6</v>
      </c>
      <c r="Z285" s="263">
        <v>0</v>
      </c>
      <c r="AA285" s="263">
        <v>2</v>
      </c>
      <c r="AB285" s="263">
        <v>30</v>
      </c>
      <c r="AC285" s="263">
        <v>2</v>
      </c>
      <c r="AD285" s="263">
        <v>2</v>
      </c>
      <c r="AE285" s="263"/>
      <c r="AF285" s="263"/>
      <c r="AG285" s="263"/>
      <c r="AH285" s="263"/>
      <c r="AI285" s="263"/>
      <c r="AJ285" s="259"/>
      <c r="AK285" s="263">
        <f t="shared" si="150"/>
        <v>2</v>
      </c>
      <c r="AL285" s="265">
        <f t="shared" si="129"/>
        <v>20</v>
      </c>
      <c r="AM285" s="6">
        <f t="shared" si="151"/>
        <v>2</v>
      </c>
      <c r="AN285" s="255">
        <f t="shared" si="130"/>
        <v>0.96911898274296093</v>
      </c>
      <c r="AO285" s="256">
        <f t="shared" si="131"/>
        <v>0.90113285802765952</v>
      </c>
      <c r="AP285" s="257">
        <f t="shared" si="132"/>
        <v>1816.5304268846503</v>
      </c>
      <c r="AQ285" s="263">
        <f t="shared" si="152"/>
        <v>15</v>
      </c>
      <c r="AR285" s="263">
        <f t="shared" si="153"/>
        <v>0.4</v>
      </c>
      <c r="AS285" s="263">
        <f t="shared" si="154"/>
        <v>0.2</v>
      </c>
      <c r="AT285" s="263">
        <f t="shared" si="155"/>
        <v>15.6</v>
      </c>
      <c r="AU285" s="263"/>
      <c r="AV285" s="263"/>
      <c r="AW285" s="263"/>
      <c r="AX285" s="263">
        <f t="shared" si="156"/>
        <v>15.6</v>
      </c>
      <c r="BA285" s="282">
        <f t="shared" si="133"/>
        <v>418.43137254901961</v>
      </c>
      <c r="BB285">
        <v>1</v>
      </c>
      <c r="BC285">
        <f t="shared" si="157"/>
        <v>418.43137254901961</v>
      </c>
      <c r="BD285">
        <f t="shared" si="134"/>
        <v>450</v>
      </c>
      <c r="BE285">
        <f t="shared" si="135"/>
        <v>450</v>
      </c>
      <c r="BF285" s="281">
        <f t="shared" si="158"/>
        <v>0.9298474945533769</v>
      </c>
      <c r="BG285" s="282" t="s">
        <v>2549</v>
      </c>
      <c r="BH285" s="283"/>
    </row>
    <row r="286" spans="1:60" x14ac:dyDescent="0.3">
      <c r="A286">
        <f t="shared" si="136"/>
        <v>284</v>
      </c>
      <c r="B286" s="241" t="s">
        <v>2499</v>
      </c>
      <c r="C286" s="294" t="s">
        <v>2513</v>
      </c>
      <c r="D286" s="14">
        <v>45793</v>
      </c>
      <c r="E286" s="7"/>
      <c r="F286" s="7"/>
      <c r="G286" s="66"/>
      <c r="H286" s="59"/>
      <c r="I286" s="59">
        <v>510</v>
      </c>
      <c r="J286" s="47">
        <f t="shared" si="146"/>
        <v>510</v>
      </c>
      <c r="K286" s="8">
        <f t="shared" si="147"/>
        <v>510</v>
      </c>
      <c r="L286" s="96">
        <f t="shared" si="148"/>
        <v>1</v>
      </c>
      <c r="M286" s="81">
        <v>1324</v>
      </c>
      <c r="N286" s="8">
        <v>153</v>
      </c>
      <c r="O286" s="8">
        <v>60</v>
      </c>
      <c r="P286" s="96">
        <f t="shared" si="114"/>
        <v>1.018069973087274</v>
      </c>
      <c r="Q286" s="59">
        <f t="shared" si="149"/>
        <v>1324</v>
      </c>
      <c r="R286" s="252">
        <f t="shared" si="128"/>
        <v>1344</v>
      </c>
      <c r="S286" s="263">
        <v>23</v>
      </c>
      <c r="T286" s="263">
        <v>0</v>
      </c>
      <c r="U286" s="263">
        <v>0</v>
      </c>
      <c r="V286" s="263">
        <v>17</v>
      </c>
      <c r="W286" s="263">
        <v>0</v>
      </c>
      <c r="X286" s="263">
        <v>2</v>
      </c>
      <c r="Y286" s="263">
        <v>4</v>
      </c>
      <c r="Z286" s="263">
        <v>1</v>
      </c>
      <c r="AA286" s="263">
        <v>0</v>
      </c>
      <c r="AB286" s="263">
        <v>15</v>
      </c>
      <c r="AC286" s="263">
        <v>2</v>
      </c>
      <c r="AD286" s="263">
        <v>3</v>
      </c>
      <c r="AE286" s="263"/>
      <c r="AF286" s="263"/>
      <c r="AG286" s="263"/>
      <c r="AH286" s="263"/>
      <c r="AI286" s="263"/>
      <c r="AJ286" s="259"/>
      <c r="AK286" s="263">
        <f t="shared" si="150"/>
        <v>3</v>
      </c>
      <c r="AL286" s="265">
        <f t="shared" si="129"/>
        <v>20</v>
      </c>
      <c r="AM286" s="6">
        <f t="shared" si="151"/>
        <v>3</v>
      </c>
      <c r="AN286" s="255">
        <f t="shared" si="130"/>
        <v>0.98511904761904767</v>
      </c>
      <c r="AO286" s="256">
        <f t="shared" si="131"/>
        <v>1.0029201222972848</v>
      </c>
      <c r="AP286" s="257">
        <f t="shared" si="132"/>
        <v>2232.1428571428569</v>
      </c>
      <c r="AQ286" s="263">
        <f t="shared" si="152"/>
        <v>7.5</v>
      </c>
      <c r="AR286" s="263">
        <f t="shared" si="153"/>
        <v>0.4</v>
      </c>
      <c r="AS286" s="263">
        <f t="shared" si="154"/>
        <v>0.30000000000000004</v>
      </c>
      <c r="AT286" s="263">
        <f t="shared" si="155"/>
        <v>8.2000000000000011</v>
      </c>
      <c r="AU286" s="263"/>
      <c r="AV286" s="263"/>
      <c r="AW286" s="263"/>
      <c r="AX286" s="263">
        <f t="shared" si="156"/>
        <v>8.2000000000000011</v>
      </c>
      <c r="BA286" s="282">
        <f t="shared" si="133"/>
        <v>519.21568627450972</v>
      </c>
      <c r="BB286">
        <v>1</v>
      </c>
      <c r="BC286">
        <f t="shared" si="157"/>
        <v>519.21568627450972</v>
      </c>
      <c r="BD286">
        <f t="shared" si="134"/>
        <v>510</v>
      </c>
      <c r="BE286">
        <f t="shared" si="135"/>
        <v>510</v>
      </c>
      <c r="BF286" s="281">
        <f t="shared" si="158"/>
        <v>1.018069973087274</v>
      </c>
      <c r="BG286" s="282" t="s">
        <v>2544</v>
      </c>
      <c r="BH286" s="283"/>
    </row>
    <row r="287" spans="1:60" x14ac:dyDescent="0.3">
      <c r="A287">
        <f t="shared" si="136"/>
        <v>285</v>
      </c>
      <c r="B287" s="241" t="s">
        <v>2499</v>
      </c>
      <c r="C287" s="294" t="s">
        <v>2511</v>
      </c>
      <c r="D287" s="14">
        <v>45794</v>
      </c>
      <c r="E287" s="7">
        <v>72</v>
      </c>
      <c r="F287" s="7"/>
      <c r="G287" s="66"/>
      <c r="H287" s="59"/>
      <c r="I287" s="59">
        <v>480</v>
      </c>
      <c r="J287" s="47">
        <f t="shared" si="146"/>
        <v>480</v>
      </c>
      <c r="K287" s="8">
        <f t="shared" si="147"/>
        <v>408</v>
      </c>
      <c r="L287" s="96">
        <f t="shared" si="148"/>
        <v>0.85</v>
      </c>
      <c r="M287" s="81">
        <v>934</v>
      </c>
      <c r="N287" s="8">
        <v>153</v>
      </c>
      <c r="O287" s="8">
        <v>60</v>
      </c>
      <c r="P287" s="96">
        <f t="shared" si="114"/>
        <v>0.89773164167627828</v>
      </c>
      <c r="Q287" s="59">
        <f t="shared" si="149"/>
        <v>934</v>
      </c>
      <c r="R287" s="252">
        <f t="shared" si="128"/>
        <v>951</v>
      </c>
      <c r="S287" s="263">
        <v>24</v>
      </c>
      <c r="T287" s="263">
        <v>0</v>
      </c>
      <c r="U287" s="263">
        <v>0</v>
      </c>
      <c r="V287" s="263">
        <v>16</v>
      </c>
      <c r="W287" s="263">
        <v>2</v>
      </c>
      <c r="X287" s="263">
        <v>0</v>
      </c>
      <c r="Y287" s="263">
        <v>0</v>
      </c>
      <c r="Z287" s="263">
        <v>2</v>
      </c>
      <c r="AA287" s="263">
        <v>0</v>
      </c>
      <c r="AB287" s="263">
        <v>13</v>
      </c>
      <c r="AC287" s="263">
        <v>4</v>
      </c>
      <c r="AD287" s="263">
        <v>0</v>
      </c>
      <c r="AE287" s="263"/>
      <c r="AF287" s="263"/>
      <c r="AG287" s="263"/>
      <c r="AH287" s="263"/>
      <c r="AI287" s="263"/>
      <c r="AJ287" s="259"/>
      <c r="AK287" s="263">
        <f t="shared" si="150"/>
        <v>0</v>
      </c>
      <c r="AL287" s="265">
        <f t="shared" si="129"/>
        <v>20</v>
      </c>
      <c r="AM287" s="6">
        <f t="shared" si="151"/>
        <v>0</v>
      </c>
      <c r="AN287" s="255">
        <f t="shared" si="130"/>
        <v>0.98212407991587802</v>
      </c>
      <c r="AO287" s="256">
        <f t="shared" si="131"/>
        <v>0.74943128320378261</v>
      </c>
      <c r="AP287" s="257">
        <f t="shared" si="132"/>
        <v>0</v>
      </c>
      <c r="AQ287" s="263">
        <f t="shared" si="152"/>
        <v>6.5</v>
      </c>
      <c r="AR287" s="263">
        <f t="shared" si="153"/>
        <v>0.8</v>
      </c>
      <c r="AS287" s="263">
        <f t="shared" si="154"/>
        <v>0</v>
      </c>
      <c r="AT287" s="263">
        <f t="shared" si="155"/>
        <v>7.3</v>
      </c>
      <c r="AU287" s="263"/>
      <c r="AV287" s="263"/>
      <c r="AW287" s="263"/>
      <c r="AX287" s="263">
        <f t="shared" si="156"/>
        <v>7.3</v>
      </c>
      <c r="BA287" s="282">
        <f t="shared" si="133"/>
        <v>366.27450980392155</v>
      </c>
      <c r="BB287">
        <v>1</v>
      </c>
      <c r="BC287">
        <f t="shared" si="157"/>
        <v>366.27450980392155</v>
      </c>
      <c r="BD287">
        <f t="shared" si="134"/>
        <v>408</v>
      </c>
      <c r="BE287">
        <f t="shared" si="135"/>
        <v>480</v>
      </c>
      <c r="BF287" s="281">
        <f t="shared" si="158"/>
        <v>0.76307189542483655</v>
      </c>
      <c r="BG287" s="282" t="s">
        <v>2481</v>
      </c>
      <c r="BH287" s="283"/>
    </row>
    <row r="288" spans="1:60" x14ac:dyDescent="0.3">
      <c r="A288">
        <f t="shared" si="136"/>
        <v>286</v>
      </c>
      <c r="B288" s="241" t="s">
        <v>2499</v>
      </c>
      <c r="C288" s="294" t="s">
        <v>2512</v>
      </c>
      <c r="D288" s="14">
        <v>45794</v>
      </c>
      <c r="E288" s="7"/>
      <c r="F288" s="7"/>
      <c r="G288" s="66"/>
      <c r="H288" s="59"/>
      <c r="I288" s="59">
        <v>450</v>
      </c>
      <c r="J288" s="47">
        <f t="shared" si="146"/>
        <v>450</v>
      </c>
      <c r="K288" s="8">
        <f t="shared" si="147"/>
        <v>450</v>
      </c>
      <c r="L288" s="96">
        <f t="shared" si="148"/>
        <v>1</v>
      </c>
      <c r="M288" s="81">
        <v>1072</v>
      </c>
      <c r="N288" s="8">
        <v>153</v>
      </c>
      <c r="O288" s="8">
        <v>60</v>
      </c>
      <c r="P288" s="96">
        <f t="shared" si="114"/>
        <v>0.93420479302832238</v>
      </c>
      <c r="Q288" s="59">
        <f t="shared" si="149"/>
        <v>1072</v>
      </c>
      <c r="R288" s="252">
        <f t="shared" si="128"/>
        <v>1111</v>
      </c>
      <c r="S288" s="263">
        <v>25</v>
      </c>
      <c r="T288" s="263">
        <v>2</v>
      </c>
      <c r="U288" s="263">
        <v>0</v>
      </c>
      <c r="V288" s="263">
        <v>36</v>
      </c>
      <c r="W288" s="263">
        <v>2</v>
      </c>
      <c r="X288" s="263">
        <v>0</v>
      </c>
      <c r="Y288" s="263">
        <v>4</v>
      </c>
      <c r="Z288" s="263">
        <v>0</v>
      </c>
      <c r="AA288" s="263">
        <v>0</v>
      </c>
      <c r="AB288" s="263">
        <v>37</v>
      </c>
      <c r="AC288" s="263">
        <v>2</v>
      </c>
      <c r="AD288" s="263">
        <v>0</v>
      </c>
      <c r="AE288" s="263"/>
      <c r="AF288" s="263"/>
      <c r="AG288" s="263"/>
      <c r="AH288" s="263"/>
      <c r="AI288" s="263"/>
      <c r="AJ288" s="259"/>
      <c r="AK288" s="263">
        <f t="shared" si="150"/>
        <v>0</v>
      </c>
      <c r="AL288" s="265">
        <f t="shared" si="129"/>
        <v>20</v>
      </c>
      <c r="AM288" s="6">
        <f t="shared" si="151"/>
        <v>0</v>
      </c>
      <c r="AN288" s="255">
        <f t="shared" si="130"/>
        <v>0.96489648964896491</v>
      </c>
      <c r="AO288" s="256">
        <f t="shared" si="131"/>
        <v>0.90141092540626611</v>
      </c>
      <c r="AP288" s="257">
        <f t="shared" si="132"/>
        <v>0</v>
      </c>
      <c r="AQ288" s="263">
        <f t="shared" si="152"/>
        <v>18.5</v>
      </c>
      <c r="AR288" s="263">
        <f t="shared" si="153"/>
        <v>0.4</v>
      </c>
      <c r="AS288" s="263">
        <f t="shared" si="154"/>
        <v>0</v>
      </c>
      <c r="AT288" s="263">
        <f t="shared" si="155"/>
        <v>18.899999999999999</v>
      </c>
      <c r="AU288" s="263"/>
      <c r="AV288" s="263"/>
      <c r="AW288" s="263"/>
      <c r="AX288" s="263">
        <f t="shared" si="156"/>
        <v>18.899999999999999</v>
      </c>
      <c r="BA288" s="282">
        <f t="shared" si="133"/>
        <v>420.39215686274508</v>
      </c>
      <c r="BB288">
        <v>1</v>
      </c>
      <c r="BC288">
        <f t="shared" si="157"/>
        <v>420.39215686274508</v>
      </c>
      <c r="BD288">
        <f t="shared" si="134"/>
        <v>450</v>
      </c>
      <c r="BE288">
        <f t="shared" si="135"/>
        <v>450</v>
      </c>
      <c r="BF288" s="281">
        <f t="shared" si="158"/>
        <v>0.93420479302832238</v>
      </c>
      <c r="BG288" s="282" t="s">
        <v>2549</v>
      </c>
      <c r="BH288" s="283"/>
    </row>
    <row r="289" spans="1:60" x14ac:dyDescent="0.3">
      <c r="A289">
        <f t="shared" si="136"/>
        <v>287</v>
      </c>
      <c r="B289" s="241" t="s">
        <v>2499</v>
      </c>
      <c r="C289" s="294" t="s">
        <v>2511</v>
      </c>
      <c r="D289" s="14">
        <v>45795</v>
      </c>
      <c r="E289" s="7">
        <v>51</v>
      </c>
      <c r="F289" s="7"/>
      <c r="G289" s="66"/>
      <c r="H289" s="59"/>
      <c r="I289" s="59">
        <v>510</v>
      </c>
      <c r="J289" s="47">
        <f t="shared" si="146"/>
        <v>510</v>
      </c>
      <c r="K289" s="8">
        <f t="shared" si="147"/>
        <v>459</v>
      </c>
      <c r="L289" s="96">
        <f t="shared" si="148"/>
        <v>0.9</v>
      </c>
      <c r="M289" s="81">
        <v>1017</v>
      </c>
      <c r="N289" s="8">
        <v>153</v>
      </c>
      <c r="O289" s="8">
        <v>60</v>
      </c>
      <c r="P289" s="96">
        <f t="shared" si="114"/>
        <v>0.86889657823913891</v>
      </c>
      <c r="Q289" s="59">
        <f t="shared" si="149"/>
        <v>1017</v>
      </c>
      <c r="R289" s="252">
        <f t="shared" si="128"/>
        <v>1090</v>
      </c>
      <c r="S289" s="263">
        <v>19</v>
      </c>
      <c r="T289" s="263">
        <v>2</v>
      </c>
      <c r="U289" s="263">
        <v>0</v>
      </c>
      <c r="V289" s="263">
        <v>30</v>
      </c>
      <c r="W289" s="263">
        <v>6</v>
      </c>
      <c r="X289" s="263">
        <v>1</v>
      </c>
      <c r="Y289" s="263">
        <v>7</v>
      </c>
      <c r="Z289" s="263">
        <v>0</v>
      </c>
      <c r="AA289" s="263">
        <v>2</v>
      </c>
      <c r="AB289" s="263">
        <v>72</v>
      </c>
      <c r="AC289" s="263">
        <v>1</v>
      </c>
      <c r="AD289" s="263">
        <v>0</v>
      </c>
      <c r="AE289" s="263"/>
      <c r="AF289" s="263"/>
      <c r="AG289" s="263"/>
      <c r="AH289" s="263"/>
      <c r="AI289" s="263"/>
      <c r="AJ289" s="259"/>
      <c r="AK289" s="263">
        <f t="shared" si="150"/>
        <v>0</v>
      </c>
      <c r="AL289" s="265">
        <f t="shared" si="129"/>
        <v>20</v>
      </c>
      <c r="AM289" s="6">
        <f t="shared" si="151"/>
        <v>0</v>
      </c>
      <c r="AN289" s="255">
        <f t="shared" si="130"/>
        <v>0.93302752293577984</v>
      </c>
      <c r="AO289" s="256">
        <f t="shared" si="131"/>
        <v>0.72963397987365497</v>
      </c>
      <c r="AP289" s="257">
        <f t="shared" si="132"/>
        <v>0</v>
      </c>
      <c r="AQ289" s="263">
        <f t="shared" si="152"/>
        <v>36</v>
      </c>
      <c r="AR289" s="263">
        <f t="shared" si="153"/>
        <v>0.2</v>
      </c>
      <c r="AS289" s="263">
        <f t="shared" si="154"/>
        <v>0</v>
      </c>
      <c r="AT289" s="263">
        <f t="shared" si="155"/>
        <v>36.200000000000003</v>
      </c>
      <c r="AU289" s="263"/>
      <c r="AV289" s="263"/>
      <c r="AW289" s="263"/>
      <c r="AX289" s="263">
        <f t="shared" si="156"/>
        <v>36.200000000000003</v>
      </c>
      <c r="BA289" s="282">
        <f t="shared" si="133"/>
        <v>398.82352941176475</v>
      </c>
      <c r="BB289">
        <v>1</v>
      </c>
      <c r="BC289">
        <f t="shared" si="157"/>
        <v>398.82352941176475</v>
      </c>
      <c r="BD289">
        <f t="shared" si="134"/>
        <v>459</v>
      </c>
      <c r="BE289">
        <f t="shared" si="135"/>
        <v>510</v>
      </c>
      <c r="BF289" s="281">
        <f t="shared" si="158"/>
        <v>0.78200692041522502</v>
      </c>
      <c r="BG289" s="282" t="s">
        <v>2481</v>
      </c>
      <c r="BH289" s="283"/>
    </row>
    <row r="290" spans="1:60" x14ac:dyDescent="0.3">
      <c r="A290">
        <f t="shared" si="136"/>
        <v>288</v>
      </c>
      <c r="B290" s="241" t="s">
        <v>2499</v>
      </c>
      <c r="C290" s="294" t="s">
        <v>2511</v>
      </c>
      <c r="D290" s="14">
        <v>45796</v>
      </c>
      <c r="E290" s="7"/>
      <c r="F290" s="7"/>
      <c r="G290" s="66"/>
      <c r="H290" s="59"/>
      <c r="I290" s="59">
        <v>480</v>
      </c>
      <c r="J290" s="47">
        <f t="shared" si="146"/>
        <v>480</v>
      </c>
      <c r="K290" s="8">
        <f t="shared" si="147"/>
        <v>480</v>
      </c>
      <c r="L290" s="96">
        <f t="shared" si="148"/>
        <v>1</v>
      </c>
      <c r="M290" s="81">
        <f>13+72+55+22+11+126</f>
        <v>299</v>
      </c>
      <c r="N290" s="8">
        <v>153</v>
      </c>
      <c r="O290" s="8">
        <v>60</v>
      </c>
      <c r="P290" s="96">
        <f t="shared" si="114"/>
        <v>0.24428104575163398</v>
      </c>
      <c r="Q290" s="59">
        <f t="shared" si="149"/>
        <v>299</v>
      </c>
      <c r="R290" s="252">
        <f t="shared" si="128"/>
        <v>317</v>
      </c>
      <c r="S290" s="263">
        <v>9</v>
      </c>
      <c r="T290" s="263">
        <v>2</v>
      </c>
      <c r="U290" s="263">
        <v>0</v>
      </c>
      <c r="V290" s="263">
        <v>8</v>
      </c>
      <c r="W290" s="263">
        <v>0</v>
      </c>
      <c r="X290" s="263">
        <v>1</v>
      </c>
      <c r="Y290" s="263">
        <v>0</v>
      </c>
      <c r="Z290" s="263">
        <v>4</v>
      </c>
      <c r="AA290" s="263">
        <v>0</v>
      </c>
      <c r="AB290" s="263">
        <v>15</v>
      </c>
      <c r="AC290" s="263">
        <v>2</v>
      </c>
      <c r="AD290" s="263">
        <v>1</v>
      </c>
      <c r="AE290" s="263"/>
      <c r="AF290" s="263"/>
      <c r="AG290" s="263"/>
      <c r="AH290" s="263"/>
      <c r="AI290" s="263"/>
      <c r="AJ290" s="259"/>
      <c r="AK290" s="263">
        <f t="shared" si="150"/>
        <v>1</v>
      </c>
      <c r="AL290" s="265">
        <f t="shared" si="129"/>
        <v>21</v>
      </c>
      <c r="AM290" s="6">
        <f t="shared" si="151"/>
        <v>1</v>
      </c>
      <c r="AN290" s="255">
        <f t="shared" si="130"/>
        <v>0.94321766561514198</v>
      </c>
      <c r="AO290" s="256">
        <f t="shared" si="131"/>
        <v>0.2304101977278819</v>
      </c>
      <c r="AP290" s="257">
        <f t="shared" si="132"/>
        <v>3154.5741324921137</v>
      </c>
      <c r="AQ290" s="263">
        <f t="shared" si="152"/>
        <v>7.5</v>
      </c>
      <c r="AR290" s="263">
        <f t="shared" si="153"/>
        <v>0.4</v>
      </c>
      <c r="AS290" s="263">
        <f t="shared" si="154"/>
        <v>0.1</v>
      </c>
      <c r="AT290" s="263">
        <f t="shared" si="155"/>
        <v>8</v>
      </c>
      <c r="AU290" s="263"/>
      <c r="AV290" s="263"/>
      <c r="AW290" s="263"/>
      <c r="AX290" s="263">
        <f t="shared" si="156"/>
        <v>8</v>
      </c>
      <c r="BA290" s="282">
        <f t="shared" si="133"/>
        <v>117.25490196078431</v>
      </c>
      <c r="BB290">
        <v>1</v>
      </c>
      <c r="BC290">
        <f t="shared" si="157"/>
        <v>117.25490196078431</v>
      </c>
      <c r="BD290">
        <f t="shared" si="134"/>
        <v>480</v>
      </c>
      <c r="BE290">
        <f t="shared" si="135"/>
        <v>480</v>
      </c>
      <c r="BF290" s="281">
        <f t="shared" si="158"/>
        <v>0.24428104575163398</v>
      </c>
      <c r="BG290" s="282" t="s">
        <v>2549</v>
      </c>
      <c r="BH290" s="283"/>
    </row>
    <row r="291" spans="1:60" x14ac:dyDescent="0.3">
      <c r="A291">
        <f t="shared" si="136"/>
        <v>289</v>
      </c>
      <c r="B291" s="241" t="s">
        <v>2499</v>
      </c>
      <c r="C291" s="294" t="s">
        <v>2512</v>
      </c>
      <c r="D291" s="14">
        <v>45796</v>
      </c>
      <c r="E291" s="7"/>
      <c r="F291" s="7"/>
      <c r="G291" s="66"/>
      <c r="H291" s="59"/>
      <c r="I291" s="59">
        <v>450</v>
      </c>
      <c r="J291" s="47">
        <f t="shared" si="146"/>
        <v>450</v>
      </c>
      <c r="K291" s="8">
        <f t="shared" si="147"/>
        <v>450</v>
      </c>
      <c r="L291" s="96">
        <f t="shared" si="148"/>
        <v>1</v>
      </c>
      <c r="M291" s="81">
        <f>102+82+155+166+171+155+123+95</f>
        <v>1049</v>
      </c>
      <c r="N291" s="8">
        <v>153</v>
      </c>
      <c r="O291" s="8">
        <v>60</v>
      </c>
      <c r="P291" s="96">
        <f t="shared" si="114"/>
        <v>0.91416122004357303</v>
      </c>
      <c r="Q291" s="59">
        <f t="shared" si="149"/>
        <v>1049</v>
      </c>
      <c r="R291" s="252">
        <f t="shared" si="128"/>
        <v>1083</v>
      </c>
      <c r="S291" s="263">
        <v>12</v>
      </c>
      <c r="T291" s="263">
        <v>0</v>
      </c>
      <c r="U291" s="263">
        <v>0</v>
      </c>
      <c r="V291" s="263">
        <v>14</v>
      </c>
      <c r="W291" s="263">
        <v>0</v>
      </c>
      <c r="X291" s="263">
        <v>0</v>
      </c>
      <c r="Y291" s="263">
        <v>2</v>
      </c>
      <c r="Z291" s="263">
        <v>6</v>
      </c>
      <c r="AA291" s="263">
        <v>0</v>
      </c>
      <c r="AB291" s="263">
        <v>31</v>
      </c>
      <c r="AC291" s="263">
        <v>1</v>
      </c>
      <c r="AD291" s="263">
        <v>2</v>
      </c>
      <c r="AE291" s="263"/>
      <c r="AF291" s="263"/>
      <c r="AG291" s="263"/>
      <c r="AH291" s="263"/>
      <c r="AI291" s="263"/>
      <c r="AJ291" s="259"/>
      <c r="AK291" s="263">
        <f t="shared" si="150"/>
        <v>2</v>
      </c>
      <c r="AL291" s="265">
        <f t="shared" si="129"/>
        <v>21</v>
      </c>
      <c r="AM291" s="6">
        <f t="shared" si="151"/>
        <v>2</v>
      </c>
      <c r="AN291" s="255">
        <f t="shared" si="130"/>
        <v>0.96860572483841179</v>
      </c>
      <c r="AO291" s="256">
        <f t="shared" si="131"/>
        <v>0.88546179115947188</v>
      </c>
      <c r="AP291" s="257">
        <f t="shared" si="132"/>
        <v>1846.7220683287164</v>
      </c>
      <c r="AQ291" s="263">
        <f t="shared" si="152"/>
        <v>15.5</v>
      </c>
      <c r="AR291" s="263">
        <f t="shared" si="153"/>
        <v>0.2</v>
      </c>
      <c r="AS291" s="263">
        <f t="shared" si="154"/>
        <v>0.2</v>
      </c>
      <c r="AT291" s="263">
        <f t="shared" si="155"/>
        <v>15.899999999999999</v>
      </c>
      <c r="AU291" s="263"/>
      <c r="AV291" s="263"/>
      <c r="AW291" s="263"/>
      <c r="AX291" s="263">
        <f t="shared" si="156"/>
        <v>15.899999999999999</v>
      </c>
      <c r="BA291" s="282">
        <f t="shared" si="133"/>
        <v>411.37254901960785</v>
      </c>
      <c r="BB291">
        <v>1</v>
      </c>
      <c r="BC291">
        <f t="shared" si="157"/>
        <v>411.37254901960785</v>
      </c>
      <c r="BD291">
        <f t="shared" si="134"/>
        <v>450</v>
      </c>
      <c r="BE291">
        <f t="shared" si="135"/>
        <v>450</v>
      </c>
      <c r="BF291" s="281">
        <f t="shared" si="158"/>
        <v>0.91416122004357303</v>
      </c>
      <c r="BG291" s="282" t="s">
        <v>2544</v>
      </c>
      <c r="BH291" s="283"/>
    </row>
    <row r="292" spans="1:60" x14ac:dyDescent="0.3">
      <c r="A292">
        <f t="shared" si="136"/>
        <v>290</v>
      </c>
      <c r="B292" s="241" t="s">
        <v>2499</v>
      </c>
      <c r="C292" s="294" t="s">
        <v>2511</v>
      </c>
      <c r="D292" s="14">
        <v>45796</v>
      </c>
      <c r="E292" s="7"/>
      <c r="F292" s="7"/>
      <c r="G292" s="66"/>
      <c r="H292" s="59"/>
      <c r="I292" s="59">
        <v>510</v>
      </c>
      <c r="J292" s="47">
        <f t="shared" si="146"/>
        <v>510</v>
      </c>
      <c r="K292" s="8">
        <f t="shared" si="147"/>
        <v>510</v>
      </c>
      <c r="L292" s="96">
        <f t="shared" si="148"/>
        <v>1</v>
      </c>
      <c r="M292" s="81">
        <v>1262</v>
      </c>
      <c r="N292" s="8">
        <v>153</v>
      </c>
      <c r="O292" s="8">
        <v>60</v>
      </c>
      <c r="P292" s="96">
        <f t="shared" si="114"/>
        <v>0.97039600153786998</v>
      </c>
      <c r="Q292" s="59">
        <f t="shared" si="149"/>
        <v>1262</v>
      </c>
      <c r="R292" s="252">
        <f t="shared" si="128"/>
        <v>1268</v>
      </c>
      <c r="S292" s="263">
        <v>17</v>
      </c>
      <c r="T292" s="263">
        <v>0</v>
      </c>
      <c r="U292" s="263">
        <v>0</v>
      </c>
      <c r="V292" s="263">
        <v>13</v>
      </c>
      <c r="W292" s="263">
        <v>4</v>
      </c>
      <c r="X292" s="263">
        <v>1</v>
      </c>
      <c r="Y292" s="263">
        <v>7</v>
      </c>
      <c r="Z292" s="263">
        <v>1</v>
      </c>
      <c r="AA292" s="263">
        <v>2</v>
      </c>
      <c r="AB292" s="263">
        <v>4</v>
      </c>
      <c r="AC292" s="263">
        <v>1</v>
      </c>
      <c r="AD292" s="263">
        <v>1</v>
      </c>
      <c r="AE292" s="263"/>
      <c r="AF292" s="263"/>
      <c r="AG292" s="263"/>
      <c r="AH292" s="263"/>
      <c r="AI292" s="263"/>
      <c r="AJ292" s="259"/>
      <c r="AK292" s="263">
        <f t="shared" si="150"/>
        <v>1</v>
      </c>
      <c r="AL292" s="265">
        <f t="shared" si="129"/>
        <v>21</v>
      </c>
      <c r="AM292" s="6">
        <f t="shared" si="151"/>
        <v>1</v>
      </c>
      <c r="AN292" s="255">
        <f t="shared" si="130"/>
        <v>0.99526813880126186</v>
      </c>
      <c r="AO292" s="256">
        <f t="shared" si="131"/>
        <v>0.96580422235078234</v>
      </c>
      <c r="AP292" s="257">
        <f t="shared" si="132"/>
        <v>788.64353312302842</v>
      </c>
      <c r="AQ292" s="263">
        <f t="shared" si="152"/>
        <v>2</v>
      </c>
      <c r="AR292" s="263">
        <f t="shared" si="153"/>
        <v>0.2</v>
      </c>
      <c r="AS292" s="263">
        <f t="shared" si="154"/>
        <v>0.1</v>
      </c>
      <c r="AT292" s="263">
        <f t="shared" si="155"/>
        <v>2.3000000000000003</v>
      </c>
      <c r="AU292" s="263"/>
      <c r="AV292" s="263"/>
      <c r="AW292" s="263"/>
      <c r="AX292" s="263">
        <f t="shared" si="156"/>
        <v>2.3000000000000003</v>
      </c>
      <c r="BA292" s="282">
        <f t="shared" si="133"/>
        <v>494.9019607843137</v>
      </c>
      <c r="BB292">
        <v>1</v>
      </c>
      <c r="BC292">
        <f t="shared" si="157"/>
        <v>494.9019607843137</v>
      </c>
      <c r="BD292">
        <f t="shared" si="134"/>
        <v>510</v>
      </c>
      <c r="BE292">
        <f t="shared" si="135"/>
        <v>510</v>
      </c>
      <c r="BF292" s="281">
        <f t="shared" si="158"/>
        <v>0.97039600153786998</v>
      </c>
      <c r="BG292" s="282" t="s">
        <v>2481</v>
      </c>
      <c r="BH292" s="283"/>
    </row>
    <row r="293" spans="1:60" x14ac:dyDescent="0.3">
      <c r="A293">
        <f t="shared" si="136"/>
        <v>291</v>
      </c>
      <c r="B293" s="241" t="s">
        <v>2499</v>
      </c>
      <c r="C293" s="294" t="s">
        <v>2511</v>
      </c>
      <c r="D293" s="14">
        <v>45797</v>
      </c>
      <c r="E293" s="7">
        <v>45</v>
      </c>
      <c r="F293" s="7"/>
      <c r="G293" s="66"/>
      <c r="H293" s="59"/>
      <c r="I293" s="59">
        <v>480</v>
      </c>
      <c r="J293" s="47">
        <f t="shared" si="146"/>
        <v>480</v>
      </c>
      <c r="K293" s="8">
        <f t="shared" si="147"/>
        <v>435</v>
      </c>
      <c r="L293" s="96">
        <f t="shared" si="148"/>
        <v>0.90625</v>
      </c>
      <c r="M293" s="81">
        <v>912</v>
      </c>
      <c r="N293" s="8">
        <v>153</v>
      </c>
      <c r="O293" s="8">
        <v>60</v>
      </c>
      <c r="P293" s="96">
        <f t="shared" si="114"/>
        <v>0.82217714672075726</v>
      </c>
      <c r="Q293" s="59">
        <f t="shared" si="149"/>
        <v>912</v>
      </c>
      <c r="R293" s="252">
        <f t="shared" si="128"/>
        <v>961</v>
      </c>
      <c r="S293" s="263">
        <v>14</v>
      </c>
      <c r="T293" s="263">
        <v>2</v>
      </c>
      <c r="U293" s="263">
        <v>0</v>
      </c>
      <c r="V293" s="263">
        <v>26</v>
      </c>
      <c r="W293" s="263">
        <v>6</v>
      </c>
      <c r="X293" s="263">
        <v>1</v>
      </c>
      <c r="Y293" s="263">
        <v>7</v>
      </c>
      <c r="Z293" s="263">
        <v>0</v>
      </c>
      <c r="AA293" s="263">
        <v>2</v>
      </c>
      <c r="AB293" s="263">
        <v>48</v>
      </c>
      <c r="AC293" s="263">
        <v>1</v>
      </c>
      <c r="AD293" s="263">
        <v>0</v>
      </c>
      <c r="AE293" s="263"/>
      <c r="AF293" s="263"/>
      <c r="AG293" s="263"/>
      <c r="AH293" s="263"/>
      <c r="AI293" s="263"/>
      <c r="AJ293" s="259"/>
      <c r="AK293" s="263">
        <f t="shared" si="150"/>
        <v>0</v>
      </c>
      <c r="AL293" s="265">
        <f t="shared" si="129"/>
        <v>21</v>
      </c>
      <c r="AM293" s="6">
        <f t="shared" si="151"/>
        <v>0</v>
      </c>
      <c r="AN293" s="255">
        <f t="shared" si="130"/>
        <v>0.94901144640998958</v>
      </c>
      <c r="AO293" s="256">
        <f t="shared" si="131"/>
        <v>0.70710656791332549</v>
      </c>
      <c r="AP293" s="257">
        <f t="shared" si="132"/>
        <v>0</v>
      </c>
      <c r="AQ293" s="263">
        <f t="shared" si="152"/>
        <v>24</v>
      </c>
      <c r="AR293" s="263">
        <f t="shared" si="153"/>
        <v>0.2</v>
      </c>
      <c r="AS293" s="263">
        <f t="shared" si="154"/>
        <v>0</v>
      </c>
      <c r="AT293" s="263">
        <f t="shared" si="155"/>
        <v>24.2</v>
      </c>
      <c r="AU293" s="263"/>
      <c r="AV293" s="263"/>
      <c r="AW293" s="263"/>
      <c r="AX293" s="263">
        <f t="shared" si="156"/>
        <v>24.2</v>
      </c>
      <c r="BA293" s="282">
        <f t="shared" si="133"/>
        <v>357.64705882352939</v>
      </c>
      <c r="BB293">
        <v>1</v>
      </c>
      <c r="BC293">
        <f t="shared" si="157"/>
        <v>357.64705882352939</v>
      </c>
      <c r="BD293">
        <f t="shared" si="134"/>
        <v>435</v>
      </c>
      <c r="BE293">
        <f t="shared" si="135"/>
        <v>480</v>
      </c>
      <c r="BF293" s="281">
        <f t="shared" si="158"/>
        <v>0.74509803921568618</v>
      </c>
      <c r="BG293" s="282" t="s">
        <v>2549</v>
      </c>
      <c r="BH293" s="283"/>
    </row>
    <row r="294" spans="1:60" x14ac:dyDescent="0.3">
      <c r="A294">
        <f t="shared" si="136"/>
        <v>292</v>
      </c>
      <c r="B294" s="241" t="s">
        <v>2499</v>
      </c>
      <c r="C294" s="294" t="s">
        <v>2512</v>
      </c>
      <c r="D294" s="14">
        <v>45797</v>
      </c>
      <c r="E294" s="7"/>
      <c r="F294" s="7"/>
      <c r="G294" s="66"/>
      <c r="H294" s="59"/>
      <c r="I294" s="59">
        <v>450</v>
      </c>
      <c r="J294" s="47">
        <f t="shared" si="146"/>
        <v>450</v>
      </c>
      <c r="K294" s="8">
        <f t="shared" si="147"/>
        <v>450</v>
      </c>
      <c r="L294" s="96">
        <f t="shared" si="148"/>
        <v>1</v>
      </c>
      <c r="M294" s="81">
        <v>1036</v>
      </c>
      <c r="N294" s="8">
        <v>153</v>
      </c>
      <c r="O294" s="8">
        <v>60</v>
      </c>
      <c r="P294" s="96">
        <f t="shared" si="114"/>
        <v>0.90283224400871454</v>
      </c>
      <c r="Q294" s="59">
        <f t="shared" si="149"/>
        <v>1036</v>
      </c>
      <c r="R294" s="252">
        <f t="shared" si="128"/>
        <v>1070</v>
      </c>
      <c r="S294" s="263">
        <v>12</v>
      </c>
      <c r="T294" s="263">
        <v>0</v>
      </c>
      <c r="U294" s="263">
        <v>0</v>
      </c>
      <c r="V294" s="263">
        <v>15</v>
      </c>
      <c r="W294" s="263">
        <v>0</v>
      </c>
      <c r="X294" s="263">
        <v>0</v>
      </c>
      <c r="Y294" s="263">
        <v>2</v>
      </c>
      <c r="Z294" s="263">
        <v>6</v>
      </c>
      <c r="AA294" s="263">
        <v>0</v>
      </c>
      <c r="AB294" s="263">
        <v>31</v>
      </c>
      <c r="AC294" s="263">
        <v>1</v>
      </c>
      <c r="AD294" s="263">
        <v>2</v>
      </c>
      <c r="AE294" s="263"/>
      <c r="AF294" s="263"/>
      <c r="AG294" s="263"/>
      <c r="AH294" s="263"/>
      <c r="AI294" s="263"/>
      <c r="AJ294" s="259"/>
      <c r="AK294" s="263">
        <f t="shared" si="150"/>
        <v>2</v>
      </c>
      <c r="AL294" s="265">
        <f t="shared" si="129"/>
        <v>21</v>
      </c>
      <c r="AM294" s="6">
        <f t="shared" si="151"/>
        <v>2</v>
      </c>
      <c r="AN294" s="255">
        <f t="shared" si="130"/>
        <v>0.96822429906542051</v>
      </c>
      <c r="AO294" s="256">
        <f t="shared" si="131"/>
        <v>0.87414411662899838</v>
      </c>
      <c r="AP294" s="257">
        <f t="shared" si="132"/>
        <v>1869.1588785046729</v>
      </c>
      <c r="AQ294" s="263">
        <f t="shared" si="152"/>
        <v>15.5</v>
      </c>
      <c r="AR294" s="263">
        <f t="shared" si="153"/>
        <v>0.2</v>
      </c>
      <c r="AS294" s="263">
        <f t="shared" si="154"/>
        <v>0.2</v>
      </c>
      <c r="AT294" s="263">
        <f t="shared" si="155"/>
        <v>15.899999999999999</v>
      </c>
      <c r="AU294" s="263"/>
      <c r="AV294" s="263"/>
      <c r="AW294" s="263"/>
      <c r="AX294" s="263">
        <f t="shared" si="156"/>
        <v>15.899999999999999</v>
      </c>
      <c r="BA294" s="282">
        <f t="shared" si="133"/>
        <v>406.27450980392155</v>
      </c>
      <c r="BB294">
        <v>1</v>
      </c>
      <c r="BC294">
        <f t="shared" si="157"/>
        <v>406.27450980392155</v>
      </c>
      <c r="BD294">
        <f t="shared" si="134"/>
        <v>450</v>
      </c>
      <c r="BE294">
        <f t="shared" si="135"/>
        <v>450</v>
      </c>
      <c r="BF294" s="281">
        <f t="shared" si="158"/>
        <v>0.90283224400871454</v>
      </c>
      <c r="BG294" s="282" t="s">
        <v>2544</v>
      </c>
      <c r="BH294" s="283"/>
    </row>
    <row r="295" spans="1:60" x14ac:dyDescent="0.3">
      <c r="A295">
        <f t="shared" si="136"/>
        <v>293</v>
      </c>
      <c r="B295" s="241" t="s">
        <v>2499</v>
      </c>
      <c r="C295" s="294" t="s">
        <v>2511</v>
      </c>
      <c r="D295" s="14">
        <v>45797</v>
      </c>
      <c r="E295" s="7"/>
      <c r="F295" s="7"/>
      <c r="G295" s="66"/>
      <c r="H295" s="59"/>
      <c r="I295" s="59">
        <v>510</v>
      </c>
      <c r="J295" s="47">
        <f t="shared" si="146"/>
        <v>510</v>
      </c>
      <c r="K295" s="8">
        <f t="shared" si="147"/>
        <v>510</v>
      </c>
      <c r="L295" s="96">
        <f t="shared" si="148"/>
        <v>1</v>
      </c>
      <c r="M295" s="81">
        <v>1273</v>
      </c>
      <c r="N295" s="8">
        <v>153</v>
      </c>
      <c r="O295" s="8">
        <v>60</v>
      </c>
      <c r="P295" s="96">
        <f t="shared" si="114"/>
        <v>0.97885428681276443</v>
      </c>
      <c r="Q295" s="59">
        <f t="shared" si="149"/>
        <v>1273</v>
      </c>
      <c r="R295" s="252">
        <f t="shared" si="128"/>
        <v>1342</v>
      </c>
      <c r="S295" s="263">
        <v>6</v>
      </c>
      <c r="T295" s="263">
        <v>1</v>
      </c>
      <c r="U295" s="263">
        <v>0</v>
      </c>
      <c r="V295" s="263">
        <v>3</v>
      </c>
      <c r="W295" s="263">
        <v>0</v>
      </c>
      <c r="X295" s="263">
        <v>1</v>
      </c>
      <c r="Y295" s="263">
        <v>5</v>
      </c>
      <c r="Z295" s="263">
        <v>0</v>
      </c>
      <c r="AA295" s="263">
        <v>6</v>
      </c>
      <c r="AB295" s="263">
        <v>62</v>
      </c>
      <c r="AC295" s="263">
        <v>5</v>
      </c>
      <c r="AD295" s="263">
        <v>2</v>
      </c>
      <c r="AE295" s="263"/>
      <c r="AF295" s="263"/>
      <c r="AG295" s="263"/>
      <c r="AH295" s="263"/>
      <c r="AI295" s="263"/>
      <c r="AJ295" s="259"/>
      <c r="AK295" s="263">
        <f t="shared" si="150"/>
        <v>2</v>
      </c>
      <c r="AL295" s="265">
        <f t="shared" si="129"/>
        <v>21</v>
      </c>
      <c r="AM295" s="6">
        <f t="shared" si="151"/>
        <v>2</v>
      </c>
      <c r="AN295" s="255">
        <f t="shared" si="130"/>
        <v>0.94858420268256338</v>
      </c>
      <c r="AO295" s="256">
        <f t="shared" si="131"/>
        <v>0.92852571319869537</v>
      </c>
      <c r="AP295" s="257">
        <f t="shared" si="132"/>
        <v>1490.3129657228019</v>
      </c>
      <c r="AQ295" s="263">
        <f t="shared" si="152"/>
        <v>31</v>
      </c>
      <c r="AR295" s="263">
        <f t="shared" si="153"/>
        <v>1</v>
      </c>
      <c r="AS295" s="263">
        <f t="shared" si="154"/>
        <v>0.2</v>
      </c>
      <c r="AT295" s="263">
        <f t="shared" si="155"/>
        <v>32.200000000000003</v>
      </c>
      <c r="AU295" s="263"/>
      <c r="AV295" s="263"/>
      <c r="AW295" s="263"/>
      <c r="AX295" s="263">
        <f t="shared" si="156"/>
        <v>32.200000000000003</v>
      </c>
      <c r="BA295" s="282">
        <f t="shared" si="133"/>
        <v>499.21568627450984</v>
      </c>
      <c r="BB295">
        <v>1</v>
      </c>
      <c r="BC295">
        <f t="shared" si="157"/>
        <v>499.21568627450984</v>
      </c>
      <c r="BD295">
        <f t="shared" si="134"/>
        <v>510</v>
      </c>
      <c r="BE295">
        <f t="shared" si="135"/>
        <v>510</v>
      </c>
      <c r="BF295" s="281">
        <f t="shared" si="158"/>
        <v>0.97885428681276443</v>
      </c>
      <c r="BG295" s="282" t="s">
        <v>2481</v>
      </c>
      <c r="BH295" s="283"/>
    </row>
    <row r="296" spans="1:60" x14ac:dyDescent="0.3">
      <c r="A296">
        <f t="shared" si="136"/>
        <v>294</v>
      </c>
      <c r="B296" s="241" t="s">
        <v>2499</v>
      </c>
      <c r="C296" s="294" t="s">
        <v>2511</v>
      </c>
      <c r="D296" s="14">
        <v>45798</v>
      </c>
      <c r="E296" s="7">
        <v>45</v>
      </c>
      <c r="F296" s="7"/>
      <c r="G296" s="66"/>
      <c r="H296" s="59"/>
      <c r="I296" s="59">
        <v>480</v>
      </c>
      <c r="J296" s="47">
        <f t="shared" si="146"/>
        <v>480</v>
      </c>
      <c r="K296" s="8">
        <f t="shared" si="147"/>
        <v>435</v>
      </c>
      <c r="L296" s="96">
        <f t="shared" si="148"/>
        <v>0.90625</v>
      </c>
      <c r="M296" s="81">
        <v>1170</v>
      </c>
      <c r="N296" s="8">
        <v>153</v>
      </c>
      <c r="O296" s="8">
        <v>60</v>
      </c>
      <c r="P296" s="96">
        <f t="shared" si="114"/>
        <v>1.054766734279919</v>
      </c>
      <c r="Q296" s="59">
        <f t="shared" si="149"/>
        <v>1170</v>
      </c>
      <c r="R296" s="252">
        <f t="shared" si="128"/>
        <v>1183</v>
      </c>
      <c r="S296" s="263">
        <v>10</v>
      </c>
      <c r="T296" s="263">
        <v>2</v>
      </c>
      <c r="U296" s="263">
        <v>0</v>
      </c>
      <c r="V296" s="263">
        <v>12</v>
      </c>
      <c r="W296" s="263">
        <v>0</v>
      </c>
      <c r="X296" s="263">
        <v>4</v>
      </c>
      <c r="Y296" s="263">
        <v>9</v>
      </c>
      <c r="Z296" s="263">
        <v>2</v>
      </c>
      <c r="AA296" s="263">
        <v>3</v>
      </c>
      <c r="AB296" s="263">
        <v>11</v>
      </c>
      <c r="AC296" s="263">
        <v>1</v>
      </c>
      <c r="AD296" s="263">
        <v>1</v>
      </c>
      <c r="AE296" s="263"/>
      <c r="AF296" s="263"/>
      <c r="AG296" s="263"/>
      <c r="AH296" s="263"/>
      <c r="AI296" s="263"/>
      <c r="AJ296" s="259"/>
      <c r="AK296" s="263">
        <f t="shared" si="150"/>
        <v>1</v>
      </c>
      <c r="AL296" s="265">
        <f t="shared" si="129"/>
        <v>21</v>
      </c>
      <c r="AM296" s="6">
        <f t="shared" si="151"/>
        <v>1</v>
      </c>
      <c r="AN296" s="255">
        <f t="shared" si="130"/>
        <v>0.98901098901098905</v>
      </c>
      <c r="AO296" s="256">
        <f t="shared" si="131"/>
        <v>0.9453781512605044</v>
      </c>
      <c r="AP296" s="257">
        <f t="shared" si="132"/>
        <v>845.30853761622984</v>
      </c>
      <c r="AQ296" s="263">
        <f t="shared" si="152"/>
        <v>5.5</v>
      </c>
      <c r="AR296" s="263">
        <f t="shared" si="153"/>
        <v>0.2</v>
      </c>
      <c r="AS296" s="263">
        <f t="shared" si="154"/>
        <v>0.1</v>
      </c>
      <c r="AT296" s="263">
        <f t="shared" si="155"/>
        <v>5.8</v>
      </c>
      <c r="AU296" s="263"/>
      <c r="AV296" s="263"/>
      <c r="AW296" s="263"/>
      <c r="AX296" s="263">
        <f t="shared" si="156"/>
        <v>5.8</v>
      </c>
      <c r="BA296" s="282">
        <f t="shared" si="133"/>
        <v>458.82352941176475</v>
      </c>
      <c r="BB296">
        <v>1</v>
      </c>
      <c r="BC296">
        <f t="shared" si="157"/>
        <v>458.82352941176475</v>
      </c>
      <c r="BD296">
        <f t="shared" si="134"/>
        <v>435</v>
      </c>
      <c r="BE296">
        <f t="shared" si="135"/>
        <v>480</v>
      </c>
      <c r="BF296" s="281">
        <f t="shared" si="158"/>
        <v>0.95588235294117652</v>
      </c>
      <c r="BG296" s="282" t="s">
        <v>2549</v>
      </c>
      <c r="BH296" s="283"/>
    </row>
    <row r="297" spans="1:60" x14ac:dyDescent="0.3">
      <c r="A297">
        <f t="shared" si="136"/>
        <v>295</v>
      </c>
      <c r="B297" s="241" t="s">
        <v>2499</v>
      </c>
      <c r="C297" s="294" t="s">
        <v>2512</v>
      </c>
      <c r="D297" s="14">
        <v>45798</v>
      </c>
      <c r="E297" s="7"/>
      <c r="F297" s="7"/>
      <c r="G297" s="66"/>
      <c r="H297" s="59"/>
      <c r="I297" s="59">
        <v>450</v>
      </c>
      <c r="J297" s="47">
        <f t="shared" si="146"/>
        <v>450</v>
      </c>
      <c r="K297" s="8">
        <f t="shared" si="147"/>
        <v>450</v>
      </c>
      <c r="L297" s="96">
        <f t="shared" si="148"/>
        <v>1</v>
      </c>
      <c r="M297" s="81">
        <v>268</v>
      </c>
      <c r="N297" s="8">
        <v>153</v>
      </c>
      <c r="O297" s="8">
        <v>60</v>
      </c>
      <c r="P297" s="96">
        <f t="shared" si="114"/>
        <v>0.23355119825708059</v>
      </c>
      <c r="Q297" s="59">
        <f t="shared" si="149"/>
        <v>268</v>
      </c>
      <c r="R297" s="252">
        <f t="shared" si="128"/>
        <v>271</v>
      </c>
      <c r="S297" s="263">
        <v>5</v>
      </c>
      <c r="T297" s="263">
        <v>2</v>
      </c>
      <c r="U297" s="263">
        <v>0</v>
      </c>
      <c r="V297" s="263">
        <v>2</v>
      </c>
      <c r="W297" s="263">
        <v>0</v>
      </c>
      <c r="X297" s="263">
        <v>0</v>
      </c>
      <c r="Y297" s="263">
        <v>4</v>
      </c>
      <c r="Z297" s="263">
        <v>0</v>
      </c>
      <c r="AA297" s="263">
        <v>0</v>
      </c>
      <c r="AB297" s="263">
        <v>3</v>
      </c>
      <c r="AC297" s="263">
        <v>0</v>
      </c>
      <c r="AD297" s="263">
        <v>0</v>
      </c>
      <c r="AE297" s="263"/>
      <c r="AF297" s="263"/>
      <c r="AG297" s="263"/>
      <c r="AH297" s="263"/>
      <c r="AI297" s="263"/>
      <c r="AJ297" s="259"/>
      <c r="AK297" s="263">
        <f t="shared" si="150"/>
        <v>0</v>
      </c>
      <c r="AL297" s="265">
        <f t="shared" si="129"/>
        <v>21</v>
      </c>
      <c r="AM297" s="6">
        <f t="shared" si="151"/>
        <v>0</v>
      </c>
      <c r="AN297" s="255">
        <f t="shared" si="130"/>
        <v>0.98892988929889303</v>
      </c>
      <c r="AO297" s="256">
        <f t="shared" si="131"/>
        <v>0.23096576063799854</v>
      </c>
      <c r="AP297" s="257">
        <f t="shared" si="132"/>
        <v>0</v>
      </c>
      <c r="AQ297" s="263">
        <f t="shared" si="152"/>
        <v>1.5</v>
      </c>
      <c r="AR297" s="263">
        <f t="shared" si="153"/>
        <v>0</v>
      </c>
      <c r="AS297" s="263">
        <f t="shared" si="154"/>
        <v>0</v>
      </c>
      <c r="AT297" s="263">
        <f t="shared" si="155"/>
        <v>1.5</v>
      </c>
      <c r="AU297" s="263"/>
      <c r="AV297" s="263"/>
      <c r="AW297" s="263"/>
      <c r="AX297" s="263">
        <f t="shared" si="156"/>
        <v>1.5</v>
      </c>
      <c r="BA297" s="282">
        <f t="shared" si="133"/>
        <v>105.09803921568627</v>
      </c>
      <c r="BB297">
        <v>1</v>
      </c>
      <c r="BC297">
        <f t="shared" si="157"/>
        <v>105.09803921568627</v>
      </c>
      <c r="BD297">
        <f t="shared" si="134"/>
        <v>450</v>
      </c>
      <c r="BE297">
        <f t="shared" si="135"/>
        <v>450</v>
      </c>
      <c r="BF297" s="281">
        <f t="shared" si="158"/>
        <v>0.23355119825708059</v>
      </c>
      <c r="BG297" s="282" t="s">
        <v>2544</v>
      </c>
      <c r="BH297" s="283"/>
    </row>
    <row r="298" spans="1:60" x14ac:dyDescent="0.3">
      <c r="A298">
        <f t="shared" si="136"/>
        <v>296</v>
      </c>
      <c r="B298" s="295" t="s">
        <v>2527</v>
      </c>
      <c r="C298" s="294" t="s">
        <v>2513</v>
      </c>
      <c r="D298" s="14">
        <v>45798</v>
      </c>
      <c r="E298" s="7"/>
      <c r="F298" s="7"/>
      <c r="G298" s="66"/>
      <c r="H298" s="59"/>
      <c r="I298" s="59">
        <v>510</v>
      </c>
      <c r="J298" s="47">
        <f t="shared" si="146"/>
        <v>510</v>
      </c>
      <c r="K298" s="8">
        <f t="shared" si="147"/>
        <v>510</v>
      </c>
      <c r="L298" s="96">
        <f t="shared" si="148"/>
        <v>1</v>
      </c>
      <c r="M298" s="81">
        <f>634+289+81</f>
        <v>1004</v>
      </c>
      <c r="N298" s="8">
        <v>153</v>
      </c>
      <c r="O298" s="8">
        <v>60</v>
      </c>
      <c r="P298" s="96">
        <f t="shared" si="114"/>
        <v>0.77201076509034983</v>
      </c>
      <c r="Q298" s="59">
        <f t="shared" si="149"/>
        <v>1004</v>
      </c>
      <c r="R298" s="252">
        <f t="shared" si="128"/>
        <v>1231</v>
      </c>
      <c r="S298" s="263"/>
      <c r="T298" s="263"/>
      <c r="U298" s="263"/>
      <c r="V298" s="263"/>
      <c r="W298" s="263"/>
      <c r="X298" s="263"/>
      <c r="Y298" s="263"/>
      <c r="Z298" s="263"/>
      <c r="AA298" s="263"/>
      <c r="AB298" s="263">
        <v>151</v>
      </c>
      <c r="AC298" s="263">
        <f>31+5+3</f>
        <v>39</v>
      </c>
      <c r="AD298" s="263">
        <v>37</v>
      </c>
      <c r="AE298" s="263"/>
      <c r="AF298" s="263"/>
      <c r="AG298" s="263"/>
      <c r="AH298" s="263"/>
      <c r="AI298" s="263"/>
      <c r="AJ298" s="259"/>
      <c r="AK298" s="263">
        <f>+AE298+AF298+AG298+AH298+AI298</f>
        <v>0</v>
      </c>
      <c r="AL298" s="265">
        <f t="shared" si="129"/>
        <v>21</v>
      </c>
      <c r="AM298" s="6">
        <f t="shared" si="151"/>
        <v>0</v>
      </c>
      <c r="AN298" s="255">
        <f t="shared" si="130"/>
        <v>0.81559707554833472</v>
      </c>
      <c r="AO298" s="256">
        <f t="shared" si="131"/>
        <v>0.62964972229952176</v>
      </c>
      <c r="AP298" s="257">
        <f t="shared" si="132"/>
        <v>0</v>
      </c>
      <c r="AQ298" s="263">
        <f t="shared" si="152"/>
        <v>75.5</v>
      </c>
      <c r="AR298" s="263">
        <f t="shared" si="153"/>
        <v>7.8000000000000007</v>
      </c>
      <c r="AS298" s="263">
        <f t="shared" si="154"/>
        <v>3.7</v>
      </c>
      <c r="AT298" s="263">
        <f t="shared" si="155"/>
        <v>87</v>
      </c>
      <c r="AU298" s="263"/>
      <c r="AV298" s="263"/>
      <c r="AW298" s="263"/>
      <c r="AX298" s="263">
        <f t="shared" si="156"/>
        <v>87</v>
      </c>
      <c r="BA298" s="282">
        <f t="shared" si="133"/>
        <v>393.7254901960784</v>
      </c>
      <c r="BB298">
        <v>1</v>
      </c>
      <c r="BC298">
        <f t="shared" si="157"/>
        <v>393.7254901960784</v>
      </c>
      <c r="BD298">
        <f t="shared" si="134"/>
        <v>510</v>
      </c>
      <c r="BE298">
        <f t="shared" si="135"/>
        <v>510</v>
      </c>
      <c r="BF298" s="281">
        <f t="shared" si="158"/>
        <v>0.77201076509034983</v>
      </c>
      <c r="BG298" s="282"/>
      <c r="BH298" s="283"/>
    </row>
    <row r="299" spans="1:60" x14ac:dyDescent="0.3">
      <c r="A299">
        <f t="shared" si="136"/>
        <v>297</v>
      </c>
      <c r="B299" s="330" t="s">
        <v>2578</v>
      </c>
      <c r="C299" s="294" t="s">
        <v>2511</v>
      </c>
      <c r="D299" s="14">
        <v>45799</v>
      </c>
      <c r="E299" s="7">
        <f>60*5</f>
        <v>300</v>
      </c>
      <c r="F299" s="7"/>
      <c r="G299" s="66"/>
      <c r="H299" s="59"/>
      <c r="I299" s="59">
        <v>480</v>
      </c>
      <c r="J299" s="47">
        <f t="shared" si="146"/>
        <v>480</v>
      </c>
      <c r="K299" s="8">
        <f t="shared" si="147"/>
        <v>180</v>
      </c>
      <c r="L299" s="96">
        <f t="shared" si="148"/>
        <v>0.375</v>
      </c>
      <c r="M299" s="81">
        <v>220</v>
      </c>
      <c r="N299" s="8">
        <v>153</v>
      </c>
      <c r="O299" s="8">
        <v>60</v>
      </c>
      <c r="P299" s="96">
        <f t="shared" si="114"/>
        <v>0.47930283224400877</v>
      </c>
      <c r="Q299" s="59">
        <f t="shared" si="149"/>
        <v>220</v>
      </c>
      <c r="R299" s="252">
        <f t="shared" si="128"/>
        <v>242</v>
      </c>
      <c r="S299" s="263">
        <v>58</v>
      </c>
      <c r="T299" s="263">
        <v>3</v>
      </c>
      <c r="U299" s="263">
        <v>0</v>
      </c>
      <c r="V299" s="263">
        <v>0</v>
      </c>
      <c r="W299" s="263">
        <v>4</v>
      </c>
      <c r="X299" s="263">
        <v>18</v>
      </c>
      <c r="Y299" s="263">
        <v>1</v>
      </c>
      <c r="Z299" s="263">
        <v>0</v>
      </c>
      <c r="AA299" s="263">
        <v>0</v>
      </c>
      <c r="AB299" s="263">
        <v>12</v>
      </c>
      <c r="AC299" s="263">
        <v>0</v>
      </c>
      <c r="AD299" s="263">
        <v>10</v>
      </c>
      <c r="AE299" s="263"/>
      <c r="AF299" s="263"/>
      <c r="AG299" s="263"/>
      <c r="AH299" s="263"/>
      <c r="AI299" s="263"/>
      <c r="AJ299" s="259"/>
      <c r="AK299" s="263">
        <f t="shared" si="150"/>
        <v>10</v>
      </c>
      <c r="AL299" s="265">
        <f t="shared" si="129"/>
        <v>21</v>
      </c>
      <c r="AM299" s="6">
        <f t="shared" si="151"/>
        <v>10</v>
      </c>
      <c r="AN299" s="255">
        <f t="shared" si="130"/>
        <v>0.90909090909090906</v>
      </c>
      <c r="AO299" s="256">
        <f t="shared" si="131"/>
        <v>0.16339869281045752</v>
      </c>
      <c r="AP299" s="257">
        <f t="shared" si="132"/>
        <v>41322.314049586777</v>
      </c>
      <c r="AQ299" s="263">
        <f t="shared" si="152"/>
        <v>6</v>
      </c>
      <c r="AR299" s="263">
        <f t="shared" si="153"/>
        <v>0</v>
      </c>
      <c r="AS299" s="263">
        <f t="shared" si="154"/>
        <v>1</v>
      </c>
      <c r="AT299" s="263">
        <f t="shared" si="155"/>
        <v>7</v>
      </c>
      <c r="AU299" s="263"/>
      <c r="AV299" s="263"/>
      <c r="AW299" s="263"/>
      <c r="AX299" s="263">
        <f t="shared" si="156"/>
        <v>7</v>
      </c>
      <c r="BA299" s="282">
        <f t="shared" si="133"/>
        <v>86.274509803921575</v>
      </c>
      <c r="BB299">
        <v>1</v>
      </c>
      <c r="BC299">
        <f t="shared" si="157"/>
        <v>86.274509803921575</v>
      </c>
      <c r="BD299">
        <f t="shared" si="134"/>
        <v>180</v>
      </c>
      <c r="BE299">
        <f t="shared" si="135"/>
        <v>480</v>
      </c>
      <c r="BF299" s="281">
        <f t="shared" si="158"/>
        <v>0.17973856209150327</v>
      </c>
      <c r="BG299" s="282"/>
      <c r="BH299" s="283"/>
    </row>
    <row r="300" spans="1:60" x14ac:dyDescent="0.3">
      <c r="A300">
        <f t="shared" si="136"/>
        <v>298</v>
      </c>
      <c r="B300" s="241" t="s">
        <v>2485</v>
      </c>
      <c r="C300" s="294" t="s">
        <v>2512</v>
      </c>
      <c r="D300" s="14">
        <v>45799</v>
      </c>
      <c r="E300" s="7"/>
      <c r="F300" s="7"/>
      <c r="G300" s="66"/>
      <c r="H300" s="59"/>
      <c r="I300" s="59">
        <v>450</v>
      </c>
      <c r="J300" s="47">
        <f t="shared" si="146"/>
        <v>450</v>
      </c>
      <c r="K300" s="8">
        <f t="shared" si="147"/>
        <v>450</v>
      </c>
      <c r="L300" s="96">
        <f t="shared" si="148"/>
        <v>1</v>
      </c>
      <c r="M300" s="81">
        <v>713</v>
      </c>
      <c r="N300" s="8">
        <v>153</v>
      </c>
      <c r="O300" s="8">
        <v>60</v>
      </c>
      <c r="P300" s="96">
        <f t="shared" si="114"/>
        <v>0.6213507625272332</v>
      </c>
      <c r="Q300" s="59">
        <f t="shared" si="149"/>
        <v>713</v>
      </c>
      <c r="R300" s="252">
        <f t="shared" si="128"/>
        <v>731</v>
      </c>
      <c r="S300" s="263">
        <v>49</v>
      </c>
      <c r="T300" s="263">
        <v>0</v>
      </c>
      <c r="U300" s="263">
        <v>0</v>
      </c>
      <c r="V300" s="263">
        <v>3</v>
      </c>
      <c r="W300" s="263">
        <v>4</v>
      </c>
      <c r="X300" s="263">
        <v>0</v>
      </c>
      <c r="Y300" s="263">
        <v>5</v>
      </c>
      <c r="Z300" s="263">
        <v>7</v>
      </c>
      <c r="AA300" s="263">
        <v>2</v>
      </c>
      <c r="AB300" s="263">
        <v>13</v>
      </c>
      <c r="AC300" s="263">
        <v>0</v>
      </c>
      <c r="AD300" s="263">
        <v>5</v>
      </c>
      <c r="AE300" s="263"/>
      <c r="AF300" s="263"/>
      <c r="AG300" s="263"/>
      <c r="AH300" s="263"/>
      <c r="AI300" s="263"/>
      <c r="AJ300" s="259"/>
      <c r="AK300" s="263">
        <f t="shared" si="150"/>
        <v>5</v>
      </c>
      <c r="AL300" s="265">
        <f t="shared" si="129"/>
        <v>21</v>
      </c>
      <c r="AM300" s="6">
        <f t="shared" si="151"/>
        <v>5</v>
      </c>
      <c r="AN300" s="255">
        <f t="shared" si="130"/>
        <v>0.9753761969904241</v>
      </c>
      <c r="AO300" s="256">
        <f t="shared" si="131"/>
        <v>0.60605074375091283</v>
      </c>
      <c r="AP300" s="257">
        <f t="shared" si="132"/>
        <v>6839.9452804377561</v>
      </c>
      <c r="AQ300" s="263">
        <f t="shared" si="152"/>
        <v>6.5</v>
      </c>
      <c r="AR300" s="263">
        <f t="shared" si="153"/>
        <v>0</v>
      </c>
      <c r="AS300" s="263">
        <f t="shared" si="154"/>
        <v>0.5</v>
      </c>
      <c r="AT300" s="263">
        <f t="shared" si="155"/>
        <v>7</v>
      </c>
      <c r="AU300" s="263"/>
      <c r="AV300" s="263"/>
      <c r="AW300" s="263"/>
      <c r="AX300" s="263">
        <f t="shared" si="156"/>
        <v>7</v>
      </c>
      <c r="BA300" s="282">
        <f t="shared" si="133"/>
        <v>279.60784313725492</v>
      </c>
      <c r="BB300">
        <v>1</v>
      </c>
      <c r="BC300">
        <f t="shared" si="157"/>
        <v>279.60784313725492</v>
      </c>
      <c r="BD300">
        <f t="shared" si="134"/>
        <v>450</v>
      </c>
      <c r="BE300">
        <f t="shared" si="135"/>
        <v>450</v>
      </c>
      <c r="BF300" s="281">
        <f t="shared" si="158"/>
        <v>0.6213507625272332</v>
      </c>
      <c r="BG300" s="282"/>
      <c r="BH300" s="283"/>
    </row>
    <row r="301" spans="1:60" x14ac:dyDescent="0.3">
      <c r="A301">
        <f t="shared" si="136"/>
        <v>299</v>
      </c>
      <c r="B301" s="241" t="s">
        <v>2485</v>
      </c>
      <c r="C301" s="294" t="s">
        <v>2513</v>
      </c>
      <c r="D301" s="14">
        <v>45799</v>
      </c>
      <c r="E301" s="7"/>
      <c r="F301" s="7"/>
      <c r="G301" s="66"/>
      <c r="H301" s="59"/>
      <c r="I301" s="59">
        <v>510</v>
      </c>
      <c r="J301" s="47">
        <f t="shared" si="146"/>
        <v>510</v>
      </c>
      <c r="K301" s="8">
        <f t="shared" si="147"/>
        <v>510</v>
      </c>
      <c r="L301" s="96">
        <f t="shared" si="148"/>
        <v>1</v>
      </c>
      <c r="M301" s="81">
        <v>1052</v>
      </c>
      <c r="N301" s="8">
        <v>153</v>
      </c>
      <c r="O301" s="8">
        <v>60</v>
      </c>
      <c r="P301" s="96">
        <f t="shared" si="114"/>
        <v>0.80891964628988855</v>
      </c>
      <c r="Q301" s="59">
        <f t="shared" si="149"/>
        <v>1052</v>
      </c>
      <c r="R301" s="252">
        <f t="shared" si="128"/>
        <v>1092</v>
      </c>
      <c r="S301" s="263">
        <v>60</v>
      </c>
      <c r="T301" s="263">
        <v>1</v>
      </c>
      <c r="U301" s="263">
        <v>0</v>
      </c>
      <c r="V301" s="263">
        <v>1</v>
      </c>
      <c r="W301" s="263">
        <v>2</v>
      </c>
      <c r="X301" s="263">
        <v>2</v>
      </c>
      <c r="Y301" s="263">
        <v>0</v>
      </c>
      <c r="Z301" s="263">
        <v>1</v>
      </c>
      <c r="AA301" s="263">
        <v>0</v>
      </c>
      <c r="AB301" s="263">
        <v>28</v>
      </c>
      <c r="AC301" s="263">
        <v>0</v>
      </c>
      <c r="AD301" s="263">
        <v>12</v>
      </c>
      <c r="AE301" s="263"/>
      <c r="AF301" s="263"/>
      <c r="AG301" s="263"/>
      <c r="AH301" s="263"/>
      <c r="AI301" s="263"/>
      <c r="AJ301" s="259"/>
      <c r="AK301" s="263">
        <f t="shared" si="150"/>
        <v>12</v>
      </c>
      <c r="AL301" s="265">
        <f t="shared" si="129"/>
        <v>21</v>
      </c>
      <c r="AM301" s="6">
        <f t="shared" si="151"/>
        <v>12</v>
      </c>
      <c r="AN301" s="255">
        <f t="shared" si="130"/>
        <v>0.96336996336996339</v>
      </c>
      <c r="AO301" s="256">
        <f t="shared" si="131"/>
        <v>0.7792888900155337</v>
      </c>
      <c r="AP301" s="257">
        <f t="shared" si="132"/>
        <v>10989.010989010991</v>
      </c>
      <c r="AQ301" s="263">
        <f t="shared" si="152"/>
        <v>14</v>
      </c>
      <c r="AR301" s="263">
        <f t="shared" si="153"/>
        <v>0</v>
      </c>
      <c r="AS301" s="263">
        <f t="shared" si="154"/>
        <v>1.2000000000000002</v>
      </c>
      <c r="AT301" s="263">
        <f t="shared" si="155"/>
        <v>15.2</v>
      </c>
      <c r="AU301" s="263"/>
      <c r="AV301" s="263"/>
      <c r="AW301" s="263"/>
      <c r="AX301" s="263">
        <f t="shared" si="156"/>
        <v>15.2</v>
      </c>
      <c r="BA301" s="282">
        <f t="shared" si="133"/>
        <v>412.54901960784315</v>
      </c>
      <c r="BB301">
        <v>1</v>
      </c>
      <c r="BC301">
        <f t="shared" si="157"/>
        <v>412.54901960784315</v>
      </c>
      <c r="BD301">
        <f t="shared" si="134"/>
        <v>510</v>
      </c>
      <c r="BE301">
        <f t="shared" si="135"/>
        <v>510</v>
      </c>
      <c r="BF301" s="281">
        <f t="shared" si="158"/>
        <v>0.80891964628988855</v>
      </c>
      <c r="BG301" s="282"/>
      <c r="BH301" s="283"/>
    </row>
    <row r="302" spans="1:60" x14ac:dyDescent="0.3">
      <c r="A302">
        <f t="shared" si="136"/>
        <v>300</v>
      </c>
      <c r="B302" s="241" t="s">
        <v>2485</v>
      </c>
      <c r="C302" s="294" t="s">
        <v>2511</v>
      </c>
      <c r="D302" s="14">
        <v>45800</v>
      </c>
      <c r="E302" s="7">
        <v>45</v>
      </c>
      <c r="F302" s="7"/>
      <c r="G302" s="66"/>
      <c r="H302" s="59"/>
      <c r="I302" s="59">
        <v>480</v>
      </c>
      <c r="J302" s="47">
        <f t="shared" si="146"/>
        <v>480</v>
      </c>
      <c r="K302" s="8">
        <f t="shared" si="147"/>
        <v>435</v>
      </c>
      <c r="L302" s="96">
        <f t="shared" si="148"/>
        <v>0.90625</v>
      </c>
      <c r="M302" s="81">
        <v>1121</v>
      </c>
      <c r="N302" s="8">
        <v>153</v>
      </c>
      <c r="O302" s="8">
        <v>60</v>
      </c>
      <c r="P302" s="96">
        <f t="shared" si="114"/>
        <v>1.010592742844264</v>
      </c>
      <c r="Q302" s="59">
        <f t="shared" si="149"/>
        <v>1121</v>
      </c>
      <c r="R302" s="252">
        <f t="shared" si="128"/>
        <v>1192</v>
      </c>
      <c r="S302" s="263">
        <v>41</v>
      </c>
      <c r="T302" s="263">
        <v>0</v>
      </c>
      <c r="U302" s="263">
        <v>0</v>
      </c>
      <c r="V302" s="263">
        <v>4</v>
      </c>
      <c r="W302" s="263">
        <v>0</v>
      </c>
      <c r="X302" s="263">
        <v>0</v>
      </c>
      <c r="Y302" s="263">
        <v>4</v>
      </c>
      <c r="Z302" s="263">
        <v>0</v>
      </c>
      <c r="AA302" s="263">
        <v>0</v>
      </c>
      <c r="AB302" s="263">
        <v>54</v>
      </c>
      <c r="AC302" s="263">
        <v>3</v>
      </c>
      <c r="AD302" s="263">
        <v>14</v>
      </c>
      <c r="AE302" s="263"/>
      <c r="AF302" s="263"/>
      <c r="AG302" s="263"/>
      <c r="AH302" s="263"/>
      <c r="AI302" s="263"/>
      <c r="AJ302" s="259"/>
      <c r="AK302" s="263">
        <f t="shared" si="150"/>
        <v>14</v>
      </c>
      <c r="AL302" s="265">
        <f t="shared" si="129"/>
        <v>21</v>
      </c>
      <c r="AM302" s="6">
        <f t="shared" si="151"/>
        <v>14</v>
      </c>
      <c r="AN302" s="255">
        <f t="shared" si="130"/>
        <v>0.94043624161073824</v>
      </c>
      <c r="AO302" s="256">
        <f t="shared" si="131"/>
        <v>0.86129822454708937</v>
      </c>
      <c r="AP302" s="257">
        <f t="shared" si="132"/>
        <v>11744.96644295302</v>
      </c>
      <c r="AQ302" s="263">
        <f t="shared" si="152"/>
        <v>27</v>
      </c>
      <c r="AR302" s="263">
        <f t="shared" si="153"/>
        <v>0.60000000000000009</v>
      </c>
      <c r="AS302" s="263">
        <f t="shared" si="154"/>
        <v>1.4000000000000001</v>
      </c>
      <c r="AT302" s="263">
        <f t="shared" si="155"/>
        <v>29</v>
      </c>
      <c r="AU302" s="263"/>
      <c r="AV302" s="263"/>
      <c r="AW302" s="263"/>
      <c r="AX302" s="263">
        <f t="shared" si="156"/>
        <v>29</v>
      </c>
      <c r="BA302" s="282">
        <f t="shared" si="133"/>
        <v>439.60784313725486</v>
      </c>
      <c r="BB302">
        <v>1</v>
      </c>
      <c r="BC302">
        <f t="shared" si="157"/>
        <v>439.60784313725486</v>
      </c>
      <c r="BD302">
        <f t="shared" si="134"/>
        <v>435</v>
      </c>
      <c r="BE302">
        <f t="shared" si="135"/>
        <v>480</v>
      </c>
      <c r="BF302" s="281">
        <f t="shared" si="158"/>
        <v>0.91584967320261434</v>
      </c>
      <c r="BG302" s="282"/>
      <c r="BH302" s="283"/>
    </row>
    <row r="303" spans="1:60" x14ac:dyDescent="0.3">
      <c r="A303">
        <f t="shared" si="136"/>
        <v>301</v>
      </c>
      <c r="B303" s="241" t="s">
        <v>2485</v>
      </c>
      <c r="C303" s="294" t="s">
        <v>2512</v>
      </c>
      <c r="D303" s="14">
        <v>45800</v>
      </c>
      <c r="E303" s="7"/>
      <c r="F303" s="7"/>
      <c r="G303" s="66"/>
      <c r="H303" s="59"/>
      <c r="I303" s="59">
        <v>450</v>
      </c>
      <c r="J303" s="47">
        <f t="shared" si="146"/>
        <v>450</v>
      </c>
      <c r="K303" s="8">
        <f t="shared" si="147"/>
        <v>450</v>
      </c>
      <c r="L303" s="96">
        <f t="shared" si="148"/>
        <v>1</v>
      </c>
      <c r="M303" s="81">
        <v>1010</v>
      </c>
      <c r="N303" s="8">
        <v>153</v>
      </c>
      <c r="O303" s="8">
        <v>60</v>
      </c>
      <c r="P303" s="96">
        <f t="shared" si="114"/>
        <v>0.88017429193899777</v>
      </c>
      <c r="Q303" s="59">
        <f t="shared" si="149"/>
        <v>1010</v>
      </c>
      <c r="R303" s="252">
        <f t="shared" si="128"/>
        <v>1055</v>
      </c>
      <c r="S303" s="263">
        <v>14</v>
      </c>
      <c r="T303" s="263">
        <v>0</v>
      </c>
      <c r="U303" s="263">
        <v>0</v>
      </c>
      <c r="V303" s="263">
        <v>8</v>
      </c>
      <c r="W303" s="263">
        <v>10</v>
      </c>
      <c r="X303" s="263">
        <v>1</v>
      </c>
      <c r="Y303" s="263">
        <v>6</v>
      </c>
      <c r="Z303" s="263">
        <v>0</v>
      </c>
      <c r="AA303" s="263">
        <v>1</v>
      </c>
      <c r="AB303" s="263">
        <v>33</v>
      </c>
      <c r="AC303" s="263">
        <v>3</v>
      </c>
      <c r="AD303" s="263">
        <v>9</v>
      </c>
      <c r="AE303" s="263"/>
      <c r="AF303" s="263"/>
      <c r="AG303" s="263"/>
      <c r="AH303" s="263"/>
      <c r="AI303" s="263"/>
      <c r="AJ303" s="259"/>
      <c r="AK303" s="263">
        <f t="shared" si="150"/>
        <v>9</v>
      </c>
      <c r="AL303" s="265">
        <f t="shared" si="129"/>
        <v>21</v>
      </c>
      <c r="AM303" s="6">
        <f t="shared" si="151"/>
        <v>9</v>
      </c>
      <c r="AN303" s="255">
        <f t="shared" si="130"/>
        <v>0.95734597156398105</v>
      </c>
      <c r="AO303" s="256">
        <f t="shared" si="131"/>
        <v>0.84263131266197888</v>
      </c>
      <c r="AP303" s="257">
        <f t="shared" si="132"/>
        <v>8530.8056872037905</v>
      </c>
      <c r="AQ303" s="263">
        <f t="shared" si="152"/>
        <v>16.5</v>
      </c>
      <c r="AR303" s="263">
        <f t="shared" si="153"/>
        <v>0.60000000000000009</v>
      </c>
      <c r="AS303" s="263">
        <f t="shared" si="154"/>
        <v>0.9</v>
      </c>
      <c r="AT303" s="263">
        <f t="shared" si="155"/>
        <v>18</v>
      </c>
      <c r="AU303" s="263"/>
      <c r="AV303" s="263"/>
      <c r="AW303" s="263"/>
      <c r="AX303" s="263">
        <f t="shared" si="156"/>
        <v>18</v>
      </c>
      <c r="BA303" s="282">
        <f t="shared" si="133"/>
        <v>396.07843137254901</v>
      </c>
      <c r="BB303">
        <v>1</v>
      </c>
      <c r="BC303">
        <f t="shared" si="157"/>
        <v>396.07843137254901</v>
      </c>
      <c r="BD303">
        <f t="shared" si="134"/>
        <v>450</v>
      </c>
      <c r="BE303">
        <f t="shared" si="135"/>
        <v>450</v>
      </c>
      <c r="BF303" s="281">
        <f t="shared" si="158"/>
        <v>0.88017429193899777</v>
      </c>
      <c r="BG303" s="282"/>
      <c r="BH303" s="283"/>
    </row>
    <row r="304" spans="1:60" x14ac:dyDescent="0.3">
      <c r="A304">
        <f t="shared" si="136"/>
        <v>302</v>
      </c>
      <c r="B304" s="295" t="s">
        <v>2540</v>
      </c>
      <c r="C304" s="294" t="s">
        <v>2513</v>
      </c>
      <c r="D304" s="14">
        <v>45800</v>
      </c>
      <c r="E304" s="7">
        <v>60</v>
      </c>
      <c r="F304" s="7"/>
      <c r="G304" s="66"/>
      <c r="H304" s="59"/>
      <c r="I304" s="59">
        <v>510</v>
      </c>
      <c r="J304" s="47">
        <f t="shared" si="146"/>
        <v>510</v>
      </c>
      <c r="K304" s="8">
        <f t="shared" si="147"/>
        <v>450</v>
      </c>
      <c r="L304" s="96">
        <f t="shared" si="148"/>
        <v>0.88235294117647056</v>
      </c>
      <c r="M304" s="81">
        <v>873</v>
      </c>
      <c r="N304" s="8">
        <v>153</v>
      </c>
      <c r="O304" s="8">
        <v>60</v>
      </c>
      <c r="P304" s="96">
        <f t="shared" si="114"/>
        <v>0.76078431372549027</v>
      </c>
      <c r="Q304" s="59">
        <f t="shared" si="149"/>
        <v>873</v>
      </c>
      <c r="R304" s="252">
        <f t="shared" si="128"/>
        <v>918</v>
      </c>
      <c r="S304" s="263">
        <v>14</v>
      </c>
      <c r="T304" s="263">
        <v>0</v>
      </c>
      <c r="U304" s="263">
        <v>0</v>
      </c>
      <c r="V304" s="263">
        <v>8</v>
      </c>
      <c r="W304" s="263">
        <v>10</v>
      </c>
      <c r="X304" s="263">
        <v>1</v>
      </c>
      <c r="Y304" s="263">
        <v>6</v>
      </c>
      <c r="Z304" s="263">
        <v>0</v>
      </c>
      <c r="AA304" s="263">
        <v>1</v>
      </c>
      <c r="AB304" s="263">
        <v>33</v>
      </c>
      <c r="AC304" s="263">
        <v>3</v>
      </c>
      <c r="AD304" s="263">
        <v>9</v>
      </c>
      <c r="AE304" s="263"/>
      <c r="AF304" s="263"/>
      <c r="AG304" s="263"/>
      <c r="AH304" s="263"/>
      <c r="AI304" s="263"/>
      <c r="AJ304" s="259"/>
      <c r="AK304" s="263">
        <f t="shared" si="150"/>
        <v>9</v>
      </c>
      <c r="AL304" s="265">
        <f t="shared" si="129"/>
        <v>21</v>
      </c>
      <c r="AM304" s="6">
        <f t="shared" si="151"/>
        <v>9</v>
      </c>
      <c r="AN304" s="255">
        <f t="shared" si="130"/>
        <v>0.9509803921568627</v>
      </c>
      <c r="AO304" s="256">
        <f t="shared" si="131"/>
        <v>0.63837438089422627</v>
      </c>
      <c r="AP304" s="257">
        <f t="shared" si="132"/>
        <v>9803.9215686274511</v>
      </c>
      <c r="AQ304" s="263">
        <f t="shared" si="152"/>
        <v>16.5</v>
      </c>
      <c r="AR304" s="263">
        <f t="shared" si="153"/>
        <v>0.60000000000000009</v>
      </c>
      <c r="AS304" s="263">
        <f t="shared" si="154"/>
        <v>0.9</v>
      </c>
      <c r="AT304" s="263">
        <f t="shared" si="155"/>
        <v>18</v>
      </c>
      <c r="AU304" s="263"/>
      <c r="AV304" s="263"/>
      <c r="AW304" s="263"/>
      <c r="AX304" s="263">
        <f t="shared" si="156"/>
        <v>18</v>
      </c>
      <c r="BA304" s="282">
        <f t="shared" si="133"/>
        <v>342.35294117647061</v>
      </c>
      <c r="BB304">
        <v>1</v>
      </c>
      <c r="BC304">
        <f t="shared" si="157"/>
        <v>342.35294117647061</v>
      </c>
      <c r="BD304">
        <f t="shared" si="134"/>
        <v>450</v>
      </c>
      <c r="BE304">
        <f t="shared" si="135"/>
        <v>510</v>
      </c>
      <c r="BF304" s="281">
        <f t="shared" si="158"/>
        <v>0.67128027681660907</v>
      </c>
      <c r="BG304" s="282"/>
      <c r="BH304" s="283"/>
    </row>
    <row r="305" spans="1:60" x14ac:dyDescent="0.3">
      <c r="A305">
        <f t="shared" si="136"/>
        <v>303</v>
      </c>
      <c r="B305" s="241" t="s">
        <v>2505</v>
      </c>
      <c r="C305" s="294" t="s">
        <v>2511</v>
      </c>
      <c r="D305" s="14">
        <v>45801</v>
      </c>
      <c r="E305" s="7">
        <f>60*4</f>
        <v>240</v>
      </c>
      <c r="F305" s="7"/>
      <c r="G305" s="66"/>
      <c r="H305" s="59"/>
      <c r="I305" s="59">
        <v>480</v>
      </c>
      <c r="J305" s="47">
        <f t="shared" si="146"/>
        <v>480</v>
      </c>
      <c r="K305" s="8">
        <f t="shared" si="147"/>
        <v>240</v>
      </c>
      <c r="L305" s="96">
        <f t="shared" si="148"/>
        <v>0.5</v>
      </c>
      <c r="M305" s="81">
        <v>415</v>
      </c>
      <c r="N305" s="8">
        <v>153</v>
      </c>
      <c r="O305" s="8">
        <v>60</v>
      </c>
      <c r="P305" s="96">
        <f t="shared" si="114"/>
        <v>0.67810457516339873</v>
      </c>
      <c r="Q305" s="59">
        <f t="shared" si="149"/>
        <v>415</v>
      </c>
      <c r="R305" s="252">
        <f t="shared" si="128"/>
        <v>421</v>
      </c>
      <c r="S305" s="263">
        <v>9</v>
      </c>
      <c r="T305" s="263">
        <v>1</v>
      </c>
      <c r="U305" s="263">
        <v>0</v>
      </c>
      <c r="V305" s="263">
        <v>0</v>
      </c>
      <c r="W305" s="263">
        <v>0</v>
      </c>
      <c r="X305" s="263">
        <v>0</v>
      </c>
      <c r="Y305" s="263">
        <v>3</v>
      </c>
      <c r="Z305" s="263">
        <v>0</v>
      </c>
      <c r="AA305" s="263">
        <v>0</v>
      </c>
      <c r="AB305" s="263">
        <v>3</v>
      </c>
      <c r="AC305" s="263">
        <v>1</v>
      </c>
      <c r="AD305" s="263">
        <v>2</v>
      </c>
      <c r="AE305" s="263"/>
      <c r="AF305" s="263"/>
      <c r="AG305" s="263"/>
      <c r="AH305" s="263"/>
      <c r="AI305" s="263"/>
      <c r="AJ305" s="259"/>
      <c r="AK305" s="263">
        <f t="shared" si="150"/>
        <v>2</v>
      </c>
      <c r="AL305" s="265">
        <f t="shared" si="129"/>
        <v>21</v>
      </c>
      <c r="AM305" s="6">
        <f t="shared" si="151"/>
        <v>2</v>
      </c>
      <c r="AN305" s="255">
        <f t="shared" si="130"/>
        <v>0.98574821852731587</v>
      </c>
      <c r="AO305" s="256">
        <f t="shared" si="131"/>
        <v>0.33422018847127133</v>
      </c>
      <c r="AP305" s="257">
        <f t="shared" si="132"/>
        <v>4750.593824228029</v>
      </c>
      <c r="AQ305" s="263">
        <f t="shared" si="152"/>
        <v>1.5</v>
      </c>
      <c r="AR305" s="263">
        <f t="shared" si="153"/>
        <v>0.2</v>
      </c>
      <c r="AS305" s="263">
        <f t="shared" si="154"/>
        <v>0.2</v>
      </c>
      <c r="AT305" s="263">
        <f t="shared" si="155"/>
        <v>1.9</v>
      </c>
      <c r="AU305" s="263"/>
      <c r="AV305" s="263"/>
      <c r="AW305" s="263"/>
      <c r="AX305" s="263">
        <f t="shared" si="156"/>
        <v>1.9</v>
      </c>
      <c r="BA305" s="282">
        <f t="shared" si="133"/>
        <v>162.74509803921569</v>
      </c>
      <c r="BB305">
        <v>1</v>
      </c>
      <c r="BC305">
        <f t="shared" si="157"/>
        <v>162.74509803921569</v>
      </c>
      <c r="BD305">
        <f t="shared" si="134"/>
        <v>240</v>
      </c>
      <c r="BE305">
        <f t="shared" si="135"/>
        <v>480</v>
      </c>
      <c r="BF305" s="281">
        <f t="shared" si="158"/>
        <v>0.33905228758169936</v>
      </c>
      <c r="BG305" s="282"/>
      <c r="BH305" s="283"/>
    </row>
    <row r="306" spans="1:60" x14ac:dyDescent="0.3">
      <c r="A306">
        <f t="shared" si="136"/>
        <v>304</v>
      </c>
      <c r="B306" s="241" t="s">
        <v>2505</v>
      </c>
      <c r="C306" s="294" t="s">
        <v>2512</v>
      </c>
      <c r="D306" s="14">
        <v>45801</v>
      </c>
      <c r="E306" s="7"/>
      <c r="F306" s="7"/>
      <c r="G306" s="66"/>
      <c r="H306" s="59"/>
      <c r="I306" s="59">
        <v>450</v>
      </c>
      <c r="J306" s="47">
        <f t="shared" si="146"/>
        <v>450</v>
      </c>
      <c r="K306" s="8">
        <f t="shared" si="147"/>
        <v>450</v>
      </c>
      <c r="L306" s="96">
        <f t="shared" si="148"/>
        <v>1</v>
      </c>
      <c r="M306" s="81">
        <f>93+68+16+74+110+127+57+202</f>
        <v>747</v>
      </c>
      <c r="N306" s="8">
        <v>153</v>
      </c>
      <c r="O306" s="8">
        <v>60</v>
      </c>
      <c r="P306" s="96">
        <f t="shared" si="114"/>
        <v>0.65098039215686287</v>
      </c>
      <c r="Q306" s="59">
        <f t="shared" si="149"/>
        <v>747</v>
      </c>
      <c r="R306" s="252">
        <f t="shared" si="128"/>
        <v>752</v>
      </c>
      <c r="S306" s="263">
        <v>3</v>
      </c>
      <c r="T306" s="263">
        <v>1</v>
      </c>
      <c r="U306" s="263">
        <v>0</v>
      </c>
      <c r="V306" s="263">
        <v>1</v>
      </c>
      <c r="W306" s="263">
        <v>0</v>
      </c>
      <c r="X306" s="263">
        <v>1</v>
      </c>
      <c r="Y306" s="263">
        <v>0</v>
      </c>
      <c r="Z306" s="263">
        <v>0</v>
      </c>
      <c r="AA306" s="263">
        <v>0</v>
      </c>
      <c r="AB306" s="263">
        <v>5</v>
      </c>
      <c r="AC306" s="263">
        <v>0</v>
      </c>
      <c r="AD306" s="263">
        <v>0</v>
      </c>
      <c r="AE306" s="263"/>
      <c r="AF306" s="263"/>
      <c r="AG306" s="263"/>
      <c r="AH306" s="263"/>
      <c r="AI306" s="263"/>
      <c r="AJ306" s="259"/>
      <c r="AK306" s="263">
        <f t="shared" si="150"/>
        <v>0</v>
      </c>
      <c r="AL306" s="265">
        <f t="shared" si="129"/>
        <v>21</v>
      </c>
      <c r="AM306" s="6">
        <f t="shared" si="151"/>
        <v>0</v>
      </c>
      <c r="AN306" s="255">
        <f t="shared" si="130"/>
        <v>0.99335106382978722</v>
      </c>
      <c r="AO306" s="256">
        <f t="shared" si="131"/>
        <v>0.64665206508135176</v>
      </c>
      <c r="AP306" s="257">
        <f t="shared" si="132"/>
        <v>0</v>
      </c>
      <c r="AQ306" s="263">
        <f t="shared" si="152"/>
        <v>2.5</v>
      </c>
      <c r="AR306" s="263">
        <f t="shared" si="153"/>
        <v>0</v>
      </c>
      <c r="AS306" s="263">
        <f t="shared" si="154"/>
        <v>0</v>
      </c>
      <c r="AT306" s="263">
        <f t="shared" si="155"/>
        <v>2.5</v>
      </c>
      <c r="AU306" s="263"/>
      <c r="AV306" s="263"/>
      <c r="AW306" s="263"/>
      <c r="AX306" s="263">
        <f t="shared" si="156"/>
        <v>2.5</v>
      </c>
      <c r="BA306" s="282">
        <f t="shared" si="133"/>
        <v>292.94117647058829</v>
      </c>
      <c r="BB306">
        <v>1</v>
      </c>
      <c r="BC306">
        <f t="shared" si="157"/>
        <v>292.94117647058829</v>
      </c>
      <c r="BD306">
        <f t="shared" si="134"/>
        <v>450</v>
      </c>
      <c r="BE306">
        <f t="shared" si="135"/>
        <v>450</v>
      </c>
      <c r="BF306" s="281">
        <f t="shared" si="158"/>
        <v>0.65098039215686287</v>
      </c>
      <c r="BG306" s="282"/>
      <c r="BH306" s="283"/>
    </row>
    <row r="307" spans="1:60" x14ac:dyDescent="0.3">
      <c r="A307">
        <f t="shared" si="136"/>
        <v>305</v>
      </c>
      <c r="B307" s="327" t="s">
        <v>2579</v>
      </c>
      <c r="C307" s="294" t="s">
        <v>2511</v>
      </c>
      <c r="D307" s="14">
        <v>45803</v>
      </c>
      <c r="E307" s="7">
        <f>60*6</f>
        <v>360</v>
      </c>
      <c r="F307" s="7"/>
      <c r="G307" s="66"/>
      <c r="H307" s="59"/>
      <c r="I307" s="59">
        <v>480</v>
      </c>
      <c r="J307" s="47">
        <f t="shared" ref="J307:J371" si="159">I307+H307</f>
        <v>480</v>
      </c>
      <c r="K307" s="8">
        <f t="shared" ref="K307:K371" si="160">IFERROR(J307-E307-F307-G307,"")</f>
        <v>120</v>
      </c>
      <c r="L307" s="96">
        <f t="shared" ref="L307:L371" si="161">IFERROR(K307/J307,"")</f>
        <v>0.25</v>
      </c>
      <c r="M307" s="81">
        <v>211</v>
      </c>
      <c r="N307" s="8">
        <v>153</v>
      </c>
      <c r="O307" s="8">
        <v>60</v>
      </c>
      <c r="P307" s="96">
        <f t="shared" si="114"/>
        <v>0.68954248366013071</v>
      </c>
      <c r="Q307" s="59">
        <f t="shared" si="149"/>
        <v>211</v>
      </c>
      <c r="R307" s="252">
        <f t="shared" si="128"/>
        <v>221</v>
      </c>
      <c r="S307" s="263">
        <v>39</v>
      </c>
      <c r="T307" s="263">
        <v>5</v>
      </c>
      <c r="U307" s="263">
        <v>0</v>
      </c>
      <c r="V307" s="263">
        <v>0</v>
      </c>
      <c r="W307" s="263">
        <v>4</v>
      </c>
      <c r="X307" s="263">
        <v>0</v>
      </c>
      <c r="Y307" s="263">
        <v>2</v>
      </c>
      <c r="Z307" s="263">
        <v>0</v>
      </c>
      <c r="AA307" s="263">
        <v>0</v>
      </c>
      <c r="AB307" s="263">
        <v>8</v>
      </c>
      <c r="AC307" s="263">
        <v>0</v>
      </c>
      <c r="AD307" s="263">
        <v>2</v>
      </c>
      <c r="AE307" s="263"/>
      <c r="AF307" s="263"/>
      <c r="AG307" s="263"/>
      <c r="AH307" s="263"/>
      <c r="AI307" s="263"/>
      <c r="AJ307" s="259"/>
      <c r="AK307" s="263">
        <f t="shared" ref="AK307:AK371" si="162">+AD307+AE307+AF307+AG307+AH307+AI307</f>
        <v>2</v>
      </c>
      <c r="AL307" s="265">
        <f t="shared" si="129"/>
        <v>22</v>
      </c>
      <c r="AM307" s="6">
        <f t="shared" ref="AM307:AM371" si="163">AK307</f>
        <v>2</v>
      </c>
      <c r="AN307" s="255">
        <f t="shared" si="130"/>
        <v>0.95475113122171951</v>
      </c>
      <c r="AO307" s="256">
        <f t="shared" si="131"/>
        <v>0.16458536657498596</v>
      </c>
      <c r="AP307" s="257">
        <f t="shared" si="132"/>
        <v>9049.7737556561096</v>
      </c>
      <c r="AQ307" s="263">
        <f t="shared" ref="AQ307:AQ371" si="164">+AB307*0.5</f>
        <v>4</v>
      </c>
      <c r="AR307" s="263">
        <f t="shared" ref="AR307:AR371" si="165">+AC307*0.2</f>
        <v>0</v>
      </c>
      <c r="AS307" s="263">
        <f t="shared" ref="AS307:AS371" si="166">+AD307*0.1</f>
        <v>0.2</v>
      </c>
      <c r="AT307" s="263">
        <f t="shared" ref="AT307:AT371" si="167">SUM(AQ307:AS307)</f>
        <v>4.2</v>
      </c>
      <c r="AU307" s="263"/>
      <c r="AV307" s="263"/>
      <c r="AW307" s="263"/>
      <c r="AX307" s="263">
        <f t="shared" ref="AX307:AX371" si="168">+AW307+AU307+AT307+AV307</f>
        <v>4.2</v>
      </c>
      <c r="BA307" s="282">
        <f t="shared" si="133"/>
        <v>82.745098039215691</v>
      </c>
      <c r="BB307">
        <v>1</v>
      </c>
      <c r="BC307">
        <f t="shared" ref="BC307:BC371" si="169">IFERROR(BA307*BB307,"")</f>
        <v>82.745098039215691</v>
      </c>
      <c r="BD307">
        <f t="shared" si="134"/>
        <v>120</v>
      </c>
      <c r="BE307">
        <f t="shared" si="135"/>
        <v>480</v>
      </c>
      <c r="BF307" s="281">
        <f t="shared" ref="BF307:BF371" si="170">BC307/BE307</f>
        <v>0.17238562091503268</v>
      </c>
      <c r="BG307" s="282"/>
      <c r="BH307" s="283"/>
    </row>
    <row r="308" spans="1:60" x14ac:dyDescent="0.3">
      <c r="A308">
        <f t="shared" si="136"/>
        <v>306</v>
      </c>
      <c r="B308" s="241" t="s">
        <v>2499</v>
      </c>
      <c r="C308" s="294" t="s">
        <v>2512</v>
      </c>
      <c r="D308" s="14">
        <v>45803</v>
      </c>
      <c r="E308" s="7"/>
      <c r="F308" s="7"/>
      <c r="G308" s="66"/>
      <c r="H308" s="59"/>
      <c r="I308" s="59">
        <v>450</v>
      </c>
      <c r="J308" s="47">
        <f t="shared" si="159"/>
        <v>450</v>
      </c>
      <c r="K308" s="8">
        <f t="shared" si="160"/>
        <v>450</v>
      </c>
      <c r="L308" s="96">
        <f t="shared" si="161"/>
        <v>1</v>
      </c>
      <c r="M308" s="81">
        <v>796</v>
      </c>
      <c r="N308" s="8">
        <v>153</v>
      </c>
      <c r="O308" s="8">
        <v>60</v>
      </c>
      <c r="P308" s="96">
        <f t="shared" si="114"/>
        <v>0.69368191721132899</v>
      </c>
      <c r="Q308" s="59">
        <f t="shared" si="149"/>
        <v>796</v>
      </c>
      <c r="R308" s="252">
        <f t="shared" si="128"/>
        <v>845</v>
      </c>
      <c r="S308" s="263">
        <v>4</v>
      </c>
      <c r="T308" s="263">
        <v>4</v>
      </c>
      <c r="U308" s="263">
        <v>0</v>
      </c>
      <c r="V308" s="263">
        <v>1</v>
      </c>
      <c r="W308" s="263">
        <v>46</v>
      </c>
      <c r="X308" s="263">
        <v>0</v>
      </c>
      <c r="Y308" s="263">
        <v>2</v>
      </c>
      <c r="Z308" s="263">
        <v>5</v>
      </c>
      <c r="AA308" s="263">
        <v>0</v>
      </c>
      <c r="AB308" s="263">
        <v>40</v>
      </c>
      <c r="AC308" s="263">
        <v>1</v>
      </c>
      <c r="AD308" s="263">
        <v>8</v>
      </c>
      <c r="AE308" s="263"/>
      <c r="AF308" s="263"/>
      <c r="AG308" s="263"/>
      <c r="AH308" s="263"/>
      <c r="AI308" s="263"/>
      <c r="AJ308" s="259"/>
      <c r="AK308" s="263">
        <f t="shared" si="162"/>
        <v>8</v>
      </c>
      <c r="AL308" s="265">
        <f t="shared" si="129"/>
        <v>22</v>
      </c>
      <c r="AM308" s="6">
        <f t="shared" si="163"/>
        <v>8</v>
      </c>
      <c r="AN308" s="255">
        <f t="shared" si="130"/>
        <v>0.94201183431952662</v>
      </c>
      <c r="AO308" s="256">
        <f t="shared" si="131"/>
        <v>0.65345657526653</v>
      </c>
      <c r="AP308" s="257">
        <f t="shared" si="132"/>
        <v>9467.455621301775</v>
      </c>
      <c r="AQ308" s="263">
        <f t="shared" si="164"/>
        <v>20</v>
      </c>
      <c r="AR308" s="263">
        <f t="shared" si="165"/>
        <v>0.2</v>
      </c>
      <c r="AS308" s="263">
        <f t="shared" si="166"/>
        <v>0.8</v>
      </c>
      <c r="AT308" s="263">
        <f t="shared" si="167"/>
        <v>21</v>
      </c>
      <c r="AU308" s="263"/>
      <c r="AV308" s="263"/>
      <c r="AW308" s="263"/>
      <c r="AX308" s="263">
        <f t="shared" si="168"/>
        <v>21</v>
      </c>
      <c r="BA308" s="282">
        <f t="shared" si="133"/>
        <v>312.15686274509807</v>
      </c>
      <c r="BB308">
        <v>1</v>
      </c>
      <c r="BC308">
        <f t="shared" si="169"/>
        <v>312.15686274509807</v>
      </c>
      <c r="BD308">
        <f t="shared" si="134"/>
        <v>450</v>
      </c>
      <c r="BE308">
        <f t="shared" si="135"/>
        <v>450</v>
      </c>
      <c r="BF308" s="281">
        <f t="shared" si="170"/>
        <v>0.69368191721132899</v>
      </c>
      <c r="BG308" s="282"/>
      <c r="BH308" s="283"/>
    </row>
    <row r="309" spans="1:60" x14ac:dyDescent="0.3">
      <c r="A309">
        <f t="shared" si="136"/>
        <v>307</v>
      </c>
      <c r="B309" s="241" t="s">
        <v>2499</v>
      </c>
      <c r="C309" s="294" t="s">
        <v>2513</v>
      </c>
      <c r="D309" s="14">
        <v>45803</v>
      </c>
      <c r="E309" s="7"/>
      <c r="F309" s="7"/>
      <c r="G309" s="66"/>
      <c r="H309" s="59"/>
      <c r="I309" s="59">
        <v>510</v>
      </c>
      <c r="J309" s="47">
        <f t="shared" si="159"/>
        <v>510</v>
      </c>
      <c r="K309" s="8">
        <f t="shared" si="160"/>
        <v>510</v>
      </c>
      <c r="L309" s="96">
        <f t="shared" si="161"/>
        <v>1</v>
      </c>
      <c r="M309" s="81">
        <v>1074</v>
      </c>
      <c r="N309" s="8">
        <v>153</v>
      </c>
      <c r="O309" s="8">
        <v>60</v>
      </c>
      <c r="P309" s="96">
        <f t="shared" si="114"/>
        <v>0.82583621683967712</v>
      </c>
      <c r="Q309" s="59">
        <f t="shared" si="149"/>
        <v>1074</v>
      </c>
      <c r="R309" s="252">
        <f t="shared" si="128"/>
        <v>1130</v>
      </c>
      <c r="S309" s="263">
        <v>42</v>
      </c>
      <c r="T309" s="263">
        <v>2</v>
      </c>
      <c r="U309" s="263">
        <v>0</v>
      </c>
      <c r="V309" s="263">
        <v>2</v>
      </c>
      <c r="W309" s="263">
        <v>52</v>
      </c>
      <c r="X309" s="263">
        <v>0</v>
      </c>
      <c r="Y309" s="263">
        <v>1</v>
      </c>
      <c r="Z309" s="263">
        <v>2</v>
      </c>
      <c r="AA309" s="263">
        <v>1</v>
      </c>
      <c r="AB309" s="263">
        <v>38</v>
      </c>
      <c r="AC309" s="263">
        <v>0</v>
      </c>
      <c r="AD309" s="263">
        <v>18</v>
      </c>
      <c r="AE309" s="263"/>
      <c r="AF309" s="263"/>
      <c r="AG309" s="263"/>
      <c r="AH309" s="263"/>
      <c r="AI309" s="263"/>
      <c r="AJ309" s="259"/>
      <c r="AK309" s="263">
        <f t="shared" si="162"/>
        <v>18</v>
      </c>
      <c r="AL309" s="265">
        <f t="shared" si="129"/>
        <v>22</v>
      </c>
      <c r="AM309" s="6">
        <f t="shared" si="163"/>
        <v>18</v>
      </c>
      <c r="AN309" s="255">
        <f t="shared" si="130"/>
        <v>0.95044247787610614</v>
      </c>
      <c r="AO309" s="256">
        <f t="shared" si="131"/>
        <v>0.78490982025293199</v>
      </c>
      <c r="AP309" s="257">
        <f t="shared" si="132"/>
        <v>15929.203539823009</v>
      </c>
      <c r="AQ309" s="263">
        <f t="shared" si="164"/>
        <v>19</v>
      </c>
      <c r="AR309" s="263">
        <f t="shared" si="165"/>
        <v>0</v>
      </c>
      <c r="AS309" s="263">
        <f t="shared" si="166"/>
        <v>1.8</v>
      </c>
      <c r="AT309" s="263">
        <f t="shared" si="167"/>
        <v>20.8</v>
      </c>
      <c r="AU309" s="263"/>
      <c r="AV309" s="263"/>
      <c r="AW309" s="263"/>
      <c r="AX309" s="263">
        <f t="shared" si="168"/>
        <v>20.8</v>
      </c>
      <c r="BA309" s="282">
        <f t="shared" si="133"/>
        <v>421.1764705882353</v>
      </c>
      <c r="BB309">
        <v>1</v>
      </c>
      <c r="BC309">
        <f t="shared" si="169"/>
        <v>421.1764705882353</v>
      </c>
      <c r="BD309">
        <f t="shared" si="134"/>
        <v>510</v>
      </c>
      <c r="BE309">
        <f t="shared" si="135"/>
        <v>510</v>
      </c>
      <c r="BF309" s="281">
        <f t="shared" si="170"/>
        <v>0.82583621683967712</v>
      </c>
      <c r="BG309" s="282"/>
      <c r="BH309" s="283"/>
    </row>
    <row r="310" spans="1:60" x14ac:dyDescent="0.3">
      <c r="A310">
        <f t="shared" si="136"/>
        <v>308</v>
      </c>
      <c r="B310" s="241" t="s">
        <v>2499</v>
      </c>
      <c r="C310" s="294" t="s">
        <v>2511</v>
      </c>
      <c r="D310" s="14">
        <v>45804</v>
      </c>
      <c r="E310" s="7">
        <v>45</v>
      </c>
      <c r="F310" s="7"/>
      <c r="G310" s="66"/>
      <c r="H310" s="59"/>
      <c r="I310" s="59">
        <v>480</v>
      </c>
      <c r="J310" s="47">
        <f t="shared" si="159"/>
        <v>480</v>
      </c>
      <c r="K310" s="8">
        <f t="shared" si="160"/>
        <v>435</v>
      </c>
      <c r="L310" s="96">
        <f t="shared" si="161"/>
        <v>0.90625</v>
      </c>
      <c r="M310" s="81">
        <v>969</v>
      </c>
      <c r="N310" s="8">
        <v>153</v>
      </c>
      <c r="O310" s="8">
        <v>60</v>
      </c>
      <c r="P310" s="96">
        <f t="shared" si="114"/>
        <v>0.87356321839080464</v>
      </c>
      <c r="Q310" s="59">
        <f t="shared" si="149"/>
        <v>969</v>
      </c>
      <c r="R310" s="252">
        <f t="shared" si="128"/>
        <v>1002</v>
      </c>
      <c r="S310" s="263">
        <v>15</v>
      </c>
      <c r="T310" s="263">
        <v>3</v>
      </c>
      <c r="U310" s="263">
        <v>0</v>
      </c>
      <c r="V310" s="263">
        <v>0</v>
      </c>
      <c r="W310" s="263">
        <v>33</v>
      </c>
      <c r="X310" s="263">
        <v>12</v>
      </c>
      <c r="Y310" s="263">
        <v>0</v>
      </c>
      <c r="Z310" s="263">
        <v>2</v>
      </c>
      <c r="AA310" s="263">
        <v>0</v>
      </c>
      <c r="AB310" s="263">
        <v>20</v>
      </c>
      <c r="AC310" s="263">
        <v>1</v>
      </c>
      <c r="AD310" s="263">
        <v>12</v>
      </c>
      <c r="AE310" s="263"/>
      <c r="AF310" s="263"/>
      <c r="AG310" s="263"/>
      <c r="AH310" s="263"/>
      <c r="AI310" s="263"/>
      <c r="AJ310" s="259"/>
      <c r="AK310" s="263">
        <f t="shared" si="162"/>
        <v>12</v>
      </c>
      <c r="AL310" s="265">
        <f t="shared" si="129"/>
        <v>22</v>
      </c>
      <c r="AM310" s="6">
        <f t="shared" si="163"/>
        <v>12</v>
      </c>
      <c r="AN310" s="255">
        <f t="shared" si="130"/>
        <v>0.96706586826347307</v>
      </c>
      <c r="AO310" s="256">
        <f t="shared" si="131"/>
        <v>0.76559381237524959</v>
      </c>
      <c r="AP310" s="257">
        <f t="shared" si="132"/>
        <v>11976.047904191617</v>
      </c>
      <c r="AQ310" s="263">
        <f t="shared" si="164"/>
        <v>10</v>
      </c>
      <c r="AR310" s="263">
        <f t="shared" si="165"/>
        <v>0.2</v>
      </c>
      <c r="AS310" s="263">
        <f t="shared" si="166"/>
        <v>1.2000000000000002</v>
      </c>
      <c r="AT310" s="263">
        <f t="shared" si="167"/>
        <v>11.399999999999999</v>
      </c>
      <c r="AU310" s="263"/>
      <c r="AV310" s="263"/>
      <c r="AW310" s="263"/>
      <c r="AX310" s="263">
        <f t="shared" si="168"/>
        <v>11.399999999999999</v>
      </c>
      <c r="BA310" s="282">
        <f t="shared" si="133"/>
        <v>380</v>
      </c>
      <c r="BB310">
        <v>1</v>
      </c>
      <c r="BC310">
        <f t="shared" si="169"/>
        <v>380</v>
      </c>
      <c r="BD310">
        <f t="shared" si="134"/>
        <v>435</v>
      </c>
      <c r="BE310">
        <f t="shared" si="135"/>
        <v>480</v>
      </c>
      <c r="BF310" s="281">
        <f t="shared" si="170"/>
        <v>0.79166666666666663</v>
      </c>
      <c r="BG310" s="282"/>
      <c r="BH310" s="283"/>
    </row>
    <row r="311" spans="1:60" x14ac:dyDescent="0.3">
      <c r="A311">
        <f t="shared" si="136"/>
        <v>309</v>
      </c>
      <c r="B311" s="241" t="s">
        <v>2499</v>
      </c>
      <c r="C311" s="294" t="s">
        <v>2512</v>
      </c>
      <c r="D311" s="14">
        <v>45804</v>
      </c>
      <c r="E311" s="7"/>
      <c r="F311" s="7"/>
      <c r="G311" s="66"/>
      <c r="H311" s="59"/>
      <c r="I311" s="59">
        <v>450</v>
      </c>
      <c r="J311" s="47">
        <f t="shared" si="159"/>
        <v>450</v>
      </c>
      <c r="K311" s="8">
        <f t="shared" si="160"/>
        <v>450</v>
      </c>
      <c r="L311" s="96">
        <f t="shared" si="161"/>
        <v>1</v>
      </c>
      <c r="M311" s="81">
        <v>1118</v>
      </c>
      <c r="N311" s="8">
        <v>153</v>
      </c>
      <c r="O311" s="8">
        <v>60</v>
      </c>
      <c r="P311" s="96">
        <f t="shared" si="114"/>
        <v>0.97429193899782141</v>
      </c>
      <c r="Q311" s="59">
        <f t="shared" si="149"/>
        <v>1118</v>
      </c>
      <c r="R311" s="252">
        <f t="shared" si="128"/>
        <v>1145</v>
      </c>
      <c r="S311" s="263">
        <v>28</v>
      </c>
      <c r="T311" s="263">
        <v>0</v>
      </c>
      <c r="U311" s="263">
        <v>0</v>
      </c>
      <c r="V311" s="263">
        <v>0</v>
      </c>
      <c r="W311" s="263">
        <v>10</v>
      </c>
      <c r="X311" s="263">
        <v>3</v>
      </c>
      <c r="Y311" s="263">
        <v>2</v>
      </c>
      <c r="Z311" s="263">
        <v>0</v>
      </c>
      <c r="AA311" s="263">
        <v>0</v>
      </c>
      <c r="AB311" s="263">
        <v>22</v>
      </c>
      <c r="AC311" s="263">
        <v>0</v>
      </c>
      <c r="AD311" s="263">
        <v>5</v>
      </c>
      <c r="AE311" s="263"/>
      <c r="AF311" s="263"/>
      <c r="AG311" s="263"/>
      <c r="AH311" s="263"/>
      <c r="AI311" s="263"/>
      <c r="AJ311" s="259"/>
      <c r="AK311" s="263">
        <f t="shared" si="162"/>
        <v>5</v>
      </c>
      <c r="AL311" s="265">
        <f t="shared" si="129"/>
        <v>22</v>
      </c>
      <c r="AM311" s="6">
        <f t="shared" si="163"/>
        <v>5</v>
      </c>
      <c r="AN311" s="255">
        <f t="shared" si="130"/>
        <v>0.97641921397379916</v>
      </c>
      <c r="AO311" s="256">
        <f t="shared" si="131"/>
        <v>0.9513173692572614</v>
      </c>
      <c r="AP311" s="257">
        <f t="shared" si="132"/>
        <v>4366.812227074236</v>
      </c>
      <c r="AQ311" s="263">
        <f t="shared" si="164"/>
        <v>11</v>
      </c>
      <c r="AR311" s="263">
        <f t="shared" si="165"/>
        <v>0</v>
      </c>
      <c r="AS311" s="263">
        <f t="shared" si="166"/>
        <v>0.5</v>
      </c>
      <c r="AT311" s="263">
        <f t="shared" si="167"/>
        <v>11.5</v>
      </c>
      <c r="AU311" s="263"/>
      <c r="AV311" s="263"/>
      <c r="AW311" s="263"/>
      <c r="AX311" s="263">
        <f t="shared" si="168"/>
        <v>11.5</v>
      </c>
      <c r="BA311" s="282">
        <f t="shared" si="133"/>
        <v>438.43137254901961</v>
      </c>
      <c r="BB311">
        <v>1</v>
      </c>
      <c r="BC311">
        <f t="shared" si="169"/>
        <v>438.43137254901961</v>
      </c>
      <c r="BD311">
        <f t="shared" si="134"/>
        <v>450</v>
      </c>
      <c r="BE311">
        <f t="shared" si="135"/>
        <v>450</v>
      </c>
      <c r="BF311" s="281">
        <f t="shared" si="170"/>
        <v>0.97429193899782141</v>
      </c>
      <c r="BG311" s="282"/>
      <c r="BH311" s="283"/>
    </row>
    <row r="312" spans="1:60" x14ac:dyDescent="0.3">
      <c r="A312">
        <f t="shared" si="136"/>
        <v>310</v>
      </c>
      <c r="B312" s="241" t="s">
        <v>2499</v>
      </c>
      <c r="C312" s="294" t="s">
        <v>2513</v>
      </c>
      <c r="D312" s="14">
        <v>45804</v>
      </c>
      <c r="E312" s="7"/>
      <c r="F312" s="7"/>
      <c r="G312" s="66"/>
      <c r="H312" s="59"/>
      <c r="I312" s="59">
        <v>510</v>
      </c>
      <c r="J312" s="47">
        <f t="shared" si="159"/>
        <v>510</v>
      </c>
      <c r="K312" s="8">
        <f t="shared" si="160"/>
        <v>510</v>
      </c>
      <c r="L312" s="96">
        <f t="shared" si="161"/>
        <v>1</v>
      </c>
      <c r="M312" s="81">
        <v>1237</v>
      </c>
      <c r="N312" s="8">
        <v>153</v>
      </c>
      <c r="O312" s="8">
        <v>60</v>
      </c>
      <c r="P312" s="96">
        <f t="shared" si="114"/>
        <v>0.95117262591311025</v>
      </c>
      <c r="Q312" s="59">
        <f t="shared" si="149"/>
        <v>1237</v>
      </c>
      <c r="R312" s="252">
        <f t="shared" si="128"/>
        <v>1287</v>
      </c>
      <c r="S312" s="263">
        <v>32</v>
      </c>
      <c r="T312" s="263">
        <v>1</v>
      </c>
      <c r="U312" s="263">
        <v>0</v>
      </c>
      <c r="V312" s="263">
        <v>0</v>
      </c>
      <c r="W312" s="263">
        <v>0</v>
      </c>
      <c r="X312" s="263">
        <v>1</v>
      </c>
      <c r="Y312" s="263">
        <v>0</v>
      </c>
      <c r="Z312" s="263">
        <v>0</v>
      </c>
      <c r="AA312" s="263">
        <v>0</v>
      </c>
      <c r="AB312" s="263">
        <v>21</v>
      </c>
      <c r="AC312" s="263">
        <v>1</v>
      </c>
      <c r="AD312" s="263">
        <v>28</v>
      </c>
      <c r="AE312" s="263"/>
      <c r="AF312" s="263"/>
      <c r="AG312" s="263"/>
      <c r="AH312" s="263"/>
      <c r="AI312" s="263"/>
      <c r="AJ312" s="259"/>
      <c r="AK312" s="263">
        <f t="shared" si="162"/>
        <v>28</v>
      </c>
      <c r="AL312" s="265">
        <f t="shared" si="129"/>
        <v>22</v>
      </c>
      <c r="AM312" s="6">
        <f t="shared" si="163"/>
        <v>28</v>
      </c>
      <c r="AN312" s="255">
        <f t="shared" si="130"/>
        <v>0.9611499611499611</v>
      </c>
      <c r="AO312" s="256">
        <f t="shared" si="131"/>
        <v>0.91421953244329235</v>
      </c>
      <c r="AP312" s="257">
        <f t="shared" si="132"/>
        <v>21756.021756021757</v>
      </c>
      <c r="AQ312" s="263">
        <f t="shared" si="164"/>
        <v>10.5</v>
      </c>
      <c r="AR312" s="263">
        <f t="shared" si="165"/>
        <v>0.2</v>
      </c>
      <c r="AS312" s="263">
        <f t="shared" si="166"/>
        <v>2.8000000000000003</v>
      </c>
      <c r="AT312" s="263">
        <f t="shared" si="167"/>
        <v>13.5</v>
      </c>
      <c r="AU312" s="263"/>
      <c r="AV312" s="263"/>
      <c r="AW312" s="263"/>
      <c r="AX312" s="263">
        <f t="shared" si="168"/>
        <v>13.5</v>
      </c>
      <c r="BA312" s="282">
        <f t="shared" si="133"/>
        <v>485.09803921568624</v>
      </c>
      <c r="BB312">
        <v>1</v>
      </c>
      <c r="BC312">
        <f t="shared" si="169"/>
        <v>485.09803921568624</v>
      </c>
      <c r="BD312">
        <f t="shared" si="134"/>
        <v>510</v>
      </c>
      <c r="BE312">
        <f t="shared" si="135"/>
        <v>510</v>
      </c>
      <c r="BF312" s="281">
        <f t="shared" si="170"/>
        <v>0.95117262591311025</v>
      </c>
      <c r="BG312" s="282"/>
      <c r="BH312" s="283"/>
    </row>
    <row r="313" spans="1:60" x14ac:dyDescent="0.3">
      <c r="A313">
        <f t="shared" si="136"/>
        <v>311</v>
      </c>
      <c r="B313" s="241" t="s">
        <v>2499</v>
      </c>
      <c r="C313" s="294" t="s">
        <v>2511</v>
      </c>
      <c r="D313" s="14">
        <v>45805</v>
      </c>
      <c r="E313" s="7">
        <v>45</v>
      </c>
      <c r="F313" s="7"/>
      <c r="G313" s="66"/>
      <c r="H313" s="59"/>
      <c r="I313" s="59">
        <v>480</v>
      </c>
      <c r="J313" s="47">
        <f t="shared" si="159"/>
        <v>480</v>
      </c>
      <c r="K313" s="8">
        <f t="shared" si="160"/>
        <v>435</v>
      </c>
      <c r="L313" s="96">
        <f t="shared" si="161"/>
        <v>0.90625</v>
      </c>
      <c r="M313" s="81">
        <v>1101</v>
      </c>
      <c r="N313" s="8">
        <v>153</v>
      </c>
      <c r="O313" s="8">
        <v>60</v>
      </c>
      <c r="P313" s="96">
        <f t="shared" si="114"/>
        <v>0.99256254225828255</v>
      </c>
      <c r="Q313" s="59">
        <f t="shared" si="149"/>
        <v>1101</v>
      </c>
      <c r="R313" s="252">
        <f t="shared" si="128"/>
        <v>1130</v>
      </c>
      <c r="S313" s="263">
        <v>9</v>
      </c>
      <c r="T313" s="263">
        <v>3</v>
      </c>
      <c r="U313" s="263">
        <v>0</v>
      </c>
      <c r="V313" s="263">
        <v>0</v>
      </c>
      <c r="W313" s="263">
        <v>0</v>
      </c>
      <c r="X313" s="263">
        <v>12</v>
      </c>
      <c r="Y313" s="263">
        <v>0</v>
      </c>
      <c r="Z313" s="263">
        <v>0</v>
      </c>
      <c r="AA313" s="263">
        <v>1</v>
      </c>
      <c r="AB313" s="263">
        <v>6</v>
      </c>
      <c r="AC313" s="263">
        <v>2</v>
      </c>
      <c r="AD313" s="263">
        <v>21</v>
      </c>
      <c r="AE313" s="263"/>
      <c r="AF313" s="263"/>
      <c r="AG313" s="263"/>
      <c r="AH313" s="263"/>
      <c r="AI313" s="263"/>
      <c r="AJ313" s="259"/>
      <c r="AK313" s="263">
        <f t="shared" si="162"/>
        <v>21</v>
      </c>
      <c r="AL313" s="265">
        <f t="shared" si="129"/>
        <v>22</v>
      </c>
      <c r="AM313" s="6">
        <f t="shared" si="163"/>
        <v>21</v>
      </c>
      <c r="AN313" s="255">
        <f t="shared" si="130"/>
        <v>0.97433628318584076</v>
      </c>
      <c r="AO313" s="256">
        <f t="shared" si="131"/>
        <v>0.87642503904216551</v>
      </c>
      <c r="AP313" s="257">
        <f t="shared" si="132"/>
        <v>18584.070796460175</v>
      </c>
      <c r="AQ313" s="263">
        <f t="shared" si="164"/>
        <v>3</v>
      </c>
      <c r="AR313" s="263">
        <f t="shared" si="165"/>
        <v>0.4</v>
      </c>
      <c r="AS313" s="263">
        <f t="shared" si="166"/>
        <v>2.1</v>
      </c>
      <c r="AT313" s="263">
        <f t="shared" si="167"/>
        <v>5.5</v>
      </c>
      <c r="AU313" s="263"/>
      <c r="AV313" s="263"/>
      <c r="AW313" s="263"/>
      <c r="AX313" s="263">
        <f t="shared" si="168"/>
        <v>5.5</v>
      </c>
      <c r="BA313" s="282">
        <f t="shared" si="133"/>
        <v>431.76470588235293</v>
      </c>
      <c r="BB313">
        <v>1</v>
      </c>
      <c r="BC313">
        <f t="shared" si="169"/>
        <v>431.76470588235293</v>
      </c>
      <c r="BD313">
        <f t="shared" si="134"/>
        <v>435</v>
      </c>
      <c r="BE313">
        <f t="shared" si="135"/>
        <v>480</v>
      </c>
      <c r="BF313" s="281">
        <f t="shared" si="170"/>
        <v>0.89950980392156865</v>
      </c>
      <c r="BG313" s="282"/>
      <c r="BH313" s="283"/>
    </row>
    <row r="314" spans="1:60" x14ac:dyDescent="0.3">
      <c r="A314">
        <f t="shared" si="136"/>
        <v>312</v>
      </c>
      <c r="B314" s="241" t="s">
        <v>2499</v>
      </c>
      <c r="C314" s="294" t="s">
        <v>2512</v>
      </c>
      <c r="D314" s="14">
        <v>45805</v>
      </c>
      <c r="E314" s="7"/>
      <c r="F314" s="7"/>
      <c r="G314" s="66"/>
      <c r="H314" s="59"/>
      <c r="I314" s="59">
        <v>450</v>
      </c>
      <c r="J314" s="47">
        <f t="shared" si="159"/>
        <v>450</v>
      </c>
      <c r="K314" s="8">
        <f t="shared" si="160"/>
        <v>450</v>
      </c>
      <c r="L314" s="96">
        <f t="shared" si="161"/>
        <v>1</v>
      </c>
      <c r="M314" s="81">
        <v>1052</v>
      </c>
      <c r="N314" s="8">
        <v>153</v>
      </c>
      <c r="O314" s="8">
        <v>60</v>
      </c>
      <c r="P314" s="96">
        <f t="shared" si="114"/>
        <v>0.91677559912854034</v>
      </c>
      <c r="Q314" s="59">
        <f t="shared" si="149"/>
        <v>1052</v>
      </c>
      <c r="R314" s="252">
        <f t="shared" si="128"/>
        <v>1071</v>
      </c>
      <c r="S314" s="263">
        <v>15</v>
      </c>
      <c r="T314" s="263">
        <v>1</v>
      </c>
      <c r="U314" s="263">
        <v>0</v>
      </c>
      <c r="V314" s="263">
        <v>0</v>
      </c>
      <c r="W314" s="263">
        <v>0</v>
      </c>
      <c r="X314" s="263">
        <v>0</v>
      </c>
      <c r="Y314" s="263">
        <v>0</v>
      </c>
      <c r="Z314" s="263">
        <v>0</v>
      </c>
      <c r="AA314" s="263">
        <v>0</v>
      </c>
      <c r="AB314" s="263">
        <v>4</v>
      </c>
      <c r="AC314" s="263">
        <v>1</v>
      </c>
      <c r="AD314" s="263">
        <v>14</v>
      </c>
      <c r="AE314" s="263"/>
      <c r="AF314" s="263"/>
      <c r="AG314" s="263"/>
      <c r="AH314" s="263"/>
      <c r="AI314" s="263"/>
      <c r="AJ314" s="259"/>
      <c r="AK314" s="263">
        <f t="shared" si="162"/>
        <v>14</v>
      </c>
      <c r="AL314" s="265">
        <f t="shared" si="129"/>
        <v>22</v>
      </c>
      <c r="AM314" s="6">
        <f t="shared" si="163"/>
        <v>14</v>
      </c>
      <c r="AN314" s="255">
        <f t="shared" si="130"/>
        <v>0.98225957049486456</v>
      </c>
      <c r="AO314" s="256">
        <f t="shared" si="131"/>
        <v>0.90051160624017212</v>
      </c>
      <c r="AP314" s="257">
        <f t="shared" si="132"/>
        <v>13071.895424836601</v>
      </c>
      <c r="AQ314" s="263">
        <f t="shared" si="164"/>
        <v>2</v>
      </c>
      <c r="AR314" s="263">
        <f t="shared" si="165"/>
        <v>0.2</v>
      </c>
      <c r="AS314" s="263">
        <f t="shared" si="166"/>
        <v>1.4000000000000001</v>
      </c>
      <c r="AT314" s="263">
        <f t="shared" si="167"/>
        <v>3.6000000000000005</v>
      </c>
      <c r="AU314" s="263"/>
      <c r="AV314" s="263"/>
      <c r="AW314" s="263"/>
      <c r="AX314" s="263">
        <f t="shared" si="168"/>
        <v>3.6000000000000005</v>
      </c>
      <c r="BA314" s="282">
        <f t="shared" si="133"/>
        <v>412.54901960784315</v>
      </c>
      <c r="BB314">
        <v>1</v>
      </c>
      <c r="BC314">
        <f t="shared" si="169"/>
        <v>412.54901960784315</v>
      </c>
      <c r="BD314">
        <f t="shared" si="134"/>
        <v>450</v>
      </c>
      <c r="BE314">
        <f t="shared" si="135"/>
        <v>450</v>
      </c>
      <c r="BF314" s="281">
        <f t="shared" si="170"/>
        <v>0.91677559912854034</v>
      </c>
      <c r="BG314" s="282"/>
      <c r="BH314" s="283"/>
    </row>
    <row r="315" spans="1:60" x14ac:dyDescent="0.3">
      <c r="A315">
        <f t="shared" si="136"/>
        <v>313</v>
      </c>
      <c r="B315" s="241" t="s">
        <v>2499</v>
      </c>
      <c r="C315" s="294" t="s">
        <v>2513</v>
      </c>
      <c r="D315" s="14">
        <v>45805</v>
      </c>
      <c r="E315" s="7"/>
      <c r="F315" s="7"/>
      <c r="G315" s="66"/>
      <c r="H315" s="59"/>
      <c r="I315" s="59">
        <v>510</v>
      </c>
      <c r="J315" s="47">
        <f t="shared" si="159"/>
        <v>510</v>
      </c>
      <c r="K315" s="8">
        <f t="shared" si="160"/>
        <v>510</v>
      </c>
      <c r="L315" s="96">
        <f t="shared" si="161"/>
        <v>1</v>
      </c>
      <c r="M315" s="81">
        <v>1181</v>
      </c>
      <c r="N315" s="8">
        <v>153</v>
      </c>
      <c r="O315" s="8">
        <v>60</v>
      </c>
      <c r="P315" s="96">
        <f t="shared" si="114"/>
        <v>0.90811226451364857</v>
      </c>
      <c r="Q315" s="59">
        <f t="shared" si="149"/>
        <v>1181</v>
      </c>
      <c r="R315" s="252">
        <f t="shared" si="128"/>
        <v>1198</v>
      </c>
      <c r="S315" s="263">
        <v>20</v>
      </c>
      <c r="T315" s="263">
        <v>0</v>
      </c>
      <c r="U315" s="263">
        <v>0</v>
      </c>
      <c r="V315" s="263">
        <v>0</v>
      </c>
      <c r="W315" s="263">
        <v>4</v>
      </c>
      <c r="X315" s="263">
        <v>1</v>
      </c>
      <c r="Y315" s="263">
        <v>0</v>
      </c>
      <c r="Z315" s="263">
        <v>0</v>
      </c>
      <c r="AA315" s="263">
        <v>1</v>
      </c>
      <c r="AB315" s="263">
        <v>15</v>
      </c>
      <c r="AC315" s="263">
        <v>1</v>
      </c>
      <c r="AD315" s="263">
        <v>1</v>
      </c>
      <c r="AE315" s="263"/>
      <c r="AF315" s="263"/>
      <c r="AG315" s="263"/>
      <c r="AH315" s="263"/>
      <c r="AI315" s="263"/>
      <c r="AJ315" s="259"/>
      <c r="AK315" s="263">
        <f t="shared" si="162"/>
        <v>1</v>
      </c>
      <c r="AL315" s="265">
        <f t="shared" si="129"/>
        <v>22</v>
      </c>
      <c r="AM315" s="6">
        <f t="shared" si="163"/>
        <v>1</v>
      </c>
      <c r="AN315" s="255">
        <f t="shared" si="130"/>
        <v>0.9858096828046744</v>
      </c>
      <c r="AO315" s="256">
        <f t="shared" si="131"/>
        <v>0.89522586343123445</v>
      </c>
      <c r="AP315" s="257">
        <f t="shared" si="132"/>
        <v>834.72454090150256</v>
      </c>
      <c r="AQ315" s="263">
        <f t="shared" si="164"/>
        <v>7.5</v>
      </c>
      <c r="AR315" s="263">
        <f t="shared" si="165"/>
        <v>0.2</v>
      </c>
      <c r="AS315" s="263">
        <f t="shared" si="166"/>
        <v>0.1</v>
      </c>
      <c r="AT315" s="263">
        <f t="shared" si="167"/>
        <v>7.8</v>
      </c>
      <c r="AU315" s="263"/>
      <c r="AV315" s="263"/>
      <c r="AW315" s="263"/>
      <c r="AX315" s="263">
        <f t="shared" si="168"/>
        <v>7.8</v>
      </c>
      <c r="BA315" s="282">
        <f t="shared" si="133"/>
        <v>463.13725490196077</v>
      </c>
      <c r="BB315">
        <v>1</v>
      </c>
      <c r="BC315">
        <f t="shared" si="169"/>
        <v>463.13725490196077</v>
      </c>
      <c r="BD315">
        <f t="shared" si="134"/>
        <v>510</v>
      </c>
      <c r="BE315">
        <f t="shared" si="135"/>
        <v>510</v>
      </c>
      <c r="BF315" s="281">
        <f t="shared" si="170"/>
        <v>0.90811226451364857</v>
      </c>
      <c r="BG315" s="282"/>
      <c r="BH315" s="283"/>
    </row>
    <row r="316" spans="1:60" x14ac:dyDescent="0.3">
      <c r="A316">
        <f t="shared" si="136"/>
        <v>314</v>
      </c>
      <c r="B316" s="241" t="s">
        <v>2499</v>
      </c>
      <c r="C316" s="294" t="s">
        <v>2511</v>
      </c>
      <c r="D316" s="14">
        <v>45806</v>
      </c>
      <c r="E316" s="7">
        <v>45</v>
      </c>
      <c r="F316" s="7"/>
      <c r="G316" s="66"/>
      <c r="H316" s="59"/>
      <c r="I316" s="59">
        <v>480</v>
      </c>
      <c r="J316" s="47">
        <f t="shared" si="159"/>
        <v>480</v>
      </c>
      <c r="K316" s="8">
        <f t="shared" si="160"/>
        <v>435</v>
      </c>
      <c r="L316" s="96">
        <f t="shared" si="161"/>
        <v>0.90625</v>
      </c>
      <c r="M316" s="81">
        <v>1135</v>
      </c>
      <c r="N316" s="8">
        <v>153</v>
      </c>
      <c r="O316" s="8">
        <v>60</v>
      </c>
      <c r="P316" s="96">
        <f t="shared" si="114"/>
        <v>1.0232138832544513</v>
      </c>
      <c r="Q316" s="59">
        <f t="shared" si="149"/>
        <v>1135</v>
      </c>
      <c r="R316" s="252">
        <f t="shared" si="128"/>
        <v>1149</v>
      </c>
      <c r="S316" s="263">
        <v>5</v>
      </c>
      <c r="T316" s="263">
        <v>1</v>
      </c>
      <c r="U316" s="263">
        <v>0</v>
      </c>
      <c r="V316" s="263">
        <v>1</v>
      </c>
      <c r="W316" s="263">
        <v>0</v>
      </c>
      <c r="X316" s="263">
        <v>2</v>
      </c>
      <c r="Y316" s="263">
        <v>1</v>
      </c>
      <c r="Z316" s="263">
        <v>0</v>
      </c>
      <c r="AA316" s="263">
        <v>1</v>
      </c>
      <c r="AB316" s="263">
        <v>5</v>
      </c>
      <c r="AC316" s="263">
        <v>1</v>
      </c>
      <c r="AD316" s="263">
        <v>8</v>
      </c>
      <c r="AE316" s="263"/>
      <c r="AF316" s="263"/>
      <c r="AG316" s="263"/>
      <c r="AH316" s="263"/>
      <c r="AI316" s="263"/>
      <c r="AJ316" s="259"/>
      <c r="AK316" s="263">
        <f t="shared" si="162"/>
        <v>8</v>
      </c>
      <c r="AL316" s="265">
        <f t="shared" si="129"/>
        <v>22</v>
      </c>
      <c r="AM316" s="6">
        <f t="shared" si="163"/>
        <v>8</v>
      </c>
      <c r="AN316" s="255">
        <f t="shared" si="130"/>
        <v>0.98781549173194083</v>
      </c>
      <c r="AO316" s="256">
        <f t="shared" si="131"/>
        <v>0.91598903849326219</v>
      </c>
      <c r="AP316" s="257">
        <f t="shared" si="132"/>
        <v>6962.5761531766748</v>
      </c>
      <c r="AQ316" s="263">
        <f t="shared" si="164"/>
        <v>2.5</v>
      </c>
      <c r="AR316" s="263">
        <f t="shared" si="165"/>
        <v>0.2</v>
      </c>
      <c r="AS316" s="263">
        <f t="shared" si="166"/>
        <v>0.8</v>
      </c>
      <c r="AT316" s="263">
        <f t="shared" si="167"/>
        <v>3.5</v>
      </c>
      <c r="AU316" s="263"/>
      <c r="AV316" s="263"/>
      <c r="AW316" s="263"/>
      <c r="AX316" s="263">
        <f t="shared" si="168"/>
        <v>3.5</v>
      </c>
      <c r="BA316" s="282">
        <f t="shared" si="133"/>
        <v>445.0980392156863</v>
      </c>
      <c r="BB316">
        <v>1</v>
      </c>
      <c r="BC316">
        <f t="shared" si="169"/>
        <v>445.0980392156863</v>
      </c>
      <c r="BD316">
        <f t="shared" si="134"/>
        <v>435</v>
      </c>
      <c r="BE316">
        <f t="shared" si="135"/>
        <v>480</v>
      </c>
      <c r="BF316" s="281">
        <f t="shared" si="170"/>
        <v>0.92728758169934644</v>
      </c>
      <c r="BG316" s="282"/>
      <c r="BH316" s="283"/>
    </row>
    <row r="317" spans="1:60" x14ac:dyDescent="0.3">
      <c r="A317">
        <f t="shared" si="136"/>
        <v>315</v>
      </c>
      <c r="B317" s="241" t="s">
        <v>2499</v>
      </c>
      <c r="C317" s="294" t="s">
        <v>2512</v>
      </c>
      <c r="D317" s="14">
        <v>45806</v>
      </c>
      <c r="E317" s="7"/>
      <c r="F317" s="7"/>
      <c r="G317" s="66"/>
      <c r="H317" s="59"/>
      <c r="I317" s="59">
        <v>450</v>
      </c>
      <c r="J317" s="47">
        <f t="shared" si="159"/>
        <v>450</v>
      </c>
      <c r="K317" s="8">
        <f t="shared" si="160"/>
        <v>450</v>
      </c>
      <c r="L317" s="96">
        <f t="shared" si="161"/>
        <v>1</v>
      </c>
      <c r="M317" s="81">
        <v>1141</v>
      </c>
      <c r="N317" s="8">
        <v>153</v>
      </c>
      <c r="O317" s="8">
        <v>60</v>
      </c>
      <c r="P317" s="96">
        <f t="shared" si="114"/>
        <v>0.99433551198257075</v>
      </c>
      <c r="Q317" s="59">
        <f t="shared" si="149"/>
        <v>1141</v>
      </c>
      <c r="R317" s="252">
        <f t="shared" si="128"/>
        <v>1157</v>
      </c>
      <c r="S317" s="263">
        <v>11</v>
      </c>
      <c r="T317" s="263">
        <v>0</v>
      </c>
      <c r="U317" s="263">
        <v>0</v>
      </c>
      <c r="V317" s="263">
        <v>0</v>
      </c>
      <c r="W317" s="263">
        <v>0</v>
      </c>
      <c r="X317" s="263">
        <v>1</v>
      </c>
      <c r="Y317" s="263">
        <v>0</v>
      </c>
      <c r="Z317" s="263">
        <v>2</v>
      </c>
      <c r="AA317" s="263">
        <v>0</v>
      </c>
      <c r="AB317" s="263">
        <v>15</v>
      </c>
      <c r="AC317" s="263">
        <v>0</v>
      </c>
      <c r="AD317" s="263">
        <v>1</v>
      </c>
      <c r="AE317" s="263"/>
      <c r="AF317" s="263"/>
      <c r="AG317" s="263"/>
      <c r="AH317" s="263"/>
      <c r="AI317" s="263"/>
      <c r="AJ317" s="259"/>
      <c r="AK317" s="263">
        <f t="shared" si="162"/>
        <v>1</v>
      </c>
      <c r="AL317" s="265">
        <f t="shared" si="129"/>
        <v>22</v>
      </c>
      <c r="AM317" s="6">
        <f t="shared" si="163"/>
        <v>1</v>
      </c>
      <c r="AN317" s="255">
        <f t="shared" si="130"/>
        <v>0.98617113223854802</v>
      </c>
      <c r="AO317" s="256">
        <f t="shared" si="131"/>
        <v>0.98058497767684816</v>
      </c>
      <c r="AP317" s="257">
        <f t="shared" si="132"/>
        <v>864.30423509075194</v>
      </c>
      <c r="AQ317" s="263">
        <f t="shared" si="164"/>
        <v>7.5</v>
      </c>
      <c r="AR317" s="263">
        <f t="shared" si="165"/>
        <v>0</v>
      </c>
      <c r="AS317" s="263">
        <f t="shared" si="166"/>
        <v>0.1</v>
      </c>
      <c r="AT317" s="263">
        <f t="shared" si="167"/>
        <v>7.6</v>
      </c>
      <c r="AU317" s="263"/>
      <c r="AV317" s="263"/>
      <c r="AW317" s="263"/>
      <c r="AX317" s="263">
        <f t="shared" si="168"/>
        <v>7.6</v>
      </c>
      <c r="BA317" s="282">
        <f t="shared" si="133"/>
        <v>447.45098039215685</v>
      </c>
      <c r="BB317">
        <v>1</v>
      </c>
      <c r="BC317">
        <f t="shared" si="169"/>
        <v>447.45098039215685</v>
      </c>
      <c r="BD317">
        <f t="shared" si="134"/>
        <v>450</v>
      </c>
      <c r="BE317">
        <f t="shared" si="135"/>
        <v>450</v>
      </c>
      <c r="BF317" s="281">
        <f t="shared" si="170"/>
        <v>0.99433551198257075</v>
      </c>
      <c r="BG317" s="282"/>
      <c r="BH317" s="283"/>
    </row>
    <row r="318" spans="1:60" x14ac:dyDescent="0.3">
      <c r="A318">
        <f t="shared" si="136"/>
        <v>316</v>
      </c>
      <c r="B318" s="241" t="s">
        <v>2499</v>
      </c>
      <c r="C318" s="294" t="s">
        <v>2513</v>
      </c>
      <c r="D318" s="14">
        <v>45806</v>
      </c>
      <c r="E318" s="7"/>
      <c r="F318" s="7"/>
      <c r="G318" s="66"/>
      <c r="H318" s="59"/>
      <c r="I318" s="59">
        <v>510</v>
      </c>
      <c r="J318" s="47">
        <f t="shared" si="159"/>
        <v>510</v>
      </c>
      <c r="K318" s="8">
        <f t="shared" si="160"/>
        <v>510</v>
      </c>
      <c r="L318" s="96">
        <f t="shared" si="161"/>
        <v>1</v>
      </c>
      <c r="M318" s="81">
        <v>1251</v>
      </c>
      <c r="N318" s="8">
        <v>153</v>
      </c>
      <c r="O318" s="8">
        <v>60</v>
      </c>
      <c r="P318" s="96">
        <f t="shared" si="114"/>
        <v>0.96193771626297575</v>
      </c>
      <c r="Q318" s="59">
        <f t="shared" si="149"/>
        <v>1251</v>
      </c>
      <c r="R318" s="252">
        <f t="shared" si="128"/>
        <v>1257</v>
      </c>
      <c r="S318" s="263">
        <v>10</v>
      </c>
      <c r="T318" s="263">
        <v>0</v>
      </c>
      <c r="U318" s="263">
        <v>0</v>
      </c>
      <c r="V318" s="263">
        <v>0</v>
      </c>
      <c r="W318" s="263">
        <v>0</v>
      </c>
      <c r="X318" s="263">
        <v>0</v>
      </c>
      <c r="Y318" s="263">
        <v>0</v>
      </c>
      <c r="Z318" s="263">
        <v>2</v>
      </c>
      <c r="AA318" s="263">
        <v>1</v>
      </c>
      <c r="AB318" s="263">
        <v>5</v>
      </c>
      <c r="AC318" s="263">
        <v>1</v>
      </c>
      <c r="AD318" s="263">
        <v>0</v>
      </c>
      <c r="AE318" s="263"/>
      <c r="AF318" s="263"/>
      <c r="AG318" s="263"/>
      <c r="AH318" s="263"/>
      <c r="AI318" s="263"/>
      <c r="AJ318" s="259"/>
      <c r="AK318" s="263">
        <f t="shared" si="162"/>
        <v>0</v>
      </c>
      <c r="AL318" s="265">
        <f t="shared" si="129"/>
        <v>22</v>
      </c>
      <c r="AM318" s="6">
        <f t="shared" si="163"/>
        <v>0</v>
      </c>
      <c r="AN318" s="255">
        <f t="shared" si="130"/>
        <v>0.99522673031026254</v>
      </c>
      <c r="AO318" s="256">
        <f t="shared" si="131"/>
        <v>0.95734612811852238</v>
      </c>
      <c r="AP318" s="257">
        <f t="shared" si="132"/>
        <v>0</v>
      </c>
      <c r="AQ318" s="263">
        <f t="shared" si="164"/>
        <v>2.5</v>
      </c>
      <c r="AR318" s="263">
        <f t="shared" si="165"/>
        <v>0.2</v>
      </c>
      <c r="AS318" s="263">
        <f t="shared" si="166"/>
        <v>0</v>
      </c>
      <c r="AT318" s="263">
        <f t="shared" si="167"/>
        <v>2.7</v>
      </c>
      <c r="AU318" s="263"/>
      <c r="AV318" s="263"/>
      <c r="AW318" s="263"/>
      <c r="AX318" s="263">
        <f t="shared" si="168"/>
        <v>2.7</v>
      </c>
      <c r="BA318" s="282">
        <f t="shared" si="133"/>
        <v>490.58823529411762</v>
      </c>
      <c r="BB318">
        <v>1</v>
      </c>
      <c r="BC318">
        <f t="shared" si="169"/>
        <v>490.58823529411762</v>
      </c>
      <c r="BD318">
        <f t="shared" si="134"/>
        <v>510</v>
      </c>
      <c r="BE318">
        <f t="shared" si="135"/>
        <v>510</v>
      </c>
      <c r="BF318" s="281">
        <f t="shared" si="170"/>
        <v>0.96193771626297575</v>
      </c>
      <c r="BG318" s="282"/>
      <c r="BH318" s="283"/>
    </row>
    <row r="319" spans="1:60" x14ac:dyDescent="0.3">
      <c r="A319">
        <f t="shared" si="136"/>
        <v>317</v>
      </c>
      <c r="B319" s="241" t="s">
        <v>2499</v>
      </c>
      <c r="C319" s="294" t="s">
        <v>2511</v>
      </c>
      <c r="D319" s="14">
        <v>45807</v>
      </c>
      <c r="E319" s="7">
        <v>45</v>
      </c>
      <c r="F319" s="7"/>
      <c r="G319" s="66"/>
      <c r="H319" s="59"/>
      <c r="I319" s="59">
        <v>480</v>
      </c>
      <c r="J319" s="47">
        <f t="shared" si="159"/>
        <v>480</v>
      </c>
      <c r="K319" s="8">
        <f t="shared" si="160"/>
        <v>435</v>
      </c>
      <c r="L319" s="96">
        <f t="shared" si="161"/>
        <v>0.90625</v>
      </c>
      <c r="M319" s="81">
        <v>890</v>
      </c>
      <c r="N319" s="8">
        <v>153</v>
      </c>
      <c r="O319" s="8">
        <v>60</v>
      </c>
      <c r="P319" s="96">
        <f t="shared" si="114"/>
        <v>0.80234392607617755</v>
      </c>
      <c r="Q319" s="59">
        <f t="shared" si="149"/>
        <v>890</v>
      </c>
      <c r="R319" s="252"/>
      <c r="S319" s="263">
        <v>1</v>
      </c>
      <c r="T319" s="263">
        <v>0</v>
      </c>
      <c r="U319" s="263">
        <v>0</v>
      </c>
      <c r="V319" s="263">
        <v>0</v>
      </c>
      <c r="W319" s="263">
        <v>0</v>
      </c>
      <c r="X319" s="263">
        <v>0</v>
      </c>
      <c r="Y319" s="263">
        <v>0</v>
      </c>
      <c r="Z319" s="263">
        <v>2</v>
      </c>
      <c r="AA319" s="263">
        <v>0</v>
      </c>
      <c r="AB319" s="263">
        <v>3</v>
      </c>
      <c r="AC319" s="263">
        <v>0</v>
      </c>
      <c r="AD319" s="263">
        <v>2</v>
      </c>
      <c r="AE319" s="263"/>
      <c r="AF319" s="263"/>
      <c r="AG319" s="263"/>
      <c r="AH319" s="263"/>
      <c r="AI319" s="263"/>
      <c r="AJ319" s="259"/>
      <c r="AK319" s="263">
        <f t="shared" si="162"/>
        <v>2</v>
      </c>
      <c r="AL319" s="265">
        <f t="shared" si="129"/>
        <v>22</v>
      </c>
      <c r="AM319" s="6">
        <f t="shared" si="163"/>
        <v>2</v>
      </c>
      <c r="AN319" s="255" t="str">
        <f t="shared" si="130"/>
        <v/>
      </c>
      <c r="AO319" s="256" t="str">
        <f t="shared" si="131"/>
        <v/>
      </c>
      <c r="AP319" s="257" t="str">
        <f t="shared" si="132"/>
        <v/>
      </c>
      <c r="AQ319" s="263">
        <f t="shared" si="164"/>
        <v>1.5</v>
      </c>
      <c r="AR319" s="263">
        <f t="shared" si="165"/>
        <v>0</v>
      </c>
      <c r="AS319" s="263">
        <f t="shared" si="166"/>
        <v>0.2</v>
      </c>
      <c r="AT319" s="263">
        <f t="shared" si="167"/>
        <v>1.7</v>
      </c>
      <c r="AU319" s="263"/>
      <c r="AV319" s="263"/>
      <c r="AW319" s="263"/>
      <c r="AX319" s="263">
        <f t="shared" si="168"/>
        <v>1.7</v>
      </c>
      <c r="BA319" s="282">
        <f t="shared" si="133"/>
        <v>349.01960784313724</v>
      </c>
      <c r="BB319">
        <v>1</v>
      </c>
      <c r="BC319">
        <f t="shared" si="169"/>
        <v>349.01960784313724</v>
      </c>
      <c r="BD319">
        <f t="shared" si="134"/>
        <v>435</v>
      </c>
      <c r="BE319">
        <f t="shared" si="135"/>
        <v>480</v>
      </c>
      <c r="BF319" s="281">
        <f t="shared" si="170"/>
        <v>0.72712418300653592</v>
      </c>
      <c r="BG319" s="282"/>
      <c r="BH319" s="283"/>
    </row>
    <row r="320" spans="1:60" x14ac:dyDescent="0.3">
      <c r="A320">
        <f t="shared" si="136"/>
        <v>318</v>
      </c>
      <c r="B320" s="241" t="s">
        <v>2499</v>
      </c>
      <c r="C320" s="294" t="s">
        <v>2512</v>
      </c>
      <c r="D320" s="14">
        <v>45807</v>
      </c>
      <c r="E320" s="7"/>
      <c r="F320" s="7"/>
      <c r="G320" s="66"/>
      <c r="H320" s="59"/>
      <c r="I320" s="59">
        <v>450</v>
      </c>
      <c r="J320" s="47">
        <f t="shared" si="159"/>
        <v>450</v>
      </c>
      <c r="K320" s="8">
        <f t="shared" si="160"/>
        <v>450</v>
      </c>
      <c r="L320" s="96">
        <f t="shared" si="161"/>
        <v>1</v>
      </c>
      <c r="M320" s="81">
        <v>846</v>
      </c>
      <c r="N320" s="8">
        <v>153</v>
      </c>
      <c r="O320" s="8">
        <v>60</v>
      </c>
      <c r="P320" s="96">
        <f t="shared" si="114"/>
        <v>0.73725490196078425</v>
      </c>
      <c r="Q320" s="59">
        <f t="shared" si="149"/>
        <v>846</v>
      </c>
      <c r="R320" s="252">
        <f t="shared" ref="R320:R383" si="171">+Q320+AB320+AC320+AD320</f>
        <v>865</v>
      </c>
      <c r="S320" s="263">
        <v>2</v>
      </c>
      <c r="T320" s="263">
        <v>0</v>
      </c>
      <c r="U320" s="263">
        <v>1</v>
      </c>
      <c r="V320" s="263">
        <v>1</v>
      </c>
      <c r="W320" s="263">
        <v>0</v>
      </c>
      <c r="X320" s="263">
        <v>0</v>
      </c>
      <c r="Y320" s="263">
        <v>2</v>
      </c>
      <c r="Z320" s="263">
        <v>0</v>
      </c>
      <c r="AA320" s="263">
        <v>5</v>
      </c>
      <c r="AB320" s="263">
        <v>16</v>
      </c>
      <c r="AC320" s="263">
        <v>1</v>
      </c>
      <c r="AD320" s="263">
        <v>2</v>
      </c>
      <c r="AE320" s="263"/>
      <c r="AF320" s="263"/>
      <c r="AG320" s="263"/>
      <c r="AH320" s="263"/>
      <c r="AI320" s="263"/>
      <c r="AJ320" s="259"/>
      <c r="AK320" s="263">
        <f t="shared" si="162"/>
        <v>2</v>
      </c>
      <c r="AL320" s="265">
        <f t="shared" si="129"/>
        <v>22</v>
      </c>
      <c r="AM320" s="6">
        <f t="shared" si="163"/>
        <v>2</v>
      </c>
      <c r="AN320" s="255">
        <f t="shared" si="130"/>
        <v>0.97803468208092481</v>
      </c>
      <c r="AO320" s="256">
        <f t="shared" si="131"/>
        <v>0.72106086365181898</v>
      </c>
      <c r="AP320" s="257">
        <f t="shared" si="132"/>
        <v>2312.1387283236995</v>
      </c>
      <c r="AQ320" s="263">
        <f t="shared" si="164"/>
        <v>8</v>
      </c>
      <c r="AR320" s="263">
        <f t="shared" si="165"/>
        <v>0.2</v>
      </c>
      <c r="AS320" s="263">
        <f t="shared" si="166"/>
        <v>0.2</v>
      </c>
      <c r="AT320" s="263">
        <f t="shared" si="167"/>
        <v>8.3999999999999986</v>
      </c>
      <c r="AU320" s="263"/>
      <c r="AV320" s="263"/>
      <c r="AW320" s="263"/>
      <c r="AX320" s="263">
        <f t="shared" si="168"/>
        <v>8.3999999999999986</v>
      </c>
      <c r="BA320" s="282">
        <f t="shared" si="133"/>
        <v>331.76470588235293</v>
      </c>
      <c r="BB320">
        <v>1</v>
      </c>
      <c r="BC320">
        <f t="shared" si="169"/>
        <v>331.76470588235293</v>
      </c>
      <c r="BD320">
        <f t="shared" si="134"/>
        <v>450</v>
      </c>
      <c r="BE320">
        <f t="shared" si="135"/>
        <v>450</v>
      </c>
      <c r="BF320" s="281">
        <f t="shared" si="170"/>
        <v>0.73725490196078425</v>
      </c>
      <c r="BG320" s="282"/>
      <c r="BH320" s="283"/>
    </row>
    <row r="321" spans="1:60" x14ac:dyDescent="0.3">
      <c r="A321">
        <f t="shared" si="136"/>
        <v>319</v>
      </c>
      <c r="B321" s="241" t="s">
        <v>2499</v>
      </c>
      <c r="C321" s="294" t="s">
        <v>2513</v>
      </c>
      <c r="D321" s="14">
        <v>45807</v>
      </c>
      <c r="E321" s="7"/>
      <c r="F321" s="7"/>
      <c r="G321" s="66"/>
      <c r="H321" s="59"/>
      <c r="I321" s="59">
        <v>510</v>
      </c>
      <c r="J321" s="47">
        <f t="shared" si="159"/>
        <v>510</v>
      </c>
      <c r="K321" s="8">
        <f t="shared" si="160"/>
        <v>510</v>
      </c>
      <c r="L321" s="96">
        <f t="shared" si="161"/>
        <v>1</v>
      </c>
      <c r="M321" s="81">
        <v>1187</v>
      </c>
      <c r="N321" s="8">
        <v>153</v>
      </c>
      <c r="O321" s="8">
        <v>60</v>
      </c>
      <c r="P321" s="96">
        <f t="shared" si="114"/>
        <v>0.9127258746635909</v>
      </c>
      <c r="Q321" s="59">
        <f t="shared" si="149"/>
        <v>1187</v>
      </c>
      <c r="R321" s="252">
        <f t="shared" si="171"/>
        <v>1197</v>
      </c>
      <c r="S321" s="263">
        <v>7</v>
      </c>
      <c r="T321" s="263">
        <v>1</v>
      </c>
      <c r="U321" s="263">
        <v>0</v>
      </c>
      <c r="V321" s="263">
        <v>0</v>
      </c>
      <c r="W321" s="263">
        <v>0</v>
      </c>
      <c r="X321" s="263">
        <v>0</v>
      </c>
      <c r="Y321" s="263">
        <v>0</v>
      </c>
      <c r="Z321" s="263">
        <v>2</v>
      </c>
      <c r="AA321" s="263">
        <v>0</v>
      </c>
      <c r="AB321" s="263">
        <v>3</v>
      </c>
      <c r="AC321" s="263">
        <v>0</v>
      </c>
      <c r="AD321" s="263">
        <v>7</v>
      </c>
      <c r="AE321" s="263"/>
      <c r="AF321" s="263"/>
      <c r="AG321" s="263"/>
      <c r="AH321" s="263"/>
      <c r="AI321" s="263"/>
      <c r="AJ321" s="259"/>
      <c r="AK321" s="263">
        <f t="shared" si="162"/>
        <v>7</v>
      </c>
      <c r="AL321" s="265">
        <f t="shared" si="129"/>
        <v>22</v>
      </c>
      <c r="AM321" s="6">
        <f t="shared" si="163"/>
        <v>7</v>
      </c>
      <c r="AN321" s="255">
        <f t="shared" si="130"/>
        <v>0.99164578111946533</v>
      </c>
      <c r="AO321" s="256">
        <f t="shared" si="131"/>
        <v>0.90510076292872377</v>
      </c>
      <c r="AP321" s="257">
        <f t="shared" si="132"/>
        <v>5847.9532163742688</v>
      </c>
      <c r="AQ321" s="263">
        <f t="shared" si="164"/>
        <v>1.5</v>
      </c>
      <c r="AR321" s="263">
        <f t="shared" si="165"/>
        <v>0</v>
      </c>
      <c r="AS321" s="263">
        <f t="shared" si="166"/>
        <v>0.70000000000000007</v>
      </c>
      <c r="AT321" s="263">
        <f t="shared" si="167"/>
        <v>2.2000000000000002</v>
      </c>
      <c r="AU321" s="263"/>
      <c r="AV321" s="263"/>
      <c r="AW321" s="263"/>
      <c r="AX321" s="263">
        <f t="shared" si="168"/>
        <v>2.2000000000000002</v>
      </c>
      <c r="BA321" s="282">
        <f t="shared" si="133"/>
        <v>465.49019607843138</v>
      </c>
      <c r="BB321">
        <v>1</v>
      </c>
      <c r="BC321">
        <f t="shared" si="169"/>
        <v>465.49019607843138</v>
      </c>
      <c r="BD321">
        <f t="shared" si="134"/>
        <v>510</v>
      </c>
      <c r="BE321">
        <f t="shared" si="135"/>
        <v>510</v>
      </c>
      <c r="BF321" s="281">
        <f t="shared" si="170"/>
        <v>0.9127258746635909</v>
      </c>
      <c r="BG321" s="282"/>
      <c r="BH321" s="283"/>
    </row>
    <row r="322" spans="1:60" x14ac:dyDescent="0.3">
      <c r="A322">
        <f t="shared" si="136"/>
        <v>320</v>
      </c>
      <c r="B322" s="241" t="s">
        <v>2499</v>
      </c>
      <c r="C322" s="294" t="s">
        <v>2511</v>
      </c>
      <c r="D322" s="14">
        <v>45808</v>
      </c>
      <c r="E322" s="7">
        <v>45</v>
      </c>
      <c r="F322" s="7"/>
      <c r="G322" s="66"/>
      <c r="H322" s="59"/>
      <c r="I322" s="59">
        <v>480</v>
      </c>
      <c r="J322" s="47">
        <f t="shared" si="159"/>
        <v>480</v>
      </c>
      <c r="K322" s="8">
        <f t="shared" si="160"/>
        <v>435</v>
      </c>
      <c r="L322" s="96">
        <f t="shared" si="161"/>
        <v>0.90625</v>
      </c>
      <c r="M322" s="81">
        <v>1105</v>
      </c>
      <c r="N322" s="8">
        <v>153</v>
      </c>
      <c r="O322" s="8">
        <v>60</v>
      </c>
      <c r="P322" s="96">
        <f t="shared" si="114"/>
        <v>0.99616858237547889</v>
      </c>
      <c r="Q322" s="59">
        <f t="shared" si="149"/>
        <v>1105</v>
      </c>
      <c r="R322" s="252">
        <f t="shared" si="171"/>
        <v>1111</v>
      </c>
      <c r="S322" s="263">
        <v>9</v>
      </c>
      <c r="T322" s="263">
        <v>3</v>
      </c>
      <c r="U322" s="263">
        <v>0</v>
      </c>
      <c r="V322" s="263">
        <v>0</v>
      </c>
      <c r="W322" s="263">
        <v>4</v>
      </c>
      <c r="X322" s="263">
        <v>3</v>
      </c>
      <c r="Y322" s="263">
        <v>0</v>
      </c>
      <c r="Z322" s="263">
        <v>0</v>
      </c>
      <c r="AA322" s="263">
        <v>0</v>
      </c>
      <c r="AB322" s="263">
        <v>4</v>
      </c>
      <c r="AC322" s="263">
        <v>0</v>
      </c>
      <c r="AD322" s="263">
        <v>2</v>
      </c>
      <c r="AE322" s="263"/>
      <c r="AF322" s="263"/>
      <c r="AG322" s="263"/>
      <c r="AH322" s="263"/>
      <c r="AI322" s="263"/>
      <c r="AJ322" s="259"/>
      <c r="AK322" s="263">
        <f t="shared" si="162"/>
        <v>2</v>
      </c>
      <c r="AL322" s="265">
        <f t="shared" si="129"/>
        <v>22</v>
      </c>
      <c r="AM322" s="6">
        <f t="shared" si="163"/>
        <v>2</v>
      </c>
      <c r="AN322" s="255">
        <f t="shared" si="130"/>
        <v>0.99459945994599464</v>
      </c>
      <c r="AO322" s="256">
        <f t="shared" si="131"/>
        <v>0.8979022902290229</v>
      </c>
      <c r="AP322" s="257">
        <f t="shared" si="132"/>
        <v>1800.1800180018001</v>
      </c>
      <c r="AQ322" s="263">
        <f t="shared" si="164"/>
        <v>2</v>
      </c>
      <c r="AR322" s="263">
        <f t="shared" si="165"/>
        <v>0</v>
      </c>
      <c r="AS322" s="263">
        <f t="shared" si="166"/>
        <v>0.2</v>
      </c>
      <c r="AT322" s="263">
        <f t="shared" si="167"/>
        <v>2.2000000000000002</v>
      </c>
      <c r="AU322" s="263"/>
      <c r="AV322" s="263"/>
      <c r="AW322" s="263"/>
      <c r="AX322" s="263">
        <f t="shared" si="168"/>
        <v>2.2000000000000002</v>
      </c>
      <c r="BA322" s="282">
        <f t="shared" si="133"/>
        <v>433.33333333333331</v>
      </c>
      <c r="BB322">
        <v>1</v>
      </c>
      <c r="BC322">
        <f t="shared" si="169"/>
        <v>433.33333333333331</v>
      </c>
      <c r="BD322">
        <f t="shared" si="134"/>
        <v>435</v>
      </c>
      <c r="BE322">
        <f t="shared" si="135"/>
        <v>480</v>
      </c>
      <c r="BF322" s="281">
        <f t="shared" si="170"/>
        <v>0.90277777777777779</v>
      </c>
      <c r="BG322" s="282"/>
      <c r="BH322" s="283"/>
    </row>
    <row r="323" spans="1:60" x14ac:dyDescent="0.3">
      <c r="A323">
        <f t="shared" si="136"/>
        <v>321</v>
      </c>
      <c r="B323" s="241" t="s">
        <v>2499</v>
      </c>
      <c r="C323" s="294" t="s">
        <v>2512</v>
      </c>
      <c r="D323" s="14">
        <v>45808</v>
      </c>
      <c r="E323" s="7"/>
      <c r="F323" s="7"/>
      <c r="G323" s="66"/>
      <c r="H323" s="59"/>
      <c r="I323" s="59">
        <v>450</v>
      </c>
      <c r="J323" s="47">
        <f t="shared" si="159"/>
        <v>450</v>
      </c>
      <c r="K323" s="8">
        <f t="shared" si="160"/>
        <v>450</v>
      </c>
      <c r="L323" s="96">
        <f t="shared" si="161"/>
        <v>1</v>
      </c>
      <c r="M323" s="81">
        <v>937</v>
      </c>
      <c r="N323" s="8">
        <v>153</v>
      </c>
      <c r="O323" s="8">
        <v>60</v>
      </c>
      <c r="P323" s="96">
        <f t="shared" si="114"/>
        <v>0.81655773420479305</v>
      </c>
      <c r="Q323" s="59">
        <f t="shared" si="149"/>
        <v>937</v>
      </c>
      <c r="R323" s="252">
        <f t="shared" si="171"/>
        <v>942</v>
      </c>
      <c r="S323" s="263">
        <v>6</v>
      </c>
      <c r="T323" s="263">
        <v>1</v>
      </c>
      <c r="U323" s="263">
        <v>0</v>
      </c>
      <c r="V323" s="263">
        <v>0</v>
      </c>
      <c r="W323" s="263">
        <v>0</v>
      </c>
      <c r="X323" s="263">
        <v>0</v>
      </c>
      <c r="Y323" s="263">
        <v>0</v>
      </c>
      <c r="Z323" s="263">
        <v>0</v>
      </c>
      <c r="AA323" s="263">
        <v>3</v>
      </c>
      <c r="AB323" s="263">
        <v>0</v>
      </c>
      <c r="AC323" s="263">
        <v>4</v>
      </c>
      <c r="AD323" s="263">
        <v>1</v>
      </c>
      <c r="AE323" s="263"/>
      <c r="AF323" s="263"/>
      <c r="AG323" s="263"/>
      <c r="AH323" s="263"/>
      <c r="AI323" s="263"/>
      <c r="AJ323" s="259"/>
      <c r="AK323" s="263">
        <f t="shared" si="162"/>
        <v>1</v>
      </c>
      <c r="AL323" s="265">
        <f t="shared" ref="AL323:AL386" si="172">WEEKNUM(D323,21)</f>
        <v>22</v>
      </c>
      <c r="AM323" s="6">
        <f t="shared" si="163"/>
        <v>1</v>
      </c>
      <c r="AN323" s="255">
        <f t="shared" ref="AN323:AN386" si="173">IFERROR(Q323/R323,"")</f>
        <v>0.99469214437367304</v>
      </c>
      <c r="AO323" s="256">
        <f t="shared" ref="AO323:AO386" si="174">IFERROR(AN323*P323*L323,"")</f>
        <v>0.8122235636410734</v>
      </c>
      <c r="AP323" s="257">
        <f t="shared" ref="AP323:AP386" si="175">IFERROR(AM323/R323*1000000,"")</f>
        <v>1061.5711252653928</v>
      </c>
      <c r="AQ323" s="263">
        <f t="shared" si="164"/>
        <v>0</v>
      </c>
      <c r="AR323" s="263">
        <f t="shared" si="165"/>
        <v>0.8</v>
      </c>
      <c r="AS323" s="263">
        <f t="shared" si="166"/>
        <v>0.1</v>
      </c>
      <c r="AT323" s="263">
        <f t="shared" si="167"/>
        <v>0.9</v>
      </c>
      <c r="AU323" s="263"/>
      <c r="AV323" s="263"/>
      <c r="AW323" s="263"/>
      <c r="AX323" s="263">
        <f t="shared" si="168"/>
        <v>0.9</v>
      </c>
      <c r="BA323" s="282">
        <f t="shared" ref="BA323:BA386" si="176">IFERROR(M323/N323*60,"")</f>
        <v>367.45098039215685</v>
      </c>
      <c r="BB323">
        <v>1</v>
      </c>
      <c r="BC323">
        <f t="shared" si="169"/>
        <v>367.45098039215685</v>
      </c>
      <c r="BD323">
        <f t="shared" ref="BD323:BD386" si="177">IFERROR(BB323*K323,"")</f>
        <v>450</v>
      </c>
      <c r="BE323">
        <f t="shared" ref="BE323:BE386" si="178">J323*BB323</f>
        <v>450</v>
      </c>
      <c r="BF323" s="281">
        <f t="shared" si="170"/>
        <v>0.81655773420479305</v>
      </c>
      <c r="BG323" s="282"/>
      <c r="BH323" s="283"/>
    </row>
    <row r="324" spans="1:60" x14ac:dyDescent="0.3">
      <c r="A324">
        <f t="shared" si="136"/>
        <v>322</v>
      </c>
      <c r="B324" s="241" t="s">
        <v>1803</v>
      </c>
      <c r="C324" s="294" t="s">
        <v>2511</v>
      </c>
      <c r="D324" s="14">
        <v>45810</v>
      </c>
      <c r="E324" s="7">
        <v>30</v>
      </c>
      <c r="F324" s="7"/>
      <c r="G324" s="66"/>
      <c r="H324" s="59"/>
      <c r="I324" s="59">
        <f>60*3</f>
        <v>180</v>
      </c>
      <c r="J324" s="47">
        <f t="shared" si="159"/>
        <v>180</v>
      </c>
      <c r="K324" s="8">
        <f t="shared" si="160"/>
        <v>150</v>
      </c>
      <c r="L324" s="96">
        <f t="shared" si="161"/>
        <v>0.83333333333333337</v>
      </c>
      <c r="M324" s="81">
        <v>312</v>
      </c>
      <c r="N324" s="8">
        <v>153</v>
      </c>
      <c r="O324" s="8">
        <v>60</v>
      </c>
      <c r="P324" s="96">
        <f t="shared" si="114"/>
        <v>0.81568627450980391</v>
      </c>
      <c r="Q324" s="59">
        <f t="shared" si="149"/>
        <v>312</v>
      </c>
      <c r="R324" s="252">
        <f t="shared" si="171"/>
        <v>312</v>
      </c>
      <c r="S324" s="263"/>
      <c r="T324" s="263"/>
      <c r="U324" s="263"/>
      <c r="V324" s="263"/>
      <c r="W324" s="263"/>
      <c r="X324" s="263"/>
      <c r="Y324" s="263"/>
      <c r="Z324" s="263"/>
      <c r="AA324" s="263"/>
      <c r="AB324" s="263"/>
      <c r="AC324" s="263"/>
      <c r="AD324" s="263"/>
      <c r="AE324" s="263"/>
      <c r="AF324" s="263"/>
      <c r="AG324" s="263"/>
      <c r="AH324" s="263"/>
      <c r="AI324" s="263"/>
      <c r="AJ324" s="259"/>
      <c r="AK324" s="263">
        <f t="shared" si="162"/>
        <v>0</v>
      </c>
      <c r="AL324" s="265">
        <f t="shared" si="172"/>
        <v>23</v>
      </c>
      <c r="AM324" s="6">
        <f t="shared" si="163"/>
        <v>0</v>
      </c>
      <c r="AN324" s="255">
        <f t="shared" si="173"/>
        <v>1</v>
      </c>
      <c r="AO324" s="256">
        <f t="shared" si="174"/>
        <v>0.6797385620915033</v>
      </c>
      <c r="AP324" s="257">
        <f t="shared" si="175"/>
        <v>0</v>
      </c>
      <c r="AQ324" s="263">
        <f t="shared" si="164"/>
        <v>0</v>
      </c>
      <c r="AR324" s="263">
        <f t="shared" si="165"/>
        <v>0</v>
      </c>
      <c r="AS324" s="263">
        <f t="shared" si="166"/>
        <v>0</v>
      </c>
      <c r="AT324" s="263">
        <f t="shared" si="167"/>
        <v>0</v>
      </c>
      <c r="AU324" s="263"/>
      <c r="AV324" s="263"/>
      <c r="AW324" s="263"/>
      <c r="AX324" s="263">
        <f t="shared" si="168"/>
        <v>0</v>
      </c>
      <c r="BA324" s="282">
        <f t="shared" si="176"/>
        <v>122.35294117647058</v>
      </c>
      <c r="BB324">
        <v>1</v>
      </c>
      <c r="BC324">
        <f t="shared" si="169"/>
        <v>122.35294117647058</v>
      </c>
      <c r="BD324">
        <f t="shared" si="177"/>
        <v>150</v>
      </c>
      <c r="BE324">
        <f t="shared" si="178"/>
        <v>180</v>
      </c>
      <c r="BF324" s="281">
        <f t="shared" si="170"/>
        <v>0.67973856209150318</v>
      </c>
      <c r="BG324" s="282"/>
      <c r="BH324" s="283"/>
    </row>
    <row r="325" spans="1:60" x14ac:dyDescent="0.3">
      <c r="A325">
        <f t="shared" si="136"/>
        <v>323</v>
      </c>
      <c r="B325" s="269" t="s">
        <v>2553</v>
      </c>
      <c r="C325" s="294" t="s">
        <v>2511</v>
      </c>
      <c r="D325" s="14">
        <v>45810</v>
      </c>
      <c r="E325" s="7"/>
      <c r="F325" s="7"/>
      <c r="G325" s="66"/>
      <c r="H325" s="59"/>
      <c r="I325" s="59">
        <f>60*5</f>
        <v>300</v>
      </c>
      <c r="J325" s="47">
        <f t="shared" ref="J325" si="179">I325+H325</f>
        <v>300</v>
      </c>
      <c r="K325" s="8">
        <f t="shared" ref="K325" si="180">IFERROR(J325-E325-F325-G325,"")</f>
        <v>300</v>
      </c>
      <c r="L325" s="96">
        <f t="shared" ref="L325" si="181">IFERROR(K325/J325,"")</f>
        <v>1</v>
      </c>
      <c r="M325" s="81">
        <v>239</v>
      </c>
      <c r="N325" s="8">
        <v>153</v>
      </c>
      <c r="O325" s="8">
        <v>60</v>
      </c>
      <c r="P325" s="96">
        <f t="shared" ref="P325" si="182">IFERROR((M325/N325*O325)/K325,"")</f>
        <v>0.31241830065359477</v>
      </c>
      <c r="Q325" s="59">
        <f t="shared" ref="Q325" si="183">M325</f>
        <v>239</v>
      </c>
      <c r="R325" s="252">
        <f t="shared" si="171"/>
        <v>239</v>
      </c>
      <c r="S325" s="263"/>
      <c r="T325" s="263"/>
      <c r="U325" s="263"/>
      <c r="V325" s="263"/>
      <c r="W325" s="263"/>
      <c r="X325" s="263"/>
      <c r="Y325" s="263"/>
      <c r="Z325" s="263"/>
      <c r="AA325" s="263"/>
      <c r="AB325" s="263"/>
      <c r="AC325" s="263"/>
      <c r="AD325" s="263"/>
      <c r="AE325" s="263"/>
      <c r="AF325" s="263"/>
      <c r="AG325" s="263"/>
      <c r="AH325" s="263"/>
      <c r="AI325" s="263"/>
      <c r="AJ325" s="259"/>
      <c r="AK325" s="263">
        <f t="shared" ref="AK325" si="184">+AD325+AE325+AF325+AG325+AH325+AI325</f>
        <v>0</v>
      </c>
      <c r="AL325" s="265">
        <f t="shared" si="172"/>
        <v>23</v>
      </c>
      <c r="AM325" s="6">
        <f t="shared" ref="AM325" si="185">AK325</f>
        <v>0</v>
      </c>
      <c r="AN325" s="255">
        <f t="shared" si="173"/>
        <v>1</v>
      </c>
      <c r="AO325" s="256">
        <f t="shared" si="174"/>
        <v>0.31241830065359477</v>
      </c>
      <c r="AP325" s="257">
        <f t="shared" si="175"/>
        <v>0</v>
      </c>
      <c r="AQ325" s="263">
        <f t="shared" ref="AQ325" si="186">+AB325*0.5</f>
        <v>0</v>
      </c>
      <c r="AR325" s="263">
        <f t="shared" ref="AR325" si="187">+AC325*0.2</f>
        <v>0</v>
      </c>
      <c r="AS325" s="263">
        <f t="shared" ref="AS325" si="188">+AD325*0.1</f>
        <v>0</v>
      </c>
      <c r="AT325" s="263">
        <f t="shared" ref="AT325" si="189">SUM(AQ325:AS325)</f>
        <v>0</v>
      </c>
      <c r="AU325" s="263"/>
      <c r="AV325" s="263"/>
      <c r="AW325" s="263"/>
      <c r="AX325" s="263">
        <f t="shared" ref="AX325" si="190">+AW325+AU325+AT325+AV325</f>
        <v>0</v>
      </c>
      <c r="BA325" s="282">
        <f t="shared" si="176"/>
        <v>93.725490196078425</v>
      </c>
      <c r="BB325">
        <v>1</v>
      </c>
      <c r="BC325">
        <f t="shared" ref="BC325" si="191">IFERROR(BA325*BB325,"")</f>
        <v>93.725490196078425</v>
      </c>
      <c r="BD325">
        <f t="shared" si="177"/>
        <v>300</v>
      </c>
      <c r="BE325">
        <f t="shared" si="178"/>
        <v>300</v>
      </c>
      <c r="BF325" s="281">
        <f t="shared" ref="BF325" si="192">BC325/BE325</f>
        <v>0.31241830065359477</v>
      </c>
      <c r="BG325" s="282"/>
      <c r="BH325" s="283"/>
    </row>
    <row r="326" spans="1:60" x14ac:dyDescent="0.3">
      <c r="A326">
        <f>+A324+1</f>
        <v>323</v>
      </c>
      <c r="B326" s="269" t="s">
        <v>2553</v>
      </c>
      <c r="C326" s="294" t="s">
        <v>2512</v>
      </c>
      <c r="D326" s="14">
        <v>45810</v>
      </c>
      <c r="E326" s="7"/>
      <c r="F326" s="7"/>
      <c r="G326" s="66"/>
      <c r="H326" s="59"/>
      <c r="I326" s="59">
        <v>450</v>
      </c>
      <c r="J326" s="47">
        <f t="shared" si="159"/>
        <v>450</v>
      </c>
      <c r="K326" s="8">
        <f t="shared" si="160"/>
        <v>450</v>
      </c>
      <c r="L326" s="96">
        <f t="shared" si="161"/>
        <v>1</v>
      </c>
      <c r="M326" s="81">
        <v>542</v>
      </c>
      <c r="N326" s="8">
        <v>153</v>
      </c>
      <c r="O326" s="8">
        <v>60</v>
      </c>
      <c r="P326" s="96">
        <f t="shared" si="114"/>
        <v>0.47233115468409581</v>
      </c>
      <c r="Q326" s="59">
        <f t="shared" si="149"/>
        <v>542</v>
      </c>
      <c r="R326" s="252">
        <f t="shared" si="171"/>
        <v>542</v>
      </c>
      <c r="S326" s="263"/>
      <c r="T326" s="263"/>
      <c r="U326" s="263"/>
      <c r="V326" s="263"/>
      <c r="W326" s="263"/>
      <c r="X326" s="263"/>
      <c r="Y326" s="263"/>
      <c r="Z326" s="263"/>
      <c r="AA326" s="263"/>
      <c r="AB326" s="263"/>
      <c r="AC326" s="263"/>
      <c r="AD326" s="263"/>
      <c r="AE326" s="263"/>
      <c r="AF326" s="263"/>
      <c r="AG326" s="263"/>
      <c r="AH326" s="263"/>
      <c r="AI326" s="263"/>
      <c r="AJ326" s="259"/>
      <c r="AK326" s="263">
        <f t="shared" si="162"/>
        <v>0</v>
      </c>
      <c r="AL326" s="265">
        <f t="shared" si="172"/>
        <v>23</v>
      </c>
      <c r="AM326" s="6">
        <f t="shared" si="163"/>
        <v>0</v>
      </c>
      <c r="AN326" s="255">
        <f t="shared" si="173"/>
        <v>1</v>
      </c>
      <c r="AO326" s="256">
        <f t="shared" si="174"/>
        <v>0.47233115468409581</v>
      </c>
      <c r="AP326" s="257">
        <f t="shared" si="175"/>
        <v>0</v>
      </c>
      <c r="AQ326" s="263">
        <f t="shared" si="164"/>
        <v>0</v>
      </c>
      <c r="AR326" s="263">
        <f t="shared" si="165"/>
        <v>0</v>
      </c>
      <c r="AS326" s="263">
        <f t="shared" si="166"/>
        <v>0</v>
      </c>
      <c r="AT326" s="263">
        <f t="shared" si="167"/>
        <v>0</v>
      </c>
      <c r="AU326" s="263"/>
      <c r="AV326" s="263"/>
      <c r="AW326" s="263"/>
      <c r="AX326" s="263">
        <f t="shared" si="168"/>
        <v>0</v>
      </c>
      <c r="BA326" s="282">
        <f t="shared" si="176"/>
        <v>212.54901960784312</v>
      </c>
      <c r="BB326">
        <v>1</v>
      </c>
      <c r="BC326">
        <f t="shared" si="169"/>
        <v>212.54901960784312</v>
      </c>
      <c r="BD326">
        <f t="shared" si="177"/>
        <v>450</v>
      </c>
      <c r="BE326">
        <f t="shared" si="178"/>
        <v>450</v>
      </c>
      <c r="BF326" s="281">
        <f t="shared" si="170"/>
        <v>0.47233115468409581</v>
      </c>
      <c r="BG326" s="282"/>
      <c r="BH326" s="283"/>
    </row>
    <row r="327" spans="1:60" x14ac:dyDescent="0.3">
      <c r="A327">
        <f t="shared" si="136"/>
        <v>324</v>
      </c>
      <c r="B327" s="269" t="s">
        <v>2553</v>
      </c>
      <c r="C327" s="294" t="s">
        <v>2513</v>
      </c>
      <c r="D327" s="14">
        <v>45810</v>
      </c>
      <c r="E327" s="7"/>
      <c r="F327" s="7"/>
      <c r="G327" s="66"/>
      <c r="H327" s="59"/>
      <c r="I327" s="59">
        <v>510</v>
      </c>
      <c r="J327" s="47">
        <f t="shared" si="159"/>
        <v>510</v>
      </c>
      <c r="K327" s="8">
        <f t="shared" si="160"/>
        <v>510</v>
      </c>
      <c r="L327" s="96">
        <f t="shared" si="161"/>
        <v>1</v>
      </c>
      <c r="M327" s="81">
        <v>375</v>
      </c>
      <c r="N327" s="8">
        <v>153</v>
      </c>
      <c r="O327" s="8">
        <v>60</v>
      </c>
      <c r="P327" s="96">
        <f t="shared" si="114"/>
        <v>0.28835063437139563</v>
      </c>
      <c r="Q327" s="59">
        <f t="shared" si="149"/>
        <v>375</v>
      </c>
      <c r="R327" s="252">
        <f t="shared" si="171"/>
        <v>375</v>
      </c>
      <c r="S327" s="263"/>
      <c r="T327" s="263"/>
      <c r="U327" s="263"/>
      <c r="V327" s="263"/>
      <c r="W327" s="263"/>
      <c r="X327" s="263"/>
      <c r="Y327" s="263"/>
      <c r="Z327" s="263"/>
      <c r="AA327" s="263"/>
      <c r="AB327" s="263"/>
      <c r="AC327" s="263"/>
      <c r="AD327" s="263"/>
      <c r="AE327" s="263"/>
      <c r="AF327" s="263"/>
      <c r="AG327" s="263"/>
      <c r="AH327" s="263"/>
      <c r="AI327" s="263"/>
      <c r="AJ327" s="259"/>
      <c r="AK327" s="263">
        <f t="shared" si="162"/>
        <v>0</v>
      </c>
      <c r="AL327" s="265">
        <f t="shared" si="172"/>
        <v>23</v>
      </c>
      <c r="AM327" s="6">
        <f t="shared" si="163"/>
        <v>0</v>
      </c>
      <c r="AN327" s="255">
        <f t="shared" si="173"/>
        <v>1</v>
      </c>
      <c r="AO327" s="256">
        <f t="shared" si="174"/>
        <v>0.28835063437139563</v>
      </c>
      <c r="AP327" s="257">
        <f t="shared" si="175"/>
        <v>0</v>
      </c>
      <c r="AQ327" s="263">
        <f t="shared" si="164"/>
        <v>0</v>
      </c>
      <c r="AR327" s="263">
        <f t="shared" si="165"/>
        <v>0</v>
      </c>
      <c r="AS327" s="263">
        <f t="shared" si="166"/>
        <v>0</v>
      </c>
      <c r="AT327" s="263">
        <f t="shared" si="167"/>
        <v>0</v>
      </c>
      <c r="AU327" s="263"/>
      <c r="AV327" s="263"/>
      <c r="AW327" s="263"/>
      <c r="AX327" s="263">
        <f t="shared" si="168"/>
        <v>0</v>
      </c>
      <c r="BA327" s="282">
        <f t="shared" si="176"/>
        <v>147.05882352941177</v>
      </c>
      <c r="BB327">
        <v>1</v>
      </c>
      <c r="BC327">
        <f t="shared" si="169"/>
        <v>147.05882352941177</v>
      </c>
      <c r="BD327">
        <f t="shared" si="177"/>
        <v>510</v>
      </c>
      <c r="BE327">
        <f t="shared" si="178"/>
        <v>510</v>
      </c>
      <c r="BF327" s="281">
        <f t="shared" si="170"/>
        <v>0.28835063437139563</v>
      </c>
      <c r="BG327" s="282"/>
      <c r="BH327" s="283"/>
    </row>
    <row r="328" spans="1:60" x14ac:dyDescent="0.3">
      <c r="A328">
        <f t="shared" si="136"/>
        <v>325</v>
      </c>
      <c r="B328" s="241" t="s">
        <v>1803</v>
      </c>
      <c r="C328" s="294" t="s">
        <v>2511</v>
      </c>
      <c r="D328" s="14">
        <v>45811</v>
      </c>
      <c r="E328" s="7">
        <v>71</v>
      </c>
      <c r="F328" s="7"/>
      <c r="G328" s="66"/>
      <c r="H328" s="59"/>
      <c r="I328" s="59">
        <v>480</v>
      </c>
      <c r="J328" s="47">
        <f t="shared" si="159"/>
        <v>480</v>
      </c>
      <c r="K328" s="8">
        <f t="shared" si="160"/>
        <v>409</v>
      </c>
      <c r="L328" s="96">
        <f t="shared" si="161"/>
        <v>0.8520833333333333</v>
      </c>
      <c r="M328" s="81">
        <v>1052</v>
      </c>
      <c r="N328" s="8">
        <v>153</v>
      </c>
      <c r="O328" s="8">
        <v>60</v>
      </c>
      <c r="P328" s="96">
        <f t="shared" si="114"/>
        <v>1.0086773095546286</v>
      </c>
      <c r="Q328" s="59">
        <f t="shared" si="149"/>
        <v>1052</v>
      </c>
      <c r="R328" s="252">
        <f t="shared" si="171"/>
        <v>1069</v>
      </c>
      <c r="S328" s="263">
        <v>83</v>
      </c>
      <c r="T328" s="263">
        <v>1</v>
      </c>
      <c r="U328" s="263">
        <v>0</v>
      </c>
      <c r="V328" s="263">
        <v>2</v>
      </c>
      <c r="W328" s="263">
        <v>10</v>
      </c>
      <c r="X328" s="263">
        <v>5</v>
      </c>
      <c r="Y328" s="263">
        <v>3</v>
      </c>
      <c r="Z328" s="263">
        <v>0</v>
      </c>
      <c r="AA328" s="263">
        <v>0</v>
      </c>
      <c r="AB328" s="263">
        <v>14</v>
      </c>
      <c r="AC328" s="263">
        <v>2</v>
      </c>
      <c r="AD328" s="263">
        <v>1</v>
      </c>
      <c r="AE328" s="263"/>
      <c r="AF328" s="263"/>
      <c r="AG328" s="263"/>
      <c r="AH328" s="263"/>
      <c r="AI328" s="263"/>
      <c r="AJ328" s="259"/>
      <c r="AK328" s="263">
        <f t="shared" si="162"/>
        <v>1</v>
      </c>
      <c r="AL328" s="265">
        <f t="shared" si="172"/>
        <v>23</v>
      </c>
      <c r="AM328" s="6">
        <f t="shared" si="163"/>
        <v>1</v>
      </c>
      <c r="AN328" s="255">
        <f t="shared" si="173"/>
        <v>0.98409728718428435</v>
      </c>
      <c r="AO328" s="256">
        <f t="shared" si="174"/>
        <v>0.84580910630544692</v>
      </c>
      <c r="AP328" s="257">
        <f t="shared" si="175"/>
        <v>935.45369504209543</v>
      </c>
      <c r="AQ328" s="263">
        <f t="shared" si="164"/>
        <v>7</v>
      </c>
      <c r="AR328" s="263">
        <f t="shared" si="165"/>
        <v>0.4</v>
      </c>
      <c r="AS328" s="263">
        <f t="shared" si="166"/>
        <v>0.1</v>
      </c>
      <c r="AT328" s="263">
        <f t="shared" si="167"/>
        <v>7.5</v>
      </c>
      <c r="AU328" s="263"/>
      <c r="AV328" s="263"/>
      <c r="AW328" s="263"/>
      <c r="AX328" s="263">
        <f t="shared" si="168"/>
        <v>7.5</v>
      </c>
      <c r="BA328" s="282">
        <f t="shared" si="176"/>
        <v>412.54901960784315</v>
      </c>
      <c r="BB328">
        <v>1</v>
      </c>
      <c r="BC328">
        <f t="shared" si="169"/>
        <v>412.54901960784315</v>
      </c>
      <c r="BD328">
        <f t="shared" si="177"/>
        <v>409</v>
      </c>
      <c r="BE328">
        <f t="shared" si="178"/>
        <v>480</v>
      </c>
      <c r="BF328" s="281">
        <f t="shared" si="170"/>
        <v>0.85947712418300659</v>
      </c>
      <c r="BG328" s="282"/>
      <c r="BH328" s="283"/>
    </row>
    <row r="329" spans="1:60" x14ac:dyDescent="0.3">
      <c r="A329">
        <f t="shared" si="136"/>
        <v>326</v>
      </c>
      <c r="B329" s="241" t="s">
        <v>1803</v>
      </c>
      <c r="C329" s="294" t="s">
        <v>2512</v>
      </c>
      <c r="D329" s="14">
        <v>45811</v>
      </c>
      <c r="E329" s="7"/>
      <c r="F329" s="7"/>
      <c r="G329" s="66"/>
      <c r="H329" s="59"/>
      <c r="I329" s="59">
        <v>450</v>
      </c>
      <c r="J329" s="47">
        <f t="shared" si="159"/>
        <v>450</v>
      </c>
      <c r="K329" s="8">
        <f t="shared" si="160"/>
        <v>450</v>
      </c>
      <c r="L329" s="96">
        <f t="shared" si="161"/>
        <v>1</v>
      </c>
      <c r="M329" s="81">
        <v>1133</v>
      </c>
      <c r="N329" s="8">
        <v>153</v>
      </c>
      <c r="O329" s="8">
        <v>60</v>
      </c>
      <c r="P329" s="96">
        <f t="shared" si="114"/>
        <v>0.98736383442265796</v>
      </c>
      <c r="Q329" s="59">
        <f t="shared" si="149"/>
        <v>1133</v>
      </c>
      <c r="R329" s="252">
        <f t="shared" si="171"/>
        <v>1143</v>
      </c>
      <c r="S329" s="263">
        <v>2</v>
      </c>
      <c r="T329" s="263">
        <v>0</v>
      </c>
      <c r="U329" s="263">
        <v>0</v>
      </c>
      <c r="V329" s="263">
        <v>4</v>
      </c>
      <c r="W329" s="263">
        <v>6</v>
      </c>
      <c r="X329" s="263">
        <v>1</v>
      </c>
      <c r="Y329" s="263">
        <v>10</v>
      </c>
      <c r="Z329" s="263">
        <v>4</v>
      </c>
      <c r="AA329" s="263">
        <v>0</v>
      </c>
      <c r="AB329" s="263">
        <v>10</v>
      </c>
      <c r="AC329" s="263">
        <v>0</v>
      </c>
      <c r="AD329" s="263">
        <v>0</v>
      </c>
      <c r="AE329" s="263"/>
      <c r="AF329" s="263"/>
      <c r="AG329" s="263"/>
      <c r="AH329" s="263"/>
      <c r="AI329" s="263"/>
      <c r="AJ329" s="259"/>
      <c r="AK329" s="263">
        <f t="shared" si="162"/>
        <v>0</v>
      </c>
      <c r="AL329" s="265">
        <f t="shared" si="172"/>
        <v>23</v>
      </c>
      <c r="AM329" s="6">
        <f t="shared" si="163"/>
        <v>0</v>
      </c>
      <c r="AN329" s="255">
        <f t="shared" si="173"/>
        <v>0.99125109361329833</v>
      </c>
      <c r="AO329" s="256">
        <f t="shared" si="174"/>
        <v>0.97872548066567933</v>
      </c>
      <c r="AP329" s="257">
        <f t="shared" si="175"/>
        <v>0</v>
      </c>
      <c r="AQ329" s="263">
        <f t="shared" si="164"/>
        <v>5</v>
      </c>
      <c r="AR329" s="263">
        <f t="shared" si="165"/>
        <v>0</v>
      </c>
      <c r="AS329" s="263">
        <f t="shared" si="166"/>
        <v>0</v>
      </c>
      <c r="AT329" s="263">
        <f t="shared" si="167"/>
        <v>5</v>
      </c>
      <c r="AU329" s="263"/>
      <c r="AV329" s="263"/>
      <c r="AW329" s="263"/>
      <c r="AX329" s="263">
        <f t="shared" si="168"/>
        <v>5</v>
      </c>
      <c r="BA329" s="282">
        <f t="shared" si="176"/>
        <v>444.31372549019608</v>
      </c>
      <c r="BB329">
        <v>1</v>
      </c>
      <c r="BC329">
        <f t="shared" si="169"/>
        <v>444.31372549019608</v>
      </c>
      <c r="BD329">
        <f t="shared" si="177"/>
        <v>450</v>
      </c>
      <c r="BE329">
        <f t="shared" si="178"/>
        <v>450</v>
      </c>
      <c r="BF329" s="281">
        <f t="shared" si="170"/>
        <v>0.98736383442265796</v>
      </c>
      <c r="BG329" s="282"/>
      <c r="BH329" s="283"/>
    </row>
    <row r="330" spans="1:60" x14ac:dyDescent="0.3">
      <c r="A330">
        <f t="shared" si="136"/>
        <v>327</v>
      </c>
      <c r="B330" s="241" t="s">
        <v>1803</v>
      </c>
      <c r="C330" s="294" t="s">
        <v>2513</v>
      </c>
      <c r="D330" s="14">
        <v>45811</v>
      </c>
      <c r="E330" s="7"/>
      <c r="F330" s="7"/>
      <c r="G330" s="66"/>
      <c r="H330" s="59"/>
      <c r="I330" s="59">
        <v>510</v>
      </c>
      <c r="J330" s="47">
        <f t="shared" si="159"/>
        <v>510</v>
      </c>
      <c r="K330" s="8">
        <f t="shared" si="160"/>
        <v>510</v>
      </c>
      <c r="L330" s="96">
        <f t="shared" si="161"/>
        <v>1</v>
      </c>
      <c r="M330" s="81">
        <v>1079</v>
      </c>
      <c r="N330" s="8">
        <v>153</v>
      </c>
      <c r="O330" s="8">
        <v>60</v>
      </c>
      <c r="P330" s="96">
        <f t="shared" si="114"/>
        <v>0.82968089196462902</v>
      </c>
      <c r="Q330" s="59">
        <f t="shared" si="149"/>
        <v>1079</v>
      </c>
      <c r="R330" s="252">
        <f t="shared" si="171"/>
        <v>1123</v>
      </c>
      <c r="S330" s="263">
        <v>23</v>
      </c>
      <c r="T330" s="263">
        <v>1</v>
      </c>
      <c r="U330" s="263">
        <v>0</v>
      </c>
      <c r="V330" s="263">
        <v>12</v>
      </c>
      <c r="W330" s="263">
        <v>2</v>
      </c>
      <c r="X330" s="263">
        <v>2</v>
      </c>
      <c r="Y330" s="263">
        <v>9</v>
      </c>
      <c r="Z330" s="263">
        <v>1</v>
      </c>
      <c r="AA330" s="263">
        <v>0</v>
      </c>
      <c r="AB330" s="263">
        <v>43</v>
      </c>
      <c r="AC330" s="263">
        <v>0</v>
      </c>
      <c r="AD330" s="263">
        <v>1</v>
      </c>
      <c r="AE330" s="263"/>
      <c r="AF330" s="263"/>
      <c r="AG330" s="263"/>
      <c r="AH330" s="263"/>
      <c r="AI330" s="263"/>
      <c r="AJ330" s="259"/>
      <c r="AK330" s="263">
        <f t="shared" si="162"/>
        <v>1</v>
      </c>
      <c r="AL330" s="265">
        <f t="shared" si="172"/>
        <v>23</v>
      </c>
      <c r="AM330" s="6">
        <f t="shared" si="163"/>
        <v>1</v>
      </c>
      <c r="AN330" s="255">
        <f t="shared" si="173"/>
        <v>0.96081923419412285</v>
      </c>
      <c r="AO330" s="256">
        <f t="shared" si="174"/>
        <v>0.79717335924295163</v>
      </c>
      <c r="AP330" s="257">
        <f t="shared" si="175"/>
        <v>890.47195013357077</v>
      </c>
      <c r="AQ330" s="263">
        <f t="shared" si="164"/>
        <v>21.5</v>
      </c>
      <c r="AR330" s="263">
        <f t="shared" si="165"/>
        <v>0</v>
      </c>
      <c r="AS330" s="263">
        <f t="shared" si="166"/>
        <v>0.1</v>
      </c>
      <c r="AT330" s="263">
        <f t="shared" si="167"/>
        <v>21.6</v>
      </c>
      <c r="AU330" s="263"/>
      <c r="AV330" s="263"/>
      <c r="AW330" s="263"/>
      <c r="AX330" s="263">
        <f t="shared" si="168"/>
        <v>21.6</v>
      </c>
      <c r="BA330" s="282">
        <f t="shared" si="176"/>
        <v>423.13725490196077</v>
      </c>
      <c r="BB330">
        <v>1</v>
      </c>
      <c r="BC330">
        <f t="shared" si="169"/>
        <v>423.13725490196077</v>
      </c>
      <c r="BD330">
        <f t="shared" si="177"/>
        <v>510</v>
      </c>
      <c r="BE330">
        <f t="shared" si="178"/>
        <v>510</v>
      </c>
      <c r="BF330" s="281">
        <f t="shared" si="170"/>
        <v>0.82968089196462902</v>
      </c>
      <c r="BG330" s="282"/>
      <c r="BH330" s="283"/>
    </row>
    <row r="331" spans="1:60" x14ac:dyDescent="0.3">
      <c r="A331">
        <f t="shared" si="136"/>
        <v>328</v>
      </c>
      <c r="B331" s="241" t="s">
        <v>1803</v>
      </c>
      <c r="C331" s="294" t="s">
        <v>2511</v>
      </c>
      <c r="D331" s="14">
        <v>45812</v>
      </c>
      <c r="E331" s="7">
        <v>62</v>
      </c>
      <c r="F331" s="7"/>
      <c r="G331" s="66"/>
      <c r="H331" s="59"/>
      <c r="I331" s="59">
        <v>480</v>
      </c>
      <c r="J331" s="47">
        <f t="shared" si="159"/>
        <v>480</v>
      </c>
      <c r="K331" s="8">
        <f t="shared" si="160"/>
        <v>418</v>
      </c>
      <c r="L331" s="96">
        <f t="shared" si="161"/>
        <v>0.87083333333333335</v>
      </c>
      <c r="M331" s="81">
        <v>1236</v>
      </c>
      <c r="N331" s="8">
        <v>153</v>
      </c>
      <c r="O331" s="8">
        <v>60</v>
      </c>
      <c r="P331" s="96">
        <f t="shared" si="114"/>
        <v>1.1595834506051224</v>
      </c>
      <c r="Q331" s="59">
        <f t="shared" si="149"/>
        <v>1236</v>
      </c>
      <c r="R331" s="252">
        <f t="shared" si="171"/>
        <v>1250</v>
      </c>
      <c r="S331" s="263">
        <v>4</v>
      </c>
      <c r="T331" s="263">
        <v>4</v>
      </c>
      <c r="U331" s="263">
        <v>0</v>
      </c>
      <c r="V331" s="263">
        <v>0</v>
      </c>
      <c r="W331" s="263">
        <v>12</v>
      </c>
      <c r="X331" s="263">
        <v>7</v>
      </c>
      <c r="Y331" s="263">
        <v>9</v>
      </c>
      <c r="Z331" s="263">
        <v>0</v>
      </c>
      <c r="AA331" s="263">
        <v>1</v>
      </c>
      <c r="AB331" s="263">
        <v>11</v>
      </c>
      <c r="AC331" s="263">
        <v>0</v>
      </c>
      <c r="AD331" s="263">
        <v>3</v>
      </c>
      <c r="AE331" s="263"/>
      <c r="AF331" s="263"/>
      <c r="AG331" s="263"/>
      <c r="AH331" s="263"/>
      <c r="AI331" s="263"/>
      <c r="AJ331" s="259"/>
      <c r="AK331" s="263">
        <f t="shared" si="162"/>
        <v>3</v>
      </c>
      <c r="AL331" s="265">
        <f t="shared" si="172"/>
        <v>23</v>
      </c>
      <c r="AM331" s="6">
        <f t="shared" si="163"/>
        <v>3</v>
      </c>
      <c r="AN331" s="255">
        <f t="shared" si="173"/>
        <v>0.98880000000000001</v>
      </c>
      <c r="AO331" s="256">
        <f t="shared" si="174"/>
        <v>0.99849411764705887</v>
      </c>
      <c r="AP331" s="257">
        <f t="shared" si="175"/>
        <v>2400</v>
      </c>
      <c r="AQ331" s="263">
        <f t="shared" si="164"/>
        <v>5.5</v>
      </c>
      <c r="AR331" s="263">
        <f t="shared" si="165"/>
        <v>0</v>
      </c>
      <c r="AS331" s="263">
        <f t="shared" si="166"/>
        <v>0.30000000000000004</v>
      </c>
      <c r="AT331" s="263">
        <f t="shared" si="167"/>
        <v>5.8</v>
      </c>
      <c r="AU331" s="263"/>
      <c r="AV331" s="263"/>
      <c r="AW331" s="263"/>
      <c r="AX331" s="263">
        <f t="shared" si="168"/>
        <v>5.8</v>
      </c>
      <c r="BA331" s="282">
        <f t="shared" si="176"/>
        <v>484.70588235294116</v>
      </c>
      <c r="BB331">
        <v>1</v>
      </c>
      <c r="BC331">
        <f t="shared" si="169"/>
        <v>484.70588235294116</v>
      </c>
      <c r="BD331">
        <f t="shared" si="177"/>
        <v>418</v>
      </c>
      <c r="BE331">
        <f t="shared" si="178"/>
        <v>480</v>
      </c>
      <c r="BF331" s="281">
        <f t="shared" si="170"/>
        <v>1.0098039215686274</v>
      </c>
      <c r="BG331" s="282"/>
      <c r="BH331" s="283"/>
    </row>
    <row r="332" spans="1:60" x14ac:dyDescent="0.3">
      <c r="A332">
        <f t="shared" si="136"/>
        <v>329</v>
      </c>
      <c r="B332" s="241" t="s">
        <v>1803</v>
      </c>
      <c r="C332" s="294" t="s">
        <v>2512</v>
      </c>
      <c r="D332" s="14">
        <v>45812</v>
      </c>
      <c r="E332" s="7"/>
      <c r="F332" s="7"/>
      <c r="G332" s="66"/>
      <c r="H332" s="59"/>
      <c r="I332" s="59">
        <v>450</v>
      </c>
      <c r="J332" s="47">
        <f t="shared" si="159"/>
        <v>450</v>
      </c>
      <c r="K332" s="8">
        <f t="shared" si="160"/>
        <v>450</v>
      </c>
      <c r="L332" s="96">
        <f t="shared" si="161"/>
        <v>1</v>
      </c>
      <c r="M332" s="81">
        <v>1055</v>
      </c>
      <c r="N332" s="8">
        <v>153</v>
      </c>
      <c r="O332" s="8">
        <v>60</v>
      </c>
      <c r="P332" s="96">
        <f t="shared" si="114"/>
        <v>0.91938997821350765</v>
      </c>
      <c r="Q332" s="59">
        <f t="shared" si="149"/>
        <v>1055</v>
      </c>
      <c r="R332" s="252">
        <f t="shared" si="171"/>
        <v>1065</v>
      </c>
      <c r="S332" s="263">
        <v>8</v>
      </c>
      <c r="T332" s="263">
        <v>2</v>
      </c>
      <c r="U332" s="263">
        <v>0</v>
      </c>
      <c r="V332" s="263">
        <v>3</v>
      </c>
      <c r="W332" s="263">
        <v>4</v>
      </c>
      <c r="X332" s="263">
        <v>0</v>
      </c>
      <c r="Y332" s="263">
        <v>5</v>
      </c>
      <c r="Z332" s="263">
        <v>0</v>
      </c>
      <c r="AA332" s="263">
        <v>1</v>
      </c>
      <c r="AB332" s="263">
        <v>7</v>
      </c>
      <c r="AC332" s="263">
        <v>1</v>
      </c>
      <c r="AD332" s="263">
        <v>2</v>
      </c>
      <c r="AE332" s="263"/>
      <c r="AF332" s="263"/>
      <c r="AG332" s="263"/>
      <c r="AH332" s="263"/>
      <c r="AI332" s="263"/>
      <c r="AJ332" s="259"/>
      <c r="AK332" s="263">
        <f t="shared" si="162"/>
        <v>2</v>
      </c>
      <c r="AL332" s="265">
        <f t="shared" si="172"/>
        <v>23</v>
      </c>
      <c r="AM332" s="6">
        <f t="shared" si="163"/>
        <v>2</v>
      </c>
      <c r="AN332" s="255">
        <f t="shared" si="173"/>
        <v>0.99061032863849763</v>
      </c>
      <c r="AO332" s="256">
        <f t="shared" si="174"/>
        <v>0.91075720846502395</v>
      </c>
      <c r="AP332" s="257">
        <f t="shared" si="175"/>
        <v>1877.9342723004695</v>
      </c>
      <c r="AQ332" s="263">
        <f t="shared" si="164"/>
        <v>3.5</v>
      </c>
      <c r="AR332" s="263">
        <f t="shared" si="165"/>
        <v>0.2</v>
      </c>
      <c r="AS332" s="263">
        <f t="shared" si="166"/>
        <v>0.2</v>
      </c>
      <c r="AT332" s="263">
        <f t="shared" si="167"/>
        <v>3.9000000000000004</v>
      </c>
      <c r="AU332" s="263"/>
      <c r="AV332" s="263"/>
      <c r="AW332" s="263"/>
      <c r="AX332" s="263">
        <f t="shared" si="168"/>
        <v>3.9000000000000004</v>
      </c>
      <c r="BA332" s="282">
        <f t="shared" si="176"/>
        <v>413.72549019607845</v>
      </c>
      <c r="BB332">
        <v>1</v>
      </c>
      <c r="BC332">
        <f t="shared" si="169"/>
        <v>413.72549019607845</v>
      </c>
      <c r="BD332">
        <f t="shared" si="177"/>
        <v>450</v>
      </c>
      <c r="BE332">
        <f t="shared" si="178"/>
        <v>450</v>
      </c>
      <c r="BF332" s="281">
        <f t="shared" si="170"/>
        <v>0.91938997821350765</v>
      </c>
      <c r="BG332" s="282"/>
      <c r="BH332" s="283"/>
    </row>
    <row r="333" spans="1:60" x14ac:dyDescent="0.3">
      <c r="A333">
        <f t="shared" si="136"/>
        <v>330</v>
      </c>
      <c r="B333" s="241" t="s">
        <v>1803</v>
      </c>
      <c r="C333" s="294" t="s">
        <v>2513</v>
      </c>
      <c r="D333" s="14">
        <v>45812</v>
      </c>
      <c r="E333" s="7"/>
      <c r="F333" s="7"/>
      <c r="G333" s="66"/>
      <c r="H333" s="59"/>
      <c r="I333" s="59">
        <v>510</v>
      </c>
      <c r="J333" s="47">
        <f t="shared" si="159"/>
        <v>510</v>
      </c>
      <c r="K333" s="8">
        <f t="shared" si="160"/>
        <v>510</v>
      </c>
      <c r="L333" s="96">
        <f t="shared" si="161"/>
        <v>1</v>
      </c>
      <c r="M333" s="81">
        <v>1135</v>
      </c>
      <c r="N333" s="8">
        <v>153</v>
      </c>
      <c r="O333" s="8">
        <v>60</v>
      </c>
      <c r="P333" s="96">
        <f t="shared" si="114"/>
        <v>0.87274125336409081</v>
      </c>
      <c r="Q333" s="59">
        <f t="shared" si="149"/>
        <v>1135</v>
      </c>
      <c r="R333" s="252">
        <f t="shared" si="171"/>
        <v>1150</v>
      </c>
      <c r="S333" s="263">
        <v>37</v>
      </c>
      <c r="T333" s="263">
        <v>0</v>
      </c>
      <c r="U333" s="263">
        <v>0</v>
      </c>
      <c r="V333" s="263">
        <v>0</v>
      </c>
      <c r="W333" s="263">
        <v>8</v>
      </c>
      <c r="X333" s="263">
        <v>5</v>
      </c>
      <c r="Y333" s="263">
        <v>3</v>
      </c>
      <c r="Z333" s="263">
        <v>2</v>
      </c>
      <c r="AA333" s="263">
        <v>0</v>
      </c>
      <c r="AB333" s="263">
        <v>12</v>
      </c>
      <c r="AC333" s="263">
        <v>0</v>
      </c>
      <c r="AD333" s="263">
        <v>3</v>
      </c>
      <c r="AE333" s="263"/>
      <c r="AF333" s="263"/>
      <c r="AG333" s="263"/>
      <c r="AH333" s="263"/>
      <c r="AI333" s="263"/>
      <c r="AJ333" s="259"/>
      <c r="AK333" s="263">
        <f t="shared" si="162"/>
        <v>3</v>
      </c>
      <c r="AL333" s="265">
        <f t="shared" si="172"/>
        <v>23</v>
      </c>
      <c r="AM333" s="6">
        <f t="shared" si="163"/>
        <v>3</v>
      </c>
      <c r="AN333" s="255">
        <f t="shared" si="173"/>
        <v>0.9869565217391304</v>
      </c>
      <c r="AO333" s="256">
        <f t="shared" si="174"/>
        <v>0.86135767179847222</v>
      </c>
      <c r="AP333" s="257">
        <f t="shared" si="175"/>
        <v>2608.6956521739135</v>
      </c>
      <c r="AQ333" s="263">
        <f t="shared" si="164"/>
        <v>6</v>
      </c>
      <c r="AR333" s="263">
        <f t="shared" si="165"/>
        <v>0</v>
      </c>
      <c r="AS333" s="263">
        <f t="shared" si="166"/>
        <v>0.30000000000000004</v>
      </c>
      <c r="AT333" s="263">
        <f t="shared" si="167"/>
        <v>6.3</v>
      </c>
      <c r="AU333" s="263"/>
      <c r="AV333" s="263"/>
      <c r="AW333" s="263"/>
      <c r="AX333" s="263">
        <f t="shared" si="168"/>
        <v>6.3</v>
      </c>
      <c r="BA333" s="282">
        <f t="shared" si="176"/>
        <v>445.0980392156863</v>
      </c>
      <c r="BB333">
        <v>1</v>
      </c>
      <c r="BC333">
        <f t="shared" si="169"/>
        <v>445.0980392156863</v>
      </c>
      <c r="BD333">
        <f t="shared" si="177"/>
        <v>510</v>
      </c>
      <c r="BE333">
        <f t="shared" si="178"/>
        <v>510</v>
      </c>
      <c r="BF333" s="281">
        <f t="shared" si="170"/>
        <v>0.87274125336409081</v>
      </c>
      <c r="BG333" s="282"/>
      <c r="BH333" s="283"/>
    </row>
    <row r="334" spans="1:60" x14ac:dyDescent="0.3">
      <c r="A334">
        <f t="shared" si="136"/>
        <v>331</v>
      </c>
      <c r="B334" s="241" t="s">
        <v>1803</v>
      </c>
      <c r="C334" s="294" t="s">
        <v>2511</v>
      </c>
      <c r="D334" s="14">
        <v>45813</v>
      </c>
      <c r="E334" s="7">
        <v>42</v>
      </c>
      <c r="F334" s="7"/>
      <c r="G334" s="66"/>
      <c r="H334" s="59"/>
      <c r="I334" s="59">
        <v>480</v>
      </c>
      <c r="J334" s="47">
        <f t="shared" si="159"/>
        <v>480</v>
      </c>
      <c r="K334" s="8">
        <f t="shared" si="160"/>
        <v>438</v>
      </c>
      <c r="L334" s="96">
        <f t="shared" si="161"/>
        <v>0.91249999999999998</v>
      </c>
      <c r="M334" s="81">
        <v>1121</v>
      </c>
      <c r="N334" s="8">
        <v>153</v>
      </c>
      <c r="O334" s="8">
        <v>60</v>
      </c>
      <c r="P334" s="96">
        <f t="shared" si="114"/>
        <v>1.0036708747425911</v>
      </c>
      <c r="Q334" s="59">
        <f t="shared" si="149"/>
        <v>1121</v>
      </c>
      <c r="R334" s="252">
        <f t="shared" si="171"/>
        <v>1142</v>
      </c>
      <c r="S334" s="263">
        <v>6</v>
      </c>
      <c r="T334" s="263">
        <v>1</v>
      </c>
      <c r="U334" s="263">
        <v>0</v>
      </c>
      <c r="V334" s="263">
        <v>0</v>
      </c>
      <c r="W334" s="263">
        <v>6</v>
      </c>
      <c r="X334" s="263">
        <v>3</v>
      </c>
      <c r="Y334" s="263">
        <v>3</v>
      </c>
      <c r="Z334" s="263">
        <v>24</v>
      </c>
      <c r="AA334" s="263">
        <v>3</v>
      </c>
      <c r="AB334" s="263">
        <v>18</v>
      </c>
      <c r="AC334" s="263">
        <v>1</v>
      </c>
      <c r="AD334" s="263">
        <v>2</v>
      </c>
      <c r="AE334" s="263"/>
      <c r="AF334" s="263"/>
      <c r="AG334" s="263"/>
      <c r="AH334" s="263"/>
      <c r="AI334" s="263"/>
      <c r="AJ334" s="259"/>
      <c r="AK334" s="263">
        <f t="shared" si="162"/>
        <v>2</v>
      </c>
      <c r="AL334" s="265">
        <f t="shared" si="172"/>
        <v>23</v>
      </c>
      <c r="AM334" s="6">
        <f t="shared" si="163"/>
        <v>2</v>
      </c>
      <c r="AN334" s="255">
        <f t="shared" si="173"/>
        <v>0.98161120840630478</v>
      </c>
      <c r="AO334" s="256">
        <f t="shared" si="174"/>
        <v>0.8990083044309376</v>
      </c>
      <c r="AP334" s="257">
        <f t="shared" si="175"/>
        <v>1751.3134851138354</v>
      </c>
      <c r="AQ334" s="263">
        <f t="shared" si="164"/>
        <v>9</v>
      </c>
      <c r="AR334" s="263">
        <f t="shared" si="165"/>
        <v>0.2</v>
      </c>
      <c r="AS334" s="263">
        <f t="shared" si="166"/>
        <v>0.2</v>
      </c>
      <c r="AT334" s="263">
        <f t="shared" si="167"/>
        <v>9.3999999999999986</v>
      </c>
      <c r="AU334" s="263"/>
      <c r="AV334" s="263"/>
      <c r="AW334" s="263"/>
      <c r="AX334" s="263">
        <f t="shared" si="168"/>
        <v>9.3999999999999986</v>
      </c>
      <c r="BA334" s="282">
        <f t="shared" si="176"/>
        <v>439.60784313725486</v>
      </c>
      <c r="BB334">
        <v>1</v>
      </c>
      <c r="BC334">
        <f t="shared" si="169"/>
        <v>439.60784313725486</v>
      </c>
      <c r="BD334">
        <f t="shared" si="177"/>
        <v>438</v>
      </c>
      <c r="BE334">
        <f t="shared" si="178"/>
        <v>480</v>
      </c>
      <c r="BF334" s="281">
        <f t="shared" si="170"/>
        <v>0.91584967320261434</v>
      </c>
      <c r="BG334" s="282"/>
      <c r="BH334" s="283"/>
    </row>
    <row r="335" spans="1:60" x14ac:dyDescent="0.3">
      <c r="A335">
        <f t="shared" si="136"/>
        <v>332</v>
      </c>
      <c r="B335" s="241" t="s">
        <v>1803</v>
      </c>
      <c r="C335" s="294" t="s">
        <v>2512</v>
      </c>
      <c r="D335" s="14">
        <v>45813</v>
      </c>
      <c r="E335" s="7"/>
      <c r="F335" s="7"/>
      <c r="G335" s="66"/>
      <c r="H335" s="59"/>
      <c r="I335" s="59">
        <v>450</v>
      </c>
      <c r="J335" s="47">
        <f t="shared" si="159"/>
        <v>450</v>
      </c>
      <c r="K335" s="8">
        <f t="shared" si="160"/>
        <v>450</v>
      </c>
      <c r="L335" s="96">
        <f t="shared" si="161"/>
        <v>1</v>
      </c>
      <c r="M335" s="81">
        <v>1162</v>
      </c>
      <c r="N335" s="8">
        <v>153</v>
      </c>
      <c r="O335" s="8">
        <v>60</v>
      </c>
      <c r="P335" s="96">
        <f t="shared" si="114"/>
        <v>1.0126361655773422</v>
      </c>
      <c r="Q335" s="59">
        <f t="shared" si="149"/>
        <v>1162</v>
      </c>
      <c r="R335" s="252">
        <f t="shared" si="171"/>
        <v>1170</v>
      </c>
      <c r="S335" s="263">
        <v>3</v>
      </c>
      <c r="T335" s="263">
        <v>0</v>
      </c>
      <c r="U335" s="263">
        <v>0</v>
      </c>
      <c r="V335" s="263">
        <v>0</v>
      </c>
      <c r="W335" s="263">
        <v>12</v>
      </c>
      <c r="X335" s="263">
        <v>5</v>
      </c>
      <c r="Y335" s="263">
        <v>4</v>
      </c>
      <c r="Z335" s="263">
        <v>3</v>
      </c>
      <c r="AA335" s="263">
        <v>1</v>
      </c>
      <c r="AB335" s="263">
        <v>8</v>
      </c>
      <c r="AC335" s="263">
        <v>0</v>
      </c>
      <c r="AD335" s="263">
        <v>0</v>
      </c>
      <c r="AE335" s="263"/>
      <c r="AF335" s="263"/>
      <c r="AG335" s="263"/>
      <c r="AH335" s="263"/>
      <c r="AI335" s="263"/>
      <c r="AJ335" s="259"/>
      <c r="AK335" s="263">
        <f t="shared" si="162"/>
        <v>0</v>
      </c>
      <c r="AL335" s="265">
        <f t="shared" si="172"/>
        <v>23</v>
      </c>
      <c r="AM335" s="6">
        <f t="shared" si="163"/>
        <v>0</v>
      </c>
      <c r="AN335" s="255">
        <f t="shared" si="173"/>
        <v>0.99316239316239319</v>
      </c>
      <c r="AO335" s="256">
        <f t="shared" si="174"/>
        <v>1.0057121576075825</v>
      </c>
      <c r="AP335" s="257">
        <f t="shared" si="175"/>
        <v>0</v>
      </c>
      <c r="AQ335" s="263">
        <f t="shared" si="164"/>
        <v>4</v>
      </c>
      <c r="AR335" s="263">
        <f t="shared" si="165"/>
        <v>0</v>
      </c>
      <c r="AS335" s="263">
        <f t="shared" si="166"/>
        <v>0</v>
      </c>
      <c r="AT335" s="263">
        <f t="shared" si="167"/>
        <v>4</v>
      </c>
      <c r="AU335" s="263"/>
      <c r="AV335" s="263"/>
      <c r="AW335" s="263"/>
      <c r="AX335" s="263">
        <f t="shared" si="168"/>
        <v>4</v>
      </c>
      <c r="BA335" s="282">
        <f t="shared" si="176"/>
        <v>455.68627450980392</v>
      </c>
      <c r="BB335">
        <v>1</v>
      </c>
      <c r="BC335">
        <f t="shared" si="169"/>
        <v>455.68627450980392</v>
      </c>
      <c r="BD335">
        <f t="shared" si="177"/>
        <v>450</v>
      </c>
      <c r="BE335">
        <f t="shared" si="178"/>
        <v>450</v>
      </c>
      <c r="BF335" s="281">
        <f t="shared" si="170"/>
        <v>1.0126361655773422</v>
      </c>
      <c r="BG335" s="282"/>
      <c r="BH335" s="283"/>
    </row>
    <row r="336" spans="1:60" x14ac:dyDescent="0.3">
      <c r="A336">
        <f t="shared" si="136"/>
        <v>333</v>
      </c>
      <c r="B336" s="241" t="s">
        <v>1803</v>
      </c>
      <c r="C336" s="294" t="s">
        <v>2513</v>
      </c>
      <c r="D336" s="14">
        <v>45813</v>
      </c>
      <c r="E336" s="7"/>
      <c r="F336" s="7"/>
      <c r="G336" s="66"/>
      <c r="H336" s="59"/>
      <c r="I336" s="59">
        <v>510</v>
      </c>
      <c r="J336" s="47">
        <f t="shared" si="159"/>
        <v>510</v>
      </c>
      <c r="K336" s="8">
        <f t="shared" si="160"/>
        <v>510</v>
      </c>
      <c r="L336" s="96">
        <f t="shared" si="161"/>
        <v>1</v>
      </c>
      <c r="M336" s="81">
        <v>1222</v>
      </c>
      <c r="N336" s="8">
        <v>153</v>
      </c>
      <c r="O336" s="8">
        <v>60</v>
      </c>
      <c r="P336" s="96">
        <f t="shared" si="114"/>
        <v>0.93963860053825454</v>
      </c>
      <c r="Q336" s="59">
        <f t="shared" si="149"/>
        <v>1222</v>
      </c>
      <c r="R336" s="252">
        <f t="shared" si="171"/>
        <v>1244</v>
      </c>
      <c r="S336" s="263">
        <v>11</v>
      </c>
      <c r="T336" s="263">
        <v>1</v>
      </c>
      <c r="U336" s="263">
        <v>0</v>
      </c>
      <c r="V336" s="263">
        <v>0</v>
      </c>
      <c r="W336" s="263">
        <v>22</v>
      </c>
      <c r="X336" s="263">
        <v>3</v>
      </c>
      <c r="Y336" s="263">
        <v>3</v>
      </c>
      <c r="Z336" s="263">
        <v>0</v>
      </c>
      <c r="AA336" s="263">
        <v>0</v>
      </c>
      <c r="AB336" s="263">
        <v>19</v>
      </c>
      <c r="AC336" s="263">
        <v>0</v>
      </c>
      <c r="AD336" s="263">
        <v>3</v>
      </c>
      <c r="AE336" s="263"/>
      <c r="AF336" s="263"/>
      <c r="AG336" s="263"/>
      <c r="AH336" s="263"/>
      <c r="AI336" s="263"/>
      <c r="AJ336" s="259"/>
      <c r="AK336" s="263">
        <f t="shared" si="162"/>
        <v>3</v>
      </c>
      <c r="AL336" s="265">
        <f t="shared" si="172"/>
        <v>23</v>
      </c>
      <c r="AM336" s="6">
        <f t="shared" si="163"/>
        <v>3</v>
      </c>
      <c r="AN336" s="255">
        <f t="shared" si="173"/>
        <v>0.98231511254019288</v>
      </c>
      <c r="AO336" s="256">
        <f t="shared" si="174"/>
        <v>0.9230211976348448</v>
      </c>
      <c r="AP336" s="257">
        <f t="shared" si="175"/>
        <v>2411.5755627009648</v>
      </c>
      <c r="AQ336" s="263">
        <f t="shared" si="164"/>
        <v>9.5</v>
      </c>
      <c r="AR336" s="263">
        <f t="shared" si="165"/>
        <v>0</v>
      </c>
      <c r="AS336" s="263">
        <f t="shared" si="166"/>
        <v>0.30000000000000004</v>
      </c>
      <c r="AT336" s="263">
        <f t="shared" si="167"/>
        <v>9.8000000000000007</v>
      </c>
      <c r="AU336" s="263"/>
      <c r="AV336" s="263"/>
      <c r="AW336" s="263"/>
      <c r="AX336" s="263">
        <f t="shared" si="168"/>
        <v>9.8000000000000007</v>
      </c>
      <c r="BA336" s="282">
        <f t="shared" si="176"/>
        <v>479.21568627450984</v>
      </c>
      <c r="BB336">
        <v>1</v>
      </c>
      <c r="BC336">
        <f t="shared" si="169"/>
        <v>479.21568627450984</v>
      </c>
      <c r="BD336">
        <f t="shared" si="177"/>
        <v>510</v>
      </c>
      <c r="BE336">
        <f t="shared" si="178"/>
        <v>510</v>
      </c>
      <c r="BF336" s="281">
        <f t="shared" si="170"/>
        <v>0.93963860053825454</v>
      </c>
      <c r="BG336" s="282"/>
      <c r="BH336" s="283"/>
    </row>
    <row r="337" spans="1:60" x14ac:dyDescent="0.3">
      <c r="A337">
        <f t="shared" si="136"/>
        <v>334</v>
      </c>
      <c r="B337" s="241" t="s">
        <v>1803</v>
      </c>
      <c r="C337" s="294" t="s">
        <v>2511</v>
      </c>
      <c r="D337" s="14">
        <v>45814</v>
      </c>
      <c r="E337" s="7">
        <v>54</v>
      </c>
      <c r="F337" s="7"/>
      <c r="G337" s="66"/>
      <c r="H337" s="59"/>
      <c r="I337" s="59">
        <v>480</v>
      </c>
      <c r="J337" s="47">
        <f t="shared" si="159"/>
        <v>480</v>
      </c>
      <c r="K337" s="8">
        <f t="shared" si="160"/>
        <v>426</v>
      </c>
      <c r="L337" s="96">
        <f t="shared" si="161"/>
        <v>0.88749999999999996</v>
      </c>
      <c r="M337" s="81">
        <f>375+67+35+50</f>
        <v>527</v>
      </c>
      <c r="N337" s="8">
        <v>153</v>
      </c>
      <c r="O337" s="8">
        <v>60</v>
      </c>
      <c r="P337" s="96">
        <f t="shared" si="114"/>
        <v>0.48513302034428801</v>
      </c>
      <c r="Q337" s="59">
        <f t="shared" si="149"/>
        <v>527</v>
      </c>
      <c r="R337" s="252">
        <f t="shared" si="171"/>
        <v>534</v>
      </c>
      <c r="S337" s="263">
        <v>0</v>
      </c>
      <c r="T337" s="263">
        <v>0</v>
      </c>
      <c r="U337" s="263">
        <v>0</v>
      </c>
      <c r="V337" s="263">
        <v>0</v>
      </c>
      <c r="W337" s="263">
        <v>2</v>
      </c>
      <c r="X337" s="263">
        <v>3</v>
      </c>
      <c r="Y337" s="263">
        <v>0</v>
      </c>
      <c r="Z337" s="263">
        <v>1</v>
      </c>
      <c r="AA337" s="263">
        <v>0</v>
      </c>
      <c r="AB337" s="263">
        <v>6</v>
      </c>
      <c r="AC337" s="263">
        <v>0</v>
      </c>
      <c r="AD337" s="263">
        <v>1</v>
      </c>
      <c r="AE337" s="263"/>
      <c r="AF337" s="263"/>
      <c r="AG337" s="263"/>
      <c r="AH337" s="263"/>
      <c r="AI337" s="263"/>
      <c r="AJ337" s="259"/>
      <c r="AK337" s="263">
        <f t="shared" si="162"/>
        <v>1</v>
      </c>
      <c r="AL337" s="265">
        <f t="shared" si="172"/>
        <v>23</v>
      </c>
      <c r="AM337" s="6">
        <f t="shared" si="163"/>
        <v>1</v>
      </c>
      <c r="AN337" s="255">
        <f t="shared" si="173"/>
        <v>0.98689138576779023</v>
      </c>
      <c r="AO337" s="256">
        <f t="shared" si="174"/>
        <v>0.42491156887224307</v>
      </c>
      <c r="AP337" s="257">
        <f t="shared" si="175"/>
        <v>1872.6591760299625</v>
      </c>
      <c r="AQ337" s="263">
        <f>+AB337*0.5</f>
        <v>3</v>
      </c>
      <c r="AR337" s="263">
        <f t="shared" si="165"/>
        <v>0</v>
      </c>
      <c r="AS337" s="263">
        <f t="shared" si="166"/>
        <v>0.1</v>
      </c>
      <c r="AT337" s="263">
        <f t="shared" si="167"/>
        <v>3.1</v>
      </c>
      <c r="AU337" s="263"/>
      <c r="AV337" s="263"/>
      <c r="AW337" s="263"/>
      <c r="AX337" s="263">
        <f t="shared" si="168"/>
        <v>3.1</v>
      </c>
      <c r="BA337" s="282">
        <f t="shared" si="176"/>
        <v>206.66666666666669</v>
      </c>
      <c r="BB337">
        <v>1</v>
      </c>
      <c r="BC337">
        <f t="shared" si="169"/>
        <v>206.66666666666669</v>
      </c>
      <c r="BD337">
        <f t="shared" si="177"/>
        <v>426</v>
      </c>
      <c r="BE337">
        <f t="shared" si="178"/>
        <v>480</v>
      </c>
      <c r="BF337" s="281">
        <f t="shared" si="170"/>
        <v>0.43055555555555558</v>
      </c>
      <c r="BG337" s="282"/>
      <c r="BH337" s="283"/>
    </row>
    <row r="338" spans="1:60" x14ac:dyDescent="0.3">
      <c r="A338">
        <f t="shared" si="136"/>
        <v>335</v>
      </c>
      <c r="B338" s="241" t="s">
        <v>1803</v>
      </c>
      <c r="C338" s="294" t="s">
        <v>2512</v>
      </c>
      <c r="D338" s="14">
        <v>45814</v>
      </c>
      <c r="E338" s="7"/>
      <c r="F338" s="7"/>
      <c r="G338" s="66"/>
      <c r="H338" s="59"/>
      <c r="I338" s="59">
        <v>450</v>
      </c>
      <c r="J338" s="47">
        <f t="shared" si="159"/>
        <v>450</v>
      </c>
      <c r="K338" s="8">
        <f t="shared" si="160"/>
        <v>450</v>
      </c>
      <c r="L338" s="96">
        <f t="shared" si="161"/>
        <v>1</v>
      </c>
      <c r="M338" s="81">
        <v>420</v>
      </c>
      <c r="N338" s="8">
        <v>153</v>
      </c>
      <c r="O338" s="8">
        <v>60</v>
      </c>
      <c r="P338" s="96">
        <f t="shared" si="114"/>
        <v>0.36601307189542487</v>
      </c>
      <c r="Q338" s="59">
        <f t="shared" si="149"/>
        <v>420</v>
      </c>
      <c r="R338" s="252">
        <f t="shared" si="171"/>
        <v>430</v>
      </c>
      <c r="S338" s="263">
        <v>5</v>
      </c>
      <c r="T338" s="263">
        <v>1</v>
      </c>
      <c r="U338" s="263">
        <v>0</v>
      </c>
      <c r="V338" s="263">
        <v>0</v>
      </c>
      <c r="W338" s="263">
        <v>0</v>
      </c>
      <c r="X338" s="263">
        <v>2</v>
      </c>
      <c r="Y338" s="263">
        <v>1</v>
      </c>
      <c r="Z338" s="263">
        <v>0</v>
      </c>
      <c r="AA338" s="263">
        <v>0</v>
      </c>
      <c r="AB338" s="263">
        <v>6</v>
      </c>
      <c r="AC338" s="263">
        <v>1</v>
      </c>
      <c r="AD338" s="263">
        <v>3</v>
      </c>
      <c r="AE338" s="263"/>
      <c r="AF338" s="263"/>
      <c r="AG338" s="263"/>
      <c r="AH338" s="263"/>
      <c r="AI338" s="263"/>
      <c r="AJ338" s="259"/>
      <c r="AK338" s="263">
        <f t="shared" si="162"/>
        <v>3</v>
      </c>
      <c r="AL338" s="265">
        <f t="shared" si="172"/>
        <v>23</v>
      </c>
      <c r="AM338" s="6">
        <f t="shared" si="163"/>
        <v>3</v>
      </c>
      <c r="AN338" s="255">
        <f t="shared" si="173"/>
        <v>0.97674418604651159</v>
      </c>
      <c r="AO338" s="256">
        <f t="shared" si="174"/>
        <v>0.35750113999088007</v>
      </c>
      <c r="AP338" s="257">
        <f t="shared" si="175"/>
        <v>6976.7441860465115</v>
      </c>
      <c r="AQ338" s="263">
        <f t="shared" si="164"/>
        <v>3</v>
      </c>
      <c r="AR338" s="263">
        <f t="shared" si="165"/>
        <v>0.2</v>
      </c>
      <c r="AS338" s="263">
        <f t="shared" si="166"/>
        <v>0.30000000000000004</v>
      </c>
      <c r="AT338" s="263">
        <f t="shared" si="167"/>
        <v>3.5</v>
      </c>
      <c r="AU338" s="263"/>
      <c r="AV338" s="263"/>
      <c r="AW338" s="263"/>
      <c r="AX338" s="263">
        <f t="shared" si="168"/>
        <v>3.5</v>
      </c>
      <c r="BA338" s="282">
        <f t="shared" si="176"/>
        <v>164.70588235294119</v>
      </c>
      <c r="BB338">
        <v>1</v>
      </c>
      <c r="BC338">
        <f t="shared" si="169"/>
        <v>164.70588235294119</v>
      </c>
      <c r="BD338">
        <f t="shared" si="177"/>
        <v>450</v>
      </c>
      <c r="BE338">
        <f t="shared" si="178"/>
        <v>450</v>
      </c>
      <c r="BF338" s="281">
        <f t="shared" si="170"/>
        <v>0.36601307189542487</v>
      </c>
      <c r="BG338" s="282"/>
      <c r="BH338" s="283"/>
    </row>
    <row r="339" spans="1:60" x14ac:dyDescent="0.3">
      <c r="A339">
        <f t="shared" si="136"/>
        <v>336</v>
      </c>
      <c r="B339" s="241" t="s">
        <v>1803</v>
      </c>
      <c r="C339" s="294" t="s">
        <v>2513</v>
      </c>
      <c r="D339" s="14">
        <v>45814</v>
      </c>
      <c r="E339" s="7"/>
      <c r="F339" s="7"/>
      <c r="G339" s="66"/>
      <c r="H339" s="59"/>
      <c r="I339" s="59">
        <v>510</v>
      </c>
      <c r="J339" s="47">
        <f t="shared" si="159"/>
        <v>510</v>
      </c>
      <c r="K339" s="8">
        <f t="shared" si="160"/>
        <v>510</v>
      </c>
      <c r="L339" s="96">
        <f t="shared" si="161"/>
        <v>1</v>
      </c>
      <c r="M339" s="81">
        <v>1301</v>
      </c>
      <c r="N339" s="8">
        <v>153</v>
      </c>
      <c r="O339" s="8">
        <v>60</v>
      </c>
      <c r="P339" s="96">
        <f t="shared" si="114"/>
        <v>1.0003844675124951</v>
      </c>
      <c r="Q339" s="59">
        <f t="shared" si="149"/>
        <v>1301</v>
      </c>
      <c r="R339" s="252">
        <f t="shared" si="171"/>
        <v>1316</v>
      </c>
      <c r="S339" s="263">
        <v>19</v>
      </c>
      <c r="T339" s="263">
        <v>0</v>
      </c>
      <c r="U339" s="263">
        <v>0</v>
      </c>
      <c r="V339" s="263">
        <v>0</v>
      </c>
      <c r="W339" s="263">
        <v>6</v>
      </c>
      <c r="X339" s="263">
        <v>6</v>
      </c>
      <c r="Y339" s="263">
        <v>0</v>
      </c>
      <c r="Z339" s="263">
        <v>4</v>
      </c>
      <c r="AA339" s="263">
        <v>0</v>
      </c>
      <c r="AB339" s="263">
        <v>12</v>
      </c>
      <c r="AC339" s="263">
        <v>1</v>
      </c>
      <c r="AD339" s="263">
        <v>2</v>
      </c>
      <c r="AE339" s="263"/>
      <c r="AF339" s="263"/>
      <c r="AG339" s="263"/>
      <c r="AH339" s="263"/>
      <c r="AI339" s="263"/>
      <c r="AJ339" s="259"/>
      <c r="AK339" s="263">
        <f t="shared" si="162"/>
        <v>2</v>
      </c>
      <c r="AL339" s="265">
        <f t="shared" si="172"/>
        <v>23</v>
      </c>
      <c r="AM339" s="6">
        <f t="shared" si="163"/>
        <v>2</v>
      </c>
      <c r="AN339" s="255">
        <f t="shared" si="173"/>
        <v>0.98860182370820671</v>
      </c>
      <c r="AO339" s="256">
        <f t="shared" si="174"/>
        <v>0.98898190899221594</v>
      </c>
      <c r="AP339" s="257">
        <f t="shared" si="175"/>
        <v>1519.7568389057751</v>
      </c>
      <c r="AQ339" s="263">
        <f t="shared" si="164"/>
        <v>6</v>
      </c>
      <c r="AR339" s="263">
        <f t="shared" si="165"/>
        <v>0.2</v>
      </c>
      <c r="AS339" s="263">
        <f t="shared" si="166"/>
        <v>0.2</v>
      </c>
      <c r="AT339" s="263">
        <f t="shared" si="167"/>
        <v>6.4</v>
      </c>
      <c r="AU339" s="263"/>
      <c r="AV339" s="263"/>
      <c r="AW339" s="263"/>
      <c r="AX339" s="263">
        <f t="shared" si="168"/>
        <v>6.4</v>
      </c>
      <c r="BA339" s="282">
        <f t="shared" si="176"/>
        <v>510.19607843137254</v>
      </c>
      <c r="BB339">
        <v>1</v>
      </c>
      <c r="BC339">
        <f t="shared" si="169"/>
        <v>510.19607843137254</v>
      </c>
      <c r="BD339">
        <f t="shared" si="177"/>
        <v>510</v>
      </c>
      <c r="BE339">
        <f t="shared" si="178"/>
        <v>510</v>
      </c>
      <c r="BF339" s="281">
        <f t="shared" si="170"/>
        <v>1.0003844675124951</v>
      </c>
      <c r="BG339" s="282"/>
      <c r="BH339" s="283"/>
    </row>
    <row r="340" spans="1:60" x14ac:dyDescent="0.3">
      <c r="A340">
        <f t="shared" si="136"/>
        <v>337</v>
      </c>
      <c r="B340" s="241" t="s">
        <v>1803</v>
      </c>
      <c r="C340" s="294" t="s">
        <v>2511</v>
      </c>
      <c r="D340" s="14">
        <v>45815</v>
      </c>
      <c r="E340" s="7"/>
      <c r="F340" s="7"/>
      <c r="G340" s="66"/>
      <c r="H340" s="59"/>
      <c r="I340" s="59">
        <v>480</v>
      </c>
      <c r="J340" s="47">
        <f t="shared" si="159"/>
        <v>480</v>
      </c>
      <c r="K340" s="8">
        <f t="shared" si="160"/>
        <v>480</v>
      </c>
      <c r="L340" s="96">
        <f t="shared" si="161"/>
        <v>1</v>
      </c>
      <c r="M340" s="81">
        <v>1214</v>
      </c>
      <c r="N340" s="8">
        <v>153</v>
      </c>
      <c r="O340" s="8">
        <v>60</v>
      </c>
      <c r="P340" s="96">
        <f t="shared" si="114"/>
        <v>0.99183006535947726</v>
      </c>
      <c r="Q340" s="59">
        <f t="shared" si="149"/>
        <v>1214</v>
      </c>
      <c r="R340" s="252">
        <f t="shared" si="171"/>
        <v>1225</v>
      </c>
      <c r="S340" s="263">
        <v>10</v>
      </c>
      <c r="T340" s="263">
        <v>0</v>
      </c>
      <c r="U340" s="263">
        <v>0</v>
      </c>
      <c r="V340" s="263">
        <v>0</v>
      </c>
      <c r="W340" s="263">
        <v>2</v>
      </c>
      <c r="X340" s="263">
        <v>2</v>
      </c>
      <c r="Y340" s="263">
        <v>1</v>
      </c>
      <c r="Z340" s="263">
        <v>0</v>
      </c>
      <c r="AA340" s="263">
        <v>0</v>
      </c>
      <c r="AB340" s="263">
        <v>11</v>
      </c>
      <c r="AC340" s="263">
        <v>0</v>
      </c>
      <c r="AD340" s="263">
        <v>0</v>
      </c>
      <c r="AE340" s="263"/>
      <c r="AF340" s="263"/>
      <c r="AG340" s="263"/>
      <c r="AH340" s="263"/>
      <c r="AI340" s="263"/>
      <c r="AJ340" s="259"/>
      <c r="AK340" s="263">
        <f t="shared" si="162"/>
        <v>0</v>
      </c>
      <c r="AL340" s="265">
        <f t="shared" si="172"/>
        <v>23</v>
      </c>
      <c r="AM340" s="6">
        <f t="shared" si="163"/>
        <v>0</v>
      </c>
      <c r="AN340" s="255">
        <f t="shared" si="173"/>
        <v>0.99102040816326531</v>
      </c>
      <c r="AO340" s="256">
        <f t="shared" si="174"/>
        <v>0.98292383620114732</v>
      </c>
      <c r="AP340" s="257">
        <f t="shared" si="175"/>
        <v>0</v>
      </c>
      <c r="AQ340" s="263">
        <f t="shared" si="164"/>
        <v>5.5</v>
      </c>
      <c r="AR340" s="263">
        <f t="shared" si="165"/>
        <v>0</v>
      </c>
      <c r="AS340" s="263">
        <f t="shared" si="166"/>
        <v>0</v>
      </c>
      <c r="AT340" s="263">
        <f t="shared" si="167"/>
        <v>5.5</v>
      </c>
      <c r="AU340" s="263"/>
      <c r="AV340" s="263"/>
      <c r="AW340" s="263"/>
      <c r="AX340" s="263">
        <f t="shared" si="168"/>
        <v>5.5</v>
      </c>
      <c r="BA340" s="282">
        <f t="shared" si="176"/>
        <v>476.07843137254906</v>
      </c>
      <c r="BB340">
        <v>1</v>
      </c>
      <c r="BC340">
        <f t="shared" si="169"/>
        <v>476.07843137254906</v>
      </c>
      <c r="BD340">
        <f t="shared" si="177"/>
        <v>480</v>
      </c>
      <c r="BE340">
        <f t="shared" si="178"/>
        <v>480</v>
      </c>
      <c r="BF340" s="281">
        <f t="shared" si="170"/>
        <v>0.99183006535947726</v>
      </c>
      <c r="BG340" s="282" t="s">
        <v>2481</v>
      </c>
      <c r="BH340" s="283"/>
    </row>
    <row r="341" spans="1:60" x14ac:dyDescent="0.3">
      <c r="A341">
        <f t="shared" si="136"/>
        <v>338</v>
      </c>
      <c r="B341" s="241" t="s">
        <v>1803</v>
      </c>
      <c r="C341" s="294" t="s">
        <v>2512</v>
      </c>
      <c r="D341" s="14">
        <v>45815</v>
      </c>
      <c r="E341" s="7"/>
      <c r="F341" s="7"/>
      <c r="G341" s="66"/>
      <c r="H341" s="59"/>
      <c r="I341" s="59">
        <v>450</v>
      </c>
      <c r="J341" s="47">
        <f t="shared" si="159"/>
        <v>450</v>
      </c>
      <c r="K341" s="8">
        <f t="shared" si="160"/>
        <v>450</v>
      </c>
      <c r="L341" s="96">
        <f t="shared" si="161"/>
        <v>1</v>
      </c>
      <c r="M341" s="81">
        <v>1051</v>
      </c>
      <c r="N341" s="8">
        <v>153</v>
      </c>
      <c r="O341" s="8">
        <v>60</v>
      </c>
      <c r="P341" s="96">
        <f t="shared" si="114"/>
        <v>0.91590413943355109</v>
      </c>
      <c r="Q341" s="59">
        <f t="shared" si="149"/>
        <v>1051</v>
      </c>
      <c r="R341" s="252">
        <f t="shared" si="171"/>
        <v>1067</v>
      </c>
      <c r="S341" s="263">
        <v>6</v>
      </c>
      <c r="T341" s="263">
        <v>1</v>
      </c>
      <c r="U341" s="263">
        <v>0</v>
      </c>
      <c r="V341" s="263">
        <v>0</v>
      </c>
      <c r="W341" s="263">
        <v>6</v>
      </c>
      <c r="X341" s="263">
        <v>1</v>
      </c>
      <c r="Y341" s="263">
        <v>0</v>
      </c>
      <c r="Z341" s="263">
        <v>1</v>
      </c>
      <c r="AA341" s="263">
        <v>0</v>
      </c>
      <c r="AB341" s="263">
        <v>13</v>
      </c>
      <c r="AC341" s="263">
        <v>0</v>
      </c>
      <c r="AD341" s="263">
        <v>3</v>
      </c>
      <c r="AE341" s="263"/>
      <c r="AF341" s="263"/>
      <c r="AG341" s="263"/>
      <c r="AH341" s="263"/>
      <c r="AI341" s="263"/>
      <c r="AJ341" s="259"/>
      <c r="AK341" s="263">
        <f t="shared" si="162"/>
        <v>3</v>
      </c>
      <c r="AL341" s="265">
        <f t="shared" si="172"/>
        <v>23</v>
      </c>
      <c r="AM341" s="6">
        <f t="shared" si="163"/>
        <v>3</v>
      </c>
      <c r="AN341" s="255">
        <f t="shared" si="173"/>
        <v>0.98500468603561386</v>
      </c>
      <c r="AO341" s="256">
        <f t="shared" si="174"/>
        <v>0.90216986930146414</v>
      </c>
      <c r="AP341" s="257">
        <f t="shared" si="175"/>
        <v>2811.6213683223991</v>
      </c>
      <c r="AQ341" s="263">
        <f t="shared" si="164"/>
        <v>6.5</v>
      </c>
      <c r="AR341" s="263">
        <f t="shared" si="165"/>
        <v>0</v>
      </c>
      <c r="AS341" s="263">
        <f t="shared" si="166"/>
        <v>0.30000000000000004</v>
      </c>
      <c r="AT341" s="263">
        <f t="shared" si="167"/>
        <v>6.8</v>
      </c>
      <c r="AU341" s="263"/>
      <c r="AV341" s="263"/>
      <c r="AW341" s="263"/>
      <c r="AX341" s="263">
        <f t="shared" si="168"/>
        <v>6.8</v>
      </c>
      <c r="BA341" s="282">
        <f t="shared" si="176"/>
        <v>412.15686274509801</v>
      </c>
      <c r="BB341">
        <v>1</v>
      </c>
      <c r="BC341">
        <f t="shared" si="169"/>
        <v>412.15686274509801</v>
      </c>
      <c r="BD341">
        <f t="shared" si="177"/>
        <v>450</v>
      </c>
      <c r="BE341">
        <f t="shared" si="178"/>
        <v>450</v>
      </c>
      <c r="BF341" s="281">
        <f t="shared" si="170"/>
        <v>0.91590413943355109</v>
      </c>
      <c r="BG341" s="282" t="s">
        <v>2549</v>
      </c>
      <c r="BH341" s="283"/>
    </row>
    <row r="342" spans="1:60" x14ac:dyDescent="0.3">
      <c r="A342">
        <f t="shared" si="136"/>
        <v>339</v>
      </c>
      <c r="B342" s="241" t="s">
        <v>1803</v>
      </c>
      <c r="C342" s="294" t="s">
        <v>2511</v>
      </c>
      <c r="D342" s="14">
        <v>45817</v>
      </c>
      <c r="E342" s="7">
        <v>45</v>
      </c>
      <c r="F342" s="7"/>
      <c r="G342" s="66"/>
      <c r="H342" s="59"/>
      <c r="I342" s="59">
        <v>510</v>
      </c>
      <c r="J342" s="47">
        <f t="shared" si="159"/>
        <v>510</v>
      </c>
      <c r="K342" s="8">
        <f t="shared" si="160"/>
        <v>465</v>
      </c>
      <c r="L342" s="96">
        <f t="shared" si="161"/>
        <v>0.91176470588235292</v>
      </c>
      <c r="M342" s="81">
        <v>1159</v>
      </c>
      <c r="N342" s="8">
        <v>153</v>
      </c>
      <c r="O342" s="8">
        <v>60</v>
      </c>
      <c r="P342" s="96">
        <f t="shared" si="114"/>
        <v>0.97744043854100782</v>
      </c>
      <c r="Q342" s="59">
        <f t="shared" si="149"/>
        <v>1159</v>
      </c>
      <c r="R342" s="252">
        <f t="shared" si="171"/>
        <v>1163</v>
      </c>
      <c r="S342" s="263">
        <v>7</v>
      </c>
      <c r="T342" s="263">
        <v>3</v>
      </c>
      <c r="U342" s="263">
        <v>0</v>
      </c>
      <c r="V342" s="263">
        <v>0</v>
      </c>
      <c r="W342" s="263">
        <v>2</v>
      </c>
      <c r="X342" s="263">
        <v>4</v>
      </c>
      <c r="Y342" s="263">
        <v>1</v>
      </c>
      <c r="Z342" s="263">
        <v>0</v>
      </c>
      <c r="AA342" s="263">
        <v>0</v>
      </c>
      <c r="AB342" s="263">
        <v>1</v>
      </c>
      <c r="AC342" s="263">
        <v>0</v>
      </c>
      <c r="AD342" s="263">
        <v>3</v>
      </c>
      <c r="AE342" s="263"/>
      <c r="AF342" s="263"/>
      <c r="AG342" s="263"/>
      <c r="AH342" s="263"/>
      <c r="AI342" s="263"/>
      <c r="AJ342" s="259"/>
      <c r="AK342" s="263">
        <f t="shared" si="162"/>
        <v>3</v>
      </c>
      <c r="AL342" s="265">
        <f t="shared" si="172"/>
        <v>24</v>
      </c>
      <c r="AM342" s="6">
        <f t="shared" si="163"/>
        <v>3</v>
      </c>
      <c r="AN342" s="255">
        <f t="shared" si="173"/>
        <v>0.99656061908856408</v>
      </c>
      <c r="AO342" s="256">
        <f t="shared" si="174"/>
        <v>0.88813053250568685</v>
      </c>
      <c r="AP342" s="257">
        <f t="shared" si="175"/>
        <v>2579.5356835769562</v>
      </c>
      <c r="AQ342" s="263">
        <f t="shared" si="164"/>
        <v>0.5</v>
      </c>
      <c r="AR342" s="263">
        <f t="shared" si="165"/>
        <v>0</v>
      </c>
      <c r="AS342" s="263">
        <f t="shared" si="166"/>
        <v>0.30000000000000004</v>
      </c>
      <c r="AT342" s="263">
        <f t="shared" si="167"/>
        <v>0.8</v>
      </c>
      <c r="AU342" s="263"/>
      <c r="AV342" s="263"/>
      <c r="AW342" s="263"/>
      <c r="AX342" s="263">
        <f t="shared" si="168"/>
        <v>0.8</v>
      </c>
      <c r="BA342" s="282">
        <f t="shared" si="176"/>
        <v>454.50980392156862</v>
      </c>
      <c r="BB342">
        <v>1</v>
      </c>
      <c r="BC342">
        <f t="shared" si="169"/>
        <v>454.50980392156862</v>
      </c>
      <c r="BD342">
        <f t="shared" si="177"/>
        <v>465</v>
      </c>
      <c r="BE342">
        <f t="shared" si="178"/>
        <v>510</v>
      </c>
      <c r="BF342" s="281">
        <f t="shared" si="170"/>
        <v>0.89119569396386</v>
      </c>
      <c r="BG342" s="282" t="s">
        <v>2481</v>
      </c>
      <c r="BH342" s="283"/>
    </row>
    <row r="343" spans="1:60" x14ac:dyDescent="0.3">
      <c r="A343">
        <f t="shared" si="136"/>
        <v>340</v>
      </c>
      <c r="B343" s="241" t="s">
        <v>1803</v>
      </c>
      <c r="C343" s="294" t="s">
        <v>2512</v>
      </c>
      <c r="D343" s="14">
        <v>45817</v>
      </c>
      <c r="E343" s="7"/>
      <c r="F343" s="7"/>
      <c r="G343" s="66"/>
      <c r="H343" s="59"/>
      <c r="I343" s="59"/>
      <c r="J343" s="47">
        <f t="shared" si="159"/>
        <v>0</v>
      </c>
      <c r="K343" s="8">
        <f t="shared" si="160"/>
        <v>0</v>
      </c>
      <c r="L343" s="96" t="str">
        <f t="shared" si="161"/>
        <v/>
      </c>
      <c r="M343" s="81">
        <v>0</v>
      </c>
      <c r="N343" s="8">
        <v>153</v>
      </c>
      <c r="O343" s="8">
        <v>60</v>
      </c>
      <c r="P343" s="96" t="str">
        <f t="shared" si="114"/>
        <v/>
      </c>
      <c r="Q343" s="59">
        <f t="shared" si="149"/>
        <v>0</v>
      </c>
      <c r="R343" s="252">
        <f t="shared" si="171"/>
        <v>0</v>
      </c>
      <c r="S343" s="263"/>
      <c r="T343" s="263"/>
      <c r="U343" s="263"/>
      <c r="V343" s="263"/>
      <c r="W343" s="263"/>
      <c r="X343" s="263"/>
      <c r="Y343" s="263"/>
      <c r="Z343" s="263"/>
      <c r="AA343" s="263"/>
      <c r="AB343" s="263"/>
      <c r="AC343" s="263"/>
      <c r="AD343" s="263"/>
      <c r="AE343" s="263"/>
      <c r="AF343" s="263"/>
      <c r="AG343" s="263"/>
      <c r="AH343" s="263"/>
      <c r="AI343" s="263"/>
      <c r="AJ343" s="259"/>
      <c r="AK343" s="263">
        <f t="shared" si="162"/>
        <v>0</v>
      </c>
      <c r="AL343" s="265">
        <f t="shared" si="172"/>
        <v>24</v>
      </c>
      <c r="AM343" s="6">
        <f t="shared" si="163"/>
        <v>0</v>
      </c>
      <c r="AN343" s="255" t="str">
        <f t="shared" si="173"/>
        <v/>
      </c>
      <c r="AO343" s="256" t="str">
        <f t="shared" si="174"/>
        <v/>
      </c>
      <c r="AP343" s="257" t="str">
        <f t="shared" si="175"/>
        <v/>
      </c>
      <c r="AQ343" s="263">
        <f t="shared" si="164"/>
        <v>0</v>
      </c>
      <c r="AR343" s="263">
        <f t="shared" si="165"/>
        <v>0</v>
      </c>
      <c r="AS343" s="263">
        <f t="shared" si="166"/>
        <v>0</v>
      </c>
      <c r="AT343" s="263">
        <f t="shared" si="167"/>
        <v>0</v>
      </c>
      <c r="AU343" s="263"/>
      <c r="AV343" s="263"/>
      <c r="AW343" s="263"/>
      <c r="AX343" s="263">
        <f t="shared" si="168"/>
        <v>0</v>
      </c>
      <c r="BA343" s="282">
        <f t="shared" si="176"/>
        <v>0</v>
      </c>
      <c r="BB343">
        <v>1</v>
      </c>
      <c r="BC343">
        <f t="shared" si="169"/>
        <v>0</v>
      </c>
      <c r="BD343">
        <f t="shared" si="177"/>
        <v>0</v>
      </c>
      <c r="BE343">
        <f t="shared" si="178"/>
        <v>0</v>
      </c>
      <c r="BF343" s="281" t="e">
        <f t="shared" si="170"/>
        <v>#DIV/0!</v>
      </c>
      <c r="BG343" s="282"/>
      <c r="BH343" s="283"/>
    </row>
    <row r="344" spans="1:60" x14ac:dyDescent="0.3">
      <c r="A344">
        <f t="shared" si="136"/>
        <v>341</v>
      </c>
      <c r="B344" s="241" t="s">
        <v>1803</v>
      </c>
      <c r="C344" s="294" t="s">
        <v>2513</v>
      </c>
      <c r="D344" s="14">
        <v>45817</v>
      </c>
      <c r="E344" s="7"/>
      <c r="F344" s="7"/>
      <c r="G344" s="66"/>
      <c r="H344" s="59"/>
      <c r="I344" s="59"/>
      <c r="J344" s="47">
        <f t="shared" si="159"/>
        <v>0</v>
      </c>
      <c r="K344" s="8">
        <f t="shared" si="160"/>
        <v>0</v>
      </c>
      <c r="L344" s="96" t="str">
        <f t="shared" si="161"/>
        <v/>
      </c>
      <c r="M344" s="81">
        <v>0</v>
      </c>
      <c r="N344" s="8">
        <v>153</v>
      </c>
      <c r="O344" s="8">
        <v>60</v>
      </c>
      <c r="P344" s="96" t="str">
        <f t="shared" si="114"/>
        <v/>
      </c>
      <c r="Q344" s="59">
        <f t="shared" si="149"/>
        <v>0</v>
      </c>
      <c r="R344" s="252">
        <f t="shared" si="171"/>
        <v>0</v>
      </c>
      <c r="S344" s="263"/>
      <c r="T344" s="263"/>
      <c r="U344" s="263"/>
      <c r="V344" s="263"/>
      <c r="W344" s="263"/>
      <c r="X344" s="263"/>
      <c r="Y344" s="263"/>
      <c r="Z344" s="263"/>
      <c r="AA344" s="263"/>
      <c r="AB344" s="263"/>
      <c r="AC344" s="263"/>
      <c r="AD344" s="263"/>
      <c r="AE344" s="263"/>
      <c r="AF344" s="263"/>
      <c r="AG344" s="263"/>
      <c r="AH344" s="263"/>
      <c r="AI344" s="263"/>
      <c r="AJ344" s="259"/>
      <c r="AK344" s="263">
        <f t="shared" si="162"/>
        <v>0</v>
      </c>
      <c r="AL344" s="265">
        <f t="shared" si="172"/>
        <v>24</v>
      </c>
      <c r="AM344" s="6">
        <f t="shared" si="163"/>
        <v>0</v>
      </c>
      <c r="AN344" s="255" t="str">
        <f t="shared" si="173"/>
        <v/>
      </c>
      <c r="AO344" s="256" t="str">
        <f t="shared" si="174"/>
        <v/>
      </c>
      <c r="AP344" s="257" t="str">
        <f t="shared" si="175"/>
        <v/>
      </c>
      <c r="AQ344" s="263">
        <f t="shared" si="164"/>
        <v>0</v>
      </c>
      <c r="AR344" s="263">
        <f t="shared" si="165"/>
        <v>0</v>
      </c>
      <c r="AS344" s="263">
        <f t="shared" si="166"/>
        <v>0</v>
      </c>
      <c r="AT344" s="263">
        <f t="shared" si="167"/>
        <v>0</v>
      </c>
      <c r="AU344" s="263"/>
      <c r="AV344" s="263"/>
      <c r="AW344" s="263"/>
      <c r="AX344" s="263">
        <f t="shared" si="168"/>
        <v>0</v>
      </c>
      <c r="BA344" s="282">
        <f t="shared" si="176"/>
        <v>0</v>
      </c>
      <c r="BB344">
        <v>1</v>
      </c>
      <c r="BC344">
        <f t="shared" si="169"/>
        <v>0</v>
      </c>
      <c r="BD344">
        <f t="shared" si="177"/>
        <v>0</v>
      </c>
      <c r="BE344">
        <f t="shared" si="178"/>
        <v>0</v>
      </c>
      <c r="BF344" s="281" t="e">
        <f t="shared" si="170"/>
        <v>#DIV/0!</v>
      </c>
      <c r="BG344" s="282"/>
      <c r="BH344" s="283"/>
    </row>
    <row r="345" spans="1:60" x14ac:dyDescent="0.3">
      <c r="A345">
        <f t="shared" si="136"/>
        <v>342</v>
      </c>
      <c r="B345" s="241" t="s">
        <v>1803</v>
      </c>
      <c r="C345" s="294" t="s">
        <v>2511</v>
      </c>
      <c r="D345" s="14">
        <v>45819</v>
      </c>
      <c r="E345" s="7"/>
      <c r="F345" s="7"/>
      <c r="G345" s="66"/>
      <c r="H345" s="59"/>
      <c r="I345" s="59">
        <v>480</v>
      </c>
      <c r="J345" s="47">
        <f t="shared" si="159"/>
        <v>480</v>
      </c>
      <c r="K345" s="8">
        <f t="shared" si="160"/>
        <v>480</v>
      </c>
      <c r="L345" s="96">
        <f t="shared" si="161"/>
        <v>1</v>
      </c>
      <c r="M345" s="81">
        <v>0</v>
      </c>
      <c r="N345" s="8">
        <v>153</v>
      </c>
      <c r="O345" s="8">
        <v>60</v>
      </c>
      <c r="P345" s="96">
        <f t="shared" si="114"/>
        <v>0</v>
      </c>
      <c r="Q345" s="59">
        <f t="shared" si="149"/>
        <v>0</v>
      </c>
      <c r="R345" s="252">
        <f t="shared" si="171"/>
        <v>0</v>
      </c>
      <c r="S345" s="263"/>
      <c r="T345" s="263"/>
      <c r="U345" s="263"/>
      <c r="V345" s="263"/>
      <c r="W345" s="263"/>
      <c r="X345" s="263"/>
      <c r="Y345" s="263"/>
      <c r="Z345" s="263"/>
      <c r="AA345" s="263"/>
      <c r="AB345" s="263"/>
      <c r="AC345" s="263"/>
      <c r="AD345" s="263"/>
      <c r="AE345" s="263"/>
      <c r="AF345" s="263"/>
      <c r="AG345" s="263"/>
      <c r="AH345" s="263"/>
      <c r="AI345" s="263"/>
      <c r="AJ345" s="259"/>
      <c r="AK345" s="263">
        <f t="shared" si="162"/>
        <v>0</v>
      </c>
      <c r="AL345" s="265">
        <f t="shared" si="172"/>
        <v>24</v>
      </c>
      <c r="AM345" s="6">
        <f t="shared" si="163"/>
        <v>0</v>
      </c>
      <c r="AN345" s="255" t="str">
        <f t="shared" si="173"/>
        <v/>
      </c>
      <c r="AO345" s="256" t="str">
        <f t="shared" si="174"/>
        <v/>
      </c>
      <c r="AP345" s="257" t="str">
        <f t="shared" si="175"/>
        <v/>
      </c>
      <c r="AQ345" s="263">
        <f t="shared" si="164"/>
        <v>0</v>
      </c>
      <c r="AR345" s="263">
        <f t="shared" si="165"/>
        <v>0</v>
      </c>
      <c r="AS345" s="263">
        <f t="shared" si="166"/>
        <v>0</v>
      </c>
      <c r="AT345" s="263">
        <f t="shared" si="167"/>
        <v>0</v>
      </c>
      <c r="AU345" s="263"/>
      <c r="AV345" s="263"/>
      <c r="AW345" s="263"/>
      <c r="AX345" s="263">
        <f t="shared" si="168"/>
        <v>0</v>
      </c>
      <c r="BA345" s="282">
        <f t="shared" si="176"/>
        <v>0</v>
      </c>
      <c r="BB345">
        <v>1</v>
      </c>
      <c r="BC345">
        <f t="shared" si="169"/>
        <v>0</v>
      </c>
      <c r="BD345">
        <f t="shared" si="177"/>
        <v>480</v>
      </c>
      <c r="BE345">
        <f t="shared" si="178"/>
        <v>480</v>
      </c>
      <c r="BF345" s="281">
        <f t="shared" si="170"/>
        <v>0</v>
      </c>
      <c r="BG345" s="282" t="s">
        <v>2481</v>
      </c>
      <c r="BH345" s="283"/>
    </row>
    <row r="346" spans="1:60" x14ac:dyDescent="0.3">
      <c r="A346">
        <f t="shared" si="136"/>
        <v>343</v>
      </c>
      <c r="B346" s="241" t="s">
        <v>1803</v>
      </c>
      <c r="C346" s="294" t="s">
        <v>2512</v>
      </c>
      <c r="D346" s="14">
        <v>45819</v>
      </c>
      <c r="E346" s="7"/>
      <c r="F346" s="7"/>
      <c r="G346" s="66"/>
      <c r="H346" s="59"/>
      <c r="I346" s="59">
        <v>450</v>
      </c>
      <c r="J346" s="47">
        <f t="shared" si="159"/>
        <v>450</v>
      </c>
      <c r="K346" s="8">
        <f t="shared" si="160"/>
        <v>450</v>
      </c>
      <c r="L346" s="96">
        <f t="shared" si="161"/>
        <v>1</v>
      </c>
      <c r="M346" s="81">
        <v>0</v>
      </c>
      <c r="N346" s="8">
        <v>153</v>
      </c>
      <c r="O346" s="8">
        <v>60</v>
      </c>
      <c r="P346" s="96">
        <f t="shared" si="114"/>
        <v>0</v>
      </c>
      <c r="Q346" s="59">
        <f t="shared" si="149"/>
        <v>0</v>
      </c>
      <c r="R346" s="252">
        <f t="shared" si="171"/>
        <v>0</v>
      </c>
      <c r="S346" s="263"/>
      <c r="T346" s="263"/>
      <c r="U346" s="263"/>
      <c r="V346" s="263"/>
      <c r="W346" s="263"/>
      <c r="X346" s="263"/>
      <c r="Y346" s="263"/>
      <c r="Z346" s="263"/>
      <c r="AA346" s="263"/>
      <c r="AB346" s="263"/>
      <c r="AC346" s="263"/>
      <c r="AD346" s="263"/>
      <c r="AE346" s="263"/>
      <c r="AF346" s="263"/>
      <c r="AG346" s="263"/>
      <c r="AH346" s="263"/>
      <c r="AI346" s="263"/>
      <c r="AJ346" s="259"/>
      <c r="AK346" s="263">
        <f t="shared" si="162"/>
        <v>0</v>
      </c>
      <c r="AL346" s="265">
        <f t="shared" si="172"/>
        <v>24</v>
      </c>
      <c r="AM346" s="6">
        <f t="shared" si="163"/>
        <v>0</v>
      </c>
      <c r="AN346" s="255" t="str">
        <f t="shared" si="173"/>
        <v/>
      </c>
      <c r="AO346" s="256" t="str">
        <f t="shared" si="174"/>
        <v/>
      </c>
      <c r="AP346" s="257" t="str">
        <f t="shared" si="175"/>
        <v/>
      </c>
      <c r="AQ346" s="263">
        <f t="shared" si="164"/>
        <v>0</v>
      </c>
      <c r="AR346" s="263">
        <f t="shared" si="165"/>
        <v>0</v>
      </c>
      <c r="AS346" s="263">
        <f t="shared" si="166"/>
        <v>0</v>
      </c>
      <c r="AT346" s="263">
        <f t="shared" si="167"/>
        <v>0</v>
      </c>
      <c r="AU346" s="263"/>
      <c r="AV346" s="263"/>
      <c r="AW346" s="263"/>
      <c r="AX346" s="263">
        <f t="shared" si="168"/>
        <v>0</v>
      </c>
      <c r="BA346" s="282">
        <f t="shared" si="176"/>
        <v>0</v>
      </c>
      <c r="BB346">
        <v>1</v>
      </c>
      <c r="BC346">
        <f t="shared" si="169"/>
        <v>0</v>
      </c>
      <c r="BD346">
        <f t="shared" si="177"/>
        <v>450</v>
      </c>
      <c r="BE346">
        <f t="shared" si="178"/>
        <v>450</v>
      </c>
      <c r="BF346" s="281">
        <f t="shared" si="170"/>
        <v>0</v>
      </c>
      <c r="BG346" s="282" t="s">
        <v>2549</v>
      </c>
      <c r="BH346" s="283"/>
    </row>
    <row r="347" spans="1:60" x14ac:dyDescent="0.3">
      <c r="A347">
        <f t="shared" si="136"/>
        <v>344</v>
      </c>
      <c r="B347" s="241" t="s">
        <v>1803</v>
      </c>
      <c r="C347" s="294" t="s">
        <v>2513</v>
      </c>
      <c r="D347" s="14">
        <v>45819</v>
      </c>
      <c r="E347" s="7">
        <v>45</v>
      </c>
      <c r="F347" s="7"/>
      <c r="G347" s="66"/>
      <c r="H347" s="59"/>
      <c r="I347" s="59">
        <v>510</v>
      </c>
      <c r="J347" s="47">
        <f t="shared" si="159"/>
        <v>510</v>
      </c>
      <c r="K347" s="8">
        <f t="shared" si="160"/>
        <v>465</v>
      </c>
      <c r="L347" s="96">
        <f t="shared" si="161"/>
        <v>0.91176470588235292</v>
      </c>
      <c r="M347" s="81">
        <v>993</v>
      </c>
      <c r="N347" s="8">
        <v>153</v>
      </c>
      <c r="O347" s="8">
        <v>60</v>
      </c>
      <c r="P347" s="96">
        <f t="shared" si="114"/>
        <v>0.8374446552814675</v>
      </c>
      <c r="Q347" s="59">
        <f t="shared" si="149"/>
        <v>993</v>
      </c>
      <c r="R347" s="252">
        <f t="shared" si="171"/>
        <v>1034</v>
      </c>
      <c r="S347" s="263">
        <v>23</v>
      </c>
      <c r="T347" s="263">
        <v>0</v>
      </c>
      <c r="U347" s="263">
        <v>0</v>
      </c>
      <c r="V347" s="263">
        <v>0</v>
      </c>
      <c r="W347" s="263">
        <v>6</v>
      </c>
      <c r="X347" s="263">
        <v>11</v>
      </c>
      <c r="Y347" s="263">
        <v>1</v>
      </c>
      <c r="Z347" s="263">
        <v>1</v>
      </c>
      <c r="AA347" s="263">
        <v>1</v>
      </c>
      <c r="AB347" s="263">
        <v>3</v>
      </c>
      <c r="AC347" s="263">
        <v>34</v>
      </c>
      <c r="AD347" s="263">
        <v>4</v>
      </c>
      <c r="AE347" s="263"/>
      <c r="AF347" s="263"/>
      <c r="AG347" s="263"/>
      <c r="AH347" s="263"/>
      <c r="AI347" s="263"/>
      <c r="AJ347" s="259"/>
      <c r="AK347" s="263">
        <f t="shared" si="162"/>
        <v>4</v>
      </c>
      <c r="AL347" s="265">
        <f t="shared" si="172"/>
        <v>24</v>
      </c>
      <c r="AM347" s="6">
        <f t="shared" si="163"/>
        <v>4</v>
      </c>
      <c r="AN347" s="255">
        <f t="shared" si="173"/>
        <v>0.960348162475822</v>
      </c>
      <c r="AO347" s="256">
        <f t="shared" si="174"/>
        <v>0.73327622094462996</v>
      </c>
      <c r="AP347" s="257">
        <f t="shared" si="175"/>
        <v>3868.4719535783365</v>
      </c>
      <c r="AQ347" s="263">
        <f t="shared" si="164"/>
        <v>1.5</v>
      </c>
      <c r="AR347" s="263">
        <f t="shared" si="165"/>
        <v>6.8000000000000007</v>
      </c>
      <c r="AS347" s="263">
        <f t="shared" si="166"/>
        <v>0.4</v>
      </c>
      <c r="AT347" s="263">
        <f t="shared" si="167"/>
        <v>8.7000000000000011</v>
      </c>
      <c r="AU347" s="263"/>
      <c r="AV347" s="263"/>
      <c r="AW347" s="263"/>
      <c r="AX347" s="263">
        <f t="shared" si="168"/>
        <v>8.7000000000000011</v>
      </c>
      <c r="BA347" s="282">
        <f t="shared" si="176"/>
        <v>389.41176470588238</v>
      </c>
      <c r="BB347">
        <v>1</v>
      </c>
      <c r="BC347">
        <f t="shared" si="169"/>
        <v>389.41176470588238</v>
      </c>
      <c r="BD347">
        <f t="shared" si="177"/>
        <v>465</v>
      </c>
      <c r="BE347">
        <f t="shared" si="178"/>
        <v>510</v>
      </c>
      <c r="BF347" s="281">
        <f t="shared" si="170"/>
        <v>0.7635524798154556</v>
      </c>
      <c r="BG347" s="282" t="s">
        <v>2481</v>
      </c>
      <c r="BH347" s="283"/>
    </row>
    <row r="348" spans="1:60" x14ac:dyDescent="0.3">
      <c r="A348">
        <f t="shared" si="136"/>
        <v>345</v>
      </c>
      <c r="B348" s="241" t="s">
        <v>1803</v>
      </c>
      <c r="C348" s="294" t="s">
        <v>2511</v>
      </c>
      <c r="D348" s="14">
        <v>45820</v>
      </c>
      <c r="E348" s="7">
        <v>45</v>
      </c>
      <c r="F348" s="7"/>
      <c r="G348" s="66"/>
      <c r="H348" s="59"/>
      <c r="I348" s="59">
        <v>480</v>
      </c>
      <c r="J348" s="47">
        <f t="shared" si="159"/>
        <v>480</v>
      </c>
      <c r="K348" s="8">
        <f t="shared" si="160"/>
        <v>435</v>
      </c>
      <c r="L348" s="96">
        <f t="shared" si="161"/>
        <v>0.90625</v>
      </c>
      <c r="M348" s="81">
        <v>1193</v>
      </c>
      <c r="N348" s="8">
        <v>153</v>
      </c>
      <c r="O348" s="8">
        <v>60</v>
      </c>
      <c r="P348" s="96">
        <f t="shared" si="114"/>
        <v>1.0755014649537975</v>
      </c>
      <c r="Q348" s="59">
        <f t="shared" si="149"/>
        <v>1193</v>
      </c>
      <c r="R348" s="252">
        <f t="shared" si="171"/>
        <v>1225</v>
      </c>
      <c r="S348" s="263">
        <v>12</v>
      </c>
      <c r="T348" s="263">
        <v>3</v>
      </c>
      <c r="U348" s="263">
        <v>0</v>
      </c>
      <c r="V348" s="263">
        <v>0</v>
      </c>
      <c r="W348" s="263">
        <v>6</v>
      </c>
      <c r="X348" s="263">
        <v>8</v>
      </c>
      <c r="Y348" s="263">
        <v>1</v>
      </c>
      <c r="Z348" s="263">
        <v>0</v>
      </c>
      <c r="AA348" s="263">
        <v>0</v>
      </c>
      <c r="AB348" s="263">
        <v>3</v>
      </c>
      <c r="AC348" s="263">
        <v>27</v>
      </c>
      <c r="AD348" s="263">
        <v>2</v>
      </c>
      <c r="AE348" s="263"/>
      <c r="AF348" s="263"/>
      <c r="AG348" s="263"/>
      <c r="AH348" s="263"/>
      <c r="AI348" s="263"/>
      <c r="AJ348" s="259"/>
      <c r="AK348" s="263">
        <f t="shared" si="162"/>
        <v>2</v>
      </c>
      <c r="AL348" s="265">
        <f t="shared" si="172"/>
        <v>24</v>
      </c>
      <c r="AM348" s="6">
        <f t="shared" si="163"/>
        <v>2</v>
      </c>
      <c r="AN348" s="255">
        <f t="shared" si="173"/>
        <v>0.97387755102040818</v>
      </c>
      <c r="AO348" s="256">
        <f t="shared" si="174"/>
        <v>0.94921235160730943</v>
      </c>
      <c r="AP348" s="257">
        <f t="shared" si="175"/>
        <v>1632.6530612244899</v>
      </c>
      <c r="AQ348" s="263">
        <f t="shared" si="164"/>
        <v>1.5</v>
      </c>
      <c r="AR348" s="263">
        <f t="shared" si="165"/>
        <v>5.4</v>
      </c>
      <c r="AS348" s="263">
        <f t="shared" si="166"/>
        <v>0.2</v>
      </c>
      <c r="AT348" s="263">
        <f t="shared" si="167"/>
        <v>7.1000000000000005</v>
      </c>
      <c r="AU348" s="263"/>
      <c r="AV348" s="263"/>
      <c r="AW348" s="263"/>
      <c r="AX348" s="263">
        <f t="shared" si="168"/>
        <v>7.1000000000000005</v>
      </c>
      <c r="BA348" s="282">
        <f t="shared" si="176"/>
        <v>467.84313725490193</v>
      </c>
      <c r="BB348">
        <v>1</v>
      </c>
      <c r="BC348">
        <f t="shared" si="169"/>
        <v>467.84313725490193</v>
      </c>
      <c r="BD348">
        <f t="shared" si="177"/>
        <v>435</v>
      </c>
      <c r="BE348">
        <f t="shared" si="178"/>
        <v>480</v>
      </c>
      <c r="BF348" s="281">
        <f t="shared" si="170"/>
        <v>0.97467320261437906</v>
      </c>
      <c r="BG348" s="282" t="s">
        <v>2481</v>
      </c>
      <c r="BH348" s="283"/>
    </row>
    <row r="349" spans="1:60" x14ac:dyDescent="0.3">
      <c r="A349">
        <f t="shared" si="136"/>
        <v>346</v>
      </c>
      <c r="B349" s="241" t="s">
        <v>1803</v>
      </c>
      <c r="C349" s="294" t="s">
        <v>2512</v>
      </c>
      <c r="D349" s="14">
        <v>45820</v>
      </c>
      <c r="E349" s="7"/>
      <c r="F349" s="7"/>
      <c r="G349" s="66"/>
      <c r="H349" s="59"/>
      <c r="I349" s="59">
        <v>450</v>
      </c>
      <c r="J349" s="47">
        <f t="shared" si="159"/>
        <v>450</v>
      </c>
      <c r="K349" s="8">
        <f t="shared" si="160"/>
        <v>450</v>
      </c>
      <c r="L349" s="96">
        <f t="shared" si="161"/>
        <v>1</v>
      </c>
      <c r="M349" s="81">
        <v>995</v>
      </c>
      <c r="N349" s="8">
        <v>153</v>
      </c>
      <c r="O349" s="8">
        <v>60</v>
      </c>
      <c r="P349" s="96">
        <f t="shared" si="114"/>
        <v>0.86710239651416121</v>
      </c>
      <c r="Q349" s="59">
        <f t="shared" si="149"/>
        <v>995</v>
      </c>
      <c r="R349" s="252">
        <f t="shared" si="171"/>
        <v>996</v>
      </c>
      <c r="S349" s="263">
        <v>4</v>
      </c>
      <c r="T349" s="263">
        <v>0</v>
      </c>
      <c r="U349" s="263">
        <v>0</v>
      </c>
      <c r="V349" s="263">
        <v>0</v>
      </c>
      <c r="W349" s="263">
        <v>0</v>
      </c>
      <c r="X349" s="263">
        <v>3</v>
      </c>
      <c r="Y349" s="263">
        <v>0</v>
      </c>
      <c r="Z349" s="263">
        <v>1</v>
      </c>
      <c r="AA349" s="263">
        <v>1</v>
      </c>
      <c r="AB349" s="263">
        <v>1</v>
      </c>
      <c r="AC349" s="263">
        <v>0</v>
      </c>
      <c r="AD349" s="263">
        <v>0</v>
      </c>
      <c r="AE349" s="263"/>
      <c r="AF349" s="263"/>
      <c r="AG349" s="263"/>
      <c r="AH349" s="263"/>
      <c r="AI349" s="263"/>
      <c r="AJ349" s="259"/>
      <c r="AK349" s="263">
        <f t="shared" si="162"/>
        <v>0</v>
      </c>
      <c r="AL349" s="265">
        <f t="shared" si="172"/>
        <v>24</v>
      </c>
      <c r="AM349" s="6">
        <f t="shared" si="163"/>
        <v>0</v>
      </c>
      <c r="AN349" s="255">
        <f t="shared" si="173"/>
        <v>0.99899598393574296</v>
      </c>
      <c r="AO349" s="256">
        <f t="shared" si="174"/>
        <v>0.86623181177870523</v>
      </c>
      <c r="AP349" s="257">
        <f t="shared" si="175"/>
        <v>0</v>
      </c>
      <c r="AQ349" s="263">
        <f t="shared" si="164"/>
        <v>0.5</v>
      </c>
      <c r="AR349" s="263">
        <f t="shared" si="165"/>
        <v>0</v>
      </c>
      <c r="AS349" s="263">
        <f t="shared" si="166"/>
        <v>0</v>
      </c>
      <c r="AT349" s="263">
        <f t="shared" si="167"/>
        <v>0.5</v>
      </c>
      <c r="AU349" s="263"/>
      <c r="AV349" s="263"/>
      <c r="AW349" s="263"/>
      <c r="AX349" s="263">
        <f t="shared" si="168"/>
        <v>0.5</v>
      </c>
      <c r="BA349" s="282">
        <f t="shared" si="176"/>
        <v>390.19607843137254</v>
      </c>
      <c r="BB349">
        <v>1</v>
      </c>
      <c r="BC349">
        <f t="shared" si="169"/>
        <v>390.19607843137254</v>
      </c>
      <c r="BD349">
        <f t="shared" si="177"/>
        <v>450</v>
      </c>
      <c r="BE349">
        <f t="shared" si="178"/>
        <v>450</v>
      </c>
      <c r="BF349" s="281">
        <f t="shared" si="170"/>
        <v>0.86710239651416121</v>
      </c>
      <c r="BG349" s="282" t="s">
        <v>2549</v>
      </c>
      <c r="BH349" s="283"/>
    </row>
    <row r="350" spans="1:60" x14ac:dyDescent="0.3">
      <c r="A350">
        <f t="shared" si="136"/>
        <v>347</v>
      </c>
      <c r="B350" s="241" t="s">
        <v>1803</v>
      </c>
      <c r="C350" s="294" t="s">
        <v>2513</v>
      </c>
      <c r="D350" s="14">
        <v>45820</v>
      </c>
      <c r="E350" s="7"/>
      <c r="F350" s="7"/>
      <c r="G350" s="66"/>
      <c r="H350" s="59"/>
      <c r="I350" s="59">
        <v>510</v>
      </c>
      <c r="J350" s="47">
        <f t="shared" si="159"/>
        <v>510</v>
      </c>
      <c r="K350" s="8">
        <f t="shared" si="160"/>
        <v>510</v>
      </c>
      <c r="L350" s="96">
        <f t="shared" si="161"/>
        <v>1</v>
      </c>
      <c r="M350" s="81">
        <v>1067</v>
      </c>
      <c r="N350" s="8">
        <v>153</v>
      </c>
      <c r="O350" s="8">
        <v>60</v>
      </c>
      <c r="P350" s="96">
        <f t="shared" si="114"/>
        <v>0.82045367166474437</v>
      </c>
      <c r="Q350" s="59">
        <f t="shared" si="149"/>
        <v>1067</v>
      </c>
      <c r="R350" s="252">
        <f t="shared" si="171"/>
        <v>1080</v>
      </c>
      <c r="S350" s="263">
        <v>9</v>
      </c>
      <c r="T350" s="263">
        <v>3</v>
      </c>
      <c r="U350" s="263">
        <v>0</v>
      </c>
      <c r="V350" s="263">
        <v>0</v>
      </c>
      <c r="W350" s="263">
        <v>4</v>
      </c>
      <c r="X350" s="263">
        <v>3</v>
      </c>
      <c r="Y350" s="263">
        <v>1</v>
      </c>
      <c r="Z350" s="263">
        <v>0</v>
      </c>
      <c r="AA350" s="263">
        <v>0</v>
      </c>
      <c r="AB350" s="263">
        <v>11</v>
      </c>
      <c r="AC350" s="263">
        <v>2</v>
      </c>
      <c r="AD350" s="263">
        <v>0</v>
      </c>
      <c r="AE350" s="263"/>
      <c r="AF350" s="263"/>
      <c r="AG350" s="263"/>
      <c r="AH350" s="263"/>
      <c r="AI350" s="263"/>
      <c r="AJ350" s="259"/>
      <c r="AK350" s="263">
        <f t="shared" si="162"/>
        <v>0</v>
      </c>
      <c r="AL350" s="265">
        <f t="shared" si="172"/>
        <v>24</v>
      </c>
      <c r="AM350" s="6">
        <f t="shared" si="163"/>
        <v>0</v>
      </c>
      <c r="AN350" s="255">
        <f t="shared" si="173"/>
        <v>0.98796296296296293</v>
      </c>
      <c r="AO350" s="256">
        <f t="shared" si="174"/>
        <v>0.81057784043174275</v>
      </c>
      <c r="AP350" s="257">
        <f t="shared" si="175"/>
        <v>0</v>
      </c>
      <c r="AQ350" s="263">
        <f t="shared" si="164"/>
        <v>5.5</v>
      </c>
      <c r="AR350" s="263">
        <f t="shared" si="165"/>
        <v>0.4</v>
      </c>
      <c r="AS350" s="263">
        <f t="shared" si="166"/>
        <v>0</v>
      </c>
      <c r="AT350" s="263">
        <f t="shared" si="167"/>
        <v>5.9</v>
      </c>
      <c r="AU350" s="263"/>
      <c r="AV350" s="263"/>
      <c r="AW350" s="263"/>
      <c r="AX350" s="263">
        <f t="shared" si="168"/>
        <v>5.9</v>
      </c>
      <c r="BA350" s="282">
        <f t="shared" si="176"/>
        <v>418.43137254901961</v>
      </c>
      <c r="BB350">
        <v>1</v>
      </c>
      <c r="BC350">
        <f t="shared" si="169"/>
        <v>418.43137254901961</v>
      </c>
      <c r="BD350">
        <f t="shared" si="177"/>
        <v>510</v>
      </c>
      <c r="BE350">
        <f t="shared" si="178"/>
        <v>510</v>
      </c>
      <c r="BF350" s="281">
        <f t="shared" si="170"/>
        <v>0.82045367166474437</v>
      </c>
      <c r="BG350" s="282" t="s">
        <v>2481</v>
      </c>
      <c r="BH350" s="283"/>
    </row>
    <row r="351" spans="1:60" x14ac:dyDescent="0.3">
      <c r="A351">
        <f t="shared" si="136"/>
        <v>348</v>
      </c>
      <c r="B351" s="241" t="s">
        <v>1803</v>
      </c>
      <c r="C351" s="294" t="s">
        <v>2511</v>
      </c>
      <c r="D351" s="14">
        <v>45821</v>
      </c>
      <c r="E351" s="7">
        <v>45</v>
      </c>
      <c r="F351" s="7"/>
      <c r="G351" s="66"/>
      <c r="H351" s="59"/>
      <c r="I351" s="59">
        <v>480</v>
      </c>
      <c r="J351" s="47">
        <f t="shared" si="159"/>
        <v>480</v>
      </c>
      <c r="K351" s="8">
        <f t="shared" si="160"/>
        <v>435</v>
      </c>
      <c r="L351" s="96">
        <f t="shared" si="161"/>
        <v>0.90625</v>
      </c>
      <c r="M351" s="81">
        <v>1213</v>
      </c>
      <c r="N351" s="8">
        <v>153</v>
      </c>
      <c r="O351" s="8">
        <v>60</v>
      </c>
      <c r="P351" s="96">
        <f t="shared" si="114"/>
        <v>1.0935316655397791</v>
      </c>
      <c r="Q351" s="59">
        <f t="shared" si="149"/>
        <v>1213</v>
      </c>
      <c r="R351" s="252">
        <f t="shared" si="171"/>
        <v>1237</v>
      </c>
      <c r="S351" s="263">
        <v>2</v>
      </c>
      <c r="T351" s="263">
        <v>1</v>
      </c>
      <c r="U351" s="263">
        <v>0</v>
      </c>
      <c r="V351" s="263">
        <v>0</v>
      </c>
      <c r="W351" s="263">
        <v>4</v>
      </c>
      <c r="X351" s="263">
        <v>14</v>
      </c>
      <c r="Y351" s="263">
        <v>1</v>
      </c>
      <c r="Z351" s="263">
        <v>2</v>
      </c>
      <c r="AA351" s="263">
        <v>0</v>
      </c>
      <c r="AB351" s="263">
        <v>13</v>
      </c>
      <c r="AC351" s="263">
        <v>8</v>
      </c>
      <c r="AD351" s="263">
        <v>3</v>
      </c>
      <c r="AE351" s="263"/>
      <c r="AF351" s="263"/>
      <c r="AG351" s="263"/>
      <c r="AH351" s="263"/>
      <c r="AI351" s="263"/>
      <c r="AJ351" s="259"/>
      <c r="AK351" s="263">
        <f t="shared" si="162"/>
        <v>3</v>
      </c>
      <c r="AL351" s="265">
        <f t="shared" si="172"/>
        <v>24</v>
      </c>
      <c r="AM351" s="6">
        <f t="shared" si="163"/>
        <v>3</v>
      </c>
      <c r="AN351" s="255">
        <f t="shared" si="173"/>
        <v>0.98059822150363785</v>
      </c>
      <c r="AO351" s="256">
        <f t="shared" si="174"/>
        <v>0.97178565578751031</v>
      </c>
      <c r="AP351" s="257">
        <f t="shared" si="175"/>
        <v>2425.2223120452709</v>
      </c>
      <c r="AQ351" s="263">
        <f t="shared" si="164"/>
        <v>6.5</v>
      </c>
      <c r="AR351" s="263">
        <f t="shared" si="165"/>
        <v>1.6</v>
      </c>
      <c r="AS351" s="263">
        <f t="shared" si="166"/>
        <v>0.30000000000000004</v>
      </c>
      <c r="AT351" s="263">
        <f t="shared" si="167"/>
        <v>8.4</v>
      </c>
      <c r="AU351" s="263"/>
      <c r="AV351" s="263"/>
      <c r="AW351" s="263"/>
      <c r="AX351" s="263">
        <f t="shared" si="168"/>
        <v>8.4</v>
      </c>
      <c r="BA351" s="282">
        <f t="shared" si="176"/>
        <v>475.68627450980392</v>
      </c>
      <c r="BB351">
        <v>1</v>
      </c>
      <c r="BC351">
        <f t="shared" si="169"/>
        <v>475.68627450980392</v>
      </c>
      <c r="BD351">
        <f t="shared" si="177"/>
        <v>435</v>
      </c>
      <c r="BE351">
        <f t="shared" si="178"/>
        <v>480</v>
      </c>
      <c r="BF351" s="281">
        <f t="shared" si="170"/>
        <v>0.99101307189542487</v>
      </c>
      <c r="BG351" s="282" t="s">
        <v>2481</v>
      </c>
      <c r="BH351" s="283"/>
    </row>
    <row r="352" spans="1:60" x14ac:dyDescent="0.3">
      <c r="A352">
        <f t="shared" si="136"/>
        <v>349</v>
      </c>
      <c r="B352" s="241" t="s">
        <v>1803</v>
      </c>
      <c r="C352" s="294" t="s">
        <v>2512</v>
      </c>
      <c r="D352" s="14">
        <v>45821</v>
      </c>
      <c r="E352" s="7"/>
      <c r="F352" s="7"/>
      <c r="G352" s="66"/>
      <c r="H352" s="59"/>
      <c r="I352" s="59">
        <v>450</v>
      </c>
      <c r="J352" s="47">
        <f t="shared" si="159"/>
        <v>450</v>
      </c>
      <c r="K352" s="8">
        <f t="shared" si="160"/>
        <v>450</v>
      </c>
      <c r="L352" s="96">
        <f t="shared" si="161"/>
        <v>1</v>
      </c>
      <c r="M352" s="81">
        <v>826</v>
      </c>
      <c r="N352" s="8">
        <v>153</v>
      </c>
      <c r="O352" s="8">
        <v>60</v>
      </c>
      <c r="P352" s="96">
        <f t="shared" si="114"/>
        <v>0.71982570806100221</v>
      </c>
      <c r="Q352" s="59">
        <f t="shared" si="149"/>
        <v>826</v>
      </c>
      <c r="R352" s="252">
        <f t="shared" si="171"/>
        <v>842</v>
      </c>
      <c r="S352" s="263">
        <v>37</v>
      </c>
      <c r="T352" s="263">
        <v>1</v>
      </c>
      <c r="U352" s="263">
        <v>0</v>
      </c>
      <c r="V352" s="263">
        <v>0</v>
      </c>
      <c r="W352" s="263">
        <v>0</v>
      </c>
      <c r="X352" s="263">
        <v>0</v>
      </c>
      <c r="Y352" s="263">
        <v>2</v>
      </c>
      <c r="Z352" s="263">
        <v>0</v>
      </c>
      <c r="AA352" s="263">
        <v>0</v>
      </c>
      <c r="AB352" s="263">
        <v>14</v>
      </c>
      <c r="AC352" s="263">
        <v>2</v>
      </c>
      <c r="AD352" s="263">
        <v>0</v>
      </c>
      <c r="AE352" s="263"/>
      <c r="AF352" s="263"/>
      <c r="AG352" s="263"/>
      <c r="AH352" s="263"/>
      <c r="AI352" s="263"/>
      <c r="AJ352" s="259"/>
      <c r="AK352" s="263">
        <f t="shared" si="162"/>
        <v>0</v>
      </c>
      <c r="AL352" s="265">
        <f t="shared" si="172"/>
        <v>24</v>
      </c>
      <c r="AM352" s="6">
        <f t="shared" si="163"/>
        <v>0</v>
      </c>
      <c r="AN352" s="255">
        <f t="shared" si="173"/>
        <v>0.98099762470308793</v>
      </c>
      <c r="AO352" s="256">
        <f t="shared" si="174"/>
        <v>0.70614730980806162</v>
      </c>
      <c r="AP352" s="257">
        <f t="shared" si="175"/>
        <v>0</v>
      </c>
      <c r="AQ352" s="263">
        <f t="shared" si="164"/>
        <v>7</v>
      </c>
      <c r="AR352" s="263">
        <f t="shared" si="165"/>
        <v>0.4</v>
      </c>
      <c r="AS352" s="263">
        <f t="shared" si="166"/>
        <v>0</v>
      </c>
      <c r="AT352" s="263">
        <f t="shared" si="167"/>
        <v>7.4</v>
      </c>
      <c r="AU352" s="263"/>
      <c r="AV352" s="263"/>
      <c r="AW352" s="263"/>
      <c r="AX352" s="263">
        <f t="shared" si="168"/>
        <v>7.4</v>
      </c>
      <c r="BA352" s="282">
        <f t="shared" si="176"/>
        <v>323.92156862745099</v>
      </c>
      <c r="BB352">
        <v>1</v>
      </c>
      <c r="BC352">
        <f t="shared" si="169"/>
        <v>323.92156862745099</v>
      </c>
      <c r="BD352">
        <f t="shared" si="177"/>
        <v>450</v>
      </c>
      <c r="BE352">
        <f t="shared" si="178"/>
        <v>450</v>
      </c>
      <c r="BF352" s="281">
        <f t="shared" si="170"/>
        <v>0.71982570806100221</v>
      </c>
      <c r="BG352" s="282" t="s">
        <v>2549</v>
      </c>
      <c r="BH352" s="283"/>
    </row>
    <row r="353" spans="1:60" x14ac:dyDescent="0.3">
      <c r="A353">
        <f t="shared" si="136"/>
        <v>350</v>
      </c>
      <c r="B353" s="241" t="s">
        <v>1803</v>
      </c>
      <c r="C353" s="294" t="s">
        <v>2513</v>
      </c>
      <c r="D353" s="14">
        <v>45821</v>
      </c>
      <c r="E353" s="7"/>
      <c r="F353" s="7"/>
      <c r="G353" s="66"/>
      <c r="H353" s="59"/>
      <c r="I353" s="59">
        <v>510</v>
      </c>
      <c r="J353" s="47">
        <f t="shared" si="159"/>
        <v>510</v>
      </c>
      <c r="K353" s="8">
        <f t="shared" si="160"/>
        <v>510</v>
      </c>
      <c r="L353" s="96">
        <f t="shared" si="161"/>
        <v>1</v>
      </c>
      <c r="M353" s="81">
        <v>1201</v>
      </c>
      <c r="N353" s="8">
        <v>153</v>
      </c>
      <c r="O353" s="8">
        <v>60</v>
      </c>
      <c r="P353" s="96">
        <f t="shared" si="114"/>
        <v>0.92349096501345629</v>
      </c>
      <c r="Q353" s="59">
        <f t="shared" si="149"/>
        <v>1201</v>
      </c>
      <c r="R353" s="252">
        <f t="shared" si="171"/>
        <v>1228</v>
      </c>
      <c r="S353" s="263">
        <v>26</v>
      </c>
      <c r="T353" s="263">
        <v>2</v>
      </c>
      <c r="U353" s="263">
        <v>0</v>
      </c>
      <c r="V353" s="263">
        <v>0</v>
      </c>
      <c r="W353" s="263">
        <v>0</v>
      </c>
      <c r="X353" s="263">
        <v>12</v>
      </c>
      <c r="Y353" s="263">
        <v>1</v>
      </c>
      <c r="Z353" s="263">
        <v>0</v>
      </c>
      <c r="AA353" s="263">
        <v>0</v>
      </c>
      <c r="AB353" s="263">
        <v>25</v>
      </c>
      <c r="AC353" s="263">
        <v>2</v>
      </c>
      <c r="AD353" s="263">
        <v>0</v>
      </c>
      <c r="AE353" s="263"/>
      <c r="AF353" s="263"/>
      <c r="AG353" s="263"/>
      <c r="AH353" s="263"/>
      <c r="AI353" s="263"/>
      <c r="AJ353" s="259"/>
      <c r="AK353" s="263">
        <f t="shared" si="162"/>
        <v>0</v>
      </c>
      <c r="AL353" s="265">
        <f t="shared" si="172"/>
        <v>24</v>
      </c>
      <c r="AM353" s="6">
        <f t="shared" si="163"/>
        <v>0</v>
      </c>
      <c r="AN353" s="255">
        <f t="shared" si="173"/>
        <v>0.9780130293159609</v>
      </c>
      <c r="AO353" s="256">
        <f t="shared" si="174"/>
        <v>0.90318619623873042</v>
      </c>
      <c r="AP353" s="257">
        <f t="shared" si="175"/>
        <v>0</v>
      </c>
      <c r="AQ353" s="263">
        <f t="shared" si="164"/>
        <v>12.5</v>
      </c>
      <c r="AR353" s="263">
        <f t="shared" si="165"/>
        <v>0.4</v>
      </c>
      <c r="AS353" s="263">
        <f t="shared" si="166"/>
        <v>0</v>
      </c>
      <c r="AT353" s="263">
        <f t="shared" si="167"/>
        <v>12.9</v>
      </c>
      <c r="AU353" s="263"/>
      <c r="AV353" s="263"/>
      <c r="AW353" s="263"/>
      <c r="AX353" s="263">
        <f t="shared" si="168"/>
        <v>12.9</v>
      </c>
      <c r="BA353" s="282">
        <f t="shared" si="176"/>
        <v>470.98039215686271</v>
      </c>
      <c r="BB353">
        <v>1</v>
      </c>
      <c r="BC353">
        <f t="shared" si="169"/>
        <v>470.98039215686271</v>
      </c>
      <c r="BD353">
        <f t="shared" si="177"/>
        <v>510</v>
      </c>
      <c r="BE353">
        <f t="shared" si="178"/>
        <v>510</v>
      </c>
      <c r="BF353" s="281">
        <f t="shared" si="170"/>
        <v>0.92349096501345629</v>
      </c>
      <c r="BG353" s="282" t="s">
        <v>2547</v>
      </c>
      <c r="BH353" s="283"/>
    </row>
    <row r="354" spans="1:60" x14ac:dyDescent="0.3">
      <c r="A354">
        <f t="shared" si="136"/>
        <v>351</v>
      </c>
      <c r="B354" s="241" t="s">
        <v>1803</v>
      </c>
      <c r="C354" s="294" t="s">
        <v>2511</v>
      </c>
      <c r="D354" s="14">
        <v>45822</v>
      </c>
      <c r="E354" s="7">
        <v>45</v>
      </c>
      <c r="F354" s="7"/>
      <c r="G354" s="66"/>
      <c r="H354" s="59"/>
      <c r="I354" s="59">
        <v>480</v>
      </c>
      <c r="J354" s="47">
        <f t="shared" si="159"/>
        <v>480</v>
      </c>
      <c r="K354" s="8">
        <f t="shared" si="160"/>
        <v>435</v>
      </c>
      <c r="L354" s="96">
        <f t="shared" si="161"/>
        <v>0.90625</v>
      </c>
      <c r="M354" s="81">
        <v>1072</v>
      </c>
      <c r="N354" s="8">
        <v>153</v>
      </c>
      <c r="O354" s="8">
        <v>60</v>
      </c>
      <c r="P354" s="96">
        <f t="shared" si="114"/>
        <v>0.96641875140860933</v>
      </c>
      <c r="Q354" s="59">
        <f t="shared" si="149"/>
        <v>1072</v>
      </c>
      <c r="R354" s="252">
        <f t="shared" si="171"/>
        <v>1084</v>
      </c>
      <c r="S354" s="263">
        <v>5</v>
      </c>
      <c r="T354" s="263">
        <v>1</v>
      </c>
      <c r="U354" s="263">
        <v>0</v>
      </c>
      <c r="V354" s="263">
        <v>0</v>
      </c>
      <c r="W354" s="263">
        <v>4</v>
      </c>
      <c r="X354" s="263">
        <v>5</v>
      </c>
      <c r="Y354" s="263">
        <v>1</v>
      </c>
      <c r="Z354" s="263">
        <v>0</v>
      </c>
      <c r="AA354" s="263">
        <v>2</v>
      </c>
      <c r="AB354" s="263">
        <v>8</v>
      </c>
      <c r="AC354" s="263">
        <v>0</v>
      </c>
      <c r="AD354" s="263">
        <v>4</v>
      </c>
      <c r="AE354" s="263"/>
      <c r="AF354" s="263"/>
      <c r="AG354" s="263"/>
      <c r="AH354" s="263"/>
      <c r="AI354" s="263"/>
      <c r="AJ354" s="259"/>
      <c r="AK354" s="263">
        <f t="shared" si="162"/>
        <v>4</v>
      </c>
      <c r="AL354" s="265">
        <f t="shared" si="172"/>
        <v>24</v>
      </c>
      <c r="AM354" s="6">
        <f t="shared" si="163"/>
        <v>4</v>
      </c>
      <c r="AN354" s="255">
        <f t="shared" si="173"/>
        <v>0.98892988929889303</v>
      </c>
      <c r="AO354" s="256">
        <f t="shared" si="174"/>
        <v>0.86612160239249447</v>
      </c>
      <c r="AP354" s="257">
        <f t="shared" si="175"/>
        <v>3690.0369003690034</v>
      </c>
      <c r="AQ354" s="263">
        <f t="shared" si="164"/>
        <v>4</v>
      </c>
      <c r="AR354" s="263">
        <f t="shared" si="165"/>
        <v>0</v>
      </c>
      <c r="AS354" s="263">
        <f t="shared" si="166"/>
        <v>0.4</v>
      </c>
      <c r="AT354" s="263">
        <f t="shared" si="167"/>
        <v>4.4000000000000004</v>
      </c>
      <c r="AU354" s="263"/>
      <c r="AV354" s="263"/>
      <c r="AW354" s="263"/>
      <c r="AX354" s="263">
        <f t="shared" si="168"/>
        <v>4.4000000000000004</v>
      </c>
      <c r="BA354" s="282">
        <f t="shared" si="176"/>
        <v>420.39215686274508</v>
      </c>
      <c r="BB354">
        <v>1</v>
      </c>
      <c r="BC354">
        <f t="shared" si="169"/>
        <v>420.39215686274508</v>
      </c>
      <c r="BD354">
        <f t="shared" si="177"/>
        <v>435</v>
      </c>
      <c r="BE354">
        <f t="shared" si="178"/>
        <v>480</v>
      </c>
      <c r="BF354" s="281">
        <f t="shared" si="170"/>
        <v>0.87581699346405228</v>
      </c>
      <c r="BG354" s="282" t="s">
        <v>2481</v>
      </c>
      <c r="BH354" s="283"/>
    </row>
    <row r="355" spans="1:60" x14ac:dyDescent="0.3">
      <c r="A355">
        <f t="shared" si="136"/>
        <v>352</v>
      </c>
      <c r="B355" s="241" t="s">
        <v>1803</v>
      </c>
      <c r="C355" s="294" t="s">
        <v>2512</v>
      </c>
      <c r="D355" s="14">
        <v>45822</v>
      </c>
      <c r="E355" s="7"/>
      <c r="F355" s="7"/>
      <c r="G355" s="66"/>
      <c r="H355" s="59"/>
      <c r="I355" s="59">
        <v>450</v>
      </c>
      <c r="J355" s="47">
        <f t="shared" si="159"/>
        <v>450</v>
      </c>
      <c r="K355" s="8">
        <f t="shared" si="160"/>
        <v>450</v>
      </c>
      <c r="L355" s="96">
        <f t="shared" si="161"/>
        <v>1</v>
      </c>
      <c r="M355" s="81">
        <v>1035</v>
      </c>
      <c r="N355" s="8">
        <v>153</v>
      </c>
      <c r="O355" s="8">
        <v>60</v>
      </c>
      <c r="P355" s="96">
        <f t="shared" si="114"/>
        <v>0.90196078431372551</v>
      </c>
      <c r="Q355" s="59">
        <f t="shared" si="149"/>
        <v>1035</v>
      </c>
      <c r="R355" s="252">
        <f t="shared" si="171"/>
        <v>1046</v>
      </c>
      <c r="S355" s="263">
        <v>4</v>
      </c>
      <c r="T355" s="263">
        <v>1</v>
      </c>
      <c r="U355" s="263">
        <v>0</v>
      </c>
      <c r="V355" s="263">
        <v>0</v>
      </c>
      <c r="W355" s="263">
        <v>2</v>
      </c>
      <c r="X355" s="263">
        <v>0</v>
      </c>
      <c r="Y355" s="263">
        <v>1</v>
      </c>
      <c r="Z355" s="263">
        <v>0</v>
      </c>
      <c r="AA355" s="263">
        <v>0</v>
      </c>
      <c r="AB355" s="263">
        <v>5</v>
      </c>
      <c r="AC355" s="263">
        <v>4</v>
      </c>
      <c r="AD355" s="263">
        <v>2</v>
      </c>
      <c r="AE355" s="263"/>
      <c r="AF355" s="263"/>
      <c r="AG355" s="263"/>
      <c r="AH355" s="263"/>
      <c r="AI355" s="263"/>
      <c r="AJ355" s="259"/>
      <c r="AK355" s="263">
        <f t="shared" si="162"/>
        <v>2</v>
      </c>
      <c r="AL355" s="265">
        <f t="shared" si="172"/>
        <v>24</v>
      </c>
      <c r="AM355" s="6">
        <f t="shared" si="163"/>
        <v>2</v>
      </c>
      <c r="AN355" s="255">
        <f t="shared" si="173"/>
        <v>0.98948374760994262</v>
      </c>
      <c r="AO355" s="256">
        <f t="shared" si="174"/>
        <v>0.89247553705994831</v>
      </c>
      <c r="AP355" s="257">
        <f t="shared" si="175"/>
        <v>1912.0458891013384</v>
      </c>
      <c r="AQ355" s="263">
        <f t="shared" si="164"/>
        <v>2.5</v>
      </c>
      <c r="AR355" s="263">
        <f t="shared" si="165"/>
        <v>0.8</v>
      </c>
      <c r="AS355" s="263">
        <f t="shared" si="166"/>
        <v>0.2</v>
      </c>
      <c r="AT355" s="263">
        <f t="shared" si="167"/>
        <v>3.5</v>
      </c>
      <c r="AU355" s="263"/>
      <c r="AV355" s="263"/>
      <c r="AW355" s="263"/>
      <c r="AX355" s="263">
        <f t="shared" si="168"/>
        <v>3.5</v>
      </c>
      <c r="BA355" s="282">
        <f t="shared" si="176"/>
        <v>405.88235294117646</v>
      </c>
      <c r="BB355">
        <v>1</v>
      </c>
      <c r="BC355">
        <f t="shared" si="169"/>
        <v>405.88235294117646</v>
      </c>
      <c r="BD355">
        <f t="shared" si="177"/>
        <v>450</v>
      </c>
      <c r="BE355">
        <f t="shared" si="178"/>
        <v>450</v>
      </c>
      <c r="BF355" s="281">
        <f t="shared" si="170"/>
        <v>0.90196078431372551</v>
      </c>
      <c r="BG355" s="282" t="s">
        <v>2549</v>
      </c>
      <c r="BH355" s="283"/>
    </row>
    <row r="356" spans="1:60" x14ac:dyDescent="0.3">
      <c r="A356">
        <f t="shared" si="136"/>
        <v>353</v>
      </c>
      <c r="B356" s="241" t="s">
        <v>1803</v>
      </c>
      <c r="C356" s="294" t="s">
        <v>2511</v>
      </c>
      <c r="D356" s="14">
        <v>45824</v>
      </c>
      <c r="E356" s="7"/>
      <c r="F356" s="7"/>
      <c r="G356" s="66"/>
      <c r="H356" s="59"/>
      <c r="I356" s="59">
        <v>480</v>
      </c>
      <c r="J356" s="47">
        <f t="shared" si="159"/>
        <v>480</v>
      </c>
      <c r="K356" s="8">
        <f t="shared" si="160"/>
        <v>480</v>
      </c>
      <c r="L356" s="96">
        <f t="shared" si="161"/>
        <v>1</v>
      </c>
      <c r="M356" s="81">
        <v>982</v>
      </c>
      <c r="N356" s="8">
        <v>153</v>
      </c>
      <c r="O356" s="8">
        <v>60</v>
      </c>
      <c r="P356" s="96">
        <f t="shared" si="114"/>
        <v>0.80228758169934644</v>
      </c>
      <c r="Q356" s="59">
        <f t="shared" si="149"/>
        <v>982</v>
      </c>
      <c r="R356" s="252">
        <f t="shared" si="171"/>
        <v>987</v>
      </c>
      <c r="S356" s="263">
        <v>1</v>
      </c>
      <c r="T356" s="263">
        <v>4</v>
      </c>
      <c r="U356" s="263">
        <v>0</v>
      </c>
      <c r="V356" s="263">
        <v>1</v>
      </c>
      <c r="W356" s="263">
        <v>6</v>
      </c>
      <c r="X356" s="263">
        <v>5</v>
      </c>
      <c r="Y356" s="263">
        <v>0</v>
      </c>
      <c r="Z356" s="263">
        <v>0</v>
      </c>
      <c r="AA356" s="263">
        <v>0</v>
      </c>
      <c r="AB356" s="263">
        <v>0</v>
      </c>
      <c r="AC356" s="263">
        <v>4</v>
      </c>
      <c r="AD356" s="263">
        <v>1</v>
      </c>
      <c r="AE356" s="263"/>
      <c r="AF356" s="263"/>
      <c r="AG356" s="263"/>
      <c r="AH356" s="263"/>
      <c r="AI356" s="263"/>
      <c r="AJ356" s="259"/>
      <c r="AK356" s="263">
        <f t="shared" si="162"/>
        <v>1</v>
      </c>
      <c r="AL356" s="265">
        <f t="shared" si="172"/>
        <v>25</v>
      </c>
      <c r="AM356" s="6">
        <f t="shared" si="163"/>
        <v>1</v>
      </c>
      <c r="AN356" s="255">
        <f t="shared" si="173"/>
        <v>0.99493414387031409</v>
      </c>
      <c r="AO356" s="256">
        <f t="shared" si="174"/>
        <v>0.79822330823582388</v>
      </c>
      <c r="AP356" s="257">
        <f t="shared" si="175"/>
        <v>1013.1712259371834</v>
      </c>
      <c r="AQ356" s="263">
        <f t="shared" si="164"/>
        <v>0</v>
      </c>
      <c r="AR356" s="263">
        <f t="shared" si="165"/>
        <v>0.8</v>
      </c>
      <c r="AS356" s="263">
        <f t="shared" si="166"/>
        <v>0.1</v>
      </c>
      <c r="AT356" s="263">
        <f t="shared" si="167"/>
        <v>0.9</v>
      </c>
      <c r="AU356" s="263"/>
      <c r="AV356" s="263"/>
      <c r="AW356" s="263"/>
      <c r="AX356" s="263">
        <f t="shared" si="168"/>
        <v>0.9</v>
      </c>
      <c r="BA356" s="282">
        <f t="shared" si="176"/>
        <v>385.0980392156863</v>
      </c>
      <c r="BB356">
        <v>1</v>
      </c>
      <c r="BC356">
        <f t="shared" si="169"/>
        <v>385.0980392156863</v>
      </c>
      <c r="BD356">
        <f t="shared" si="177"/>
        <v>480</v>
      </c>
      <c r="BE356">
        <f t="shared" si="178"/>
        <v>480</v>
      </c>
      <c r="BF356" s="281">
        <f t="shared" si="170"/>
        <v>0.80228758169934644</v>
      </c>
      <c r="BG356" s="282" t="s">
        <v>2481</v>
      </c>
      <c r="BH356" s="283"/>
    </row>
    <row r="357" spans="1:60" x14ac:dyDescent="0.3">
      <c r="A357">
        <f t="shared" si="136"/>
        <v>354</v>
      </c>
      <c r="B357" s="241" t="s">
        <v>1803</v>
      </c>
      <c r="C357" s="294" t="s">
        <v>2512</v>
      </c>
      <c r="D357" s="14">
        <v>45824</v>
      </c>
      <c r="E357" s="7"/>
      <c r="F357" s="7"/>
      <c r="G357" s="66"/>
      <c r="H357" s="59"/>
      <c r="I357" s="59">
        <v>450</v>
      </c>
      <c r="J357" s="47">
        <f t="shared" si="159"/>
        <v>450</v>
      </c>
      <c r="K357" s="8">
        <f t="shared" si="160"/>
        <v>450</v>
      </c>
      <c r="L357" s="96">
        <f t="shared" si="161"/>
        <v>1</v>
      </c>
      <c r="M357" s="81">
        <v>1247</v>
      </c>
      <c r="N357" s="8">
        <v>153</v>
      </c>
      <c r="O357" s="8">
        <v>60</v>
      </c>
      <c r="P357" s="96">
        <f t="shared" si="114"/>
        <v>1.0867102396514161</v>
      </c>
      <c r="Q357" s="59">
        <f t="shared" si="149"/>
        <v>1247</v>
      </c>
      <c r="R357" s="252">
        <f t="shared" si="171"/>
        <v>1250</v>
      </c>
      <c r="S357" s="263">
        <v>9</v>
      </c>
      <c r="T357" s="263">
        <v>1</v>
      </c>
      <c r="U357" s="263">
        <v>0</v>
      </c>
      <c r="V357" s="263">
        <v>0</v>
      </c>
      <c r="W357" s="263">
        <v>6</v>
      </c>
      <c r="X357" s="263">
        <v>0</v>
      </c>
      <c r="Y357" s="263">
        <v>2</v>
      </c>
      <c r="Z357" s="263">
        <v>4</v>
      </c>
      <c r="AA357" s="263">
        <v>0</v>
      </c>
      <c r="AB357" s="263">
        <v>1</v>
      </c>
      <c r="AC357" s="263">
        <v>0</v>
      </c>
      <c r="AD357" s="263">
        <v>2</v>
      </c>
      <c r="AE357" s="263"/>
      <c r="AF357" s="263"/>
      <c r="AG357" s="263"/>
      <c r="AH357" s="263"/>
      <c r="AI357" s="263"/>
      <c r="AJ357" s="259"/>
      <c r="AK357" s="263">
        <f t="shared" si="162"/>
        <v>2</v>
      </c>
      <c r="AL357" s="265">
        <f t="shared" si="172"/>
        <v>25</v>
      </c>
      <c r="AM357" s="6">
        <f t="shared" si="163"/>
        <v>2</v>
      </c>
      <c r="AN357" s="255">
        <f t="shared" si="173"/>
        <v>0.99760000000000004</v>
      </c>
      <c r="AO357" s="256">
        <f t="shared" si="174"/>
        <v>1.0841021350762527</v>
      </c>
      <c r="AP357" s="257">
        <f t="shared" si="175"/>
        <v>1600</v>
      </c>
      <c r="AQ357" s="263">
        <f t="shared" si="164"/>
        <v>0.5</v>
      </c>
      <c r="AR357" s="263">
        <f t="shared" si="165"/>
        <v>0</v>
      </c>
      <c r="AS357" s="263">
        <f t="shared" si="166"/>
        <v>0.2</v>
      </c>
      <c r="AT357" s="263">
        <f t="shared" si="167"/>
        <v>0.7</v>
      </c>
      <c r="AU357" s="263"/>
      <c r="AV357" s="263"/>
      <c r="AW357" s="263"/>
      <c r="AX357" s="263">
        <f t="shared" si="168"/>
        <v>0.7</v>
      </c>
      <c r="BA357" s="282">
        <f t="shared" si="176"/>
        <v>489.01960784313724</v>
      </c>
      <c r="BB357">
        <v>1</v>
      </c>
      <c r="BC357">
        <f t="shared" si="169"/>
        <v>489.01960784313724</v>
      </c>
      <c r="BD357">
        <f t="shared" si="177"/>
        <v>450</v>
      </c>
      <c r="BE357">
        <f t="shared" si="178"/>
        <v>450</v>
      </c>
      <c r="BF357" s="281">
        <f t="shared" si="170"/>
        <v>1.0867102396514161</v>
      </c>
      <c r="BG357" s="282" t="s">
        <v>2549</v>
      </c>
      <c r="BH357" s="283"/>
    </row>
    <row r="358" spans="1:60" x14ac:dyDescent="0.3">
      <c r="A358">
        <f t="shared" si="136"/>
        <v>355</v>
      </c>
      <c r="B358" s="241" t="s">
        <v>1803</v>
      </c>
      <c r="C358" s="294" t="s">
        <v>2513</v>
      </c>
      <c r="D358" s="14">
        <v>45824</v>
      </c>
      <c r="E358" s="7"/>
      <c r="F358" s="7"/>
      <c r="G358" s="66"/>
      <c r="H358" s="59"/>
      <c r="I358" s="59">
        <v>510</v>
      </c>
      <c r="J358" s="47">
        <f t="shared" si="159"/>
        <v>510</v>
      </c>
      <c r="K358" s="8">
        <f t="shared" si="160"/>
        <v>510</v>
      </c>
      <c r="L358" s="96">
        <f t="shared" si="161"/>
        <v>1</v>
      </c>
      <c r="M358" s="81">
        <v>1157</v>
      </c>
      <c r="N358" s="8">
        <v>153</v>
      </c>
      <c r="O358" s="8">
        <v>60</v>
      </c>
      <c r="P358" s="96">
        <f t="shared" si="114"/>
        <v>0.88965782391387926</v>
      </c>
      <c r="Q358" s="59">
        <f t="shared" si="149"/>
        <v>1157</v>
      </c>
      <c r="R358" s="252">
        <f t="shared" si="171"/>
        <v>1161</v>
      </c>
      <c r="S358" s="263">
        <v>2</v>
      </c>
      <c r="T358" s="263">
        <v>0</v>
      </c>
      <c r="U358" s="263">
        <v>0</v>
      </c>
      <c r="V358" s="263">
        <v>0</v>
      </c>
      <c r="W358" s="263">
        <v>4</v>
      </c>
      <c r="X358" s="263">
        <v>0</v>
      </c>
      <c r="Y358" s="263">
        <v>1</v>
      </c>
      <c r="Z358" s="263">
        <v>8</v>
      </c>
      <c r="AA358" s="263">
        <v>1</v>
      </c>
      <c r="AB358" s="263">
        <v>0</v>
      </c>
      <c r="AC358" s="263">
        <v>3</v>
      </c>
      <c r="AD358" s="263">
        <v>1</v>
      </c>
      <c r="AE358" s="263"/>
      <c r="AF358" s="263"/>
      <c r="AG358" s="263"/>
      <c r="AH358" s="263"/>
      <c r="AI358" s="263"/>
      <c r="AJ358" s="259"/>
      <c r="AK358" s="263">
        <f t="shared" si="162"/>
        <v>1</v>
      </c>
      <c r="AL358" s="265">
        <f t="shared" si="172"/>
        <v>25</v>
      </c>
      <c r="AM358" s="6">
        <f t="shared" si="163"/>
        <v>1</v>
      </c>
      <c r="AN358" s="255">
        <f t="shared" si="173"/>
        <v>0.9965546942291128</v>
      </c>
      <c r="AO358" s="256">
        <f t="shared" si="174"/>
        <v>0.88659268067903385</v>
      </c>
      <c r="AP358" s="257">
        <f t="shared" si="175"/>
        <v>861.32644272179152</v>
      </c>
      <c r="AQ358" s="263">
        <f t="shared" si="164"/>
        <v>0</v>
      </c>
      <c r="AR358" s="263">
        <f t="shared" si="165"/>
        <v>0.60000000000000009</v>
      </c>
      <c r="AS358" s="263">
        <f t="shared" si="166"/>
        <v>0.1</v>
      </c>
      <c r="AT358" s="263">
        <f t="shared" si="167"/>
        <v>0.70000000000000007</v>
      </c>
      <c r="AU358" s="263"/>
      <c r="AV358" s="263"/>
      <c r="AW358" s="263"/>
      <c r="AX358" s="263">
        <f t="shared" si="168"/>
        <v>0.70000000000000007</v>
      </c>
      <c r="BA358" s="282">
        <f t="shared" si="176"/>
        <v>453.7254901960784</v>
      </c>
      <c r="BB358">
        <v>1</v>
      </c>
      <c r="BC358">
        <f t="shared" si="169"/>
        <v>453.7254901960784</v>
      </c>
      <c r="BD358">
        <f t="shared" si="177"/>
        <v>510</v>
      </c>
      <c r="BE358">
        <f t="shared" si="178"/>
        <v>510</v>
      </c>
      <c r="BF358" s="281">
        <f t="shared" si="170"/>
        <v>0.88965782391387926</v>
      </c>
      <c r="BG358" s="282" t="s">
        <v>2547</v>
      </c>
      <c r="BH358" s="283"/>
    </row>
    <row r="359" spans="1:60" x14ac:dyDescent="0.3">
      <c r="A359">
        <f t="shared" si="136"/>
        <v>356</v>
      </c>
      <c r="B359" s="241" t="s">
        <v>1803</v>
      </c>
      <c r="C359" s="294" t="s">
        <v>2511</v>
      </c>
      <c r="D359" s="14">
        <v>45825</v>
      </c>
      <c r="E359" s="7"/>
      <c r="F359" s="7"/>
      <c r="G359" s="66"/>
      <c r="H359" s="59"/>
      <c r="I359" s="59">
        <v>480</v>
      </c>
      <c r="J359" s="47">
        <f t="shared" si="159"/>
        <v>480</v>
      </c>
      <c r="K359" s="8">
        <f t="shared" si="160"/>
        <v>480</v>
      </c>
      <c r="L359" s="96">
        <f t="shared" si="161"/>
        <v>1</v>
      </c>
      <c r="M359" s="81">
        <v>1084</v>
      </c>
      <c r="N359" s="8">
        <v>153</v>
      </c>
      <c r="O359" s="8">
        <v>60</v>
      </c>
      <c r="P359" s="96">
        <f t="shared" si="114"/>
        <v>0.8856209150326797</v>
      </c>
      <c r="Q359" s="59">
        <f t="shared" si="149"/>
        <v>1084</v>
      </c>
      <c r="R359" s="252">
        <f t="shared" si="171"/>
        <v>1091</v>
      </c>
      <c r="S359" s="263">
        <v>6</v>
      </c>
      <c r="T359" s="263">
        <v>3</v>
      </c>
      <c r="U359" s="263">
        <v>0</v>
      </c>
      <c r="V359" s="263">
        <v>0</v>
      </c>
      <c r="W359" s="263">
        <v>2</v>
      </c>
      <c r="X359" s="263">
        <v>3</v>
      </c>
      <c r="Y359" s="263">
        <v>1</v>
      </c>
      <c r="Z359" s="263">
        <v>1</v>
      </c>
      <c r="AA359" s="263">
        <v>1</v>
      </c>
      <c r="AB359" s="263">
        <v>2</v>
      </c>
      <c r="AC359" s="263">
        <v>3</v>
      </c>
      <c r="AD359" s="263">
        <v>2</v>
      </c>
      <c r="AE359" s="263"/>
      <c r="AF359" s="263"/>
      <c r="AG359" s="263"/>
      <c r="AH359" s="263"/>
      <c r="AI359" s="263"/>
      <c r="AJ359" s="259"/>
      <c r="AK359" s="263">
        <f t="shared" si="162"/>
        <v>2</v>
      </c>
      <c r="AL359" s="265">
        <f t="shared" si="172"/>
        <v>25</v>
      </c>
      <c r="AM359" s="6">
        <f t="shared" si="163"/>
        <v>2</v>
      </c>
      <c r="AN359" s="255">
        <f t="shared" si="173"/>
        <v>0.99358386801099907</v>
      </c>
      <c r="AO359" s="256">
        <f t="shared" si="174"/>
        <v>0.87993865434961027</v>
      </c>
      <c r="AP359" s="257">
        <f t="shared" si="175"/>
        <v>1833.1805682859763</v>
      </c>
      <c r="AQ359" s="263">
        <f t="shared" si="164"/>
        <v>1</v>
      </c>
      <c r="AR359" s="263">
        <f t="shared" si="165"/>
        <v>0.60000000000000009</v>
      </c>
      <c r="AS359" s="263">
        <f t="shared" si="166"/>
        <v>0.2</v>
      </c>
      <c r="AT359" s="263">
        <f t="shared" si="167"/>
        <v>1.8</v>
      </c>
      <c r="AU359" s="263"/>
      <c r="AV359" s="263"/>
      <c r="AW359" s="263"/>
      <c r="AX359" s="263">
        <f t="shared" si="168"/>
        <v>1.8</v>
      </c>
      <c r="BA359" s="282">
        <f t="shared" si="176"/>
        <v>425.09803921568624</v>
      </c>
      <c r="BB359">
        <v>1</v>
      </c>
      <c r="BC359">
        <f t="shared" si="169"/>
        <v>425.09803921568624</v>
      </c>
      <c r="BD359">
        <f t="shared" si="177"/>
        <v>480</v>
      </c>
      <c r="BE359">
        <f t="shared" si="178"/>
        <v>480</v>
      </c>
      <c r="BF359" s="281">
        <f t="shared" si="170"/>
        <v>0.8856209150326797</v>
      </c>
      <c r="BG359" s="282"/>
      <c r="BH359" s="283"/>
    </row>
    <row r="360" spans="1:60" x14ac:dyDescent="0.3">
      <c r="A360">
        <f t="shared" si="136"/>
        <v>357</v>
      </c>
      <c r="B360" s="241" t="s">
        <v>1803</v>
      </c>
      <c r="C360" s="294" t="s">
        <v>2512</v>
      </c>
      <c r="D360" s="14">
        <v>45825</v>
      </c>
      <c r="E360" s="7"/>
      <c r="F360" s="7"/>
      <c r="G360" s="66"/>
      <c r="H360" s="59"/>
      <c r="I360" s="59">
        <v>450</v>
      </c>
      <c r="J360" s="47">
        <f t="shared" si="159"/>
        <v>450</v>
      </c>
      <c r="K360" s="8">
        <f t="shared" si="160"/>
        <v>450</v>
      </c>
      <c r="L360" s="96">
        <f t="shared" si="161"/>
        <v>1</v>
      </c>
      <c r="M360" s="81">
        <v>1146</v>
      </c>
      <c r="N360" s="8">
        <v>153</v>
      </c>
      <c r="O360" s="8">
        <v>60</v>
      </c>
      <c r="P360" s="96">
        <f t="shared" si="114"/>
        <v>0.99869281045751634</v>
      </c>
      <c r="Q360" s="59">
        <f t="shared" si="149"/>
        <v>1146</v>
      </c>
      <c r="R360" s="252">
        <f t="shared" si="171"/>
        <v>1153</v>
      </c>
      <c r="S360" s="263">
        <v>10</v>
      </c>
      <c r="T360" s="263">
        <v>0</v>
      </c>
      <c r="U360" s="263">
        <v>0</v>
      </c>
      <c r="V360" s="263">
        <v>0</v>
      </c>
      <c r="W360" s="263">
        <v>2</v>
      </c>
      <c r="X360" s="263">
        <v>3</v>
      </c>
      <c r="Y360" s="263">
        <v>0</v>
      </c>
      <c r="Z360" s="263">
        <v>1</v>
      </c>
      <c r="AA360" s="263">
        <v>1</v>
      </c>
      <c r="AB360" s="263">
        <v>2</v>
      </c>
      <c r="AC360" s="263">
        <v>4</v>
      </c>
      <c r="AD360" s="263">
        <v>1</v>
      </c>
      <c r="AE360" s="263"/>
      <c r="AF360" s="263"/>
      <c r="AG360" s="263"/>
      <c r="AH360" s="263"/>
      <c r="AI360" s="263"/>
      <c r="AJ360" s="259"/>
      <c r="AK360" s="263">
        <f t="shared" si="162"/>
        <v>1</v>
      </c>
      <c r="AL360" s="265">
        <f t="shared" si="172"/>
        <v>25</v>
      </c>
      <c r="AM360" s="6">
        <f t="shared" si="163"/>
        <v>1</v>
      </c>
      <c r="AN360" s="255">
        <f t="shared" si="173"/>
        <v>0.99392888117953171</v>
      </c>
      <c r="AO360" s="256">
        <f t="shared" si="174"/>
        <v>0.99262962774008134</v>
      </c>
      <c r="AP360" s="257">
        <f t="shared" si="175"/>
        <v>867.30268863833476</v>
      </c>
      <c r="AQ360" s="263">
        <f t="shared" si="164"/>
        <v>1</v>
      </c>
      <c r="AR360" s="263">
        <f t="shared" si="165"/>
        <v>0.8</v>
      </c>
      <c r="AS360" s="263">
        <f t="shared" si="166"/>
        <v>0.1</v>
      </c>
      <c r="AT360" s="263">
        <f t="shared" si="167"/>
        <v>1.9000000000000001</v>
      </c>
      <c r="AU360" s="263"/>
      <c r="AV360" s="263"/>
      <c r="AW360" s="263"/>
      <c r="AX360" s="263">
        <f t="shared" si="168"/>
        <v>1.9000000000000001</v>
      </c>
      <c r="BA360" s="282">
        <f t="shared" si="176"/>
        <v>449.41176470588238</v>
      </c>
      <c r="BB360">
        <v>1</v>
      </c>
      <c r="BC360">
        <f t="shared" si="169"/>
        <v>449.41176470588238</v>
      </c>
      <c r="BD360">
        <f t="shared" si="177"/>
        <v>450</v>
      </c>
      <c r="BE360">
        <f t="shared" si="178"/>
        <v>450</v>
      </c>
      <c r="BF360" s="281">
        <f t="shared" si="170"/>
        <v>0.99869281045751634</v>
      </c>
      <c r="BG360" s="282"/>
      <c r="BH360" s="283"/>
    </row>
    <row r="361" spans="1:60" x14ac:dyDescent="0.3">
      <c r="A361">
        <f t="shared" si="136"/>
        <v>358</v>
      </c>
      <c r="B361" s="241" t="s">
        <v>2585</v>
      </c>
      <c r="C361" s="294" t="s">
        <v>2513</v>
      </c>
      <c r="D361" s="14">
        <v>45825</v>
      </c>
      <c r="E361" s="7"/>
      <c r="F361" s="7"/>
      <c r="G361" s="66"/>
      <c r="H361" s="59"/>
      <c r="I361" s="59">
        <v>510</v>
      </c>
      <c r="J361" s="47">
        <f t="shared" si="159"/>
        <v>510</v>
      </c>
      <c r="K361" s="8">
        <f t="shared" si="160"/>
        <v>510</v>
      </c>
      <c r="L361" s="96">
        <f t="shared" si="161"/>
        <v>1</v>
      </c>
      <c r="M361" s="81">
        <v>446</v>
      </c>
      <c r="N361" s="8">
        <v>153</v>
      </c>
      <c r="O361" s="8">
        <v>60</v>
      </c>
      <c r="P361" s="96">
        <f t="shared" si="114"/>
        <v>0.34294502114571318</v>
      </c>
      <c r="Q361" s="59">
        <f t="shared" si="149"/>
        <v>446</v>
      </c>
      <c r="R361" s="252">
        <f t="shared" si="171"/>
        <v>446</v>
      </c>
      <c r="S361" s="263"/>
      <c r="T361" s="263"/>
      <c r="U361" s="263"/>
      <c r="V361" s="263"/>
      <c r="W361" s="263"/>
      <c r="X361" s="263"/>
      <c r="Y361" s="263"/>
      <c r="Z361" s="263"/>
      <c r="AA361" s="263"/>
      <c r="AB361" s="263"/>
      <c r="AC361" s="263"/>
      <c r="AD361" s="263"/>
      <c r="AE361" s="263"/>
      <c r="AF361" s="263"/>
      <c r="AG361" s="263"/>
      <c r="AH361" s="263"/>
      <c r="AI361" s="263"/>
      <c r="AJ361" s="259"/>
      <c r="AK361" s="263">
        <f t="shared" si="162"/>
        <v>0</v>
      </c>
      <c r="AL361" s="265">
        <f t="shared" si="172"/>
        <v>25</v>
      </c>
      <c r="AM361" s="6">
        <f t="shared" si="163"/>
        <v>0</v>
      </c>
      <c r="AN361" s="255">
        <f t="shared" si="173"/>
        <v>1</v>
      </c>
      <c r="AO361" s="256">
        <f t="shared" si="174"/>
        <v>0.34294502114571318</v>
      </c>
      <c r="AP361" s="257">
        <f t="shared" si="175"/>
        <v>0</v>
      </c>
      <c r="AQ361" s="263">
        <f t="shared" si="164"/>
        <v>0</v>
      </c>
      <c r="AR361" s="263">
        <f t="shared" si="165"/>
        <v>0</v>
      </c>
      <c r="AS361" s="263">
        <f t="shared" si="166"/>
        <v>0</v>
      </c>
      <c r="AT361" s="263">
        <f t="shared" si="167"/>
        <v>0</v>
      </c>
      <c r="AU361" s="263"/>
      <c r="AV361" s="263"/>
      <c r="AW361" s="263"/>
      <c r="AX361" s="263">
        <f t="shared" si="168"/>
        <v>0</v>
      </c>
      <c r="BA361" s="282">
        <f t="shared" si="176"/>
        <v>174.90196078431373</v>
      </c>
      <c r="BB361">
        <v>1</v>
      </c>
      <c r="BC361">
        <f t="shared" si="169"/>
        <v>174.90196078431373</v>
      </c>
      <c r="BD361">
        <f t="shared" si="177"/>
        <v>510</v>
      </c>
      <c r="BE361">
        <f t="shared" si="178"/>
        <v>510</v>
      </c>
      <c r="BF361" s="281">
        <f t="shared" si="170"/>
        <v>0.34294502114571318</v>
      </c>
      <c r="BG361" s="282"/>
      <c r="BH361" s="283"/>
    </row>
    <row r="362" spans="1:60" x14ac:dyDescent="0.3">
      <c r="A362">
        <f t="shared" si="136"/>
        <v>359</v>
      </c>
      <c r="B362" s="295" t="s">
        <v>2587</v>
      </c>
      <c r="C362" s="294" t="s">
        <v>2511</v>
      </c>
      <c r="D362" s="14">
        <v>45826</v>
      </c>
      <c r="E362" s="7"/>
      <c r="F362" s="7"/>
      <c r="G362" s="66"/>
      <c r="H362" s="59"/>
      <c r="I362" s="59"/>
      <c r="J362" s="47">
        <f t="shared" si="159"/>
        <v>0</v>
      </c>
      <c r="K362" s="8">
        <f t="shared" si="160"/>
        <v>0</v>
      </c>
      <c r="L362" s="96" t="str">
        <f t="shared" si="161"/>
        <v/>
      </c>
      <c r="M362" s="81"/>
      <c r="N362" s="8">
        <v>153</v>
      </c>
      <c r="O362" s="8">
        <v>60</v>
      </c>
      <c r="P362" s="96" t="str">
        <f t="shared" si="114"/>
        <v/>
      </c>
      <c r="Q362" s="59">
        <f t="shared" si="149"/>
        <v>0</v>
      </c>
      <c r="R362" s="252">
        <f t="shared" si="171"/>
        <v>0</v>
      </c>
      <c r="S362" s="263"/>
      <c r="T362" s="263"/>
      <c r="U362" s="263"/>
      <c r="V362" s="263"/>
      <c r="W362" s="263"/>
      <c r="X362" s="263"/>
      <c r="Y362" s="263"/>
      <c r="Z362" s="263"/>
      <c r="AA362" s="263"/>
      <c r="AB362" s="263"/>
      <c r="AC362" s="263"/>
      <c r="AD362" s="263"/>
      <c r="AE362" s="263"/>
      <c r="AF362" s="263"/>
      <c r="AG362" s="263"/>
      <c r="AH362" s="263"/>
      <c r="AI362" s="263"/>
      <c r="AJ362" s="259"/>
      <c r="AK362" s="263">
        <f t="shared" si="162"/>
        <v>0</v>
      </c>
      <c r="AL362" s="265">
        <f t="shared" si="172"/>
        <v>25</v>
      </c>
      <c r="AM362" s="6">
        <f t="shared" si="163"/>
        <v>0</v>
      </c>
      <c r="AN362" s="255" t="str">
        <f t="shared" si="173"/>
        <v/>
      </c>
      <c r="AO362" s="256" t="str">
        <f t="shared" si="174"/>
        <v/>
      </c>
      <c r="AP362" s="257" t="str">
        <f t="shared" si="175"/>
        <v/>
      </c>
      <c r="AQ362" s="263">
        <f t="shared" si="164"/>
        <v>0</v>
      </c>
      <c r="AR362" s="263">
        <f t="shared" si="165"/>
        <v>0</v>
      </c>
      <c r="AS362" s="263">
        <f t="shared" si="166"/>
        <v>0</v>
      </c>
      <c r="AT362" s="263">
        <f t="shared" si="167"/>
        <v>0</v>
      </c>
      <c r="AU362" s="263"/>
      <c r="AV362" s="263"/>
      <c r="AW362" s="263"/>
      <c r="AX362" s="263">
        <f t="shared" si="168"/>
        <v>0</v>
      </c>
      <c r="BA362" s="282">
        <f t="shared" si="176"/>
        <v>0</v>
      </c>
      <c r="BB362">
        <v>1</v>
      </c>
      <c r="BC362">
        <f t="shared" si="169"/>
        <v>0</v>
      </c>
      <c r="BD362">
        <f t="shared" si="177"/>
        <v>0</v>
      </c>
      <c r="BE362">
        <f t="shared" si="178"/>
        <v>0</v>
      </c>
      <c r="BF362" s="281" t="e">
        <f t="shared" si="170"/>
        <v>#DIV/0!</v>
      </c>
      <c r="BG362" s="282"/>
      <c r="BH362" s="283"/>
    </row>
    <row r="363" spans="1:60" x14ac:dyDescent="0.3">
      <c r="A363">
        <f t="shared" si="136"/>
        <v>360</v>
      </c>
      <c r="B363" s="241" t="s">
        <v>2518</v>
      </c>
      <c r="C363" s="294" t="s">
        <v>2512</v>
      </c>
      <c r="D363" s="14">
        <v>45826</v>
      </c>
      <c r="E363" s="7"/>
      <c r="F363" s="7"/>
      <c r="G363" s="66"/>
      <c r="H363" s="59"/>
      <c r="I363" s="59">
        <v>480</v>
      </c>
      <c r="J363" s="47">
        <f t="shared" si="159"/>
        <v>480</v>
      </c>
      <c r="K363" s="8">
        <f t="shared" si="160"/>
        <v>480</v>
      </c>
      <c r="L363" s="96">
        <f t="shared" si="161"/>
        <v>1</v>
      </c>
      <c r="M363" s="81">
        <v>686</v>
      </c>
      <c r="N363" s="8">
        <v>153</v>
      </c>
      <c r="O363" s="8">
        <v>60</v>
      </c>
      <c r="P363" s="96">
        <f t="shared" si="114"/>
        <v>0.56045751633986929</v>
      </c>
      <c r="Q363" s="59">
        <f t="shared" si="149"/>
        <v>686</v>
      </c>
      <c r="R363" s="252">
        <f t="shared" si="171"/>
        <v>724</v>
      </c>
      <c r="S363" s="263">
        <v>34</v>
      </c>
      <c r="T363" s="263">
        <v>4</v>
      </c>
      <c r="U363" s="263">
        <v>2</v>
      </c>
      <c r="V363" s="263">
        <v>0</v>
      </c>
      <c r="W363" s="263">
        <v>2</v>
      </c>
      <c r="X363" s="263">
        <v>30</v>
      </c>
      <c r="Y363" s="263">
        <v>1</v>
      </c>
      <c r="Z363" s="263">
        <v>0</v>
      </c>
      <c r="AA363" s="263">
        <v>0</v>
      </c>
      <c r="AB363" s="263">
        <v>12</v>
      </c>
      <c r="AC363" s="263">
        <v>0</v>
      </c>
      <c r="AD363" s="263">
        <v>26</v>
      </c>
      <c r="AE363" s="263"/>
      <c r="AF363" s="263"/>
      <c r="AG363" s="263"/>
      <c r="AH363" s="263"/>
      <c r="AI363" s="263"/>
      <c r="AJ363" s="259"/>
      <c r="AK363" s="263">
        <f t="shared" si="162"/>
        <v>26</v>
      </c>
      <c r="AL363" s="265">
        <f t="shared" si="172"/>
        <v>25</v>
      </c>
      <c r="AM363" s="6">
        <f t="shared" si="163"/>
        <v>26</v>
      </c>
      <c r="AN363" s="255">
        <f t="shared" si="173"/>
        <v>0.9475138121546961</v>
      </c>
      <c r="AO363" s="256">
        <f t="shared" si="174"/>
        <v>0.53104123785794244</v>
      </c>
      <c r="AP363" s="257">
        <f t="shared" si="175"/>
        <v>35911.602209944751</v>
      </c>
      <c r="AQ363" s="263">
        <f t="shared" si="164"/>
        <v>6</v>
      </c>
      <c r="AR363" s="263">
        <f t="shared" si="165"/>
        <v>0</v>
      </c>
      <c r="AS363" s="263">
        <f t="shared" si="166"/>
        <v>2.6</v>
      </c>
      <c r="AT363" s="263">
        <f t="shared" si="167"/>
        <v>8.6</v>
      </c>
      <c r="AU363" s="263"/>
      <c r="AV363" s="263"/>
      <c r="AW363" s="263"/>
      <c r="AX363" s="263">
        <f t="shared" si="168"/>
        <v>8.6</v>
      </c>
      <c r="BA363" s="282">
        <f t="shared" si="176"/>
        <v>269.01960784313724</v>
      </c>
      <c r="BB363">
        <v>1</v>
      </c>
      <c r="BC363">
        <f t="shared" si="169"/>
        <v>269.01960784313724</v>
      </c>
      <c r="BD363">
        <f t="shared" si="177"/>
        <v>480</v>
      </c>
      <c r="BE363">
        <f t="shared" si="178"/>
        <v>480</v>
      </c>
      <c r="BF363" s="281">
        <f t="shared" si="170"/>
        <v>0.56045751633986929</v>
      </c>
      <c r="BG363" s="282" t="s">
        <v>2588</v>
      </c>
      <c r="BH363" s="283" t="s">
        <v>2517</v>
      </c>
    </row>
    <row r="364" spans="1:60" x14ac:dyDescent="0.3">
      <c r="A364">
        <f t="shared" si="136"/>
        <v>361</v>
      </c>
      <c r="B364" s="241" t="s">
        <v>2518</v>
      </c>
      <c r="C364" s="294" t="s">
        <v>2513</v>
      </c>
      <c r="D364" s="14">
        <v>45826</v>
      </c>
      <c r="E364" s="7"/>
      <c r="F364" s="7"/>
      <c r="G364" s="66"/>
      <c r="H364" s="59"/>
      <c r="I364" s="59">
        <v>450</v>
      </c>
      <c r="J364" s="47">
        <f t="shared" si="159"/>
        <v>450</v>
      </c>
      <c r="K364" s="8">
        <f t="shared" si="160"/>
        <v>450</v>
      </c>
      <c r="L364" s="96">
        <f t="shared" si="161"/>
        <v>1</v>
      </c>
      <c r="M364" s="81">
        <v>972</v>
      </c>
      <c r="N364" s="8">
        <v>153</v>
      </c>
      <c r="O364" s="8">
        <v>60</v>
      </c>
      <c r="P364" s="96">
        <f t="shared" si="114"/>
        <v>0.84705882352941164</v>
      </c>
      <c r="Q364" s="59">
        <f t="shared" si="149"/>
        <v>972</v>
      </c>
      <c r="R364" s="252">
        <f t="shared" si="171"/>
        <v>1027</v>
      </c>
      <c r="S364" s="263">
        <v>135</v>
      </c>
      <c r="T364" s="263">
        <v>0</v>
      </c>
      <c r="U364" s="263">
        <v>1</v>
      </c>
      <c r="V364" s="263">
        <v>0</v>
      </c>
      <c r="W364" s="263">
        <v>0</v>
      </c>
      <c r="X364" s="263">
        <v>48</v>
      </c>
      <c r="Y364" s="263">
        <v>0</v>
      </c>
      <c r="Z364" s="263">
        <v>1</v>
      </c>
      <c r="AA364" s="263">
        <v>4</v>
      </c>
      <c r="AB364" s="263">
        <v>31</v>
      </c>
      <c r="AC364" s="263">
        <v>4</v>
      </c>
      <c r="AD364" s="263">
        <v>20</v>
      </c>
      <c r="AE364" s="263"/>
      <c r="AF364" s="263"/>
      <c r="AG364" s="263"/>
      <c r="AH364" s="263"/>
      <c r="AI364" s="263"/>
      <c r="AJ364" s="259"/>
      <c r="AK364" s="263">
        <f t="shared" si="162"/>
        <v>20</v>
      </c>
      <c r="AL364" s="265">
        <f t="shared" si="172"/>
        <v>25</v>
      </c>
      <c r="AM364" s="6">
        <f t="shared" si="163"/>
        <v>20</v>
      </c>
      <c r="AN364" s="255">
        <f t="shared" si="173"/>
        <v>0.94644595910418694</v>
      </c>
      <c r="AO364" s="256">
        <f t="shared" si="174"/>
        <v>0.80169540065295819</v>
      </c>
      <c r="AP364" s="257">
        <f t="shared" si="175"/>
        <v>19474.196689386565</v>
      </c>
      <c r="AQ364" s="263">
        <f t="shared" si="164"/>
        <v>15.5</v>
      </c>
      <c r="AR364" s="263">
        <f t="shared" si="165"/>
        <v>0.8</v>
      </c>
      <c r="AS364" s="263">
        <f t="shared" si="166"/>
        <v>2</v>
      </c>
      <c r="AT364" s="263">
        <f t="shared" si="167"/>
        <v>18.3</v>
      </c>
      <c r="AU364" s="263"/>
      <c r="AV364" s="263"/>
      <c r="AW364" s="263"/>
      <c r="AX364" s="263">
        <f t="shared" si="168"/>
        <v>18.3</v>
      </c>
      <c r="BA364" s="282">
        <f t="shared" si="176"/>
        <v>381.17647058823525</v>
      </c>
      <c r="BB364">
        <v>1</v>
      </c>
      <c r="BC364">
        <f t="shared" si="169"/>
        <v>381.17647058823525</v>
      </c>
      <c r="BD364">
        <f t="shared" si="177"/>
        <v>450</v>
      </c>
      <c r="BE364">
        <f t="shared" si="178"/>
        <v>450</v>
      </c>
      <c r="BF364" s="281">
        <f t="shared" si="170"/>
        <v>0.84705882352941164</v>
      </c>
      <c r="BG364" s="282" t="s">
        <v>2547</v>
      </c>
      <c r="BH364" s="283"/>
    </row>
    <row r="365" spans="1:60" x14ac:dyDescent="0.3">
      <c r="A365">
        <f t="shared" si="136"/>
        <v>362</v>
      </c>
      <c r="B365" s="241" t="s">
        <v>2518</v>
      </c>
      <c r="C365" s="294" t="s">
        <v>2511</v>
      </c>
      <c r="D365" s="14">
        <v>45827</v>
      </c>
      <c r="E365" s="7">
        <v>45</v>
      </c>
      <c r="F365" s="7"/>
      <c r="G365" s="66"/>
      <c r="H365" s="59"/>
      <c r="I365" s="59">
        <v>480</v>
      </c>
      <c r="J365" s="47">
        <f t="shared" si="159"/>
        <v>480</v>
      </c>
      <c r="K365" s="8">
        <f t="shared" si="160"/>
        <v>435</v>
      </c>
      <c r="L365" s="96">
        <f t="shared" si="161"/>
        <v>0.90625</v>
      </c>
      <c r="M365" s="81">
        <v>1054</v>
      </c>
      <c r="N365" s="8">
        <v>153</v>
      </c>
      <c r="O365" s="8">
        <v>60</v>
      </c>
      <c r="P365" s="96">
        <f t="shared" si="114"/>
        <v>0.95019157088122619</v>
      </c>
      <c r="Q365" s="59">
        <f t="shared" si="149"/>
        <v>1054</v>
      </c>
      <c r="R365" s="252">
        <f t="shared" si="171"/>
        <v>1091</v>
      </c>
      <c r="S365" s="263">
        <v>33</v>
      </c>
      <c r="T365" s="263">
        <v>2</v>
      </c>
      <c r="U365" s="263">
        <v>0</v>
      </c>
      <c r="V365" s="263">
        <v>0</v>
      </c>
      <c r="W365" s="263">
        <v>4</v>
      </c>
      <c r="X365" s="263">
        <v>70</v>
      </c>
      <c r="Y365" s="263">
        <v>0</v>
      </c>
      <c r="Z365" s="263">
        <v>1</v>
      </c>
      <c r="AA365" s="263">
        <v>2</v>
      </c>
      <c r="AB365" s="263">
        <v>20</v>
      </c>
      <c r="AC365" s="263">
        <v>2</v>
      </c>
      <c r="AD365" s="263">
        <v>15</v>
      </c>
      <c r="AE365" s="263"/>
      <c r="AF365" s="263"/>
      <c r="AG365" s="263"/>
      <c r="AH365" s="263"/>
      <c r="AI365" s="263"/>
      <c r="AJ365" s="259"/>
      <c r="AK365" s="263">
        <f t="shared" si="162"/>
        <v>15</v>
      </c>
      <c r="AL365" s="265">
        <f t="shared" si="172"/>
        <v>25</v>
      </c>
      <c r="AM365" s="6">
        <f t="shared" si="163"/>
        <v>15</v>
      </c>
      <c r="AN365" s="255">
        <f t="shared" si="173"/>
        <v>0.96608615948670939</v>
      </c>
      <c r="AO365" s="256">
        <f t="shared" si="174"/>
        <v>0.83190752622466657</v>
      </c>
      <c r="AP365" s="257">
        <f t="shared" si="175"/>
        <v>13748.854262144821</v>
      </c>
      <c r="AQ365" s="263">
        <f t="shared" si="164"/>
        <v>10</v>
      </c>
      <c r="AR365" s="263">
        <f t="shared" si="165"/>
        <v>0.4</v>
      </c>
      <c r="AS365" s="263">
        <f t="shared" si="166"/>
        <v>1.5</v>
      </c>
      <c r="AT365" s="263">
        <f t="shared" si="167"/>
        <v>11.9</v>
      </c>
      <c r="AU365" s="263"/>
      <c r="AV365" s="263"/>
      <c r="AW365" s="263"/>
      <c r="AX365" s="263">
        <f t="shared" si="168"/>
        <v>11.9</v>
      </c>
      <c r="BA365" s="282">
        <f t="shared" si="176"/>
        <v>413.33333333333337</v>
      </c>
      <c r="BB365">
        <v>1</v>
      </c>
      <c r="BC365">
        <f t="shared" si="169"/>
        <v>413.33333333333337</v>
      </c>
      <c r="BD365">
        <f t="shared" si="177"/>
        <v>435</v>
      </c>
      <c r="BE365">
        <f t="shared" si="178"/>
        <v>480</v>
      </c>
      <c r="BF365" s="281">
        <f t="shared" si="170"/>
        <v>0.86111111111111116</v>
      </c>
      <c r="BG365" s="282" t="s">
        <v>2497</v>
      </c>
      <c r="BH365" s="283"/>
    </row>
    <row r="366" spans="1:60" x14ac:dyDescent="0.3">
      <c r="A366">
        <f t="shared" si="136"/>
        <v>363</v>
      </c>
      <c r="B366" s="241" t="s">
        <v>2518</v>
      </c>
      <c r="C366" s="294" t="s">
        <v>2512</v>
      </c>
      <c r="D366" s="14">
        <v>45827</v>
      </c>
      <c r="E366" s="7"/>
      <c r="F366" s="7"/>
      <c r="G366" s="66"/>
      <c r="H366" s="59"/>
      <c r="I366" s="59">
        <v>450</v>
      </c>
      <c r="J366" s="47">
        <f t="shared" si="159"/>
        <v>450</v>
      </c>
      <c r="K366" s="8">
        <f t="shared" si="160"/>
        <v>450</v>
      </c>
      <c r="L366" s="96">
        <f t="shared" si="161"/>
        <v>1</v>
      </c>
      <c r="M366" s="81">
        <v>887</v>
      </c>
      <c r="N366" s="8">
        <v>153</v>
      </c>
      <c r="O366" s="8">
        <v>60</v>
      </c>
      <c r="P366" s="96">
        <f t="shared" si="114"/>
        <v>0.77298474945533768</v>
      </c>
      <c r="Q366" s="59">
        <f t="shared" si="149"/>
        <v>887</v>
      </c>
      <c r="R366" s="252">
        <f t="shared" si="171"/>
        <v>906</v>
      </c>
      <c r="S366" s="263">
        <v>54</v>
      </c>
      <c r="T366" s="263">
        <v>1</v>
      </c>
      <c r="U366" s="263">
        <v>0</v>
      </c>
      <c r="V366" s="263">
        <v>0</v>
      </c>
      <c r="W366" s="263">
        <v>2</v>
      </c>
      <c r="X366" s="263">
        <v>27</v>
      </c>
      <c r="Y366" s="263">
        <v>0</v>
      </c>
      <c r="Z366" s="263">
        <v>2</v>
      </c>
      <c r="AA366" s="263">
        <v>0</v>
      </c>
      <c r="AB366" s="263">
        <v>17</v>
      </c>
      <c r="AC366" s="263">
        <v>1</v>
      </c>
      <c r="AD366" s="263">
        <v>1</v>
      </c>
      <c r="AE366" s="263"/>
      <c r="AF366" s="263"/>
      <c r="AG366" s="263"/>
      <c r="AH366" s="263"/>
      <c r="AI366" s="263"/>
      <c r="AJ366" s="259"/>
      <c r="AK366" s="263">
        <f t="shared" si="162"/>
        <v>1</v>
      </c>
      <c r="AL366" s="265">
        <f t="shared" si="172"/>
        <v>25</v>
      </c>
      <c r="AM366" s="6">
        <f t="shared" si="163"/>
        <v>1</v>
      </c>
      <c r="AN366" s="255">
        <f t="shared" si="173"/>
        <v>0.97902869757174393</v>
      </c>
      <c r="AO366" s="256">
        <f t="shared" si="174"/>
        <v>0.75677425250208008</v>
      </c>
      <c r="AP366" s="257">
        <f t="shared" si="175"/>
        <v>1103.7527593818984</v>
      </c>
      <c r="AQ366" s="263">
        <f t="shared" si="164"/>
        <v>8.5</v>
      </c>
      <c r="AR366" s="263">
        <f t="shared" si="165"/>
        <v>0.2</v>
      </c>
      <c r="AS366" s="263">
        <f t="shared" si="166"/>
        <v>0.1</v>
      </c>
      <c r="AT366" s="263">
        <f t="shared" si="167"/>
        <v>8.7999999999999989</v>
      </c>
      <c r="AU366" s="263"/>
      <c r="AV366" s="263"/>
      <c r="AW366" s="263"/>
      <c r="AX366" s="263">
        <f t="shared" si="168"/>
        <v>8.7999999999999989</v>
      </c>
      <c r="BA366" s="282">
        <f t="shared" si="176"/>
        <v>347.84313725490193</v>
      </c>
      <c r="BB366">
        <v>1</v>
      </c>
      <c r="BC366">
        <f t="shared" si="169"/>
        <v>347.84313725490193</v>
      </c>
      <c r="BD366">
        <f t="shared" si="177"/>
        <v>450</v>
      </c>
      <c r="BE366">
        <f t="shared" si="178"/>
        <v>450</v>
      </c>
      <c r="BF366" s="281">
        <f t="shared" si="170"/>
        <v>0.77298474945533768</v>
      </c>
      <c r="BG366" s="282" t="s">
        <v>2591</v>
      </c>
      <c r="BH366" s="283"/>
    </row>
    <row r="367" spans="1:60" x14ac:dyDescent="0.3">
      <c r="A367">
        <f t="shared" si="136"/>
        <v>364</v>
      </c>
      <c r="B367" s="332" t="s">
        <v>2518</v>
      </c>
      <c r="C367" s="294" t="s">
        <v>2513</v>
      </c>
      <c r="D367" s="14">
        <v>45827</v>
      </c>
      <c r="E367" s="7"/>
      <c r="F367" s="7"/>
      <c r="G367" s="66"/>
      <c r="H367" s="59"/>
      <c r="I367" s="59">
        <v>120</v>
      </c>
      <c r="J367" s="47">
        <f t="shared" si="159"/>
        <v>120</v>
      </c>
      <c r="K367" s="8">
        <f t="shared" si="160"/>
        <v>120</v>
      </c>
      <c r="L367" s="96">
        <f t="shared" si="161"/>
        <v>1</v>
      </c>
      <c r="M367" s="81">
        <f>157</f>
        <v>157</v>
      </c>
      <c r="N367" s="8">
        <v>153</v>
      </c>
      <c r="O367" s="8">
        <v>60</v>
      </c>
      <c r="P367" s="96">
        <f t="shared" si="114"/>
        <v>0.51307189542483655</v>
      </c>
      <c r="Q367" s="59">
        <f t="shared" si="149"/>
        <v>157</v>
      </c>
      <c r="R367" s="252">
        <f t="shared" si="171"/>
        <v>157</v>
      </c>
      <c r="S367" s="263">
        <v>24</v>
      </c>
      <c r="T367" s="263">
        <v>1</v>
      </c>
      <c r="U367" s="263">
        <v>0</v>
      </c>
      <c r="V367" s="263">
        <v>0</v>
      </c>
      <c r="W367" s="263">
        <v>0</v>
      </c>
      <c r="X367" s="263">
        <v>6</v>
      </c>
      <c r="Y367" s="263">
        <v>0</v>
      </c>
      <c r="Z367" s="263">
        <v>0</v>
      </c>
      <c r="AA367" s="263">
        <v>0</v>
      </c>
      <c r="AB367" s="263">
        <v>0</v>
      </c>
      <c r="AC367" s="263">
        <v>0</v>
      </c>
      <c r="AD367" s="263">
        <v>0</v>
      </c>
      <c r="AE367" s="263"/>
      <c r="AF367" s="263"/>
      <c r="AG367" s="263"/>
      <c r="AH367" s="263"/>
      <c r="AI367" s="263"/>
      <c r="AJ367" s="259"/>
      <c r="AK367" s="263">
        <f t="shared" si="162"/>
        <v>0</v>
      </c>
      <c r="AL367" s="265">
        <f t="shared" si="172"/>
        <v>25</v>
      </c>
      <c r="AM367" s="6">
        <f t="shared" si="163"/>
        <v>0</v>
      </c>
      <c r="AN367" s="255">
        <f t="shared" si="173"/>
        <v>1</v>
      </c>
      <c r="AO367" s="256">
        <f t="shared" si="174"/>
        <v>0.51307189542483655</v>
      </c>
      <c r="AP367" s="257">
        <f t="shared" si="175"/>
        <v>0</v>
      </c>
      <c r="AQ367" s="263">
        <f t="shared" si="164"/>
        <v>0</v>
      </c>
      <c r="AR367" s="263">
        <f t="shared" si="165"/>
        <v>0</v>
      </c>
      <c r="AS367" s="263">
        <f t="shared" si="166"/>
        <v>0</v>
      </c>
      <c r="AT367" s="263">
        <f t="shared" si="167"/>
        <v>0</v>
      </c>
      <c r="AU367" s="263"/>
      <c r="AV367" s="263"/>
      <c r="AW367" s="263"/>
      <c r="AX367" s="263">
        <f t="shared" si="168"/>
        <v>0</v>
      </c>
      <c r="BA367" s="282">
        <f t="shared" si="176"/>
        <v>61.568627450980387</v>
      </c>
      <c r="BB367">
        <v>1</v>
      </c>
      <c r="BC367">
        <f t="shared" si="169"/>
        <v>61.568627450980387</v>
      </c>
      <c r="BD367">
        <f t="shared" si="177"/>
        <v>120</v>
      </c>
      <c r="BE367">
        <f t="shared" si="178"/>
        <v>120</v>
      </c>
      <c r="BF367" s="281">
        <f t="shared" si="170"/>
        <v>0.51307189542483655</v>
      </c>
      <c r="BG367" s="282" t="s">
        <v>2547</v>
      </c>
      <c r="BH367" s="283"/>
    </row>
    <row r="368" spans="1:60" x14ac:dyDescent="0.3">
      <c r="A368">
        <f t="shared" si="136"/>
        <v>365</v>
      </c>
      <c r="B368" s="331" t="s">
        <v>2589</v>
      </c>
      <c r="C368" s="294" t="s">
        <v>2513</v>
      </c>
      <c r="D368" s="14">
        <v>45827</v>
      </c>
      <c r="E368" s="7"/>
      <c r="F368" s="7"/>
      <c r="G368" s="66"/>
      <c r="H368" s="59"/>
      <c r="I368" s="59"/>
      <c r="J368" s="47">
        <f t="shared" si="159"/>
        <v>0</v>
      </c>
      <c r="K368" s="8">
        <f t="shared" si="160"/>
        <v>0</v>
      </c>
      <c r="L368" s="96" t="str">
        <f t="shared" si="161"/>
        <v/>
      </c>
      <c r="M368" s="81">
        <v>319</v>
      </c>
      <c r="N368" s="8">
        <v>153</v>
      </c>
      <c r="O368" s="8">
        <v>60</v>
      </c>
      <c r="P368" s="96" t="str">
        <f t="shared" si="114"/>
        <v/>
      </c>
      <c r="Q368" s="59">
        <f t="shared" si="149"/>
        <v>319</v>
      </c>
      <c r="R368" s="252">
        <f t="shared" si="171"/>
        <v>421</v>
      </c>
      <c r="S368" s="263"/>
      <c r="T368" s="263"/>
      <c r="U368" s="263"/>
      <c r="V368" s="263"/>
      <c r="W368" s="263"/>
      <c r="X368" s="263"/>
      <c r="Y368" s="263"/>
      <c r="Z368" s="263"/>
      <c r="AA368" s="263"/>
      <c r="AB368" s="263">
        <v>75</v>
      </c>
      <c r="AC368" s="263">
        <v>7</v>
      </c>
      <c r="AD368" s="263">
        <v>20</v>
      </c>
      <c r="AE368" s="263"/>
      <c r="AF368" s="263"/>
      <c r="AG368" s="263"/>
      <c r="AH368" s="263"/>
      <c r="AI368" s="263"/>
      <c r="AJ368" s="259"/>
      <c r="AK368" s="263">
        <f t="shared" si="162"/>
        <v>20</v>
      </c>
      <c r="AL368" s="265">
        <f t="shared" si="172"/>
        <v>25</v>
      </c>
      <c r="AM368" s="6">
        <f t="shared" si="163"/>
        <v>20</v>
      </c>
      <c r="AN368" s="255">
        <f t="shared" si="173"/>
        <v>0.75771971496437052</v>
      </c>
      <c r="AO368" s="256" t="str">
        <f t="shared" si="174"/>
        <v/>
      </c>
      <c r="AP368" s="257">
        <f t="shared" si="175"/>
        <v>47505.938242280281</v>
      </c>
      <c r="AQ368" s="263">
        <f t="shared" si="164"/>
        <v>37.5</v>
      </c>
      <c r="AR368" s="263">
        <f t="shared" si="165"/>
        <v>1.4000000000000001</v>
      </c>
      <c r="AS368" s="263">
        <f t="shared" si="166"/>
        <v>2</v>
      </c>
      <c r="AT368" s="263">
        <f t="shared" si="167"/>
        <v>40.9</v>
      </c>
      <c r="AU368" s="263"/>
      <c r="AV368" s="263"/>
      <c r="AW368" s="263"/>
      <c r="AX368" s="263">
        <f t="shared" si="168"/>
        <v>40.9</v>
      </c>
      <c r="BA368" s="282">
        <f t="shared" si="176"/>
        <v>125.09803921568628</v>
      </c>
      <c r="BB368">
        <v>1</v>
      </c>
      <c r="BC368">
        <f t="shared" si="169"/>
        <v>125.09803921568628</v>
      </c>
      <c r="BD368">
        <f t="shared" si="177"/>
        <v>0</v>
      </c>
      <c r="BE368">
        <f t="shared" si="178"/>
        <v>0</v>
      </c>
      <c r="BF368" s="281" t="e">
        <f t="shared" si="170"/>
        <v>#DIV/0!</v>
      </c>
      <c r="BG368" s="282"/>
      <c r="BH368" s="283"/>
    </row>
    <row r="369" spans="1:60" x14ac:dyDescent="0.3">
      <c r="A369">
        <f t="shared" si="136"/>
        <v>366</v>
      </c>
      <c r="B369" s="331" t="s">
        <v>2590</v>
      </c>
      <c r="C369" s="294" t="s">
        <v>2513</v>
      </c>
      <c r="D369" s="14">
        <v>45827</v>
      </c>
      <c r="E369" s="7"/>
      <c r="F369" s="7"/>
      <c r="G369" s="66"/>
      <c r="H369" s="59"/>
      <c r="I369" s="59"/>
      <c r="J369" s="47">
        <f t="shared" si="159"/>
        <v>0</v>
      </c>
      <c r="K369" s="8">
        <f t="shared" si="160"/>
        <v>0</v>
      </c>
      <c r="L369" s="96" t="str">
        <f t="shared" si="161"/>
        <v/>
      </c>
      <c r="M369" s="81">
        <v>109</v>
      </c>
      <c r="N369" s="8">
        <v>153</v>
      </c>
      <c r="O369" s="8">
        <v>60</v>
      </c>
      <c r="P369" s="96" t="str">
        <f t="shared" si="114"/>
        <v/>
      </c>
      <c r="Q369" s="59">
        <f t="shared" si="149"/>
        <v>109</v>
      </c>
      <c r="R369" s="252">
        <f t="shared" si="171"/>
        <v>129</v>
      </c>
      <c r="S369" s="263"/>
      <c r="T369" s="263"/>
      <c r="U369" s="263"/>
      <c r="V369" s="263"/>
      <c r="W369" s="263"/>
      <c r="X369" s="263"/>
      <c r="Y369" s="263"/>
      <c r="Z369" s="263"/>
      <c r="AA369" s="263"/>
      <c r="AB369" s="263"/>
      <c r="AC369" s="263"/>
      <c r="AD369" s="263">
        <v>20</v>
      </c>
      <c r="AE369" s="263"/>
      <c r="AF369" s="263"/>
      <c r="AG369" s="263"/>
      <c r="AH369" s="263"/>
      <c r="AI369" s="263"/>
      <c r="AJ369" s="259"/>
      <c r="AK369" s="263">
        <f t="shared" si="162"/>
        <v>20</v>
      </c>
      <c r="AL369" s="265">
        <f t="shared" si="172"/>
        <v>25</v>
      </c>
      <c r="AM369" s="6">
        <f t="shared" si="163"/>
        <v>20</v>
      </c>
      <c r="AN369" s="255">
        <f t="shared" si="173"/>
        <v>0.84496124031007747</v>
      </c>
      <c r="AO369" s="256" t="str">
        <f t="shared" si="174"/>
        <v/>
      </c>
      <c r="AP369" s="257">
        <f t="shared" si="175"/>
        <v>155038.75968992247</v>
      </c>
      <c r="AQ369" s="263">
        <f t="shared" si="164"/>
        <v>0</v>
      </c>
      <c r="AR369" s="263">
        <f t="shared" si="165"/>
        <v>0</v>
      </c>
      <c r="AS369" s="263">
        <f t="shared" si="166"/>
        <v>2</v>
      </c>
      <c r="AT369" s="263">
        <f t="shared" si="167"/>
        <v>2</v>
      </c>
      <c r="AU369" s="263"/>
      <c r="AV369" s="263"/>
      <c r="AW369" s="263"/>
      <c r="AX369" s="263">
        <f t="shared" si="168"/>
        <v>2</v>
      </c>
      <c r="BA369" s="282">
        <f t="shared" si="176"/>
        <v>42.745098039215691</v>
      </c>
      <c r="BB369">
        <v>1</v>
      </c>
      <c r="BC369">
        <f t="shared" si="169"/>
        <v>42.745098039215691</v>
      </c>
      <c r="BD369">
        <f t="shared" si="177"/>
        <v>0</v>
      </c>
      <c r="BE369">
        <f t="shared" si="178"/>
        <v>0</v>
      </c>
      <c r="BF369" s="281" t="e">
        <f t="shared" si="170"/>
        <v>#DIV/0!</v>
      </c>
      <c r="BG369" s="282"/>
      <c r="BH369" s="283"/>
    </row>
    <row r="370" spans="1:60" x14ac:dyDescent="0.3">
      <c r="A370">
        <f t="shared" si="136"/>
        <v>367</v>
      </c>
      <c r="B370" s="331" t="s">
        <v>2496</v>
      </c>
      <c r="C370" s="294" t="s">
        <v>2511</v>
      </c>
      <c r="D370" s="14">
        <v>45828</v>
      </c>
      <c r="E370" s="7">
        <v>360</v>
      </c>
      <c r="F370" s="7"/>
      <c r="G370" s="66"/>
      <c r="H370" s="59"/>
      <c r="I370" s="59">
        <v>480</v>
      </c>
      <c r="J370" s="47">
        <f t="shared" si="159"/>
        <v>480</v>
      </c>
      <c r="K370" s="8">
        <f t="shared" si="160"/>
        <v>120</v>
      </c>
      <c r="L370" s="96">
        <f t="shared" si="161"/>
        <v>0.25</v>
      </c>
      <c r="M370" s="81">
        <v>234</v>
      </c>
      <c r="N370" s="8">
        <v>153</v>
      </c>
      <c r="O370" s="8">
        <v>60</v>
      </c>
      <c r="P370" s="96">
        <f t="shared" si="114"/>
        <v>0.76470588235294101</v>
      </c>
      <c r="Q370" s="59">
        <f t="shared" si="149"/>
        <v>234</v>
      </c>
      <c r="R370" s="252">
        <f t="shared" si="171"/>
        <v>236</v>
      </c>
      <c r="S370" s="263">
        <v>30</v>
      </c>
      <c r="T370" s="263">
        <v>5</v>
      </c>
      <c r="U370" s="263">
        <v>2</v>
      </c>
      <c r="V370" s="263">
        <v>0</v>
      </c>
      <c r="W370" s="263">
        <v>2</v>
      </c>
      <c r="X370" s="263">
        <v>0</v>
      </c>
      <c r="Y370" s="263">
        <v>0</v>
      </c>
      <c r="Z370" s="263">
        <v>0</v>
      </c>
      <c r="AA370" s="263">
        <v>2</v>
      </c>
      <c r="AB370" s="263">
        <v>2</v>
      </c>
      <c r="AC370" s="263">
        <v>0</v>
      </c>
      <c r="AD370" s="263">
        <v>0</v>
      </c>
      <c r="AE370" s="263"/>
      <c r="AF370" s="263"/>
      <c r="AG370" s="263"/>
      <c r="AH370" s="263"/>
      <c r="AI370" s="263"/>
      <c r="AJ370" s="259"/>
      <c r="AK370" s="263">
        <f t="shared" si="162"/>
        <v>0</v>
      </c>
      <c r="AL370" s="265">
        <f t="shared" si="172"/>
        <v>25</v>
      </c>
      <c r="AM370" s="6">
        <f t="shared" si="163"/>
        <v>0</v>
      </c>
      <c r="AN370" s="255">
        <f t="shared" si="173"/>
        <v>0.99152542372881358</v>
      </c>
      <c r="AO370" s="256">
        <f t="shared" si="174"/>
        <v>0.18955633100697902</v>
      </c>
      <c r="AP370" s="257">
        <f t="shared" si="175"/>
        <v>0</v>
      </c>
      <c r="AQ370" s="263">
        <f t="shared" si="164"/>
        <v>1</v>
      </c>
      <c r="AR370" s="263">
        <f t="shared" si="165"/>
        <v>0</v>
      </c>
      <c r="AS370" s="263">
        <f t="shared" si="166"/>
        <v>0</v>
      </c>
      <c r="AT370" s="263">
        <f t="shared" si="167"/>
        <v>1</v>
      </c>
      <c r="AU370" s="263"/>
      <c r="AV370" s="263"/>
      <c r="AW370" s="263"/>
      <c r="AX370" s="263">
        <f t="shared" si="168"/>
        <v>1</v>
      </c>
      <c r="BA370" s="282">
        <f t="shared" si="176"/>
        <v>91.764705882352928</v>
      </c>
      <c r="BB370">
        <v>1</v>
      </c>
      <c r="BC370">
        <f t="shared" si="169"/>
        <v>91.764705882352928</v>
      </c>
      <c r="BD370">
        <f t="shared" si="177"/>
        <v>120</v>
      </c>
      <c r="BE370">
        <f t="shared" si="178"/>
        <v>480</v>
      </c>
      <c r="BF370" s="281">
        <f t="shared" si="170"/>
        <v>0.19117647058823525</v>
      </c>
      <c r="BG370" s="282"/>
      <c r="BH370" s="283"/>
    </row>
    <row r="371" spans="1:60" x14ac:dyDescent="0.3">
      <c r="A371">
        <f t="shared" si="136"/>
        <v>368</v>
      </c>
      <c r="B371" s="241" t="s">
        <v>2499</v>
      </c>
      <c r="C371" s="294" t="s">
        <v>2512</v>
      </c>
      <c r="D371" s="14">
        <v>45828</v>
      </c>
      <c r="E371" s="7"/>
      <c r="F371" s="7"/>
      <c r="G371" s="66"/>
      <c r="H371" s="59"/>
      <c r="I371" s="59">
        <v>450</v>
      </c>
      <c r="J371" s="47">
        <f t="shared" si="159"/>
        <v>450</v>
      </c>
      <c r="K371" s="8">
        <f t="shared" si="160"/>
        <v>450</v>
      </c>
      <c r="L371" s="96">
        <f t="shared" si="161"/>
        <v>1</v>
      </c>
      <c r="M371" s="81">
        <v>1076</v>
      </c>
      <c r="N371" s="8">
        <v>153</v>
      </c>
      <c r="O371" s="8">
        <v>60</v>
      </c>
      <c r="P371" s="96">
        <f t="shared" si="114"/>
        <v>0.93769063180827883</v>
      </c>
      <c r="Q371" s="59">
        <f t="shared" si="149"/>
        <v>1076</v>
      </c>
      <c r="R371" s="252">
        <f t="shared" si="171"/>
        <v>1093</v>
      </c>
      <c r="S371" s="263">
        <v>4</v>
      </c>
      <c r="T371" s="263">
        <v>1</v>
      </c>
      <c r="U371" s="263">
        <v>0</v>
      </c>
      <c r="V371" s="263">
        <v>0</v>
      </c>
      <c r="W371" s="263">
        <v>0</v>
      </c>
      <c r="X371" s="263">
        <v>6</v>
      </c>
      <c r="Y371" s="263">
        <v>0</v>
      </c>
      <c r="Z371" s="263">
        <v>1</v>
      </c>
      <c r="AA371" s="263">
        <v>1</v>
      </c>
      <c r="AB371" s="263">
        <v>15</v>
      </c>
      <c r="AC371" s="263">
        <v>1</v>
      </c>
      <c r="AD371" s="263">
        <v>1</v>
      </c>
      <c r="AE371" s="263"/>
      <c r="AF371" s="263"/>
      <c r="AG371" s="263"/>
      <c r="AH371" s="263"/>
      <c r="AI371" s="263"/>
      <c r="AJ371" s="259"/>
      <c r="AK371" s="263">
        <f t="shared" si="162"/>
        <v>1</v>
      </c>
      <c r="AL371" s="265">
        <f t="shared" si="172"/>
        <v>25</v>
      </c>
      <c r="AM371" s="6">
        <f t="shared" si="163"/>
        <v>1</v>
      </c>
      <c r="AN371" s="255">
        <f t="shared" si="173"/>
        <v>0.98444647758462944</v>
      </c>
      <c r="AO371" s="256">
        <f t="shared" si="174"/>
        <v>0.92310623954776583</v>
      </c>
      <c r="AP371" s="257">
        <f t="shared" si="175"/>
        <v>914.91308325709065</v>
      </c>
      <c r="AQ371" s="263">
        <f t="shared" si="164"/>
        <v>7.5</v>
      </c>
      <c r="AR371" s="263">
        <f t="shared" si="165"/>
        <v>0.2</v>
      </c>
      <c r="AS371" s="263">
        <f t="shared" si="166"/>
        <v>0.1</v>
      </c>
      <c r="AT371" s="263">
        <f t="shared" si="167"/>
        <v>7.8</v>
      </c>
      <c r="AU371" s="263"/>
      <c r="AV371" s="263"/>
      <c r="AW371" s="263"/>
      <c r="AX371" s="263">
        <f t="shared" si="168"/>
        <v>7.8</v>
      </c>
      <c r="BA371" s="282">
        <f t="shared" si="176"/>
        <v>421.96078431372547</v>
      </c>
      <c r="BB371">
        <v>1</v>
      </c>
      <c r="BC371">
        <f t="shared" si="169"/>
        <v>421.96078431372547</v>
      </c>
      <c r="BD371">
        <f t="shared" si="177"/>
        <v>450</v>
      </c>
      <c r="BE371">
        <f t="shared" si="178"/>
        <v>450</v>
      </c>
      <c r="BF371" s="281">
        <f t="shared" si="170"/>
        <v>0.93769063180827883</v>
      </c>
      <c r="BG371" s="282"/>
      <c r="BH371" s="283"/>
    </row>
    <row r="372" spans="1:60" x14ac:dyDescent="0.3">
      <c r="A372">
        <f t="shared" si="136"/>
        <v>369</v>
      </c>
      <c r="B372" s="241" t="s">
        <v>2499</v>
      </c>
      <c r="C372" s="294" t="s">
        <v>2513</v>
      </c>
      <c r="D372" s="14">
        <v>45828</v>
      </c>
      <c r="E372" s="7"/>
      <c r="F372" s="7"/>
      <c r="G372" s="66"/>
      <c r="H372" s="59"/>
      <c r="I372" s="59">
        <v>510</v>
      </c>
      <c r="J372" s="47">
        <f t="shared" ref="J372:J554" si="193">I372+H372</f>
        <v>510</v>
      </c>
      <c r="K372" s="8">
        <f t="shared" ref="K372:K554" si="194">IFERROR(J372-E372-F372-G372,"")</f>
        <v>510</v>
      </c>
      <c r="L372" s="96">
        <f t="shared" ref="L372:L554" si="195">IFERROR(K372/J372,"")</f>
        <v>1</v>
      </c>
      <c r="M372" s="81">
        <v>1078</v>
      </c>
      <c r="N372" s="8">
        <v>153</v>
      </c>
      <c r="O372" s="8">
        <v>60</v>
      </c>
      <c r="P372" s="96">
        <f t="shared" si="114"/>
        <v>0.82891195693963859</v>
      </c>
      <c r="Q372" s="59">
        <f t="shared" si="149"/>
        <v>1078</v>
      </c>
      <c r="R372" s="252">
        <f t="shared" si="171"/>
        <v>1110</v>
      </c>
      <c r="S372" s="263">
        <v>13</v>
      </c>
      <c r="T372" s="263">
        <v>1</v>
      </c>
      <c r="U372" s="263">
        <v>0</v>
      </c>
      <c r="V372" s="263">
        <v>0</v>
      </c>
      <c r="W372" s="263">
        <v>6</v>
      </c>
      <c r="X372" s="263">
        <v>1</v>
      </c>
      <c r="Y372" s="263">
        <v>0</v>
      </c>
      <c r="Z372" s="263">
        <v>2</v>
      </c>
      <c r="AA372" s="263">
        <v>2</v>
      </c>
      <c r="AB372" s="263">
        <v>6</v>
      </c>
      <c r="AC372" s="263">
        <v>7</v>
      </c>
      <c r="AD372" s="263">
        <v>19</v>
      </c>
      <c r="AE372" s="263"/>
      <c r="AF372" s="263"/>
      <c r="AG372" s="263"/>
      <c r="AH372" s="263"/>
      <c r="AI372" s="263"/>
      <c r="AJ372" s="259"/>
      <c r="AK372" s="263">
        <f t="shared" ref="AK372:AK390" si="196">+AD372+AE372+AF372+AG372+AH372+AI372</f>
        <v>19</v>
      </c>
      <c r="AL372" s="265">
        <f t="shared" si="172"/>
        <v>25</v>
      </c>
      <c r="AM372" s="6">
        <f t="shared" ref="AM372:AM554" si="197">AK372</f>
        <v>19</v>
      </c>
      <c r="AN372" s="255">
        <f t="shared" si="173"/>
        <v>0.97117117117117113</v>
      </c>
      <c r="AO372" s="256">
        <f t="shared" si="174"/>
        <v>0.80501539601885619</v>
      </c>
      <c r="AP372" s="257">
        <f t="shared" si="175"/>
        <v>17117.117117117115</v>
      </c>
      <c r="AQ372" s="263">
        <f t="shared" ref="AQ372:AQ390" si="198">+AB372*0.5</f>
        <v>3</v>
      </c>
      <c r="AR372" s="263">
        <f t="shared" ref="AR372:AR390" si="199">+AC372*0.2</f>
        <v>1.4000000000000001</v>
      </c>
      <c r="AS372" s="263">
        <f t="shared" ref="AS372:AS390" si="200">+AD372*0.1</f>
        <v>1.9000000000000001</v>
      </c>
      <c r="AT372" s="263">
        <f t="shared" ref="AT372:AT390" si="201">SUM(AQ372:AS372)</f>
        <v>6.3000000000000007</v>
      </c>
      <c r="AU372" s="263"/>
      <c r="AV372" s="263"/>
      <c r="AW372" s="263"/>
      <c r="AX372" s="263">
        <f t="shared" ref="AX372:AX554" si="202">+AW372+AU372+AT372+AV372</f>
        <v>6.3000000000000007</v>
      </c>
      <c r="BA372" s="282">
        <f t="shared" si="176"/>
        <v>422.74509803921569</v>
      </c>
      <c r="BB372">
        <v>1</v>
      </c>
      <c r="BC372">
        <f t="shared" ref="BC372:BC390" si="203">IFERROR(BA372*BB372,"")</f>
        <v>422.74509803921569</v>
      </c>
      <c r="BD372">
        <f t="shared" si="177"/>
        <v>510</v>
      </c>
      <c r="BE372">
        <f t="shared" si="178"/>
        <v>510</v>
      </c>
      <c r="BF372" s="281">
        <f t="shared" ref="BF372:BF390" si="204">BC372/BE372</f>
        <v>0.82891195693963859</v>
      </c>
      <c r="BG372" s="282"/>
      <c r="BH372" s="283"/>
    </row>
    <row r="373" spans="1:60" x14ac:dyDescent="0.3">
      <c r="A373">
        <f t="shared" si="136"/>
        <v>370</v>
      </c>
      <c r="B373" s="241" t="s">
        <v>2499</v>
      </c>
      <c r="C373" s="294" t="s">
        <v>2511</v>
      </c>
      <c r="D373" s="14">
        <v>45829</v>
      </c>
      <c r="E373" s="7">
        <v>45</v>
      </c>
      <c r="F373" s="7"/>
      <c r="G373" s="66"/>
      <c r="H373" s="59"/>
      <c r="I373" s="59">
        <v>480</v>
      </c>
      <c r="J373" s="47">
        <f t="shared" si="193"/>
        <v>480</v>
      </c>
      <c r="K373" s="8">
        <f t="shared" si="194"/>
        <v>435</v>
      </c>
      <c r="L373" s="96">
        <f t="shared" si="195"/>
        <v>0.90625</v>
      </c>
      <c r="M373" s="81">
        <v>950</v>
      </c>
      <c r="N373" s="8">
        <v>153</v>
      </c>
      <c r="O373" s="8">
        <v>60</v>
      </c>
      <c r="P373" s="96">
        <f t="shared" si="114"/>
        <v>0.85643452783412222</v>
      </c>
      <c r="Q373" s="59">
        <f t="shared" si="149"/>
        <v>950</v>
      </c>
      <c r="R373" s="252">
        <f t="shared" si="171"/>
        <v>1006</v>
      </c>
      <c r="S373" s="263">
        <v>12</v>
      </c>
      <c r="T373" s="263">
        <v>3</v>
      </c>
      <c r="U373" s="263">
        <v>0</v>
      </c>
      <c r="V373" s="263">
        <v>0</v>
      </c>
      <c r="W373" s="263">
        <v>0</v>
      </c>
      <c r="X373" s="263">
        <v>0</v>
      </c>
      <c r="Y373" s="263">
        <v>0</v>
      </c>
      <c r="Z373" s="263">
        <v>0</v>
      </c>
      <c r="AA373" s="263">
        <v>0</v>
      </c>
      <c r="AB373" s="263">
        <v>51</v>
      </c>
      <c r="AC373" s="263">
        <v>3</v>
      </c>
      <c r="AD373" s="263">
        <v>2</v>
      </c>
      <c r="AE373" s="263"/>
      <c r="AF373" s="263"/>
      <c r="AG373" s="263"/>
      <c r="AH373" s="263"/>
      <c r="AI373" s="263"/>
      <c r="AJ373" s="259"/>
      <c r="AK373" s="263">
        <f t="shared" si="196"/>
        <v>2</v>
      </c>
      <c r="AL373" s="265">
        <f t="shared" si="172"/>
        <v>25</v>
      </c>
      <c r="AM373" s="6">
        <f t="shared" si="197"/>
        <v>2</v>
      </c>
      <c r="AN373" s="255">
        <f t="shared" si="173"/>
        <v>0.94433399602385681</v>
      </c>
      <c r="AO373" s="256">
        <f t="shared" si="174"/>
        <v>0.73293896750217646</v>
      </c>
      <c r="AP373" s="257">
        <f t="shared" si="175"/>
        <v>1988.0715705765406</v>
      </c>
      <c r="AQ373" s="263">
        <f t="shared" si="198"/>
        <v>25.5</v>
      </c>
      <c r="AR373" s="263">
        <f t="shared" si="199"/>
        <v>0.60000000000000009</v>
      </c>
      <c r="AS373" s="263">
        <f t="shared" si="200"/>
        <v>0.2</v>
      </c>
      <c r="AT373" s="263">
        <f t="shared" si="201"/>
        <v>26.3</v>
      </c>
      <c r="AU373" s="263"/>
      <c r="AV373" s="263"/>
      <c r="AW373" s="263"/>
      <c r="AX373" s="263">
        <f t="shared" si="202"/>
        <v>26.3</v>
      </c>
      <c r="BA373" s="282">
        <f t="shared" si="176"/>
        <v>372.54901960784315</v>
      </c>
      <c r="BB373">
        <v>1</v>
      </c>
      <c r="BC373">
        <f t="shared" si="203"/>
        <v>372.54901960784315</v>
      </c>
      <c r="BD373">
        <f t="shared" si="177"/>
        <v>435</v>
      </c>
      <c r="BE373">
        <f t="shared" si="178"/>
        <v>480</v>
      </c>
      <c r="BF373" s="281">
        <f t="shared" si="204"/>
        <v>0.77614379084967322</v>
      </c>
      <c r="BG373" s="282"/>
      <c r="BH373" s="283"/>
    </row>
    <row r="374" spans="1:60" x14ac:dyDescent="0.3">
      <c r="A374">
        <f t="shared" si="136"/>
        <v>371</v>
      </c>
      <c r="B374" s="241" t="s">
        <v>2499</v>
      </c>
      <c r="C374" s="294" t="s">
        <v>2512</v>
      </c>
      <c r="D374" s="14">
        <v>45829</v>
      </c>
      <c r="E374" s="7"/>
      <c r="F374" s="7"/>
      <c r="G374" s="66"/>
      <c r="H374" s="59"/>
      <c r="I374" s="59">
        <v>450</v>
      </c>
      <c r="J374" s="47">
        <f t="shared" si="193"/>
        <v>450</v>
      </c>
      <c r="K374" s="8">
        <f t="shared" si="194"/>
        <v>450</v>
      </c>
      <c r="L374" s="96">
        <f t="shared" si="195"/>
        <v>1</v>
      </c>
      <c r="M374" s="81">
        <v>1063</v>
      </c>
      <c r="N374" s="8">
        <v>153</v>
      </c>
      <c r="O374" s="8">
        <v>60</v>
      </c>
      <c r="P374" s="96">
        <f t="shared" si="114"/>
        <v>0.92636165577342056</v>
      </c>
      <c r="Q374" s="59">
        <f t="shared" si="149"/>
        <v>1063</v>
      </c>
      <c r="R374" s="252">
        <f t="shared" si="171"/>
        <v>1091</v>
      </c>
      <c r="S374" s="263">
        <v>11</v>
      </c>
      <c r="T374" s="263">
        <v>2</v>
      </c>
      <c r="U374" s="263">
        <v>0</v>
      </c>
      <c r="V374" s="263">
        <v>0</v>
      </c>
      <c r="W374" s="263">
        <v>0</v>
      </c>
      <c r="X374" s="263">
        <v>0</v>
      </c>
      <c r="Y374" s="263">
        <v>0</v>
      </c>
      <c r="Z374" s="263">
        <v>0</v>
      </c>
      <c r="AA374" s="263">
        <v>0</v>
      </c>
      <c r="AB374" s="263">
        <v>24</v>
      </c>
      <c r="AC374" s="263">
        <v>2</v>
      </c>
      <c r="AD374" s="263">
        <v>2</v>
      </c>
      <c r="AE374" s="263"/>
      <c r="AF374" s="263"/>
      <c r="AG374" s="263"/>
      <c r="AH374" s="263"/>
      <c r="AI374" s="263"/>
      <c r="AJ374" s="259"/>
      <c r="AK374" s="263">
        <f t="shared" si="196"/>
        <v>2</v>
      </c>
      <c r="AL374" s="265">
        <f t="shared" si="172"/>
        <v>25</v>
      </c>
      <c r="AM374" s="6">
        <f t="shared" si="197"/>
        <v>2</v>
      </c>
      <c r="AN374" s="255">
        <f t="shared" si="173"/>
        <v>0.97433547204399629</v>
      </c>
      <c r="AO374" s="256">
        <f t="shared" si="174"/>
        <v>0.90258702116145373</v>
      </c>
      <c r="AP374" s="257">
        <f t="shared" si="175"/>
        <v>1833.1805682859763</v>
      </c>
      <c r="AQ374" s="263">
        <f t="shared" si="198"/>
        <v>12</v>
      </c>
      <c r="AR374" s="263">
        <f t="shared" si="199"/>
        <v>0.4</v>
      </c>
      <c r="AS374" s="263">
        <f t="shared" si="200"/>
        <v>0.2</v>
      </c>
      <c r="AT374" s="263">
        <f t="shared" si="201"/>
        <v>12.6</v>
      </c>
      <c r="AU374" s="263"/>
      <c r="AV374" s="263"/>
      <c r="AW374" s="263"/>
      <c r="AX374" s="263">
        <f t="shared" si="202"/>
        <v>12.6</v>
      </c>
      <c r="BA374" s="282">
        <f t="shared" si="176"/>
        <v>416.86274509803923</v>
      </c>
      <c r="BB374">
        <v>1</v>
      </c>
      <c r="BC374">
        <f t="shared" si="203"/>
        <v>416.86274509803923</v>
      </c>
      <c r="BD374">
        <f t="shared" si="177"/>
        <v>450</v>
      </c>
      <c r="BE374">
        <f t="shared" si="178"/>
        <v>450</v>
      </c>
      <c r="BF374" s="281">
        <f t="shared" si="204"/>
        <v>0.92636165577342056</v>
      </c>
      <c r="BG374" s="282"/>
      <c r="BH374" s="283"/>
    </row>
    <row r="375" spans="1:60" x14ac:dyDescent="0.3">
      <c r="A375">
        <f t="shared" si="136"/>
        <v>372</v>
      </c>
      <c r="B375" s="241" t="s">
        <v>2499</v>
      </c>
      <c r="C375" s="294" t="s">
        <v>2511</v>
      </c>
      <c r="D375" s="14">
        <v>45831</v>
      </c>
      <c r="E375" s="7">
        <v>45</v>
      </c>
      <c r="F375" s="7"/>
      <c r="G375" s="66"/>
      <c r="H375" s="59"/>
      <c r="I375" s="59">
        <v>480</v>
      </c>
      <c r="J375" s="47">
        <f t="shared" si="193"/>
        <v>480</v>
      </c>
      <c r="K375" s="8">
        <f t="shared" si="194"/>
        <v>435</v>
      </c>
      <c r="L375" s="96">
        <f t="shared" si="195"/>
        <v>0.90625</v>
      </c>
      <c r="M375" s="81">
        <v>911</v>
      </c>
      <c r="N375" s="8">
        <v>153</v>
      </c>
      <c r="O375" s="8">
        <v>60</v>
      </c>
      <c r="P375" s="96">
        <f t="shared" si="114"/>
        <v>0.8212756366914582</v>
      </c>
      <c r="Q375" s="59">
        <f t="shared" si="149"/>
        <v>911</v>
      </c>
      <c r="R375" s="252">
        <f t="shared" si="171"/>
        <v>915</v>
      </c>
      <c r="S375" s="263">
        <v>18</v>
      </c>
      <c r="T375" s="263">
        <v>0</v>
      </c>
      <c r="U375" s="263">
        <v>0</v>
      </c>
      <c r="V375" s="263">
        <v>0</v>
      </c>
      <c r="W375" s="263">
        <v>2</v>
      </c>
      <c r="X375" s="263">
        <v>5</v>
      </c>
      <c r="Y375" s="263">
        <v>0</v>
      </c>
      <c r="Z375" s="263">
        <v>1</v>
      </c>
      <c r="AA375" s="263">
        <v>0</v>
      </c>
      <c r="AB375" s="263">
        <v>2</v>
      </c>
      <c r="AC375" s="263">
        <v>1</v>
      </c>
      <c r="AD375" s="263">
        <v>1</v>
      </c>
      <c r="AE375" s="263"/>
      <c r="AF375" s="263"/>
      <c r="AG375" s="263"/>
      <c r="AH375" s="263"/>
      <c r="AI375" s="263"/>
      <c r="AJ375" s="259"/>
      <c r="AK375" s="263">
        <f t="shared" si="196"/>
        <v>1</v>
      </c>
      <c r="AL375" s="265">
        <f t="shared" si="172"/>
        <v>26</v>
      </c>
      <c r="AM375" s="6">
        <f t="shared" si="197"/>
        <v>1</v>
      </c>
      <c r="AN375" s="255">
        <f t="shared" si="173"/>
        <v>0.99562841530054647</v>
      </c>
      <c r="AO375" s="256">
        <f t="shared" si="174"/>
        <v>0.74102735811993281</v>
      </c>
      <c r="AP375" s="257">
        <f t="shared" si="175"/>
        <v>1092.8961748633881</v>
      </c>
      <c r="AQ375" s="263">
        <f t="shared" si="198"/>
        <v>1</v>
      </c>
      <c r="AR375" s="263">
        <f t="shared" si="199"/>
        <v>0.2</v>
      </c>
      <c r="AS375" s="263">
        <f t="shared" si="200"/>
        <v>0.1</v>
      </c>
      <c r="AT375" s="263">
        <f t="shared" si="201"/>
        <v>1.3</v>
      </c>
      <c r="AU375" s="263"/>
      <c r="AV375" s="263"/>
      <c r="AW375" s="263"/>
      <c r="AX375" s="263">
        <f t="shared" si="202"/>
        <v>1.3</v>
      </c>
      <c r="BA375" s="282">
        <f t="shared" si="176"/>
        <v>357.25490196078431</v>
      </c>
      <c r="BB375">
        <v>1</v>
      </c>
      <c r="BC375">
        <f t="shared" si="203"/>
        <v>357.25490196078431</v>
      </c>
      <c r="BD375">
        <f t="shared" si="177"/>
        <v>435</v>
      </c>
      <c r="BE375">
        <f t="shared" si="178"/>
        <v>480</v>
      </c>
      <c r="BF375" s="281">
        <f t="shared" si="204"/>
        <v>0.74428104575163401</v>
      </c>
      <c r="BG375" s="282" t="s">
        <v>2481</v>
      </c>
      <c r="BH375" s="283"/>
    </row>
    <row r="376" spans="1:60" x14ac:dyDescent="0.3">
      <c r="A376">
        <f t="shared" si="136"/>
        <v>373</v>
      </c>
      <c r="B376" s="241" t="s">
        <v>2499</v>
      </c>
      <c r="C376" s="294" t="s">
        <v>2512</v>
      </c>
      <c r="D376" s="14">
        <v>45831</v>
      </c>
      <c r="E376" s="7"/>
      <c r="F376" s="7"/>
      <c r="G376" s="66"/>
      <c r="H376" s="59"/>
      <c r="I376" s="59">
        <v>450</v>
      </c>
      <c r="J376" s="47">
        <f t="shared" si="193"/>
        <v>450</v>
      </c>
      <c r="K376" s="8">
        <f t="shared" si="194"/>
        <v>450</v>
      </c>
      <c r="L376" s="96">
        <f t="shared" si="195"/>
        <v>1</v>
      </c>
      <c r="M376" s="81">
        <v>1038</v>
      </c>
      <c r="N376" s="8">
        <v>153</v>
      </c>
      <c r="O376" s="8">
        <v>60</v>
      </c>
      <c r="P376" s="96">
        <f t="shared" si="114"/>
        <v>0.90457516339869282</v>
      </c>
      <c r="Q376" s="59">
        <f t="shared" si="149"/>
        <v>1038</v>
      </c>
      <c r="R376" s="252">
        <f t="shared" si="171"/>
        <v>1044</v>
      </c>
      <c r="S376" s="263">
        <v>16</v>
      </c>
      <c r="T376" s="263">
        <v>1</v>
      </c>
      <c r="U376" s="263">
        <v>0</v>
      </c>
      <c r="V376" s="263">
        <v>0</v>
      </c>
      <c r="W376" s="263">
        <v>0</v>
      </c>
      <c r="X376" s="263">
        <v>0</v>
      </c>
      <c r="Y376" s="263">
        <v>0</v>
      </c>
      <c r="Z376" s="263">
        <v>1</v>
      </c>
      <c r="AA376" s="263">
        <v>0</v>
      </c>
      <c r="AB376" s="263">
        <v>5</v>
      </c>
      <c r="AC376" s="263">
        <v>0</v>
      </c>
      <c r="AD376" s="263">
        <v>1</v>
      </c>
      <c r="AE376" s="263"/>
      <c r="AF376" s="263"/>
      <c r="AG376" s="263"/>
      <c r="AH376" s="263"/>
      <c r="AI376" s="263"/>
      <c r="AJ376" s="259"/>
      <c r="AK376" s="263">
        <f t="shared" si="196"/>
        <v>1</v>
      </c>
      <c r="AL376" s="265">
        <f t="shared" si="172"/>
        <v>26</v>
      </c>
      <c r="AM376" s="6">
        <f t="shared" si="197"/>
        <v>1</v>
      </c>
      <c r="AN376" s="255">
        <f t="shared" si="173"/>
        <v>0.99425287356321834</v>
      </c>
      <c r="AO376" s="256">
        <f t="shared" si="174"/>
        <v>0.89937645556306811</v>
      </c>
      <c r="AP376" s="257">
        <f t="shared" si="175"/>
        <v>957.8544061302681</v>
      </c>
      <c r="AQ376" s="263">
        <f t="shared" si="198"/>
        <v>2.5</v>
      </c>
      <c r="AR376" s="263">
        <f t="shared" si="199"/>
        <v>0</v>
      </c>
      <c r="AS376" s="263">
        <f t="shared" si="200"/>
        <v>0.1</v>
      </c>
      <c r="AT376" s="263">
        <f t="shared" si="201"/>
        <v>2.6</v>
      </c>
      <c r="AU376" s="263"/>
      <c r="AV376" s="263"/>
      <c r="AW376" s="263"/>
      <c r="AX376" s="263">
        <f t="shared" si="202"/>
        <v>2.6</v>
      </c>
      <c r="BA376" s="282">
        <f t="shared" si="176"/>
        <v>407.05882352941177</v>
      </c>
      <c r="BB376">
        <v>1</v>
      </c>
      <c r="BC376">
        <f t="shared" si="203"/>
        <v>407.05882352941177</v>
      </c>
      <c r="BD376">
        <f t="shared" si="177"/>
        <v>450</v>
      </c>
      <c r="BE376">
        <f t="shared" si="178"/>
        <v>450</v>
      </c>
      <c r="BF376" s="281">
        <f t="shared" si="204"/>
        <v>0.90457516339869282</v>
      </c>
      <c r="BG376" s="282" t="s">
        <v>2549</v>
      </c>
      <c r="BH376" s="283"/>
    </row>
    <row r="377" spans="1:60" x14ac:dyDescent="0.3">
      <c r="A377">
        <f t="shared" si="136"/>
        <v>374</v>
      </c>
      <c r="B377" s="241" t="s">
        <v>2499</v>
      </c>
      <c r="C377" s="294" t="s">
        <v>2513</v>
      </c>
      <c r="D377" s="14">
        <v>45831</v>
      </c>
      <c r="E377" s="7"/>
      <c r="F377" s="7"/>
      <c r="G377" s="66"/>
      <c r="H377" s="59"/>
      <c r="I377" s="59">
        <v>510</v>
      </c>
      <c r="J377" s="47">
        <f t="shared" si="193"/>
        <v>510</v>
      </c>
      <c r="K377" s="8">
        <f t="shared" si="194"/>
        <v>510</v>
      </c>
      <c r="L377" s="96">
        <f t="shared" si="195"/>
        <v>1</v>
      </c>
      <c r="M377" s="81">
        <v>1185</v>
      </c>
      <c r="N377" s="8">
        <v>153</v>
      </c>
      <c r="O377" s="8">
        <v>60</v>
      </c>
      <c r="P377" s="96">
        <f t="shared" si="114"/>
        <v>0.91118800461361016</v>
      </c>
      <c r="Q377" s="59">
        <f t="shared" si="149"/>
        <v>1185</v>
      </c>
      <c r="R377" s="252">
        <f t="shared" si="171"/>
        <v>1197</v>
      </c>
      <c r="S377" s="263">
        <v>35</v>
      </c>
      <c r="T377" s="263">
        <v>0</v>
      </c>
      <c r="U377" s="263">
        <v>0</v>
      </c>
      <c r="V377" s="263">
        <v>0</v>
      </c>
      <c r="W377" s="263">
        <v>0</v>
      </c>
      <c r="X377" s="263">
        <v>2</v>
      </c>
      <c r="Y377" s="263">
        <v>0</v>
      </c>
      <c r="Z377" s="263">
        <v>5</v>
      </c>
      <c r="AA377" s="263">
        <v>1</v>
      </c>
      <c r="AB377" s="263">
        <v>7</v>
      </c>
      <c r="AC377" s="263">
        <v>4</v>
      </c>
      <c r="AD377" s="263">
        <v>1</v>
      </c>
      <c r="AE377" s="263"/>
      <c r="AF377" s="263"/>
      <c r="AG377" s="263"/>
      <c r="AH377" s="263"/>
      <c r="AI377" s="263"/>
      <c r="AJ377" s="259"/>
      <c r="AK377" s="263">
        <f t="shared" si="196"/>
        <v>1</v>
      </c>
      <c r="AL377" s="265">
        <f t="shared" si="172"/>
        <v>26</v>
      </c>
      <c r="AM377" s="6">
        <f t="shared" si="197"/>
        <v>1</v>
      </c>
      <c r="AN377" s="255">
        <f t="shared" si="173"/>
        <v>0.9899749373433584</v>
      </c>
      <c r="AO377" s="256">
        <f t="shared" si="174"/>
        <v>0.90205328777537852</v>
      </c>
      <c r="AP377" s="257">
        <f t="shared" si="175"/>
        <v>835.421888053467</v>
      </c>
      <c r="AQ377" s="263">
        <f t="shared" si="198"/>
        <v>3.5</v>
      </c>
      <c r="AR377" s="263">
        <f t="shared" si="199"/>
        <v>0.8</v>
      </c>
      <c r="AS377" s="263">
        <f t="shared" si="200"/>
        <v>0.1</v>
      </c>
      <c r="AT377" s="263">
        <f t="shared" si="201"/>
        <v>4.3999999999999995</v>
      </c>
      <c r="AU377" s="263"/>
      <c r="AV377" s="263"/>
      <c r="AW377" s="263"/>
      <c r="AX377" s="263">
        <f t="shared" si="202"/>
        <v>4.3999999999999995</v>
      </c>
      <c r="BA377" s="282">
        <f t="shared" si="176"/>
        <v>464.70588235294116</v>
      </c>
      <c r="BB377">
        <v>1</v>
      </c>
      <c r="BC377">
        <f t="shared" si="203"/>
        <v>464.70588235294116</v>
      </c>
      <c r="BD377">
        <f t="shared" si="177"/>
        <v>510</v>
      </c>
      <c r="BE377">
        <f t="shared" si="178"/>
        <v>510</v>
      </c>
      <c r="BF377" s="281">
        <f t="shared" si="204"/>
        <v>0.91118800461361016</v>
      </c>
      <c r="BG377" s="282" t="s">
        <v>2544</v>
      </c>
      <c r="BH377" s="283"/>
    </row>
    <row r="378" spans="1:60" x14ac:dyDescent="0.3">
      <c r="A378">
        <f t="shared" si="136"/>
        <v>375</v>
      </c>
      <c r="B378" s="241" t="s">
        <v>2499</v>
      </c>
      <c r="C378" s="294" t="s">
        <v>2511</v>
      </c>
      <c r="D378" s="14">
        <v>45832</v>
      </c>
      <c r="E378" s="7"/>
      <c r="F378" s="7"/>
      <c r="G378" s="66"/>
      <c r="H378" s="59"/>
      <c r="I378" s="59">
        <v>480</v>
      </c>
      <c r="J378" s="47">
        <f t="shared" si="193"/>
        <v>480</v>
      </c>
      <c r="K378" s="8">
        <f t="shared" si="194"/>
        <v>480</v>
      </c>
      <c r="L378" s="96">
        <f t="shared" si="195"/>
        <v>1</v>
      </c>
      <c r="M378" s="81">
        <v>1134</v>
      </c>
      <c r="N378" s="8">
        <v>153</v>
      </c>
      <c r="O378" s="8">
        <v>60</v>
      </c>
      <c r="P378" s="96">
        <f t="shared" si="114"/>
        <v>0.92647058823529416</v>
      </c>
      <c r="Q378" s="59">
        <f t="shared" si="149"/>
        <v>1134</v>
      </c>
      <c r="R378" s="252">
        <f t="shared" si="171"/>
        <v>1138</v>
      </c>
      <c r="S378" s="263">
        <v>16</v>
      </c>
      <c r="T378" s="263">
        <v>0</v>
      </c>
      <c r="U378" s="263">
        <v>0</v>
      </c>
      <c r="V378" s="263">
        <v>0</v>
      </c>
      <c r="W378" s="263">
        <v>0</v>
      </c>
      <c r="X378" s="263">
        <v>1</v>
      </c>
      <c r="Y378" s="263">
        <v>0</v>
      </c>
      <c r="Z378" s="263">
        <v>2</v>
      </c>
      <c r="AA378" s="263">
        <v>1</v>
      </c>
      <c r="AB378" s="263">
        <v>2</v>
      </c>
      <c r="AC378" s="263">
        <v>0</v>
      </c>
      <c r="AD378" s="263">
        <v>2</v>
      </c>
      <c r="AE378" s="263"/>
      <c r="AF378" s="263"/>
      <c r="AG378" s="263"/>
      <c r="AH378" s="263"/>
      <c r="AI378" s="263"/>
      <c r="AJ378" s="259"/>
      <c r="AK378" s="263">
        <f t="shared" si="196"/>
        <v>2</v>
      </c>
      <c r="AL378" s="265">
        <f t="shared" si="172"/>
        <v>26</v>
      </c>
      <c r="AM378" s="6">
        <f t="shared" si="197"/>
        <v>2</v>
      </c>
      <c r="AN378" s="255">
        <f t="shared" si="173"/>
        <v>0.99648506151142358</v>
      </c>
      <c r="AO378" s="256">
        <f t="shared" si="174"/>
        <v>0.92321410110617186</v>
      </c>
      <c r="AP378" s="257">
        <f t="shared" si="175"/>
        <v>1757.4692442882249</v>
      </c>
      <c r="AQ378" s="263">
        <f t="shared" si="198"/>
        <v>1</v>
      </c>
      <c r="AR378" s="263">
        <f t="shared" si="199"/>
        <v>0</v>
      </c>
      <c r="AS378" s="263">
        <f t="shared" si="200"/>
        <v>0.2</v>
      </c>
      <c r="AT378" s="263">
        <f t="shared" si="201"/>
        <v>1.2</v>
      </c>
      <c r="AU378" s="263"/>
      <c r="AV378" s="263"/>
      <c r="AW378" s="263"/>
      <c r="AX378" s="263">
        <f t="shared" si="202"/>
        <v>1.2</v>
      </c>
      <c r="BA378" s="282">
        <f t="shared" si="176"/>
        <v>444.70588235294122</v>
      </c>
      <c r="BB378">
        <v>1</v>
      </c>
      <c r="BC378">
        <f t="shared" si="203"/>
        <v>444.70588235294122</v>
      </c>
      <c r="BD378">
        <f t="shared" si="177"/>
        <v>480</v>
      </c>
      <c r="BE378">
        <f t="shared" si="178"/>
        <v>480</v>
      </c>
      <c r="BF378" s="281">
        <f t="shared" si="204"/>
        <v>0.92647058823529416</v>
      </c>
      <c r="BG378" s="282" t="s">
        <v>2481</v>
      </c>
      <c r="BH378" s="283"/>
    </row>
    <row r="379" spans="1:60" x14ac:dyDescent="0.3">
      <c r="A379">
        <f t="shared" si="136"/>
        <v>376</v>
      </c>
      <c r="B379" s="241" t="s">
        <v>2499</v>
      </c>
      <c r="C379" s="294" t="s">
        <v>2512</v>
      </c>
      <c r="D379" s="14">
        <v>45832</v>
      </c>
      <c r="E379" s="7"/>
      <c r="F379" s="7"/>
      <c r="G379" s="66"/>
      <c r="H379" s="59"/>
      <c r="I379" s="59">
        <v>450</v>
      </c>
      <c r="J379" s="47">
        <f t="shared" si="193"/>
        <v>450</v>
      </c>
      <c r="K379" s="8">
        <f t="shared" si="194"/>
        <v>450</v>
      </c>
      <c r="L379" s="96">
        <f t="shared" si="195"/>
        <v>1</v>
      </c>
      <c r="M379" s="81">
        <v>1030</v>
      </c>
      <c r="N379" s="8">
        <v>153</v>
      </c>
      <c r="O379" s="8">
        <v>60</v>
      </c>
      <c r="P379" s="96">
        <f t="shared" si="114"/>
        <v>0.89760348583878002</v>
      </c>
      <c r="Q379" s="59">
        <f t="shared" si="149"/>
        <v>1030</v>
      </c>
      <c r="R379" s="252">
        <f t="shared" si="171"/>
        <v>1047</v>
      </c>
      <c r="S379" s="263">
        <v>20</v>
      </c>
      <c r="T379" s="263">
        <v>0</v>
      </c>
      <c r="U379" s="263">
        <v>0</v>
      </c>
      <c r="V379" s="263">
        <v>0</v>
      </c>
      <c r="W379" s="263">
        <v>2</v>
      </c>
      <c r="X379" s="263">
        <v>6</v>
      </c>
      <c r="Y379" s="263">
        <v>0</v>
      </c>
      <c r="Z379" s="263">
        <v>0</v>
      </c>
      <c r="AA379" s="263">
        <v>1</v>
      </c>
      <c r="AB379" s="263">
        <v>15</v>
      </c>
      <c r="AC379" s="263">
        <v>1</v>
      </c>
      <c r="AD379" s="263">
        <v>1</v>
      </c>
      <c r="AE379" s="263"/>
      <c r="AF379" s="263"/>
      <c r="AG379" s="263"/>
      <c r="AH379" s="263"/>
      <c r="AI379" s="263"/>
      <c r="AJ379" s="259"/>
      <c r="AK379" s="263">
        <f t="shared" si="196"/>
        <v>1</v>
      </c>
      <c r="AL379" s="265">
        <f t="shared" si="172"/>
        <v>26</v>
      </c>
      <c r="AM379" s="6">
        <f t="shared" si="197"/>
        <v>1</v>
      </c>
      <c r="AN379" s="255">
        <f t="shared" si="173"/>
        <v>0.98376313276026739</v>
      </c>
      <c r="AO379" s="256">
        <f t="shared" si="174"/>
        <v>0.88302921720529459</v>
      </c>
      <c r="AP379" s="257">
        <f t="shared" si="175"/>
        <v>955.10983763132754</v>
      </c>
      <c r="AQ379" s="263">
        <f t="shared" si="198"/>
        <v>7.5</v>
      </c>
      <c r="AR379" s="263">
        <f t="shared" si="199"/>
        <v>0.2</v>
      </c>
      <c r="AS379" s="263">
        <f t="shared" si="200"/>
        <v>0.1</v>
      </c>
      <c r="AT379" s="263">
        <f t="shared" si="201"/>
        <v>7.8</v>
      </c>
      <c r="AU379" s="263"/>
      <c r="AV379" s="263"/>
      <c r="AW379" s="263"/>
      <c r="AX379" s="263">
        <f t="shared" si="202"/>
        <v>7.8</v>
      </c>
      <c r="BA379" s="282">
        <f t="shared" si="176"/>
        <v>403.92156862745099</v>
      </c>
      <c r="BB379">
        <v>1</v>
      </c>
      <c r="BC379">
        <f t="shared" si="203"/>
        <v>403.92156862745099</v>
      </c>
      <c r="BD379">
        <f t="shared" si="177"/>
        <v>450</v>
      </c>
      <c r="BE379">
        <f t="shared" si="178"/>
        <v>450</v>
      </c>
      <c r="BF379" s="281">
        <f t="shared" si="204"/>
        <v>0.89760348583878002</v>
      </c>
      <c r="BG379" s="282" t="s">
        <v>2526</v>
      </c>
      <c r="BH379" s="283" t="s">
        <v>2514</v>
      </c>
    </row>
    <row r="380" spans="1:60" x14ac:dyDescent="0.3">
      <c r="A380">
        <f t="shared" si="136"/>
        <v>377</v>
      </c>
      <c r="B380" s="241" t="s">
        <v>2499</v>
      </c>
      <c r="C380" s="294" t="s">
        <v>2513</v>
      </c>
      <c r="D380" s="14">
        <v>45832</v>
      </c>
      <c r="E380" s="7"/>
      <c r="F380" s="7"/>
      <c r="G380" s="66"/>
      <c r="H380" s="59"/>
      <c r="I380" s="59">
        <v>510</v>
      </c>
      <c r="J380" s="47">
        <f t="shared" si="193"/>
        <v>510</v>
      </c>
      <c r="K380" s="8">
        <f t="shared" si="194"/>
        <v>510</v>
      </c>
      <c r="L380" s="96">
        <f t="shared" si="195"/>
        <v>1</v>
      </c>
      <c r="M380" s="81">
        <v>852</v>
      </c>
      <c r="N380" s="8">
        <v>153</v>
      </c>
      <c r="O380" s="8">
        <v>60</v>
      </c>
      <c r="P380" s="96">
        <f t="shared" si="114"/>
        <v>0.65513264129181081</v>
      </c>
      <c r="Q380" s="59">
        <f t="shared" si="149"/>
        <v>852</v>
      </c>
      <c r="R380" s="252">
        <f t="shared" si="171"/>
        <v>876</v>
      </c>
      <c r="S380" s="263">
        <v>17</v>
      </c>
      <c r="T380" s="263">
        <v>0</v>
      </c>
      <c r="U380" s="263">
        <v>0</v>
      </c>
      <c r="V380" s="263">
        <v>0</v>
      </c>
      <c r="W380" s="263">
        <v>0</v>
      </c>
      <c r="X380" s="263">
        <v>5</v>
      </c>
      <c r="Y380" s="263">
        <v>0</v>
      </c>
      <c r="Z380" s="263">
        <v>0</v>
      </c>
      <c r="AA380" s="263">
        <v>1</v>
      </c>
      <c r="AB380" s="263">
        <v>17</v>
      </c>
      <c r="AC380" s="263">
        <v>3</v>
      </c>
      <c r="AD380" s="263">
        <v>4</v>
      </c>
      <c r="AE380" s="263"/>
      <c r="AF380" s="263"/>
      <c r="AG380" s="263"/>
      <c r="AH380" s="263"/>
      <c r="AI380" s="263"/>
      <c r="AJ380" s="259"/>
      <c r="AK380" s="263">
        <f t="shared" si="196"/>
        <v>4</v>
      </c>
      <c r="AL380" s="265">
        <f t="shared" si="172"/>
        <v>26</v>
      </c>
      <c r="AM380" s="6">
        <f t="shared" si="197"/>
        <v>4</v>
      </c>
      <c r="AN380" s="255">
        <f t="shared" si="173"/>
        <v>0.9726027397260274</v>
      </c>
      <c r="AO380" s="256">
        <f t="shared" si="174"/>
        <v>0.63718380180436396</v>
      </c>
      <c r="AP380" s="257">
        <f t="shared" si="175"/>
        <v>4566.2100456621001</v>
      </c>
      <c r="AQ380" s="263">
        <f t="shared" si="198"/>
        <v>8.5</v>
      </c>
      <c r="AR380" s="263">
        <f t="shared" si="199"/>
        <v>0.60000000000000009</v>
      </c>
      <c r="AS380" s="263">
        <f t="shared" si="200"/>
        <v>0.4</v>
      </c>
      <c r="AT380" s="263">
        <f t="shared" si="201"/>
        <v>9.5</v>
      </c>
      <c r="AU380" s="263"/>
      <c r="AV380" s="263"/>
      <c r="AW380" s="263"/>
      <c r="AX380" s="263">
        <f t="shared" si="202"/>
        <v>9.5</v>
      </c>
      <c r="BA380" s="282">
        <f t="shared" si="176"/>
        <v>334.11764705882354</v>
      </c>
      <c r="BB380">
        <v>1</v>
      </c>
      <c r="BC380">
        <f t="shared" si="203"/>
        <v>334.11764705882354</v>
      </c>
      <c r="BD380">
        <f t="shared" si="177"/>
        <v>510</v>
      </c>
      <c r="BE380">
        <f t="shared" si="178"/>
        <v>510</v>
      </c>
      <c r="BF380" s="281">
        <f t="shared" si="204"/>
        <v>0.65513264129181081</v>
      </c>
      <c r="BG380" s="282" t="s">
        <v>2544</v>
      </c>
      <c r="BH380" s="283"/>
    </row>
    <row r="381" spans="1:60" x14ac:dyDescent="0.3">
      <c r="A381">
        <f t="shared" si="136"/>
        <v>378</v>
      </c>
      <c r="B381" s="241" t="s">
        <v>2499</v>
      </c>
      <c r="C381" s="294" t="s">
        <v>2511</v>
      </c>
      <c r="D381" s="14">
        <v>45833</v>
      </c>
      <c r="E381" s="7">
        <v>45</v>
      </c>
      <c r="F381" s="7">
        <v>45</v>
      </c>
      <c r="G381" s="66"/>
      <c r="H381" s="59"/>
      <c r="I381" s="59">
        <v>480</v>
      </c>
      <c r="J381" s="47">
        <f t="shared" si="193"/>
        <v>480</v>
      </c>
      <c r="K381" s="8">
        <f t="shared" si="194"/>
        <v>390</v>
      </c>
      <c r="L381" s="96">
        <f t="shared" si="195"/>
        <v>0.8125</v>
      </c>
      <c r="M381" s="81">
        <v>1011</v>
      </c>
      <c r="N381" s="8">
        <v>153</v>
      </c>
      <c r="O381" s="8">
        <v>60</v>
      </c>
      <c r="P381" s="96">
        <f t="shared" si="114"/>
        <v>1.0165912518853695</v>
      </c>
      <c r="Q381" s="59">
        <f t="shared" si="149"/>
        <v>1011</v>
      </c>
      <c r="R381" s="252">
        <f t="shared" si="171"/>
        <v>1034</v>
      </c>
      <c r="S381" s="263">
        <v>3</v>
      </c>
      <c r="T381" s="263">
        <v>0</v>
      </c>
      <c r="U381" s="263">
        <v>0</v>
      </c>
      <c r="V381" s="263">
        <v>0</v>
      </c>
      <c r="W381" s="263">
        <v>2</v>
      </c>
      <c r="X381" s="263">
        <v>0</v>
      </c>
      <c r="Y381" s="263">
        <v>0</v>
      </c>
      <c r="Z381" s="263">
        <v>1</v>
      </c>
      <c r="AA381" s="263">
        <v>0</v>
      </c>
      <c r="AB381" s="263">
        <v>21</v>
      </c>
      <c r="AC381" s="263">
        <v>1</v>
      </c>
      <c r="AD381" s="263">
        <v>1</v>
      </c>
      <c r="AE381" s="263"/>
      <c r="AF381" s="263"/>
      <c r="AG381" s="263"/>
      <c r="AH381" s="263"/>
      <c r="AI381" s="263"/>
      <c r="AJ381" s="259"/>
      <c r="AK381" s="263">
        <f t="shared" si="196"/>
        <v>1</v>
      </c>
      <c r="AL381" s="265">
        <f t="shared" si="172"/>
        <v>26</v>
      </c>
      <c r="AM381" s="6">
        <f t="shared" si="197"/>
        <v>1</v>
      </c>
      <c r="AN381" s="255">
        <f t="shared" si="173"/>
        <v>0.97775628626692457</v>
      </c>
      <c r="AO381" s="256">
        <f t="shared" si="174"/>
        <v>0.80760752076459208</v>
      </c>
      <c r="AP381" s="257">
        <f t="shared" si="175"/>
        <v>967.11798839458413</v>
      </c>
      <c r="AQ381" s="263">
        <f t="shared" si="198"/>
        <v>10.5</v>
      </c>
      <c r="AR381" s="263">
        <f t="shared" si="199"/>
        <v>0.2</v>
      </c>
      <c r="AS381" s="263">
        <f t="shared" si="200"/>
        <v>0.1</v>
      </c>
      <c r="AT381" s="263">
        <f t="shared" si="201"/>
        <v>10.799999999999999</v>
      </c>
      <c r="AU381" s="263"/>
      <c r="AV381" s="263"/>
      <c r="AW381" s="263"/>
      <c r="AX381" s="263">
        <f t="shared" si="202"/>
        <v>10.799999999999999</v>
      </c>
      <c r="BA381" s="282">
        <f t="shared" si="176"/>
        <v>396.47058823529409</v>
      </c>
      <c r="BB381">
        <v>1</v>
      </c>
      <c r="BC381">
        <f t="shared" si="203"/>
        <v>396.47058823529409</v>
      </c>
      <c r="BD381">
        <f t="shared" si="177"/>
        <v>390</v>
      </c>
      <c r="BE381">
        <f t="shared" si="178"/>
        <v>480</v>
      </c>
      <c r="BF381" s="281">
        <f t="shared" si="204"/>
        <v>0.8259803921568627</v>
      </c>
      <c r="BG381" s="282" t="s">
        <v>2481</v>
      </c>
      <c r="BH381" s="283"/>
    </row>
    <row r="382" spans="1:60" x14ac:dyDescent="0.3">
      <c r="A382">
        <f t="shared" si="136"/>
        <v>379</v>
      </c>
      <c r="B382" s="241" t="s">
        <v>2499</v>
      </c>
      <c r="C382" s="294" t="s">
        <v>2512</v>
      </c>
      <c r="D382" s="14">
        <v>45833</v>
      </c>
      <c r="E382" s="7"/>
      <c r="F382" s="7"/>
      <c r="G382" s="66"/>
      <c r="H382" s="59"/>
      <c r="I382" s="59">
        <v>450</v>
      </c>
      <c r="J382" s="47">
        <f t="shared" si="193"/>
        <v>450</v>
      </c>
      <c r="K382" s="8">
        <f t="shared" si="194"/>
        <v>450</v>
      </c>
      <c r="L382" s="96">
        <f t="shared" si="195"/>
        <v>1</v>
      </c>
      <c r="M382" s="81">
        <v>1029</v>
      </c>
      <c r="N382" s="8">
        <v>153</v>
      </c>
      <c r="O382" s="8">
        <v>60</v>
      </c>
      <c r="P382" s="96">
        <f t="shared" si="114"/>
        <v>0.89673202614379088</v>
      </c>
      <c r="Q382" s="59">
        <f t="shared" si="149"/>
        <v>1029</v>
      </c>
      <c r="R382" s="252">
        <f t="shared" si="171"/>
        <v>1054</v>
      </c>
      <c r="S382" s="263">
        <v>4</v>
      </c>
      <c r="T382" s="263">
        <v>1</v>
      </c>
      <c r="U382" s="263">
        <v>0</v>
      </c>
      <c r="V382" s="263">
        <v>0</v>
      </c>
      <c r="W382" s="263">
        <v>0</v>
      </c>
      <c r="X382" s="263">
        <v>4</v>
      </c>
      <c r="Y382" s="263">
        <v>0</v>
      </c>
      <c r="Z382" s="263">
        <v>0</v>
      </c>
      <c r="AA382" s="263">
        <v>0</v>
      </c>
      <c r="AB382" s="263">
        <v>19</v>
      </c>
      <c r="AC382" s="263">
        <v>4</v>
      </c>
      <c r="AD382" s="263">
        <v>2</v>
      </c>
      <c r="AE382" s="263"/>
      <c r="AF382" s="263"/>
      <c r="AG382" s="263"/>
      <c r="AH382" s="263"/>
      <c r="AI382" s="263"/>
      <c r="AJ382" s="259"/>
      <c r="AK382" s="263">
        <f t="shared" si="196"/>
        <v>2</v>
      </c>
      <c r="AL382" s="265">
        <f t="shared" si="172"/>
        <v>26</v>
      </c>
      <c r="AM382" s="6">
        <f t="shared" si="197"/>
        <v>2</v>
      </c>
      <c r="AN382" s="255">
        <f t="shared" si="173"/>
        <v>0.97628083491461104</v>
      </c>
      <c r="AO382" s="256">
        <f t="shared" si="174"/>
        <v>0.87546229117833096</v>
      </c>
      <c r="AP382" s="257">
        <f t="shared" si="175"/>
        <v>1897.5332068311195</v>
      </c>
      <c r="AQ382" s="263">
        <f t="shared" si="198"/>
        <v>9.5</v>
      </c>
      <c r="AR382" s="263">
        <f t="shared" si="199"/>
        <v>0.8</v>
      </c>
      <c r="AS382" s="263">
        <f t="shared" si="200"/>
        <v>0.2</v>
      </c>
      <c r="AT382" s="263">
        <f t="shared" si="201"/>
        <v>10.5</v>
      </c>
      <c r="AU382" s="263"/>
      <c r="AV382" s="263"/>
      <c r="AW382" s="263"/>
      <c r="AX382" s="263">
        <f t="shared" si="202"/>
        <v>10.5</v>
      </c>
      <c r="BA382" s="282">
        <f t="shared" si="176"/>
        <v>403.52941176470591</v>
      </c>
      <c r="BB382">
        <v>1</v>
      </c>
      <c r="BC382">
        <f t="shared" si="203"/>
        <v>403.52941176470591</v>
      </c>
      <c r="BD382">
        <f t="shared" si="177"/>
        <v>450</v>
      </c>
      <c r="BE382">
        <f t="shared" si="178"/>
        <v>450</v>
      </c>
      <c r="BF382" s="281">
        <f t="shared" si="204"/>
        <v>0.89673202614379088</v>
      </c>
      <c r="BG382" s="282" t="s">
        <v>2549</v>
      </c>
      <c r="BH382" s="283"/>
    </row>
    <row r="383" spans="1:60" x14ac:dyDescent="0.3">
      <c r="A383">
        <f t="shared" si="136"/>
        <v>380</v>
      </c>
      <c r="B383" s="241" t="s">
        <v>2499</v>
      </c>
      <c r="C383" s="294" t="s">
        <v>2513</v>
      </c>
      <c r="D383" s="14">
        <v>45833</v>
      </c>
      <c r="E383" s="7"/>
      <c r="F383" s="7"/>
      <c r="G383" s="66"/>
      <c r="H383" s="59"/>
      <c r="I383" s="59">
        <v>510</v>
      </c>
      <c r="J383" s="47">
        <f t="shared" si="193"/>
        <v>510</v>
      </c>
      <c r="K383" s="8">
        <f t="shared" si="194"/>
        <v>510</v>
      </c>
      <c r="L383" s="96">
        <f t="shared" si="195"/>
        <v>1</v>
      </c>
      <c r="M383" s="81">
        <v>1286</v>
      </c>
      <c r="N383" s="8">
        <v>153</v>
      </c>
      <c r="O383" s="8">
        <v>60</v>
      </c>
      <c r="P383" s="96">
        <f t="shared" si="114"/>
        <v>0.9888504421376394</v>
      </c>
      <c r="Q383" s="59">
        <f t="shared" si="149"/>
        <v>1286</v>
      </c>
      <c r="R383" s="252">
        <f t="shared" si="171"/>
        <v>1297</v>
      </c>
      <c r="S383" s="263">
        <v>7</v>
      </c>
      <c r="T383" s="263">
        <v>0</v>
      </c>
      <c r="U383" s="263">
        <v>0</v>
      </c>
      <c r="V383" s="263">
        <v>0</v>
      </c>
      <c r="W383" s="263">
        <v>0</v>
      </c>
      <c r="X383" s="263">
        <v>1</v>
      </c>
      <c r="Y383" s="263">
        <v>0</v>
      </c>
      <c r="Z383" s="263">
        <v>1</v>
      </c>
      <c r="AA383" s="263">
        <v>0</v>
      </c>
      <c r="AB383" s="263">
        <v>8</v>
      </c>
      <c r="AC383" s="263">
        <v>3</v>
      </c>
      <c r="AD383" s="263">
        <v>0</v>
      </c>
      <c r="AE383" s="263"/>
      <c r="AF383" s="263"/>
      <c r="AG383" s="263"/>
      <c r="AH383" s="263"/>
      <c r="AI383" s="263"/>
      <c r="AJ383" s="259"/>
      <c r="AK383" s="263">
        <f t="shared" si="196"/>
        <v>0</v>
      </c>
      <c r="AL383" s="265">
        <f t="shared" si="172"/>
        <v>26</v>
      </c>
      <c r="AM383" s="6">
        <f t="shared" si="197"/>
        <v>0</v>
      </c>
      <c r="AN383" s="255">
        <f t="shared" si="173"/>
        <v>0.99151888974556668</v>
      </c>
      <c r="AO383" s="256">
        <f t="shared" si="174"/>
        <v>0.98046389251272492</v>
      </c>
      <c r="AP383" s="257">
        <f t="shared" si="175"/>
        <v>0</v>
      </c>
      <c r="AQ383" s="263">
        <f t="shared" si="198"/>
        <v>4</v>
      </c>
      <c r="AR383" s="263">
        <f t="shared" si="199"/>
        <v>0.60000000000000009</v>
      </c>
      <c r="AS383" s="263">
        <f t="shared" si="200"/>
        <v>0</v>
      </c>
      <c r="AT383" s="263">
        <f t="shared" si="201"/>
        <v>4.5999999999999996</v>
      </c>
      <c r="AU383" s="263"/>
      <c r="AV383" s="263"/>
      <c r="AW383" s="263"/>
      <c r="AX383" s="263">
        <f t="shared" si="202"/>
        <v>4.5999999999999996</v>
      </c>
      <c r="BA383" s="282">
        <f t="shared" si="176"/>
        <v>504.31372549019608</v>
      </c>
      <c r="BB383">
        <v>1</v>
      </c>
      <c r="BC383">
        <f t="shared" si="203"/>
        <v>504.31372549019608</v>
      </c>
      <c r="BD383">
        <f t="shared" si="177"/>
        <v>510</v>
      </c>
      <c r="BE383">
        <f t="shared" si="178"/>
        <v>510</v>
      </c>
      <c r="BF383" s="281">
        <f t="shared" si="204"/>
        <v>0.9888504421376394</v>
      </c>
      <c r="BG383" s="282" t="s">
        <v>2544</v>
      </c>
      <c r="BH383" s="283"/>
    </row>
    <row r="384" spans="1:60" x14ac:dyDescent="0.3">
      <c r="A384">
        <f t="shared" si="136"/>
        <v>381</v>
      </c>
      <c r="B384" s="241" t="s">
        <v>2499</v>
      </c>
      <c r="C384" s="294" t="s">
        <v>2511</v>
      </c>
      <c r="D384" s="14">
        <v>45834</v>
      </c>
      <c r="E384" s="7">
        <v>45</v>
      </c>
      <c r="F384" s="7">
        <f>7*60</f>
        <v>420</v>
      </c>
      <c r="G384" s="66"/>
      <c r="H384" s="59"/>
      <c r="I384" s="59">
        <v>480</v>
      </c>
      <c r="J384" s="47">
        <f t="shared" si="193"/>
        <v>480</v>
      </c>
      <c r="K384" s="8">
        <f t="shared" si="194"/>
        <v>15</v>
      </c>
      <c r="L384" s="96">
        <f t="shared" si="195"/>
        <v>3.125E-2</v>
      </c>
      <c r="M384" s="81">
        <v>14</v>
      </c>
      <c r="N384" s="8">
        <v>153</v>
      </c>
      <c r="O384" s="8">
        <v>60</v>
      </c>
      <c r="P384" s="96">
        <f t="shared" si="114"/>
        <v>0.36601307189542481</v>
      </c>
      <c r="Q384" s="59">
        <f t="shared" si="149"/>
        <v>14</v>
      </c>
      <c r="R384" s="252">
        <f t="shared" ref="R384:R447" si="205">+Q384+AB384+AC384+AD384</f>
        <v>15</v>
      </c>
      <c r="S384" s="263">
        <v>0</v>
      </c>
      <c r="T384" s="263">
        <v>0</v>
      </c>
      <c r="U384" s="263">
        <v>0</v>
      </c>
      <c r="V384" s="263">
        <v>0</v>
      </c>
      <c r="W384" s="263">
        <v>0</v>
      </c>
      <c r="X384" s="263">
        <v>0</v>
      </c>
      <c r="Y384" s="263">
        <v>0</v>
      </c>
      <c r="Z384" s="263">
        <v>0</v>
      </c>
      <c r="AA384" s="263">
        <v>0</v>
      </c>
      <c r="AB384" s="263">
        <v>1</v>
      </c>
      <c r="AC384" s="263">
        <v>0</v>
      </c>
      <c r="AD384" s="263">
        <v>0</v>
      </c>
      <c r="AE384" s="263"/>
      <c r="AF384" s="263"/>
      <c r="AG384" s="263"/>
      <c r="AH384" s="263"/>
      <c r="AI384" s="263"/>
      <c r="AJ384" s="259"/>
      <c r="AK384" s="263">
        <f t="shared" si="196"/>
        <v>0</v>
      </c>
      <c r="AL384" s="265">
        <f t="shared" si="172"/>
        <v>26</v>
      </c>
      <c r="AM384" s="6">
        <f t="shared" si="197"/>
        <v>0</v>
      </c>
      <c r="AN384" s="255">
        <f t="shared" si="173"/>
        <v>0.93333333333333335</v>
      </c>
      <c r="AO384" s="256">
        <f t="shared" si="174"/>
        <v>1.0675381263616557E-2</v>
      </c>
      <c r="AP384" s="257">
        <f t="shared" si="175"/>
        <v>0</v>
      </c>
      <c r="AQ384" s="263">
        <f t="shared" si="198"/>
        <v>0.5</v>
      </c>
      <c r="AR384" s="263">
        <f t="shared" si="199"/>
        <v>0</v>
      </c>
      <c r="AS384" s="263">
        <f t="shared" si="200"/>
        <v>0</v>
      </c>
      <c r="AT384" s="263">
        <f t="shared" si="201"/>
        <v>0.5</v>
      </c>
      <c r="AU384" s="263"/>
      <c r="AV384" s="263"/>
      <c r="AW384" s="263"/>
      <c r="AX384" s="263">
        <f t="shared" si="202"/>
        <v>0.5</v>
      </c>
      <c r="BA384" s="282">
        <f t="shared" si="176"/>
        <v>5.4901960784313726</v>
      </c>
      <c r="BB384">
        <v>1</v>
      </c>
      <c r="BC384">
        <f t="shared" si="203"/>
        <v>5.4901960784313726</v>
      </c>
      <c r="BD384">
        <f t="shared" si="177"/>
        <v>15</v>
      </c>
      <c r="BE384">
        <f t="shared" si="178"/>
        <v>480</v>
      </c>
      <c r="BF384" s="281">
        <f t="shared" si="204"/>
        <v>1.1437908496732025E-2</v>
      </c>
      <c r="BG384" s="282" t="s">
        <v>2497</v>
      </c>
      <c r="BH384" s="283"/>
    </row>
    <row r="385" spans="1:60" x14ac:dyDescent="0.3">
      <c r="A385">
        <f t="shared" si="136"/>
        <v>382</v>
      </c>
      <c r="B385" s="241" t="s">
        <v>2499</v>
      </c>
      <c r="C385" s="294" t="s">
        <v>2512</v>
      </c>
      <c r="D385" s="14">
        <v>45834</v>
      </c>
      <c r="E385" s="7"/>
      <c r="F385" s="7">
        <v>120</v>
      </c>
      <c r="G385" s="66"/>
      <c r="H385" s="59"/>
      <c r="I385" s="59">
        <v>450</v>
      </c>
      <c r="J385" s="47">
        <f t="shared" si="193"/>
        <v>450</v>
      </c>
      <c r="K385" s="8">
        <f t="shared" si="194"/>
        <v>330</v>
      </c>
      <c r="L385" s="96">
        <f t="shared" si="195"/>
        <v>0.73333333333333328</v>
      </c>
      <c r="M385" s="81">
        <v>713</v>
      </c>
      <c r="N385" s="8">
        <v>153</v>
      </c>
      <c r="O385" s="8">
        <v>60</v>
      </c>
      <c r="P385" s="96">
        <f t="shared" si="114"/>
        <v>0.84729649435531795</v>
      </c>
      <c r="Q385" s="59">
        <f t="shared" si="149"/>
        <v>713</v>
      </c>
      <c r="R385" s="252">
        <f t="shared" si="205"/>
        <v>720</v>
      </c>
      <c r="S385" s="263">
        <v>6</v>
      </c>
      <c r="T385" s="263">
        <v>2</v>
      </c>
      <c r="U385" s="263">
        <v>0</v>
      </c>
      <c r="V385" s="263">
        <v>0</v>
      </c>
      <c r="W385" s="263">
        <v>0</v>
      </c>
      <c r="X385" s="263">
        <v>4</v>
      </c>
      <c r="Y385" s="263">
        <v>0</v>
      </c>
      <c r="Z385" s="263">
        <v>0</v>
      </c>
      <c r="AA385" s="263">
        <v>1</v>
      </c>
      <c r="AB385" s="263">
        <v>6</v>
      </c>
      <c r="AC385" s="263">
        <v>0</v>
      </c>
      <c r="AD385" s="263">
        <v>1</v>
      </c>
      <c r="AE385" s="263"/>
      <c r="AF385" s="263"/>
      <c r="AG385" s="263"/>
      <c r="AH385" s="263"/>
      <c r="AI385" s="263"/>
      <c r="AJ385" s="259"/>
      <c r="AK385" s="263">
        <f t="shared" si="196"/>
        <v>1</v>
      </c>
      <c r="AL385" s="265">
        <f t="shared" si="172"/>
        <v>26</v>
      </c>
      <c r="AM385" s="6">
        <f t="shared" si="197"/>
        <v>1</v>
      </c>
      <c r="AN385" s="255">
        <f t="shared" si="173"/>
        <v>0.99027777777777781</v>
      </c>
      <c r="AO385" s="256">
        <f t="shared" si="174"/>
        <v>0.61530985233599611</v>
      </c>
      <c r="AP385" s="257">
        <f t="shared" si="175"/>
        <v>1388.8888888888889</v>
      </c>
      <c r="AQ385" s="263">
        <f t="shared" si="198"/>
        <v>3</v>
      </c>
      <c r="AR385" s="263">
        <f t="shared" si="199"/>
        <v>0</v>
      </c>
      <c r="AS385" s="263">
        <f t="shared" si="200"/>
        <v>0.1</v>
      </c>
      <c r="AT385" s="263">
        <f t="shared" si="201"/>
        <v>3.1</v>
      </c>
      <c r="AU385" s="263"/>
      <c r="AV385" s="263"/>
      <c r="AW385" s="263"/>
      <c r="AX385" s="263">
        <f t="shared" si="202"/>
        <v>3.1</v>
      </c>
      <c r="BA385" s="282">
        <f t="shared" si="176"/>
        <v>279.60784313725492</v>
      </c>
      <c r="BB385">
        <v>1</v>
      </c>
      <c r="BC385">
        <f t="shared" si="203"/>
        <v>279.60784313725492</v>
      </c>
      <c r="BD385">
        <f t="shared" si="177"/>
        <v>330</v>
      </c>
      <c r="BE385">
        <f t="shared" si="178"/>
        <v>450</v>
      </c>
      <c r="BF385" s="281">
        <f t="shared" si="204"/>
        <v>0.6213507625272332</v>
      </c>
      <c r="BG385" s="282" t="s">
        <v>2546</v>
      </c>
      <c r="BH385" s="283"/>
    </row>
    <row r="386" spans="1:60" x14ac:dyDescent="0.3">
      <c r="A386">
        <f t="shared" si="136"/>
        <v>383</v>
      </c>
      <c r="B386" s="295" t="s">
        <v>2593</v>
      </c>
      <c r="C386" s="294" t="s">
        <v>2513</v>
      </c>
      <c r="D386" s="14">
        <v>45834</v>
      </c>
      <c r="E386" s="7">
        <f>60*3</f>
        <v>180</v>
      </c>
      <c r="F386" s="7"/>
      <c r="G386" s="66"/>
      <c r="H386" s="59"/>
      <c r="I386" s="59">
        <v>510</v>
      </c>
      <c r="J386" s="47">
        <f t="shared" si="193"/>
        <v>510</v>
      </c>
      <c r="K386" s="8">
        <f t="shared" si="194"/>
        <v>330</v>
      </c>
      <c r="L386" s="96">
        <f t="shared" si="195"/>
        <v>0.6470588235294118</v>
      </c>
      <c r="M386" s="81">
        <v>859</v>
      </c>
      <c r="N386" s="8">
        <v>153</v>
      </c>
      <c r="O386" s="8">
        <v>60</v>
      </c>
      <c r="P386" s="96">
        <f t="shared" si="114"/>
        <v>1.0207961972667854</v>
      </c>
      <c r="Q386" s="59">
        <f t="shared" si="149"/>
        <v>859</v>
      </c>
      <c r="R386" s="252">
        <f t="shared" si="205"/>
        <v>889</v>
      </c>
      <c r="S386" s="263">
        <v>2</v>
      </c>
      <c r="T386" s="263">
        <v>1</v>
      </c>
      <c r="U386" s="263">
        <v>0</v>
      </c>
      <c r="V386" s="263">
        <v>0</v>
      </c>
      <c r="W386" s="263">
        <v>2</v>
      </c>
      <c r="X386" s="263">
        <v>1</v>
      </c>
      <c r="Y386" s="263">
        <v>2</v>
      </c>
      <c r="Z386" s="263">
        <v>0</v>
      </c>
      <c r="AA386" s="263">
        <v>1</v>
      </c>
      <c r="AB386" s="263">
        <v>27</v>
      </c>
      <c r="AC386" s="263">
        <v>1</v>
      </c>
      <c r="AD386" s="263">
        <v>2</v>
      </c>
      <c r="AE386" s="263"/>
      <c r="AF386" s="263"/>
      <c r="AG386" s="263"/>
      <c r="AH386" s="263"/>
      <c r="AI386" s="263"/>
      <c r="AJ386" s="259"/>
      <c r="AK386" s="263">
        <f t="shared" si="196"/>
        <v>2</v>
      </c>
      <c r="AL386" s="265">
        <f t="shared" si="172"/>
        <v>26</v>
      </c>
      <c r="AM386" s="6">
        <f t="shared" si="197"/>
        <v>2</v>
      </c>
      <c r="AN386" s="255">
        <f t="shared" si="173"/>
        <v>0.96625421822272217</v>
      </c>
      <c r="AO386" s="256">
        <f t="shared" si="174"/>
        <v>0.63822558512365879</v>
      </c>
      <c r="AP386" s="257">
        <f t="shared" si="175"/>
        <v>2249.7187851518561</v>
      </c>
      <c r="AQ386" s="263">
        <f t="shared" si="198"/>
        <v>13.5</v>
      </c>
      <c r="AR386" s="263">
        <f t="shared" si="199"/>
        <v>0.2</v>
      </c>
      <c r="AS386" s="263">
        <f t="shared" si="200"/>
        <v>0.2</v>
      </c>
      <c r="AT386" s="263">
        <f t="shared" si="201"/>
        <v>13.899999999999999</v>
      </c>
      <c r="AU386" s="263"/>
      <c r="AV386" s="263"/>
      <c r="AW386" s="263"/>
      <c r="AX386" s="263">
        <f t="shared" si="202"/>
        <v>13.899999999999999</v>
      </c>
      <c r="BA386" s="282">
        <f t="shared" si="176"/>
        <v>336.86274509803917</v>
      </c>
      <c r="BB386">
        <v>1</v>
      </c>
      <c r="BC386">
        <f t="shared" si="203"/>
        <v>336.86274509803917</v>
      </c>
      <c r="BD386">
        <f t="shared" si="177"/>
        <v>330</v>
      </c>
      <c r="BE386">
        <f t="shared" si="178"/>
        <v>510</v>
      </c>
      <c r="BF386" s="281">
        <f t="shared" si="204"/>
        <v>0.66051518646674345</v>
      </c>
      <c r="BG386" s="282" t="s">
        <v>2547</v>
      </c>
      <c r="BH386" s="283"/>
    </row>
    <row r="387" spans="1:60" x14ac:dyDescent="0.3">
      <c r="A387">
        <f t="shared" si="136"/>
        <v>384</v>
      </c>
      <c r="B387" s="241" t="s">
        <v>2485</v>
      </c>
      <c r="C387" s="294" t="s">
        <v>2511</v>
      </c>
      <c r="D387" s="14">
        <v>45835</v>
      </c>
      <c r="E387" s="7">
        <f>60*4</f>
        <v>240</v>
      </c>
      <c r="F387" s="7"/>
      <c r="G387" s="66"/>
      <c r="H387" s="59"/>
      <c r="I387" s="59">
        <v>480</v>
      </c>
      <c r="J387" s="47">
        <f t="shared" si="193"/>
        <v>480</v>
      </c>
      <c r="K387" s="8">
        <f t="shared" si="194"/>
        <v>240</v>
      </c>
      <c r="L387" s="96">
        <f t="shared" si="195"/>
        <v>0.5</v>
      </c>
      <c r="M387" s="81">
        <v>309</v>
      </c>
      <c r="N387" s="8">
        <v>153</v>
      </c>
      <c r="O387" s="8">
        <v>60</v>
      </c>
      <c r="P387" s="96">
        <f t="shared" si="114"/>
        <v>0.50490196078431371</v>
      </c>
      <c r="Q387" s="59">
        <f t="shared" si="149"/>
        <v>309</v>
      </c>
      <c r="R387" s="252">
        <f t="shared" si="205"/>
        <v>343</v>
      </c>
      <c r="S387" s="263">
        <v>38</v>
      </c>
      <c r="T387" s="263">
        <v>11</v>
      </c>
      <c r="U387" s="263">
        <v>0</v>
      </c>
      <c r="V387" s="263">
        <v>0</v>
      </c>
      <c r="W387" s="263">
        <v>0</v>
      </c>
      <c r="X387" s="263">
        <v>6</v>
      </c>
      <c r="Y387" s="263">
        <v>1</v>
      </c>
      <c r="Z387" s="263">
        <v>2</v>
      </c>
      <c r="AA387" s="263">
        <v>0</v>
      </c>
      <c r="AB387" s="263">
        <v>29</v>
      </c>
      <c r="AC387" s="263">
        <v>0</v>
      </c>
      <c r="AD387" s="263">
        <v>5</v>
      </c>
      <c r="AE387" s="263"/>
      <c r="AF387" s="263"/>
      <c r="AG387" s="263"/>
      <c r="AH387" s="263"/>
      <c r="AI387" s="263"/>
      <c r="AJ387" s="259"/>
      <c r="AK387" s="263">
        <f t="shared" si="196"/>
        <v>5</v>
      </c>
      <c r="AL387" s="265">
        <f t="shared" ref="AL387:AL450" si="206">WEEKNUM(D387,21)</f>
        <v>26</v>
      </c>
      <c r="AM387" s="6">
        <f t="shared" si="197"/>
        <v>5</v>
      </c>
      <c r="AN387" s="255">
        <f t="shared" ref="AN387:AN450" si="207">IFERROR(Q387/R387,"")</f>
        <v>0.9008746355685131</v>
      </c>
      <c r="AO387" s="256">
        <f t="shared" ref="AO387:AO450" si="208">IFERROR(AN387*P387*L387,"")</f>
        <v>0.22742668495969814</v>
      </c>
      <c r="AP387" s="257">
        <f t="shared" ref="AP387:AP450" si="209">IFERROR(AM387/R387*1000000,"")</f>
        <v>14577.259475218658</v>
      </c>
      <c r="AQ387" s="263">
        <f t="shared" si="198"/>
        <v>14.5</v>
      </c>
      <c r="AR387" s="263">
        <f t="shared" si="199"/>
        <v>0</v>
      </c>
      <c r="AS387" s="263">
        <f t="shared" si="200"/>
        <v>0.5</v>
      </c>
      <c r="AT387" s="263">
        <f t="shared" si="201"/>
        <v>15</v>
      </c>
      <c r="AU387" s="263"/>
      <c r="AV387" s="263"/>
      <c r="AW387" s="263"/>
      <c r="AX387" s="263">
        <f t="shared" si="202"/>
        <v>15</v>
      </c>
      <c r="BA387" s="282">
        <f t="shared" ref="BA387:BA450" si="210">IFERROR(M387/N387*60,"")</f>
        <v>121.17647058823529</v>
      </c>
      <c r="BB387">
        <v>1</v>
      </c>
      <c r="BC387">
        <f t="shared" si="203"/>
        <v>121.17647058823529</v>
      </c>
      <c r="BD387">
        <f t="shared" ref="BD387:BD450" si="211">IFERROR(BB387*K387,"")</f>
        <v>240</v>
      </c>
      <c r="BE387">
        <f t="shared" ref="BE387:BE450" si="212">J387*BB387</f>
        <v>480</v>
      </c>
      <c r="BF387" s="281">
        <f t="shared" si="204"/>
        <v>0.25245098039215685</v>
      </c>
      <c r="BG387" s="282" t="s">
        <v>2497</v>
      </c>
      <c r="BH387" s="283"/>
    </row>
    <row r="388" spans="1:60" x14ac:dyDescent="0.3">
      <c r="A388">
        <f t="shared" si="136"/>
        <v>385</v>
      </c>
      <c r="B388" s="241" t="s">
        <v>2485</v>
      </c>
      <c r="C388" s="294" t="s">
        <v>2512</v>
      </c>
      <c r="D388" s="14">
        <v>45835</v>
      </c>
      <c r="E388" s="7"/>
      <c r="F388" s="7"/>
      <c r="G388" s="66"/>
      <c r="H388" s="59"/>
      <c r="I388" s="59">
        <v>450</v>
      </c>
      <c r="J388" s="47">
        <f t="shared" si="193"/>
        <v>450</v>
      </c>
      <c r="K388" s="8">
        <f t="shared" si="194"/>
        <v>450</v>
      </c>
      <c r="L388" s="96">
        <f t="shared" si="195"/>
        <v>1</v>
      </c>
      <c r="M388" s="81">
        <v>849</v>
      </c>
      <c r="N388" s="8">
        <v>153</v>
      </c>
      <c r="O388" s="8">
        <v>60</v>
      </c>
      <c r="P388" s="96">
        <f t="shared" si="114"/>
        <v>0.73986928104575167</v>
      </c>
      <c r="Q388" s="59">
        <f t="shared" si="149"/>
        <v>849</v>
      </c>
      <c r="R388" s="252">
        <f t="shared" si="205"/>
        <v>934</v>
      </c>
      <c r="S388" s="263">
        <v>41</v>
      </c>
      <c r="T388" s="263">
        <v>0</v>
      </c>
      <c r="U388" s="263">
        <v>1</v>
      </c>
      <c r="V388" s="263">
        <v>0</v>
      </c>
      <c r="W388" s="263">
        <v>0</v>
      </c>
      <c r="X388" s="263">
        <v>8</v>
      </c>
      <c r="Y388" s="263">
        <v>0</v>
      </c>
      <c r="Z388" s="263">
        <v>0</v>
      </c>
      <c r="AA388" s="263">
        <v>0</v>
      </c>
      <c r="AB388" s="263">
        <v>45</v>
      </c>
      <c r="AC388" s="263">
        <v>6</v>
      </c>
      <c r="AD388" s="263">
        <v>34</v>
      </c>
      <c r="AE388" s="263"/>
      <c r="AF388" s="263"/>
      <c r="AG388" s="263"/>
      <c r="AH388" s="263"/>
      <c r="AI388" s="263"/>
      <c r="AJ388" s="259"/>
      <c r="AK388" s="263">
        <f t="shared" si="196"/>
        <v>34</v>
      </c>
      <c r="AL388" s="265">
        <f t="shared" si="206"/>
        <v>26</v>
      </c>
      <c r="AM388" s="6">
        <f t="shared" si="197"/>
        <v>34</v>
      </c>
      <c r="AN388" s="255">
        <f t="shared" si="207"/>
        <v>0.9089935760171306</v>
      </c>
      <c r="AO388" s="256">
        <f t="shared" si="208"/>
        <v>0.67253642356300125</v>
      </c>
      <c r="AP388" s="257">
        <f t="shared" si="209"/>
        <v>36402.569593147746</v>
      </c>
      <c r="AQ388" s="263">
        <f t="shared" si="198"/>
        <v>22.5</v>
      </c>
      <c r="AR388" s="263">
        <f t="shared" si="199"/>
        <v>1.2000000000000002</v>
      </c>
      <c r="AS388" s="263">
        <f t="shared" si="200"/>
        <v>3.4000000000000004</v>
      </c>
      <c r="AT388" s="263">
        <f t="shared" si="201"/>
        <v>27.1</v>
      </c>
      <c r="AU388" s="263"/>
      <c r="AV388" s="263"/>
      <c r="AW388" s="263"/>
      <c r="AX388" s="263">
        <f t="shared" si="202"/>
        <v>27.1</v>
      </c>
      <c r="BA388" s="282">
        <f t="shared" si="210"/>
        <v>332.94117647058823</v>
      </c>
      <c r="BB388">
        <v>1</v>
      </c>
      <c r="BC388">
        <f t="shared" si="203"/>
        <v>332.94117647058823</v>
      </c>
      <c r="BD388">
        <f t="shared" si="211"/>
        <v>450</v>
      </c>
      <c r="BE388">
        <f t="shared" si="212"/>
        <v>450</v>
      </c>
      <c r="BF388" s="281">
        <f t="shared" si="204"/>
        <v>0.73986928104575167</v>
      </c>
      <c r="BG388" s="282" t="s">
        <v>2546</v>
      </c>
      <c r="BH388" s="283"/>
    </row>
    <row r="389" spans="1:60" x14ac:dyDescent="0.3">
      <c r="A389">
        <f t="shared" si="136"/>
        <v>386</v>
      </c>
      <c r="B389" s="241" t="s">
        <v>2485</v>
      </c>
      <c r="C389" s="294" t="s">
        <v>2513</v>
      </c>
      <c r="D389" s="14">
        <v>45835</v>
      </c>
      <c r="E389" s="7"/>
      <c r="F389" s="7"/>
      <c r="G389" s="66"/>
      <c r="H389" s="59"/>
      <c r="I389" s="59">
        <v>510</v>
      </c>
      <c r="J389" s="47">
        <f t="shared" si="193"/>
        <v>510</v>
      </c>
      <c r="K389" s="8">
        <f t="shared" si="194"/>
        <v>510</v>
      </c>
      <c r="L389" s="96">
        <f t="shared" si="195"/>
        <v>1</v>
      </c>
      <c r="M389" s="81">
        <v>1030</v>
      </c>
      <c r="N389" s="8">
        <v>153</v>
      </c>
      <c r="O389" s="8">
        <v>60</v>
      </c>
      <c r="P389" s="96">
        <f t="shared" si="114"/>
        <v>0.79200307574009998</v>
      </c>
      <c r="Q389" s="59">
        <f t="shared" si="149"/>
        <v>1030</v>
      </c>
      <c r="R389" s="252">
        <f t="shared" si="205"/>
        <v>1071</v>
      </c>
      <c r="S389" s="263">
        <v>15</v>
      </c>
      <c r="T389" s="263">
        <v>1</v>
      </c>
      <c r="U389" s="263">
        <v>1</v>
      </c>
      <c r="V389" s="263">
        <v>0</v>
      </c>
      <c r="W389" s="263">
        <v>0</v>
      </c>
      <c r="X389" s="263">
        <v>10</v>
      </c>
      <c r="Y389" s="263">
        <v>0</v>
      </c>
      <c r="Z389" s="263">
        <v>0</v>
      </c>
      <c r="AA389" s="263">
        <v>0</v>
      </c>
      <c r="AB389" s="263">
        <v>13</v>
      </c>
      <c r="AC389" s="263">
        <v>8</v>
      </c>
      <c r="AD389" s="263">
        <v>20</v>
      </c>
      <c r="AE389" s="263"/>
      <c r="AF389" s="263"/>
      <c r="AG389" s="263"/>
      <c r="AH389" s="263"/>
      <c r="AI389" s="263"/>
      <c r="AJ389" s="259"/>
      <c r="AK389" s="263">
        <f t="shared" si="196"/>
        <v>20</v>
      </c>
      <c r="AL389" s="265">
        <f t="shared" si="206"/>
        <v>26</v>
      </c>
      <c r="AM389" s="6">
        <f t="shared" si="197"/>
        <v>20</v>
      </c>
      <c r="AN389" s="255">
        <f t="shared" si="207"/>
        <v>0.96171802054154998</v>
      </c>
      <c r="AO389" s="256">
        <f t="shared" si="208"/>
        <v>0.76168363026358821</v>
      </c>
      <c r="AP389" s="257">
        <f t="shared" si="209"/>
        <v>18674.136321195143</v>
      </c>
      <c r="AQ389" s="263">
        <f t="shared" si="198"/>
        <v>6.5</v>
      </c>
      <c r="AR389" s="263">
        <f t="shared" si="199"/>
        <v>1.6</v>
      </c>
      <c r="AS389" s="263">
        <f t="shared" si="200"/>
        <v>2</v>
      </c>
      <c r="AT389" s="263">
        <f t="shared" si="201"/>
        <v>10.1</v>
      </c>
      <c r="AU389" s="263"/>
      <c r="AV389" s="263"/>
      <c r="AW389" s="263"/>
      <c r="AX389" s="263">
        <f t="shared" si="202"/>
        <v>10.1</v>
      </c>
      <c r="BA389" s="282">
        <f t="shared" si="210"/>
        <v>403.92156862745099</v>
      </c>
      <c r="BB389">
        <v>1</v>
      </c>
      <c r="BC389">
        <f t="shared" si="203"/>
        <v>403.92156862745099</v>
      </c>
      <c r="BD389">
        <f t="shared" si="211"/>
        <v>510</v>
      </c>
      <c r="BE389">
        <f t="shared" si="212"/>
        <v>510</v>
      </c>
      <c r="BF389" s="281">
        <f t="shared" si="204"/>
        <v>0.79200307574009998</v>
      </c>
      <c r="BG389" s="282" t="s">
        <v>2547</v>
      </c>
      <c r="BH389" s="283"/>
    </row>
    <row r="390" spans="1:60" x14ac:dyDescent="0.3">
      <c r="A390">
        <f t="shared" si="136"/>
        <v>387</v>
      </c>
      <c r="B390" s="241" t="s">
        <v>2485</v>
      </c>
      <c r="C390" s="294" t="s">
        <v>2511</v>
      </c>
      <c r="D390" s="14">
        <v>45836</v>
      </c>
      <c r="E390" s="7">
        <v>45</v>
      </c>
      <c r="F390" s="7"/>
      <c r="G390" s="66"/>
      <c r="H390" s="59"/>
      <c r="I390" s="59">
        <v>480</v>
      </c>
      <c r="J390" s="47">
        <f t="shared" si="193"/>
        <v>480</v>
      </c>
      <c r="K390" s="8">
        <f t="shared" si="194"/>
        <v>435</v>
      </c>
      <c r="L390" s="96">
        <f t="shared" si="195"/>
        <v>0.90625</v>
      </c>
      <c r="M390" s="81">
        <v>935</v>
      </c>
      <c r="N390" s="8">
        <v>153</v>
      </c>
      <c r="O390" s="8">
        <v>60</v>
      </c>
      <c r="P390" s="96">
        <f t="shared" si="114"/>
        <v>0.84291187739463591</v>
      </c>
      <c r="Q390" s="59">
        <f t="shared" si="149"/>
        <v>935</v>
      </c>
      <c r="R390" s="252">
        <f t="shared" si="205"/>
        <v>1014</v>
      </c>
      <c r="S390" s="263">
        <v>11</v>
      </c>
      <c r="T390" s="263">
        <v>1</v>
      </c>
      <c r="U390" s="263">
        <v>0</v>
      </c>
      <c r="V390" s="263">
        <v>0</v>
      </c>
      <c r="W390" s="263">
        <v>0</v>
      </c>
      <c r="X390" s="263">
        <v>3</v>
      </c>
      <c r="Y390" s="263">
        <v>0</v>
      </c>
      <c r="Z390" s="263">
        <v>1</v>
      </c>
      <c r="AA390" s="263">
        <v>1</v>
      </c>
      <c r="AB390" s="263">
        <v>33</v>
      </c>
      <c r="AC390" s="263">
        <v>12</v>
      </c>
      <c r="AD390" s="263">
        <v>34</v>
      </c>
      <c r="AE390" s="263"/>
      <c r="AF390" s="263"/>
      <c r="AG390" s="263"/>
      <c r="AH390" s="263"/>
      <c r="AI390" s="263"/>
      <c r="AJ390" s="259"/>
      <c r="AK390" s="263">
        <f t="shared" si="196"/>
        <v>34</v>
      </c>
      <c r="AL390" s="265">
        <f t="shared" si="206"/>
        <v>26</v>
      </c>
      <c r="AM390" s="6">
        <f t="shared" si="197"/>
        <v>34</v>
      </c>
      <c r="AN390" s="255">
        <f t="shared" si="207"/>
        <v>0.92209072978303752</v>
      </c>
      <c r="AO390" s="256">
        <f t="shared" si="208"/>
        <v>0.70437486302870911</v>
      </c>
      <c r="AP390" s="257">
        <f t="shared" si="209"/>
        <v>33530.571992110454</v>
      </c>
      <c r="AQ390" s="263">
        <f t="shared" si="198"/>
        <v>16.5</v>
      </c>
      <c r="AR390" s="263">
        <f t="shared" si="199"/>
        <v>2.4000000000000004</v>
      </c>
      <c r="AS390" s="263">
        <f t="shared" si="200"/>
        <v>3.4000000000000004</v>
      </c>
      <c r="AT390" s="263">
        <f t="shared" si="201"/>
        <v>22.299999999999997</v>
      </c>
      <c r="AU390" s="263"/>
      <c r="AV390" s="263"/>
      <c r="AW390" s="263"/>
      <c r="AX390" s="263">
        <f t="shared" si="202"/>
        <v>22.299999999999997</v>
      </c>
      <c r="BA390" s="282">
        <f t="shared" si="210"/>
        <v>366.66666666666663</v>
      </c>
      <c r="BB390">
        <v>1</v>
      </c>
      <c r="BC390">
        <f t="shared" si="203"/>
        <v>366.66666666666663</v>
      </c>
      <c r="BD390">
        <f t="shared" si="211"/>
        <v>435</v>
      </c>
      <c r="BE390">
        <f t="shared" si="212"/>
        <v>480</v>
      </c>
      <c r="BF390" s="281">
        <f t="shared" si="204"/>
        <v>0.76388888888888884</v>
      </c>
      <c r="BG390" s="282" t="s">
        <v>2497</v>
      </c>
      <c r="BH390" s="283"/>
    </row>
    <row r="391" spans="1:60" x14ac:dyDescent="0.3">
      <c r="A391">
        <f t="shared" si="136"/>
        <v>388</v>
      </c>
      <c r="B391" s="241" t="s">
        <v>2485</v>
      </c>
      <c r="C391" s="294" t="s">
        <v>2512</v>
      </c>
      <c r="D391" s="14">
        <v>45836</v>
      </c>
      <c r="E391" s="7"/>
      <c r="F391" s="7"/>
      <c r="G391" s="66"/>
      <c r="H391" s="59"/>
      <c r="I391" s="59">
        <v>450</v>
      </c>
      <c r="J391" s="47">
        <f t="shared" ref="J391:J454" si="213">I391+H391</f>
        <v>450</v>
      </c>
      <c r="K391" s="8">
        <f t="shared" ref="K391:K454" si="214">IFERROR(J391-E391-F391-G391,"")</f>
        <v>450</v>
      </c>
      <c r="L391" s="96">
        <f t="shared" si="195"/>
        <v>1</v>
      </c>
      <c r="M391" s="81">
        <v>816</v>
      </c>
      <c r="N391" s="8">
        <v>153</v>
      </c>
      <c r="O391" s="8">
        <v>60</v>
      </c>
      <c r="P391" s="96">
        <f t="shared" si="114"/>
        <v>0.71111111111111114</v>
      </c>
      <c r="Q391" s="59">
        <f t="shared" si="149"/>
        <v>816</v>
      </c>
      <c r="R391" s="252">
        <f t="shared" si="205"/>
        <v>900</v>
      </c>
      <c r="S391" s="263">
        <v>17</v>
      </c>
      <c r="T391" s="263">
        <v>1</v>
      </c>
      <c r="U391" s="263">
        <v>0</v>
      </c>
      <c r="V391" s="263">
        <v>0</v>
      </c>
      <c r="W391" s="263">
        <v>0</v>
      </c>
      <c r="X391" s="263">
        <v>0</v>
      </c>
      <c r="Y391" s="263">
        <v>0</v>
      </c>
      <c r="Z391" s="263">
        <v>1</v>
      </c>
      <c r="AA391" s="263">
        <v>0</v>
      </c>
      <c r="AB391" s="263">
        <v>66</v>
      </c>
      <c r="AC391" s="263">
        <v>2</v>
      </c>
      <c r="AD391" s="263">
        <v>16</v>
      </c>
      <c r="AE391" s="263"/>
      <c r="AF391" s="263"/>
      <c r="AG391" s="263"/>
      <c r="AH391" s="263"/>
      <c r="AI391" s="263"/>
      <c r="AJ391" s="259"/>
      <c r="AK391" s="263">
        <f t="shared" ref="AK391:AK454" si="215">+AD391+AE391+AF391+AG391+AH391+AI391</f>
        <v>16</v>
      </c>
      <c r="AL391" s="265">
        <f t="shared" si="206"/>
        <v>26</v>
      </c>
      <c r="AM391" s="6">
        <f t="shared" ref="AM391:AM454" si="216">AK391</f>
        <v>16</v>
      </c>
      <c r="AN391" s="255">
        <f t="shared" si="207"/>
        <v>0.90666666666666662</v>
      </c>
      <c r="AO391" s="256">
        <f t="shared" si="208"/>
        <v>0.64474074074074073</v>
      </c>
      <c r="AP391" s="257">
        <f t="shared" si="209"/>
        <v>17777.777777777777</v>
      </c>
      <c r="AQ391" s="263">
        <f t="shared" ref="AQ391:AQ431" si="217">+AB391*0.5</f>
        <v>33</v>
      </c>
      <c r="AR391" s="263">
        <f t="shared" ref="AR391:AR454" si="218">+AC391*0.2</f>
        <v>0.4</v>
      </c>
      <c r="AS391" s="263">
        <f t="shared" ref="AS391:AS454" si="219">+AD391*0.1</f>
        <v>1.6</v>
      </c>
      <c r="AT391" s="263">
        <f t="shared" ref="AT391:AT454" si="220">SUM(AQ391:AS391)</f>
        <v>35</v>
      </c>
      <c r="AU391" s="263"/>
      <c r="AV391" s="263"/>
      <c r="AW391" s="263"/>
      <c r="AX391" s="263">
        <f t="shared" ref="AX391:AX454" si="221">+AW391+AU391+AT391+AV391</f>
        <v>35</v>
      </c>
      <c r="BA391" s="282">
        <f t="shared" si="210"/>
        <v>320</v>
      </c>
      <c r="BB391">
        <v>1</v>
      </c>
      <c r="BC391">
        <f t="shared" ref="BC391:BC454" si="222">IFERROR(BA391*BB391,"")</f>
        <v>320</v>
      </c>
      <c r="BD391">
        <f t="shared" si="211"/>
        <v>450</v>
      </c>
      <c r="BE391">
        <f t="shared" si="212"/>
        <v>450</v>
      </c>
      <c r="BF391" s="281">
        <f t="shared" ref="BF391:BF454" si="223">BC391/BE391</f>
        <v>0.71111111111111114</v>
      </c>
      <c r="BG391" s="282" t="s">
        <v>2546</v>
      </c>
      <c r="BH391" s="283"/>
    </row>
    <row r="392" spans="1:60" x14ac:dyDescent="0.3">
      <c r="A392">
        <f t="shared" si="136"/>
        <v>389</v>
      </c>
      <c r="B392" s="295" t="s">
        <v>2595</v>
      </c>
      <c r="C392" s="294" t="s">
        <v>2511</v>
      </c>
      <c r="D392" s="14">
        <v>45838</v>
      </c>
      <c r="E392" s="7">
        <f>60*6</f>
        <v>360</v>
      </c>
      <c r="F392" s="7"/>
      <c r="G392" s="66"/>
      <c r="H392" s="59"/>
      <c r="I392" s="59">
        <v>480</v>
      </c>
      <c r="J392" s="47">
        <f t="shared" si="213"/>
        <v>480</v>
      </c>
      <c r="K392" s="8">
        <f t="shared" si="214"/>
        <v>120</v>
      </c>
      <c r="L392" s="96">
        <f t="shared" si="195"/>
        <v>0.25</v>
      </c>
      <c r="M392" s="81">
        <v>109</v>
      </c>
      <c r="N392" s="8">
        <v>153</v>
      </c>
      <c r="O392" s="8">
        <v>60</v>
      </c>
      <c r="P392" s="96">
        <f t="shared" si="114"/>
        <v>0.3562091503267974</v>
      </c>
      <c r="Q392" s="59">
        <f t="shared" si="149"/>
        <v>109</v>
      </c>
      <c r="R392" s="252">
        <f t="shared" si="205"/>
        <v>122</v>
      </c>
      <c r="S392" s="263">
        <v>0</v>
      </c>
      <c r="T392" s="263">
        <v>1</v>
      </c>
      <c r="U392" s="263">
        <v>0</v>
      </c>
      <c r="V392" s="263">
        <v>0</v>
      </c>
      <c r="W392" s="263">
        <v>0</v>
      </c>
      <c r="X392" s="263">
        <v>7</v>
      </c>
      <c r="Y392" s="263">
        <v>0</v>
      </c>
      <c r="Z392" s="263">
        <v>0</v>
      </c>
      <c r="AA392" s="263">
        <v>0</v>
      </c>
      <c r="AB392" s="263">
        <v>12</v>
      </c>
      <c r="AC392" s="263">
        <v>0</v>
      </c>
      <c r="AD392" s="263">
        <v>1</v>
      </c>
      <c r="AE392" s="263"/>
      <c r="AF392" s="263"/>
      <c r="AG392" s="263"/>
      <c r="AH392" s="263"/>
      <c r="AI392" s="263"/>
      <c r="AJ392" s="259"/>
      <c r="AK392" s="263">
        <f t="shared" si="215"/>
        <v>1</v>
      </c>
      <c r="AL392" s="265">
        <f t="shared" si="206"/>
        <v>27</v>
      </c>
      <c r="AM392" s="6">
        <f t="shared" si="216"/>
        <v>1</v>
      </c>
      <c r="AN392" s="255">
        <f t="shared" si="207"/>
        <v>0.89344262295081966</v>
      </c>
      <c r="AO392" s="256">
        <f t="shared" si="208"/>
        <v>7.956310939676417E-2</v>
      </c>
      <c r="AP392" s="257">
        <f t="shared" si="209"/>
        <v>8196.7213114754104</v>
      </c>
      <c r="AQ392" s="263">
        <f t="shared" si="217"/>
        <v>6</v>
      </c>
      <c r="AR392" s="263">
        <f t="shared" si="218"/>
        <v>0</v>
      </c>
      <c r="AS392" s="263">
        <f t="shared" si="219"/>
        <v>0.1</v>
      </c>
      <c r="AT392" s="263">
        <f t="shared" si="220"/>
        <v>6.1</v>
      </c>
      <c r="AU392" s="263"/>
      <c r="AV392" s="263"/>
      <c r="AW392" s="263"/>
      <c r="AX392" s="263">
        <f t="shared" si="221"/>
        <v>6.1</v>
      </c>
      <c r="BA392" s="282">
        <f t="shared" si="210"/>
        <v>42.745098039215691</v>
      </c>
      <c r="BB392">
        <v>1</v>
      </c>
      <c r="BC392">
        <f t="shared" si="222"/>
        <v>42.745098039215691</v>
      </c>
      <c r="BD392">
        <f t="shared" si="211"/>
        <v>120</v>
      </c>
      <c r="BE392">
        <f t="shared" si="212"/>
        <v>480</v>
      </c>
      <c r="BF392" s="281">
        <f t="shared" si="223"/>
        <v>8.9052287581699349E-2</v>
      </c>
      <c r="BG392" s="282"/>
      <c r="BH392" s="283"/>
    </row>
    <row r="393" spans="1:60" x14ac:dyDescent="0.3">
      <c r="A393">
        <f t="shared" si="136"/>
        <v>390</v>
      </c>
      <c r="B393" s="241" t="s">
        <v>2505</v>
      </c>
      <c r="C393" s="294" t="s">
        <v>2512</v>
      </c>
      <c r="D393" s="14">
        <v>45838</v>
      </c>
      <c r="E393" s="7"/>
      <c r="F393" s="7"/>
      <c r="G393" s="66"/>
      <c r="H393" s="59"/>
      <c r="I393" s="59">
        <v>450</v>
      </c>
      <c r="J393" s="47">
        <f t="shared" si="213"/>
        <v>450</v>
      </c>
      <c r="K393" s="8">
        <f t="shared" si="214"/>
        <v>450</v>
      </c>
      <c r="L393" s="96">
        <f t="shared" si="195"/>
        <v>1</v>
      </c>
      <c r="M393" s="81">
        <v>862</v>
      </c>
      <c r="N393" s="8">
        <v>153</v>
      </c>
      <c r="O393" s="8">
        <v>60</v>
      </c>
      <c r="P393" s="96">
        <f t="shared" si="114"/>
        <v>0.75119825708061005</v>
      </c>
      <c r="Q393" s="59">
        <f t="shared" si="149"/>
        <v>862</v>
      </c>
      <c r="R393" s="252">
        <f t="shared" si="205"/>
        <v>908</v>
      </c>
      <c r="S393" s="263">
        <v>6</v>
      </c>
      <c r="T393" s="263">
        <v>1</v>
      </c>
      <c r="U393" s="263">
        <v>0</v>
      </c>
      <c r="V393" s="263">
        <v>0</v>
      </c>
      <c r="W393" s="263">
        <v>0</v>
      </c>
      <c r="X393" s="263">
        <v>0</v>
      </c>
      <c r="Y393" s="263">
        <v>0</v>
      </c>
      <c r="Z393" s="263">
        <v>1</v>
      </c>
      <c r="AA393" s="263">
        <v>0</v>
      </c>
      <c r="AB393" s="263">
        <v>22</v>
      </c>
      <c r="AC393" s="263">
        <v>2</v>
      </c>
      <c r="AD393" s="263">
        <v>22</v>
      </c>
      <c r="AE393" s="263"/>
      <c r="AF393" s="263"/>
      <c r="AG393" s="263"/>
      <c r="AH393" s="263"/>
      <c r="AI393" s="263"/>
      <c r="AJ393" s="259"/>
      <c r="AK393" s="263">
        <f t="shared" si="215"/>
        <v>22</v>
      </c>
      <c r="AL393" s="265">
        <f t="shared" si="206"/>
        <v>27</v>
      </c>
      <c r="AM393" s="6">
        <f t="shared" si="216"/>
        <v>22</v>
      </c>
      <c r="AN393" s="255">
        <f t="shared" si="207"/>
        <v>0.9493392070484582</v>
      </c>
      <c r="AO393" s="256">
        <f t="shared" si="208"/>
        <v>0.71314195771309019</v>
      </c>
      <c r="AP393" s="257">
        <f t="shared" si="209"/>
        <v>24229.074889867843</v>
      </c>
      <c r="AQ393" s="263">
        <f t="shared" si="217"/>
        <v>11</v>
      </c>
      <c r="AR393" s="263">
        <f t="shared" si="218"/>
        <v>0.4</v>
      </c>
      <c r="AS393" s="263">
        <f t="shared" si="219"/>
        <v>2.2000000000000002</v>
      </c>
      <c r="AT393" s="263">
        <f t="shared" si="220"/>
        <v>13.600000000000001</v>
      </c>
      <c r="AU393" s="263"/>
      <c r="AV393" s="263"/>
      <c r="AW393" s="263"/>
      <c r="AX393" s="263">
        <f t="shared" si="221"/>
        <v>13.600000000000001</v>
      </c>
      <c r="BA393" s="282">
        <f t="shared" si="210"/>
        <v>338.03921568627453</v>
      </c>
      <c r="BB393">
        <v>1</v>
      </c>
      <c r="BC393">
        <f t="shared" si="222"/>
        <v>338.03921568627453</v>
      </c>
      <c r="BD393">
        <f t="shared" si="211"/>
        <v>450</v>
      </c>
      <c r="BE393">
        <f t="shared" si="212"/>
        <v>450</v>
      </c>
      <c r="BF393" s="281">
        <f t="shared" si="223"/>
        <v>0.75119825708061005</v>
      </c>
      <c r="BG393" s="282"/>
      <c r="BH393" s="283"/>
    </row>
    <row r="394" spans="1:60" x14ac:dyDescent="0.3">
      <c r="A394">
        <f t="shared" si="136"/>
        <v>391</v>
      </c>
      <c r="B394" s="295" t="s">
        <v>2596</v>
      </c>
      <c r="C394" s="294" t="s">
        <v>2513</v>
      </c>
      <c r="D394" s="14">
        <v>45838</v>
      </c>
      <c r="E394" s="7"/>
      <c r="F394" s="7"/>
      <c r="G394" s="66"/>
      <c r="H394" s="59"/>
      <c r="I394" s="59">
        <v>510</v>
      </c>
      <c r="J394" s="47">
        <f t="shared" si="213"/>
        <v>510</v>
      </c>
      <c r="K394" s="8">
        <f t="shared" si="214"/>
        <v>510</v>
      </c>
      <c r="L394" s="96">
        <f t="shared" si="195"/>
        <v>1</v>
      </c>
      <c r="M394" s="333">
        <v>281</v>
      </c>
      <c r="N394" s="8">
        <v>153</v>
      </c>
      <c r="O394" s="8">
        <v>60</v>
      </c>
      <c r="P394" s="96">
        <f t="shared" si="114"/>
        <v>0.21607074202229909</v>
      </c>
      <c r="Q394" s="59">
        <f t="shared" si="149"/>
        <v>281</v>
      </c>
      <c r="R394" s="252">
        <f t="shared" si="205"/>
        <v>281</v>
      </c>
      <c r="S394" s="263"/>
      <c r="T394" s="263"/>
      <c r="U394" s="263"/>
      <c r="V394" s="263"/>
      <c r="W394" s="263"/>
      <c r="X394" s="263"/>
      <c r="Y394" s="263"/>
      <c r="Z394" s="263"/>
      <c r="AA394" s="263"/>
      <c r="AB394" s="263"/>
      <c r="AC394" s="263"/>
      <c r="AD394" s="263"/>
      <c r="AE394" s="263"/>
      <c r="AF394" s="263"/>
      <c r="AG394" s="263"/>
      <c r="AH394" s="263"/>
      <c r="AI394" s="263"/>
      <c r="AJ394" s="259"/>
      <c r="AK394" s="263">
        <f t="shared" si="215"/>
        <v>0</v>
      </c>
      <c r="AL394" s="265">
        <f t="shared" si="206"/>
        <v>27</v>
      </c>
      <c r="AM394" s="6">
        <f t="shared" si="216"/>
        <v>0</v>
      </c>
      <c r="AN394" s="255">
        <f t="shared" si="207"/>
        <v>1</v>
      </c>
      <c r="AO394" s="256">
        <f t="shared" si="208"/>
        <v>0.21607074202229909</v>
      </c>
      <c r="AP394" s="257">
        <f t="shared" si="209"/>
        <v>0</v>
      </c>
      <c r="AQ394" s="263">
        <f t="shared" si="217"/>
        <v>0</v>
      </c>
      <c r="AR394" s="263">
        <f t="shared" si="218"/>
        <v>0</v>
      </c>
      <c r="AS394" s="263">
        <f t="shared" si="219"/>
        <v>0</v>
      </c>
      <c r="AT394" s="263">
        <f t="shared" si="220"/>
        <v>0</v>
      </c>
      <c r="AU394" s="263"/>
      <c r="AV394" s="263"/>
      <c r="AW394" s="263"/>
      <c r="AX394" s="263">
        <f t="shared" si="221"/>
        <v>0</v>
      </c>
      <c r="BA394" s="282">
        <f t="shared" si="210"/>
        <v>110.19607843137254</v>
      </c>
      <c r="BB394">
        <v>1</v>
      </c>
      <c r="BC394">
        <f t="shared" si="222"/>
        <v>110.19607843137254</v>
      </c>
      <c r="BD394">
        <f t="shared" si="211"/>
        <v>510</v>
      </c>
      <c r="BE394">
        <f t="shared" si="212"/>
        <v>510</v>
      </c>
      <c r="BF394" s="281">
        <f t="shared" si="223"/>
        <v>0.21607074202229909</v>
      </c>
      <c r="BG394" s="282"/>
      <c r="BH394" s="283"/>
    </row>
    <row r="395" spans="1:60" x14ac:dyDescent="0.3">
      <c r="A395">
        <f t="shared" si="136"/>
        <v>392</v>
      </c>
      <c r="B395" s="241" t="s">
        <v>2499</v>
      </c>
      <c r="C395" s="294" t="s">
        <v>2511</v>
      </c>
      <c r="D395" s="14">
        <v>45839</v>
      </c>
      <c r="E395" s="7">
        <v>45</v>
      </c>
      <c r="F395" s="7"/>
      <c r="G395" s="66">
        <v>120</v>
      </c>
      <c r="H395" s="59"/>
      <c r="I395" s="59">
        <v>480</v>
      </c>
      <c r="J395" s="47">
        <f t="shared" si="213"/>
        <v>480</v>
      </c>
      <c r="K395" s="8">
        <f t="shared" si="214"/>
        <v>315</v>
      </c>
      <c r="L395" s="96">
        <f t="shared" si="195"/>
        <v>0.65625</v>
      </c>
      <c r="M395" s="81">
        <v>593</v>
      </c>
      <c r="N395" s="8">
        <v>153</v>
      </c>
      <c r="O395" s="8">
        <v>60</v>
      </c>
      <c r="P395" s="96">
        <f t="shared" si="114"/>
        <v>0.73825085589791473</v>
      </c>
      <c r="Q395" s="59">
        <f t="shared" si="149"/>
        <v>593</v>
      </c>
      <c r="R395" s="252">
        <f t="shared" si="205"/>
        <v>621</v>
      </c>
      <c r="S395" s="263">
        <v>4</v>
      </c>
      <c r="T395" s="263">
        <v>0</v>
      </c>
      <c r="U395" s="263">
        <v>0</v>
      </c>
      <c r="V395" s="263">
        <v>0</v>
      </c>
      <c r="W395" s="263">
        <v>0</v>
      </c>
      <c r="X395" s="263">
        <v>0</v>
      </c>
      <c r="Y395" s="263">
        <v>0</v>
      </c>
      <c r="Z395" s="263">
        <v>0</v>
      </c>
      <c r="AA395" s="263">
        <v>0</v>
      </c>
      <c r="AB395" s="263">
        <v>23</v>
      </c>
      <c r="AC395" s="263">
        <v>1</v>
      </c>
      <c r="AD395" s="263">
        <v>4</v>
      </c>
      <c r="AE395" s="263"/>
      <c r="AF395" s="263"/>
      <c r="AG395" s="263"/>
      <c r="AH395" s="263"/>
      <c r="AI395" s="263"/>
      <c r="AJ395" s="259"/>
      <c r="AK395" s="263">
        <f t="shared" si="215"/>
        <v>4</v>
      </c>
      <c r="AL395" s="265">
        <f t="shared" si="206"/>
        <v>27</v>
      </c>
      <c r="AM395" s="6">
        <f t="shared" si="216"/>
        <v>4</v>
      </c>
      <c r="AN395" s="255">
        <f t="shared" si="207"/>
        <v>0.95491143317230276</v>
      </c>
      <c r="AO395" s="256">
        <f t="shared" si="208"/>
        <v>0.4626327449927905</v>
      </c>
      <c r="AP395" s="257">
        <f t="shared" si="209"/>
        <v>6441.2238325281805</v>
      </c>
      <c r="AQ395" s="263">
        <f t="shared" si="217"/>
        <v>11.5</v>
      </c>
      <c r="AR395" s="263">
        <f t="shared" si="218"/>
        <v>0.2</v>
      </c>
      <c r="AS395" s="263">
        <f t="shared" si="219"/>
        <v>0.4</v>
      </c>
      <c r="AT395" s="263">
        <f t="shared" si="220"/>
        <v>12.1</v>
      </c>
      <c r="AU395" s="263"/>
      <c r="AV395" s="263"/>
      <c r="AW395" s="263"/>
      <c r="AX395" s="263">
        <f t="shared" si="221"/>
        <v>12.1</v>
      </c>
      <c r="BA395" s="282">
        <f t="shared" si="210"/>
        <v>232.54901960784315</v>
      </c>
      <c r="BB395">
        <v>1</v>
      </c>
      <c r="BC395">
        <f t="shared" si="222"/>
        <v>232.54901960784315</v>
      </c>
      <c r="BD395">
        <f t="shared" si="211"/>
        <v>315</v>
      </c>
      <c r="BE395">
        <f t="shared" si="212"/>
        <v>480</v>
      </c>
      <c r="BF395" s="281">
        <f t="shared" si="223"/>
        <v>0.48447712418300654</v>
      </c>
      <c r="BG395" s="282"/>
      <c r="BH395" s="283"/>
    </row>
    <row r="396" spans="1:60" x14ac:dyDescent="0.3">
      <c r="A396">
        <f t="shared" si="136"/>
        <v>393</v>
      </c>
      <c r="B396" s="241" t="s">
        <v>2499</v>
      </c>
      <c r="C396" s="294" t="s">
        <v>2512</v>
      </c>
      <c r="D396" s="14">
        <v>45839</v>
      </c>
      <c r="E396" s="7"/>
      <c r="F396" s="7"/>
      <c r="G396" s="66"/>
      <c r="H396" s="59"/>
      <c r="I396" s="59">
        <v>450</v>
      </c>
      <c r="J396" s="47">
        <f t="shared" si="213"/>
        <v>450</v>
      </c>
      <c r="K396" s="8">
        <f t="shared" si="214"/>
        <v>450</v>
      </c>
      <c r="L396" s="96">
        <f t="shared" si="195"/>
        <v>1</v>
      </c>
      <c r="M396" s="81">
        <v>816</v>
      </c>
      <c r="N396" s="8">
        <v>153</v>
      </c>
      <c r="O396" s="8">
        <v>60</v>
      </c>
      <c r="P396" s="96">
        <f t="shared" si="114"/>
        <v>0.71111111111111114</v>
      </c>
      <c r="Q396" s="59">
        <f t="shared" si="149"/>
        <v>816</v>
      </c>
      <c r="R396" s="252">
        <f t="shared" si="205"/>
        <v>859</v>
      </c>
      <c r="S396" s="263">
        <v>11</v>
      </c>
      <c r="T396" s="263">
        <v>1</v>
      </c>
      <c r="U396" s="263">
        <v>1</v>
      </c>
      <c r="V396" s="263">
        <v>0</v>
      </c>
      <c r="W396" s="263">
        <v>0</v>
      </c>
      <c r="X396" s="263">
        <v>2</v>
      </c>
      <c r="Y396" s="263">
        <v>1</v>
      </c>
      <c r="Z396" s="263">
        <v>0</v>
      </c>
      <c r="AA396" s="263">
        <v>0</v>
      </c>
      <c r="AB396" s="263">
        <v>12</v>
      </c>
      <c r="AC396" s="263">
        <v>1</v>
      </c>
      <c r="AD396" s="263">
        <v>30</v>
      </c>
      <c r="AE396" s="263"/>
      <c r="AF396" s="263"/>
      <c r="AG396" s="263"/>
      <c r="AH396" s="263"/>
      <c r="AI396" s="263"/>
      <c r="AJ396" s="259"/>
      <c r="AK396" s="263">
        <f t="shared" si="215"/>
        <v>30</v>
      </c>
      <c r="AL396" s="265">
        <f t="shared" si="206"/>
        <v>27</v>
      </c>
      <c r="AM396" s="6">
        <f t="shared" si="216"/>
        <v>30</v>
      </c>
      <c r="AN396" s="255">
        <f t="shared" si="207"/>
        <v>0.94994179278230506</v>
      </c>
      <c r="AO396" s="256">
        <f t="shared" si="208"/>
        <v>0.6755141637563058</v>
      </c>
      <c r="AP396" s="257">
        <f t="shared" si="209"/>
        <v>34924.330616996507</v>
      </c>
      <c r="AQ396" s="263">
        <f t="shared" si="217"/>
        <v>6</v>
      </c>
      <c r="AR396" s="263">
        <f t="shared" si="218"/>
        <v>0.2</v>
      </c>
      <c r="AS396" s="263">
        <f t="shared" si="219"/>
        <v>3</v>
      </c>
      <c r="AT396" s="263">
        <f t="shared" si="220"/>
        <v>9.1999999999999993</v>
      </c>
      <c r="AU396" s="263"/>
      <c r="AV396" s="263"/>
      <c r="AW396" s="263"/>
      <c r="AX396" s="263">
        <f t="shared" si="221"/>
        <v>9.1999999999999993</v>
      </c>
      <c r="BA396" s="282">
        <f t="shared" si="210"/>
        <v>320</v>
      </c>
      <c r="BB396">
        <v>1</v>
      </c>
      <c r="BC396">
        <f t="shared" si="222"/>
        <v>320</v>
      </c>
      <c r="BD396">
        <f t="shared" si="211"/>
        <v>450</v>
      </c>
      <c r="BE396">
        <f t="shared" si="212"/>
        <v>450</v>
      </c>
      <c r="BF396" s="281">
        <f t="shared" si="223"/>
        <v>0.71111111111111114</v>
      </c>
      <c r="BG396" s="282"/>
      <c r="BH396" s="283"/>
    </row>
    <row r="397" spans="1:60" x14ac:dyDescent="0.3">
      <c r="A397">
        <f t="shared" si="136"/>
        <v>394</v>
      </c>
      <c r="B397" s="241" t="s">
        <v>2499</v>
      </c>
      <c r="C397" s="294" t="s">
        <v>2513</v>
      </c>
      <c r="D397" s="14">
        <v>45839</v>
      </c>
      <c r="E397" s="7"/>
      <c r="F397" s="7"/>
      <c r="G397" s="66"/>
      <c r="H397" s="59"/>
      <c r="I397" s="59">
        <v>510</v>
      </c>
      <c r="J397" s="47">
        <f t="shared" si="213"/>
        <v>510</v>
      </c>
      <c r="K397" s="8">
        <f t="shared" si="214"/>
        <v>510</v>
      </c>
      <c r="L397" s="96">
        <f t="shared" si="195"/>
        <v>1</v>
      </c>
      <c r="M397" s="81">
        <v>1153</v>
      </c>
      <c r="N397" s="8">
        <v>153</v>
      </c>
      <c r="O397" s="8">
        <v>60</v>
      </c>
      <c r="P397" s="96">
        <f t="shared" si="114"/>
        <v>0.88658208381391768</v>
      </c>
      <c r="Q397" s="59">
        <f t="shared" si="149"/>
        <v>1153</v>
      </c>
      <c r="R397" s="252">
        <f t="shared" si="205"/>
        <v>1192</v>
      </c>
      <c r="S397" s="263">
        <v>36</v>
      </c>
      <c r="T397" s="263">
        <v>3</v>
      </c>
      <c r="U397" s="263">
        <v>0</v>
      </c>
      <c r="V397" s="263">
        <v>0</v>
      </c>
      <c r="W397" s="263">
        <v>0</v>
      </c>
      <c r="X397" s="263">
        <v>3</v>
      </c>
      <c r="Y397" s="263">
        <v>0</v>
      </c>
      <c r="Z397" s="263">
        <v>3</v>
      </c>
      <c r="AA397" s="263">
        <v>0</v>
      </c>
      <c r="AB397" s="263">
        <v>32</v>
      </c>
      <c r="AC397" s="263">
        <v>0</v>
      </c>
      <c r="AD397" s="263">
        <v>7</v>
      </c>
      <c r="AE397" s="263"/>
      <c r="AF397" s="263"/>
      <c r="AG397" s="263"/>
      <c r="AH397" s="263"/>
      <c r="AI397" s="263"/>
      <c r="AJ397" s="259"/>
      <c r="AK397" s="263">
        <f t="shared" si="215"/>
        <v>7</v>
      </c>
      <c r="AL397" s="265">
        <f t="shared" si="206"/>
        <v>27</v>
      </c>
      <c r="AM397" s="6">
        <f t="shared" si="216"/>
        <v>7</v>
      </c>
      <c r="AN397" s="255">
        <f t="shared" si="207"/>
        <v>0.96728187919463082</v>
      </c>
      <c r="AO397" s="256">
        <f t="shared" si="208"/>
        <v>0.85757478409181798</v>
      </c>
      <c r="AP397" s="257">
        <f t="shared" si="209"/>
        <v>5872.4832214765102</v>
      </c>
      <c r="AQ397" s="263">
        <f t="shared" si="217"/>
        <v>16</v>
      </c>
      <c r="AR397" s="263">
        <f t="shared" si="218"/>
        <v>0</v>
      </c>
      <c r="AS397" s="263">
        <f t="shared" si="219"/>
        <v>0.70000000000000007</v>
      </c>
      <c r="AT397" s="263">
        <f t="shared" si="220"/>
        <v>16.7</v>
      </c>
      <c r="AU397" s="263"/>
      <c r="AV397" s="263"/>
      <c r="AW397" s="263"/>
      <c r="AX397" s="263">
        <f t="shared" si="221"/>
        <v>16.7</v>
      </c>
      <c r="BA397" s="282">
        <f t="shared" si="210"/>
        <v>452.15686274509801</v>
      </c>
      <c r="BB397">
        <v>1</v>
      </c>
      <c r="BC397">
        <f t="shared" si="222"/>
        <v>452.15686274509801</v>
      </c>
      <c r="BD397">
        <f t="shared" si="211"/>
        <v>510</v>
      </c>
      <c r="BE397">
        <f t="shared" si="212"/>
        <v>510</v>
      </c>
      <c r="BF397" s="281">
        <f t="shared" si="223"/>
        <v>0.88658208381391768</v>
      </c>
      <c r="BG397" s="282"/>
      <c r="BH397" s="283"/>
    </row>
    <row r="398" spans="1:60" x14ac:dyDescent="0.3">
      <c r="A398">
        <f t="shared" si="136"/>
        <v>395</v>
      </c>
      <c r="B398" s="241" t="s">
        <v>2499</v>
      </c>
      <c r="C398" s="294" t="s">
        <v>2511</v>
      </c>
      <c r="D398" s="14">
        <v>45840</v>
      </c>
      <c r="E398" s="7">
        <v>45</v>
      </c>
      <c r="F398" s="7"/>
      <c r="G398" s="66"/>
      <c r="H398" s="59"/>
      <c r="I398" s="59">
        <v>480</v>
      </c>
      <c r="J398" s="47">
        <f t="shared" si="213"/>
        <v>480</v>
      </c>
      <c r="K398" s="8">
        <f t="shared" si="214"/>
        <v>435</v>
      </c>
      <c r="L398" s="96">
        <f t="shared" si="195"/>
        <v>0.90625</v>
      </c>
      <c r="M398" s="81">
        <v>1081</v>
      </c>
      <c r="N398" s="8">
        <v>153</v>
      </c>
      <c r="O398" s="8">
        <v>60</v>
      </c>
      <c r="P398" s="96">
        <f t="shared" si="114"/>
        <v>0.97453234167230096</v>
      </c>
      <c r="Q398" s="59">
        <f t="shared" si="149"/>
        <v>1081</v>
      </c>
      <c r="R398" s="252">
        <f t="shared" si="205"/>
        <v>1126</v>
      </c>
      <c r="S398" s="263">
        <v>16</v>
      </c>
      <c r="T398" s="263">
        <v>7</v>
      </c>
      <c r="U398" s="263">
        <v>0</v>
      </c>
      <c r="V398" s="263">
        <v>0</v>
      </c>
      <c r="W398" s="263">
        <v>0</v>
      </c>
      <c r="X398" s="263">
        <v>3</v>
      </c>
      <c r="Y398" s="263">
        <v>0</v>
      </c>
      <c r="Z398" s="263">
        <v>0</v>
      </c>
      <c r="AA398" s="263">
        <v>1</v>
      </c>
      <c r="AB398" s="263">
        <v>41</v>
      </c>
      <c r="AC398" s="263">
        <v>2</v>
      </c>
      <c r="AD398" s="263">
        <v>2</v>
      </c>
      <c r="AE398" s="263"/>
      <c r="AF398" s="263"/>
      <c r="AG398" s="263"/>
      <c r="AH398" s="263"/>
      <c r="AI398" s="263"/>
      <c r="AJ398" s="259"/>
      <c r="AK398" s="263">
        <f t="shared" si="215"/>
        <v>2</v>
      </c>
      <c r="AL398" s="265">
        <f t="shared" si="206"/>
        <v>27</v>
      </c>
      <c r="AM398" s="6">
        <f t="shared" si="216"/>
        <v>2</v>
      </c>
      <c r="AN398" s="255">
        <f t="shared" si="207"/>
        <v>0.96003552397868563</v>
      </c>
      <c r="AO398" s="256">
        <f t="shared" si="208"/>
        <v>0.84787451096483579</v>
      </c>
      <c r="AP398" s="257">
        <f t="shared" si="209"/>
        <v>1776.1989342806396</v>
      </c>
      <c r="AQ398" s="263">
        <f t="shared" si="217"/>
        <v>20.5</v>
      </c>
      <c r="AR398" s="263">
        <f t="shared" si="218"/>
        <v>0.4</v>
      </c>
      <c r="AS398" s="263">
        <f t="shared" si="219"/>
        <v>0.2</v>
      </c>
      <c r="AT398" s="263">
        <f t="shared" si="220"/>
        <v>21.099999999999998</v>
      </c>
      <c r="AU398" s="263"/>
      <c r="AV398" s="263"/>
      <c r="AW398" s="263"/>
      <c r="AX398" s="263">
        <f t="shared" si="221"/>
        <v>21.099999999999998</v>
      </c>
      <c r="BA398" s="282">
        <f t="shared" si="210"/>
        <v>423.92156862745094</v>
      </c>
      <c r="BB398">
        <v>1</v>
      </c>
      <c r="BC398">
        <f t="shared" si="222"/>
        <v>423.92156862745094</v>
      </c>
      <c r="BD398">
        <f t="shared" si="211"/>
        <v>435</v>
      </c>
      <c r="BE398">
        <f t="shared" si="212"/>
        <v>480</v>
      </c>
      <c r="BF398" s="281">
        <f t="shared" si="223"/>
        <v>0.88316993464052274</v>
      </c>
      <c r="BG398" s="282"/>
      <c r="BH398" s="283"/>
    </row>
    <row r="399" spans="1:60" x14ac:dyDescent="0.3">
      <c r="A399">
        <f t="shared" si="136"/>
        <v>396</v>
      </c>
      <c r="B399" s="241" t="s">
        <v>2499</v>
      </c>
      <c r="C399" s="294" t="s">
        <v>2512</v>
      </c>
      <c r="D399" s="14">
        <v>45840</v>
      </c>
      <c r="E399" s="7"/>
      <c r="F399" s="7"/>
      <c r="G399" s="66"/>
      <c r="H399" s="59"/>
      <c r="I399" s="59">
        <v>450</v>
      </c>
      <c r="J399" s="47">
        <f t="shared" si="213"/>
        <v>450</v>
      </c>
      <c r="K399" s="8">
        <f t="shared" si="214"/>
        <v>450</v>
      </c>
      <c r="L399" s="96">
        <f t="shared" si="195"/>
        <v>1</v>
      </c>
      <c r="M399" s="81">
        <v>1116</v>
      </c>
      <c r="N399" s="8">
        <v>153</v>
      </c>
      <c r="O399" s="8">
        <v>60</v>
      </c>
      <c r="P399" s="96">
        <f t="shared" si="114"/>
        <v>0.97254901960784312</v>
      </c>
      <c r="Q399" s="59">
        <f t="shared" si="149"/>
        <v>1116</v>
      </c>
      <c r="R399" s="252">
        <f t="shared" si="205"/>
        <v>1126</v>
      </c>
      <c r="S399" s="263">
        <v>3</v>
      </c>
      <c r="T399" s="263">
        <v>1</v>
      </c>
      <c r="U399" s="263">
        <v>0</v>
      </c>
      <c r="V399" s="263">
        <v>0</v>
      </c>
      <c r="W399" s="263">
        <v>0</v>
      </c>
      <c r="X399" s="263">
        <v>1</v>
      </c>
      <c r="Y399" s="263">
        <v>0</v>
      </c>
      <c r="Z399" s="263">
        <v>2</v>
      </c>
      <c r="AA399" s="263">
        <v>0</v>
      </c>
      <c r="AB399" s="263">
        <v>4</v>
      </c>
      <c r="AC399" s="263">
        <v>2</v>
      </c>
      <c r="AD399" s="263">
        <v>4</v>
      </c>
      <c r="AE399" s="263"/>
      <c r="AF399" s="263"/>
      <c r="AG399" s="263"/>
      <c r="AH399" s="263"/>
      <c r="AI399" s="263"/>
      <c r="AJ399" s="259"/>
      <c r="AK399" s="263">
        <f t="shared" si="215"/>
        <v>4</v>
      </c>
      <c r="AL399" s="265">
        <f t="shared" si="206"/>
        <v>27</v>
      </c>
      <c r="AM399" s="6">
        <f t="shared" si="216"/>
        <v>4</v>
      </c>
      <c r="AN399" s="255">
        <f t="shared" si="207"/>
        <v>0.99111900532859676</v>
      </c>
      <c r="AO399" s="256">
        <f t="shared" si="208"/>
        <v>0.96391181694702743</v>
      </c>
      <c r="AP399" s="257">
        <f t="shared" si="209"/>
        <v>3552.3978685612792</v>
      </c>
      <c r="AQ399" s="263">
        <f t="shared" si="217"/>
        <v>2</v>
      </c>
      <c r="AR399" s="263">
        <f t="shared" si="218"/>
        <v>0.4</v>
      </c>
      <c r="AS399" s="263">
        <f t="shared" si="219"/>
        <v>0.4</v>
      </c>
      <c r="AT399" s="263">
        <f t="shared" si="220"/>
        <v>2.8</v>
      </c>
      <c r="AU399" s="263"/>
      <c r="AV399" s="263"/>
      <c r="AW399" s="263"/>
      <c r="AX399" s="263">
        <f t="shared" si="221"/>
        <v>2.8</v>
      </c>
      <c r="BA399" s="282">
        <f t="shared" si="210"/>
        <v>437.64705882352939</v>
      </c>
      <c r="BB399">
        <v>1</v>
      </c>
      <c r="BC399">
        <f t="shared" si="222"/>
        <v>437.64705882352939</v>
      </c>
      <c r="BD399">
        <f t="shared" si="211"/>
        <v>450</v>
      </c>
      <c r="BE399">
        <f t="shared" si="212"/>
        <v>450</v>
      </c>
      <c r="BF399" s="281">
        <f t="shared" si="223"/>
        <v>0.97254901960784312</v>
      </c>
      <c r="BG399" s="282"/>
      <c r="BH399" s="283"/>
    </row>
    <row r="400" spans="1:60" x14ac:dyDescent="0.3">
      <c r="A400">
        <f t="shared" si="136"/>
        <v>397</v>
      </c>
      <c r="B400" s="241" t="s">
        <v>2499</v>
      </c>
      <c r="C400" s="294" t="s">
        <v>2513</v>
      </c>
      <c r="D400" s="14">
        <v>45840</v>
      </c>
      <c r="E400" s="7"/>
      <c r="F400" s="7"/>
      <c r="G400" s="66"/>
      <c r="H400" s="59"/>
      <c r="I400" s="59">
        <v>510</v>
      </c>
      <c r="J400" s="47">
        <f t="shared" si="213"/>
        <v>510</v>
      </c>
      <c r="K400" s="8">
        <f t="shared" si="214"/>
        <v>510</v>
      </c>
      <c r="L400" s="96">
        <f t="shared" si="195"/>
        <v>1</v>
      </c>
      <c r="M400" s="81">
        <v>1246</v>
      </c>
      <c r="N400" s="8">
        <v>153</v>
      </c>
      <c r="O400" s="8">
        <v>60</v>
      </c>
      <c r="P400" s="96">
        <f t="shared" si="114"/>
        <v>0.95809304113802385</v>
      </c>
      <c r="Q400" s="59">
        <f t="shared" si="149"/>
        <v>1246</v>
      </c>
      <c r="R400" s="252">
        <f t="shared" si="205"/>
        <v>1255</v>
      </c>
      <c r="S400" s="263">
        <v>180</v>
      </c>
      <c r="T400" s="263">
        <v>0</v>
      </c>
      <c r="U400" s="263">
        <v>0</v>
      </c>
      <c r="V400" s="263">
        <v>0</v>
      </c>
      <c r="W400" s="263">
        <v>0</v>
      </c>
      <c r="X400" s="263">
        <v>2</v>
      </c>
      <c r="Y400" s="263">
        <v>0</v>
      </c>
      <c r="Z400" s="263">
        <v>0</v>
      </c>
      <c r="AA400" s="263">
        <v>1</v>
      </c>
      <c r="AB400" s="263">
        <v>2</v>
      </c>
      <c r="AC400" s="263">
        <v>4</v>
      </c>
      <c r="AD400" s="263">
        <v>3</v>
      </c>
      <c r="AE400" s="263"/>
      <c r="AF400" s="263"/>
      <c r="AG400" s="263"/>
      <c r="AH400" s="263"/>
      <c r="AI400" s="263"/>
      <c r="AJ400" s="259"/>
      <c r="AK400" s="263">
        <f t="shared" si="215"/>
        <v>3</v>
      </c>
      <c r="AL400" s="265">
        <f t="shared" si="206"/>
        <v>27</v>
      </c>
      <c r="AM400" s="6">
        <f t="shared" si="216"/>
        <v>3</v>
      </c>
      <c r="AN400" s="255">
        <f t="shared" si="207"/>
        <v>0.99282868525896417</v>
      </c>
      <c r="AO400" s="256">
        <f t="shared" si="208"/>
        <v>0.9512222543888269</v>
      </c>
      <c r="AP400" s="257">
        <f t="shared" si="209"/>
        <v>2390.4382470119522</v>
      </c>
      <c r="AQ400" s="263">
        <f t="shared" si="217"/>
        <v>1</v>
      </c>
      <c r="AR400" s="263">
        <f t="shared" si="218"/>
        <v>0.8</v>
      </c>
      <c r="AS400" s="263">
        <f t="shared" si="219"/>
        <v>0.30000000000000004</v>
      </c>
      <c r="AT400" s="263">
        <f t="shared" si="220"/>
        <v>2.1</v>
      </c>
      <c r="AU400" s="263"/>
      <c r="AV400" s="263"/>
      <c r="AW400" s="263"/>
      <c r="AX400" s="263">
        <f t="shared" si="221"/>
        <v>2.1</v>
      </c>
      <c r="BA400" s="282">
        <f t="shared" si="210"/>
        <v>488.62745098039215</v>
      </c>
      <c r="BB400">
        <v>1</v>
      </c>
      <c r="BC400">
        <f t="shared" si="222"/>
        <v>488.62745098039215</v>
      </c>
      <c r="BD400">
        <f t="shared" si="211"/>
        <v>510</v>
      </c>
      <c r="BE400">
        <f t="shared" si="212"/>
        <v>510</v>
      </c>
      <c r="BF400" s="281">
        <f t="shared" si="223"/>
        <v>0.95809304113802385</v>
      </c>
      <c r="BG400" s="282"/>
      <c r="BH400" s="283"/>
    </row>
    <row r="401" spans="1:60" x14ac:dyDescent="0.3">
      <c r="A401">
        <f t="shared" si="136"/>
        <v>398</v>
      </c>
      <c r="B401" s="241" t="s">
        <v>2499</v>
      </c>
      <c r="C401" s="294" t="s">
        <v>2511</v>
      </c>
      <c r="D401" s="14">
        <v>45841</v>
      </c>
      <c r="E401" s="7">
        <v>45</v>
      </c>
      <c r="F401" s="7"/>
      <c r="G401" s="66"/>
      <c r="H401" s="59"/>
      <c r="I401" s="59">
        <v>480</v>
      </c>
      <c r="J401" s="47">
        <f t="shared" si="213"/>
        <v>480</v>
      </c>
      <c r="K401" s="8">
        <f t="shared" si="214"/>
        <v>435</v>
      </c>
      <c r="L401" s="96">
        <f t="shared" si="195"/>
        <v>0.90625</v>
      </c>
      <c r="M401" s="81">
        <v>1212</v>
      </c>
      <c r="N401" s="8">
        <v>153</v>
      </c>
      <c r="O401" s="8">
        <v>60</v>
      </c>
      <c r="P401" s="96">
        <f t="shared" si="114"/>
        <v>1.09263015551048</v>
      </c>
      <c r="Q401" s="59">
        <f t="shared" si="149"/>
        <v>1212</v>
      </c>
      <c r="R401" s="252">
        <f t="shared" si="205"/>
        <v>1224</v>
      </c>
      <c r="S401" s="263">
        <v>4</v>
      </c>
      <c r="T401" s="263">
        <v>3</v>
      </c>
      <c r="U401" s="263">
        <v>0</v>
      </c>
      <c r="V401" s="263">
        <v>0</v>
      </c>
      <c r="W401" s="263">
        <v>0</v>
      </c>
      <c r="X401" s="263">
        <v>2</v>
      </c>
      <c r="Y401" s="263">
        <v>0</v>
      </c>
      <c r="Z401" s="263">
        <v>2</v>
      </c>
      <c r="AA401" s="263">
        <v>0</v>
      </c>
      <c r="AB401" s="263">
        <v>10</v>
      </c>
      <c r="AC401" s="263">
        <v>2</v>
      </c>
      <c r="AD401" s="263">
        <v>0</v>
      </c>
      <c r="AE401" s="263"/>
      <c r="AF401" s="263"/>
      <c r="AG401" s="263"/>
      <c r="AH401" s="263"/>
      <c r="AI401" s="263"/>
      <c r="AJ401" s="259"/>
      <c r="AK401" s="263">
        <f t="shared" si="215"/>
        <v>0</v>
      </c>
      <c r="AL401" s="265">
        <f t="shared" si="206"/>
        <v>27</v>
      </c>
      <c r="AM401" s="6">
        <f t="shared" si="216"/>
        <v>0</v>
      </c>
      <c r="AN401" s="255">
        <f t="shared" si="207"/>
        <v>0.99019607843137258</v>
      </c>
      <c r="AO401" s="256">
        <f t="shared" si="208"/>
        <v>0.980488273740869</v>
      </c>
      <c r="AP401" s="257">
        <f t="shared" si="209"/>
        <v>0</v>
      </c>
      <c r="AQ401" s="263">
        <f t="shared" si="217"/>
        <v>5</v>
      </c>
      <c r="AR401" s="263">
        <f t="shared" si="218"/>
        <v>0.4</v>
      </c>
      <c r="AS401" s="263">
        <f t="shared" si="219"/>
        <v>0</v>
      </c>
      <c r="AT401" s="263">
        <f t="shared" si="220"/>
        <v>5.4</v>
      </c>
      <c r="AU401" s="263"/>
      <c r="AV401" s="263"/>
      <c r="AW401" s="263"/>
      <c r="AX401" s="263">
        <f t="shared" si="221"/>
        <v>5.4</v>
      </c>
      <c r="BA401" s="282">
        <f t="shared" si="210"/>
        <v>475.29411764705884</v>
      </c>
      <c r="BB401">
        <v>1</v>
      </c>
      <c r="BC401">
        <f t="shared" si="222"/>
        <v>475.29411764705884</v>
      </c>
      <c r="BD401">
        <f t="shared" si="211"/>
        <v>435</v>
      </c>
      <c r="BE401">
        <f t="shared" si="212"/>
        <v>480</v>
      </c>
      <c r="BF401" s="281">
        <f t="shared" si="223"/>
        <v>0.99019607843137258</v>
      </c>
      <c r="BG401" s="282"/>
      <c r="BH401" s="283"/>
    </row>
    <row r="402" spans="1:60" x14ac:dyDescent="0.3">
      <c r="A402">
        <f t="shared" si="136"/>
        <v>399</v>
      </c>
      <c r="B402" s="241" t="s">
        <v>2499</v>
      </c>
      <c r="C402" s="294" t="s">
        <v>2512</v>
      </c>
      <c r="D402" s="14">
        <v>45841</v>
      </c>
      <c r="E402" s="7"/>
      <c r="F402" s="7"/>
      <c r="G402" s="66"/>
      <c r="H402" s="59"/>
      <c r="I402" s="59">
        <v>450</v>
      </c>
      <c r="J402" s="47">
        <f t="shared" si="213"/>
        <v>450</v>
      </c>
      <c r="K402" s="8">
        <f t="shared" si="214"/>
        <v>450</v>
      </c>
      <c r="L402" s="96">
        <f t="shared" si="195"/>
        <v>1</v>
      </c>
      <c r="M402" s="81">
        <v>943</v>
      </c>
      <c r="N402" s="8">
        <v>153</v>
      </c>
      <c r="O402" s="8">
        <v>60</v>
      </c>
      <c r="P402" s="96">
        <f t="shared" si="114"/>
        <v>0.82178649237472767</v>
      </c>
      <c r="Q402" s="59">
        <f t="shared" si="149"/>
        <v>943</v>
      </c>
      <c r="R402" s="252">
        <f t="shared" si="205"/>
        <v>955</v>
      </c>
      <c r="S402" s="263">
        <v>10</v>
      </c>
      <c r="T402" s="263">
        <v>4</v>
      </c>
      <c r="U402" s="263">
        <v>0</v>
      </c>
      <c r="V402" s="263">
        <v>0</v>
      </c>
      <c r="W402" s="263">
        <v>0</v>
      </c>
      <c r="X402" s="263">
        <v>1</v>
      </c>
      <c r="Y402" s="263">
        <v>0</v>
      </c>
      <c r="Z402" s="263">
        <v>1</v>
      </c>
      <c r="AA402" s="263">
        <v>0</v>
      </c>
      <c r="AB402" s="263">
        <v>7</v>
      </c>
      <c r="AC402" s="263">
        <v>2</v>
      </c>
      <c r="AD402" s="263">
        <v>3</v>
      </c>
      <c r="AE402" s="263"/>
      <c r="AF402" s="263"/>
      <c r="AG402" s="263"/>
      <c r="AH402" s="263"/>
      <c r="AI402" s="263"/>
      <c r="AJ402" s="259"/>
      <c r="AK402" s="263">
        <f t="shared" si="215"/>
        <v>3</v>
      </c>
      <c r="AL402" s="265">
        <f t="shared" si="206"/>
        <v>27</v>
      </c>
      <c r="AM402" s="6">
        <f t="shared" si="216"/>
        <v>3</v>
      </c>
      <c r="AN402" s="255">
        <f t="shared" si="207"/>
        <v>0.98743455497382204</v>
      </c>
      <c r="AO402" s="256">
        <f t="shared" si="208"/>
        <v>0.81146037938153737</v>
      </c>
      <c r="AP402" s="257">
        <f t="shared" si="209"/>
        <v>3141.3612565445028</v>
      </c>
      <c r="AQ402" s="263">
        <f t="shared" si="217"/>
        <v>3.5</v>
      </c>
      <c r="AR402" s="263">
        <f t="shared" si="218"/>
        <v>0.4</v>
      </c>
      <c r="AS402" s="263">
        <f t="shared" si="219"/>
        <v>0.30000000000000004</v>
      </c>
      <c r="AT402" s="263">
        <f t="shared" si="220"/>
        <v>4.2</v>
      </c>
      <c r="AU402" s="263"/>
      <c r="AV402" s="263"/>
      <c r="AW402" s="263"/>
      <c r="AX402" s="263">
        <f t="shared" si="221"/>
        <v>4.2</v>
      </c>
      <c r="BA402" s="282">
        <f t="shared" si="210"/>
        <v>369.80392156862746</v>
      </c>
      <c r="BB402">
        <v>1</v>
      </c>
      <c r="BC402">
        <f t="shared" si="222"/>
        <v>369.80392156862746</v>
      </c>
      <c r="BD402">
        <f t="shared" si="211"/>
        <v>450</v>
      </c>
      <c r="BE402">
        <f t="shared" si="212"/>
        <v>450</v>
      </c>
      <c r="BF402" s="281">
        <f t="shared" si="223"/>
        <v>0.82178649237472767</v>
      </c>
      <c r="BG402" s="282"/>
      <c r="BH402" s="283"/>
    </row>
    <row r="403" spans="1:60" x14ac:dyDescent="0.3">
      <c r="A403">
        <f t="shared" si="136"/>
        <v>400</v>
      </c>
      <c r="B403" s="241" t="s">
        <v>2499</v>
      </c>
      <c r="C403" s="294" t="s">
        <v>2513</v>
      </c>
      <c r="D403" s="14">
        <v>45841</v>
      </c>
      <c r="E403" s="7"/>
      <c r="F403" s="7"/>
      <c r="G403" s="66"/>
      <c r="H403" s="59"/>
      <c r="I403" s="59">
        <v>510</v>
      </c>
      <c r="J403" s="47">
        <f t="shared" si="213"/>
        <v>510</v>
      </c>
      <c r="K403" s="8">
        <f t="shared" si="214"/>
        <v>510</v>
      </c>
      <c r="L403" s="96">
        <f t="shared" si="195"/>
        <v>1</v>
      </c>
      <c r="M403" s="81">
        <v>1251</v>
      </c>
      <c r="N403" s="8">
        <v>153</v>
      </c>
      <c r="O403" s="8">
        <v>60</v>
      </c>
      <c r="P403" s="96">
        <f t="shared" si="114"/>
        <v>0.96193771626297575</v>
      </c>
      <c r="Q403" s="59">
        <f t="shared" si="149"/>
        <v>1251</v>
      </c>
      <c r="R403" s="252">
        <f t="shared" si="205"/>
        <v>1281</v>
      </c>
      <c r="S403" s="263">
        <v>10</v>
      </c>
      <c r="T403" s="263">
        <v>1</v>
      </c>
      <c r="U403" s="263">
        <v>0</v>
      </c>
      <c r="V403" s="263">
        <v>0</v>
      </c>
      <c r="W403" s="263">
        <v>2</v>
      </c>
      <c r="X403" s="263">
        <v>1</v>
      </c>
      <c r="Y403" s="263">
        <v>0</v>
      </c>
      <c r="Z403" s="263">
        <v>1</v>
      </c>
      <c r="AA403" s="263">
        <v>0</v>
      </c>
      <c r="AB403" s="263">
        <v>22</v>
      </c>
      <c r="AC403" s="263">
        <v>0</v>
      </c>
      <c r="AD403" s="263">
        <v>8</v>
      </c>
      <c r="AE403" s="263"/>
      <c r="AF403" s="263"/>
      <c r="AG403" s="263"/>
      <c r="AH403" s="263"/>
      <c r="AI403" s="263"/>
      <c r="AJ403" s="259"/>
      <c r="AK403" s="263">
        <f t="shared" si="215"/>
        <v>8</v>
      </c>
      <c r="AL403" s="265">
        <f t="shared" si="206"/>
        <v>27</v>
      </c>
      <c r="AM403" s="6">
        <f t="shared" si="216"/>
        <v>8</v>
      </c>
      <c r="AN403" s="255">
        <f t="shared" si="207"/>
        <v>0.97658079625292737</v>
      </c>
      <c r="AO403" s="256">
        <f t="shared" si="208"/>
        <v>0.93940990089381937</v>
      </c>
      <c r="AP403" s="257">
        <f t="shared" si="209"/>
        <v>6245.1209992193599</v>
      </c>
      <c r="AQ403" s="263">
        <f t="shared" si="217"/>
        <v>11</v>
      </c>
      <c r="AR403" s="263">
        <f t="shared" si="218"/>
        <v>0</v>
      </c>
      <c r="AS403" s="263">
        <f t="shared" si="219"/>
        <v>0.8</v>
      </c>
      <c r="AT403" s="263">
        <f t="shared" si="220"/>
        <v>11.8</v>
      </c>
      <c r="AU403" s="263"/>
      <c r="AV403" s="263"/>
      <c r="AW403" s="263"/>
      <c r="AX403" s="263">
        <f t="shared" si="221"/>
        <v>11.8</v>
      </c>
      <c r="BA403" s="282">
        <f t="shared" si="210"/>
        <v>490.58823529411762</v>
      </c>
      <c r="BB403">
        <v>1</v>
      </c>
      <c r="BC403">
        <f t="shared" si="222"/>
        <v>490.58823529411762</v>
      </c>
      <c r="BD403">
        <f t="shared" si="211"/>
        <v>510</v>
      </c>
      <c r="BE403">
        <f t="shared" si="212"/>
        <v>510</v>
      </c>
      <c r="BF403" s="281">
        <f t="shared" si="223"/>
        <v>0.96193771626297575</v>
      </c>
      <c r="BG403" s="282"/>
      <c r="BH403" s="283"/>
    </row>
    <row r="404" spans="1:60" x14ac:dyDescent="0.3">
      <c r="A404">
        <f t="shared" si="136"/>
        <v>401</v>
      </c>
      <c r="B404" s="241" t="s">
        <v>2499</v>
      </c>
      <c r="C404" s="294" t="s">
        <v>2511</v>
      </c>
      <c r="D404" s="14">
        <v>45842</v>
      </c>
      <c r="E404" s="7">
        <v>45</v>
      </c>
      <c r="F404" s="7"/>
      <c r="G404" s="66"/>
      <c r="H404" s="59"/>
      <c r="I404" s="59">
        <v>480</v>
      </c>
      <c r="J404" s="47">
        <f t="shared" si="213"/>
        <v>480</v>
      </c>
      <c r="K404" s="8">
        <f t="shared" si="214"/>
        <v>435</v>
      </c>
      <c r="L404" s="96">
        <f t="shared" si="195"/>
        <v>0.90625</v>
      </c>
      <c r="M404" s="81">
        <v>1094</v>
      </c>
      <c r="N404" s="8">
        <v>153</v>
      </c>
      <c r="O404" s="8">
        <v>60</v>
      </c>
      <c r="P404" s="96">
        <f t="shared" si="114"/>
        <v>0.98625197205318915</v>
      </c>
      <c r="Q404" s="59">
        <f t="shared" si="149"/>
        <v>1094</v>
      </c>
      <c r="R404" s="252">
        <f t="shared" si="205"/>
        <v>1135</v>
      </c>
      <c r="S404" s="263">
        <v>8</v>
      </c>
      <c r="T404" s="263">
        <v>0</v>
      </c>
      <c r="U404" s="263">
        <v>0</v>
      </c>
      <c r="V404" s="263">
        <v>0</v>
      </c>
      <c r="W404" s="263">
        <v>0</v>
      </c>
      <c r="X404" s="263">
        <v>0</v>
      </c>
      <c r="Y404" s="263">
        <v>0</v>
      </c>
      <c r="Z404" s="263">
        <v>1</v>
      </c>
      <c r="AA404" s="263">
        <v>0</v>
      </c>
      <c r="AB404" s="263">
        <v>32</v>
      </c>
      <c r="AC404" s="263">
        <v>5</v>
      </c>
      <c r="AD404" s="263">
        <v>4</v>
      </c>
      <c r="AE404" s="263"/>
      <c r="AF404" s="263"/>
      <c r="AG404" s="263"/>
      <c r="AH404" s="263"/>
      <c r="AI404" s="263"/>
      <c r="AJ404" s="259"/>
      <c r="AK404" s="263">
        <f t="shared" si="215"/>
        <v>4</v>
      </c>
      <c r="AL404" s="265">
        <f t="shared" si="206"/>
        <v>27</v>
      </c>
      <c r="AM404" s="6">
        <f t="shared" si="216"/>
        <v>4</v>
      </c>
      <c r="AN404" s="255">
        <f t="shared" si="207"/>
        <v>0.96387665198237882</v>
      </c>
      <c r="AO404" s="256">
        <f t="shared" si="208"/>
        <v>0.86150413175549223</v>
      </c>
      <c r="AP404" s="257">
        <f t="shared" si="209"/>
        <v>3524.2290748898681</v>
      </c>
      <c r="AQ404" s="263">
        <f t="shared" si="217"/>
        <v>16</v>
      </c>
      <c r="AR404" s="263">
        <f t="shared" si="218"/>
        <v>1</v>
      </c>
      <c r="AS404" s="263">
        <f t="shared" si="219"/>
        <v>0.4</v>
      </c>
      <c r="AT404" s="263">
        <f t="shared" si="220"/>
        <v>17.399999999999999</v>
      </c>
      <c r="AU404" s="263"/>
      <c r="AV404" s="263"/>
      <c r="AW404" s="263"/>
      <c r="AX404" s="263">
        <f t="shared" si="221"/>
        <v>17.399999999999999</v>
      </c>
      <c r="BA404" s="282">
        <f t="shared" si="210"/>
        <v>429.01960784313729</v>
      </c>
      <c r="BB404">
        <v>1</v>
      </c>
      <c r="BC404">
        <f t="shared" si="222"/>
        <v>429.01960784313729</v>
      </c>
      <c r="BD404">
        <f t="shared" si="211"/>
        <v>435</v>
      </c>
      <c r="BE404">
        <f t="shared" si="212"/>
        <v>480</v>
      </c>
      <c r="BF404" s="281">
        <f t="shared" si="223"/>
        <v>0.89379084967320266</v>
      </c>
      <c r="BG404" s="282"/>
      <c r="BH404" s="283"/>
    </row>
    <row r="405" spans="1:60" x14ac:dyDescent="0.3">
      <c r="A405">
        <f t="shared" si="136"/>
        <v>402</v>
      </c>
      <c r="B405" s="241" t="s">
        <v>2499</v>
      </c>
      <c r="C405" s="294" t="s">
        <v>2512</v>
      </c>
      <c r="D405" s="14">
        <v>45842</v>
      </c>
      <c r="E405" s="7"/>
      <c r="F405" s="7"/>
      <c r="G405" s="66"/>
      <c r="H405" s="59"/>
      <c r="I405" s="59">
        <v>450</v>
      </c>
      <c r="J405" s="47">
        <f t="shared" si="213"/>
        <v>450</v>
      </c>
      <c r="K405" s="8">
        <f t="shared" si="214"/>
        <v>450</v>
      </c>
      <c r="L405" s="96">
        <f t="shared" si="195"/>
        <v>1</v>
      </c>
      <c r="M405" s="81">
        <v>1000</v>
      </c>
      <c r="N405" s="8">
        <v>153</v>
      </c>
      <c r="O405" s="8">
        <v>60</v>
      </c>
      <c r="P405" s="96">
        <f t="shared" si="114"/>
        <v>0.87145969498910669</v>
      </c>
      <c r="Q405" s="59">
        <f t="shared" si="149"/>
        <v>1000</v>
      </c>
      <c r="R405" s="252">
        <f t="shared" si="205"/>
        <v>1014</v>
      </c>
      <c r="S405" s="263">
        <v>11</v>
      </c>
      <c r="T405" s="263">
        <v>0</v>
      </c>
      <c r="U405" s="263">
        <v>0</v>
      </c>
      <c r="V405" s="263">
        <v>0</v>
      </c>
      <c r="W405" s="263">
        <v>0</v>
      </c>
      <c r="X405" s="263">
        <v>4</v>
      </c>
      <c r="Y405" s="263">
        <v>0</v>
      </c>
      <c r="Z405" s="263">
        <v>3</v>
      </c>
      <c r="AA405" s="263">
        <v>0</v>
      </c>
      <c r="AB405" s="263">
        <v>10</v>
      </c>
      <c r="AC405" s="263">
        <v>1</v>
      </c>
      <c r="AD405" s="263">
        <v>3</v>
      </c>
      <c r="AE405" s="263"/>
      <c r="AF405" s="263"/>
      <c r="AG405" s="263"/>
      <c r="AH405" s="263"/>
      <c r="AI405" s="263"/>
      <c r="AJ405" s="259"/>
      <c r="AK405" s="263">
        <f t="shared" si="215"/>
        <v>3</v>
      </c>
      <c r="AL405" s="265">
        <f t="shared" si="206"/>
        <v>27</v>
      </c>
      <c r="AM405" s="6">
        <f t="shared" si="216"/>
        <v>3</v>
      </c>
      <c r="AN405" s="255">
        <f t="shared" si="207"/>
        <v>0.98619329388560162</v>
      </c>
      <c r="AO405" s="256">
        <f t="shared" si="208"/>
        <v>0.85942770708984884</v>
      </c>
      <c r="AP405" s="257">
        <f t="shared" si="209"/>
        <v>2958.5798816568044</v>
      </c>
      <c r="AQ405" s="263">
        <f t="shared" si="217"/>
        <v>5</v>
      </c>
      <c r="AR405" s="263">
        <f t="shared" si="218"/>
        <v>0.2</v>
      </c>
      <c r="AS405" s="263">
        <f t="shared" si="219"/>
        <v>0.30000000000000004</v>
      </c>
      <c r="AT405" s="263">
        <f t="shared" si="220"/>
        <v>5.5</v>
      </c>
      <c r="AU405" s="263"/>
      <c r="AV405" s="263"/>
      <c r="AW405" s="263"/>
      <c r="AX405" s="263">
        <f t="shared" si="221"/>
        <v>5.5</v>
      </c>
      <c r="BA405" s="282">
        <f t="shared" si="210"/>
        <v>392.15686274509801</v>
      </c>
      <c r="BB405">
        <v>1</v>
      </c>
      <c r="BC405">
        <f t="shared" si="222"/>
        <v>392.15686274509801</v>
      </c>
      <c r="BD405">
        <f t="shared" si="211"/>
        <v>450</v>
      </c>
      <c r="BE405">
        <f t="shared" si="212"/>
        <v>450</v>
      </c>
      <c r="BF405" s="281">
        <f t="shared" si="223"/>
        <v>0.87145969498910669</v>
      </c>
      <c r="BG405" s="282"/>
      <c r="BH405" s="283"/>
    </row>
    <row r="406" spans="1:60" x14ac:dyDescent="0.3">
      <c r="A406">
        <f t="shared" si="136"/>
        <v>403</v>
      </c>
      <c r="B406" s="241" t="s">
        <v>2499</v>
      </c>
      <c r="C406" s="294" t="s">
        <v>2513</v>
      </c>
      <c r="D406" s="14">
        <v>45842</v>
      </c>
      <c r="E406" s="7"/>
      <c r="F406" s="7"/>
      <c r="G406" s="66"/>
      <c r="H406" s="59"/>
      <c r="I406" s="59">
        <v>510</v>
      </c>
      <c r="J406" s="47">
        <f t="shared" si="213"/>
        <v>510</v>
      </c>
      <c r="K406" s="8">
        <f t="shared" si="214"/>
        <v>510</v>
      </c>
      <c r="L406" s="96">
        <f t="shared" si="195"/>
        <v>1</v>
      </c>
      <c r="M406" s="81">
        <v>1297</v>
      </c>
      <c r="N406" s="8">
        <v>153</v>
      </c>
      <c r="O406" s="8">
        <v>60</v>
      </c>
      <c r="P406" s="96">
        <f t="shared" si="114"/>
        <v>0.99730872741253362</v>
      </c>
      <c r="Q406" s="59">
        <f t="shared" si="149"/>
        <v>1297</v>
      </c>
      <c r="R406" s="252">
        <f t="shared" si="205"/>
        <v>1302</v>
      </c>
      <c r="S406" s="263">
        <v>20</v>
      </c>
      <c r="T406" s="263">
        <v>1</v>
      </c>
      <c r="U406" s="263">
        <v>0</v>
      </c>
      <c r="V406" s="263">
        <v>0</v>
      </c>
      <c r="W406" s="263">
        <v>0</v>
      </c>
      <c r="X406" s="263">
        <v>0</v>
      </c>
      <c r="Y406" s="263">
        <v>0</v>
      </c>
      <c r="Z406" s="263">
        <v>0</v>
      </c>
      <c r="AA406" s="263">
        <v>0</v>
      </c>
      <c r="AB406" s="263">
        <v>4</v>
      </c>
      <c r="AC406" s="263">
        <v>0</v>
      </c>
      <c r="AD406" s="263">
        <v>1</v>
      </c>
      <c r="AE406" s="263"/>
      <c r="AF406" s="263"/>
      <c r="AG406" s="263"/>
      <c r="AH406" s="263"/>
      <c r="AI406" s="263"/>
      <c r="AJ406" s="259"/>
      <c r="AK406" s="263">
        <f t="shared" si="215"/>
        <v>1</v>
      </c>
      <c r="AL406" s="265">
        <f t="shared" si="206"/>
        <v>27</v>
      </c>
      <c r="AM406" s="6">
        <f t="shared" si="216"/>
        <v>1</v>
      </c>
      <c r="AN406" s="255">
        <f t="shared" si="207"/>
        <v>0.99615975422427039</v>
      </c>
      <c r="AO406" s="256">
        <f t="shared" si="208"/>
        <v>0.99347881678498939</v>
      </c>
      <c r="AP406" s="257">
        <f t="shared" si="209"/>
        <v>768.04915514592938</v>
      </c>
      <c r="AQ406" s="263">
        <f t="shared" si="217"/>
        <v>2</v>
      </c>
      <c r="AR406" s="263">
        <f t="shared" si="218"/>
        <v>0</v>
      </c>
      <c r="AS406" s="263">
        <f t="shared" si="219"/>
        <v>0.1</v>
      </c>
      <c r="AT406" s="263">
        <f t="shared" si="220"/>
        <v>2.1</v>
      </c>
      <c r="AU406" s="263"/>
      <c r="AV406" s="263"/>
      <c r="AW406" s="263"/>
      <c r="AX406" s="263">
        <f t="shared" si="221"/>
        <v>2.1</v>
      </c>
      <c r="BA406" s="282">
        <f t="shared" si="210"/>
        <v>508.62745098039215</v>
      </c>
      <c r="BB406">
        <v>1</v>
      </c>
      <c r="BC406">
        <f t="shared" si="222"/>
        <v>508.62745098039215</v>
      </c>
      <c r="BD406">
        <f t="shared" si="211"/>
        <v>510</v>
      </c>
      <c r="BE406">
        <f t="shared" si="212"/>
        <v>510</v>
      </c>
      <c r="BF406" s="281">
        <f t="shared" si="223"/>
        <v>0.99730872741253362</v>
      </c>
      <c r="BG406" s="282"/>
      <c r="BH406" s="283"/>
    </row>
    <row r="407" spans="1:60" x14ac:dyDescent="0.3">
      <c r="A407">
        <f t="shared" si="136"/>
        <v>404</v>
      </c>
      <c r="B407" s="241" t="s">
        <v>2499</v>
      </c>
      <c r="C407" s="294" t="s">
        <v>2511</v>
      </c>
      <c r="D407" s="14">
        <v>45843</v>
      </c>
      <c r="E407" s="7">
        <v>45</v>
      </c>
      <c r="F407" s="7"/>
      <c r="G407" s="66"/>
      <c r="H407" s="59"/>
      <c r="I407" s="59">
        <v>480</v>
      </c>
      <c r="J407" s="47">
        <f t="shared" si="213"/>
        <v>480</v>
      </c>
      <c r="K407" s="8">
        <f t="shared" si="214"/>
        <v>435</v>
      </c>
      <c r="L407" s="96">
        <f t="shared" si="195"/>
        <v>0.90625</v>
      </c>
      <c r="M407" s="81">
        <v>1242</v>
      </c>
      <c r="N407" s="8">
        <v>153</v>
      </c>
      <c r="O407" s="8">
        <v>60</v>
      </c>
      <c r="P407" s="96">
        <f t="shared" si="114"/>
        <v>1.1196754563894522</v>
      </c>
      <c r="Q407" s="59">
        <f t="shared" si="149"/>
        <v>1242</v>
      </c>
      <c r="R407" s="252">
        <f t="shared" si="205"/>
        <v>1261</v>
      </c>
      <c r="S407" s="263">
        <v>6</v>
      </c>
      <c r="T407" s="263">
        <v>0</v>
      </c>
      <c r="U407" s="263">
        <v>0</v>
      </c>
      <c r="V407" s="263">
        <v>0</v>
      </c>
      <c r="W407" s="263">
        <v>0</v>
      </c>
      <c r="X407" s="263">
        <v>2</v>
      </c>
      <c r="Y407" s="263">
        <v>0</v>
      </c>
      <c r="Z407" s="263">
        <v>0</v>
      </c>
      <c r="AA407" s="263">
        <v>0</v>
      </c>
      <c r="AB407" s="263">
        <v>15</v>
      </c>
      <c r="AC407" s="263">
        <v>2</v>
      </c>
      <c r="AD407" s="263">
        <v>2</v>
      </c>
      <c r="AE407" s="263"/>
      <c r="AF407" s="263"/>
      <c r="AG407" s="263"/>
      <c r="AH407" s="263"/>
      <c r="AI407" s="263"/>
      <c r="AJ407" s="259"/>
      <c r="AK407" s="263">
        <f t="shared" si="215"/>
        <v>2</v>
      </c>
      <c r="AL407" s="265">
        <f t="shared" si="206"/>
        <v>27</v>
      </c>
      <c r="AM407" s="6">
        <f t="shared" si="216"/>
        <v>2</v>
      </c>
      <c r="AN407" s="255">
        <f t="shared" si="207"/>
        <v>0.98493259318001591</v>
      </c>
      <c r="AO407" s="256">
        <f t="shared" si="208"/>
        <v>0.99941689602089845</v>
      </c>
      <c r="AP407" s="257">
        <f t="shared" si="209"/>
        <v>1586.0428231562253</v>
      </c>
      <c r="AQ407" s="263">
        <f t="shared" si="217"/>
        <v>7.5</v>
      </c>
      <c r="AR407" s="263">
        <f t="shared" si="218"/>
        <v>0.4</v>
      </c>
      <c r="AS407" s="263">
        <f t="shared" si="219"/>
        <v>0.2</v>
      </c>
      <c r="AT407" s="263">
        <f t="shared" si="220"/>
        <v>8.1</v>
      </c>
      <c r="AU407" s="263"/>
      <c r="AV407" s="263"/>
      <c r="AW407" s="263"/>
      <c r="AX407" s="263">
        <f t="shared" si="221"/>
        <v>8.1</v>
      </c>
      <c r="BA407" s="282">
        <f t="shared" si="210"/>
        <v>487.05882352941171</v>
      </c>
      <c r="BB407">
        <v>1</v>
      </c>
      <c r="BC407">
        <f t="shared" si="222"/>
        <v>487.05882352941171</v>
      </c>
      <c r="BD407">
        <f t="shared" si="211"/>
        <v>435</v>
      </c>
      <c r="BE407">
        <f t="shared" si="212"/>
        <v>480</v>
      </c>
      <c r="BF407" s="281">
        <f t="shared" si="223"/>
        <v>1.0147058823529411</v>
      </c>
      <c r="BG407" s="282"/>
      <c r="BH407" s="283"/>
    </row>
    <row r="408" spans="1:60" x14ac:dyDescent="0.3">
      <c r="A408">
        <f t="shared" si="136"/>
        <v>405</v>
      </c>
      <c r="B408" s="241" t="s">
        <v>2499</v>
      </c>
      <c r="C408" s="294" t="s">
        <v>2512</v>
      </c>
      <c r="D408" s="14">
        <v>45843</v>
      </c>
      <c r="E408" s="7"/>
      <c r="F408" s="7"/>
      <c r="G408" s="66"/>
      <c r="H408" s="59"/>
      <c r="I408" s="59">
        <v>450</v>
      </c>
      <c r="J408" s="47">
        <f t="shared" si="213"/>
        <v>450</v>
      </c>
      <c r="K408" s="8">
        <f t="shared" si="214"/>
        <v>450</v>
      </c>
      <c r="L408" s="96">
        <f t="shared" si="195"/>
        <v>1</v>
      </c>
      <c r="M408" s="81">
        <v>974</v>
      </c>
      <c r="N408" s="8">
        <v>153</v>
      </c>
      <c r="O408" s="8">
        <v>60</v>
      </c>
      <c r="P408" s="96">
        <f t="shared" si="114"/>
        <v>0.84880174291938992</v>
      </c>
      <c r="Q408" s="59">
        <f t="shared" si="149"/>
        <v>974</v>
      </c>
      <c r="R408" s="252">
        <f t="shared" si="205"/>
        <v>984</v>
      </c>
      <c r="S408" s="263">
        <v>15</v>
      </c>
      <c r="T408" s="263">
        <v>3</v>
      </c>
      <c r="U408" s="263">
        <v>0</v>
      </c>
      <c r="V408" s="263">
        <v>0</v>
      </c>
      <c r="W408" s="263">
        <v>0</v>
      </c>
      <c r="X408" s="263">
        <v>1</v>
      </c>
      <c r="Y408" s="263">
        <v>0</v>
      </c>
      <c r="Z408" s="263">
        <v>1</v>
      </c>
      <c r="AA408" s="263">
        <v>2</v>
      </c>
      <c r="AB408" s="263">
        <v>7</v>
      </c>
      <c r="AC408" s="263">
        <v>0</v>
      </c>
      <c r="AD408" s="263">
        <v>3</v>
      </c>
      <c r="AE408" s="263"/>
      <c r="AF408" s="263"/>
      <c r="AG408" s="263"/>
      <c r="AH408" s="263"/>
      <c r="AI408" s="263"/>
      <c r="AJ408" s="259"/>
      <c r="AK408" s="263">
        <f t="shared" si="215"/>
        <v>3</v>
      </c>
      <c r="AL408" s="265">
        <f t="shared" si="206"/>
        <v>27</v>
      </c>
      <c r="AM408" s="6">
        <f t="shared" si="216"/>
        <v>3</v>
      </c>
      <c r="AN408" s="255">
        <f t="shared" si="207"/>
        <v>0.98983739837398377</v>
      </c>
      <c r="AO408" s="256">
        <f t="shared" si="208"/>
        <v>0.84017570894663196</v>
      </c>
      <c r="AP408" s="257">
        <f t="shared" si="209"/>
        <v>3048.7804878048782</v>
      </c>
      <c r="AQ408" s="263">
        <f t="shared" si="217"/>
        <v>3.5</v>
      </c>
      <c r="AR408" s="263">
        <f t="shared" si="218"/>
        <v>0</v>
      </c>
      <c r="AS408" s="263">
        <f t="shared" si="219"/>
        <v>0.30000000000000004</v>
      </c>
      <c r="AT408" s="263">
        <f t="shared" si="220"/>
        <v>3.8</v>
      </c>
      <c r="AU408" s="263"/>
      <c r="AV408" s="263"/>
      <c r="AW408" s="263"/>
      <c r="AX408" s="263">
        <f t="shared" si="221"/>
        <v>3.8</v>
      </c>
      <c r="BA408" s="282">
        <f t="shared" si="210"/>
        <v>381.96078431372547</v>
      </c>
      <c r="BB408">
        <v>1</v>
      </c>
      <c r="BC408">
        <f t="shared" si="222"/>
        <v>381.96078431372547</v>
      </c>
      <c r="BD408">
        <f t="shared" si="211"/>
        <v>450</v>
      </c>
      <c r="BE408">
        <f t="shared" si="212"/>
        <v>450</v>
      </c>
      <c r="BF408" s="281">
        <f t="shared" si="223"/>
        <v>0.84880174291938992</v>
      </c>
      <c r="BG408" s="282"/>
      <c r="BH408" s="283"/>
    </row>
    <row r="409" spans="1:60" x14ac:dyDescent="0.3">
      <c r="A409">
        <f t="shared" si="136"/>
        <v>406</v>
      </c>
      <c r="B409" s="241" t="s">
        <v>2499</v>
      </c>
      <c r="C409" s="294" t="s">
        <v>2511</v>
      </c>
      <c r="D409" s="14">
        <v>45845</v>
      </c>
      <c r="E409" s="7">
        <v>45</v>
      </c>
      <c r="F409" s="7"/>
      <c r="G409" s="66"/>
      <c r="H409" s="59"/>
      <c r="I409" s="59">
        <v>480</v>
      </c>
      <c r="J409" s="47">
        <f t="shared" si="213"/>
        <v>480</v>
      </c>
      <c r="K409" s="8">
        <f t="shared" si="214"/>
        <v>435</v>
      </c>
      <c r="L409" s="96">
        <f t="shared" si="195"/>
        <v>0.90625</v>
      </c>
      <c r="M409" s="81">
        <v>837</v>
      </c>
      <c r="N409" s="8">
        <v>153</v>
      </c>
      <c r="O409" s="8">
        <v>60</v>
      </c>
      <c r="P409" s="96">
        <f t="shared" si="114"/>
        <v>0.75456389452332662</v>
      </c>
      <c r="Q409" s="59">
        <f t="shared" si="149"/>
        <v>837</v>
      </c>
      <c r="R409" s="252">
        <f t="shared" si="205"/>
        <v>845</v>
      </c>
      <c r="S409" s="263">
        <v>8</v>
      </c>
      <c r="T409" s="263">
        <v>1</v>
      </c>
      <c r="U409" s="263">
        <v>1</v>
      </c>
      <c r="V409" s="263">
        <v>0</v>
      </c>
      <c r="W409" s="263">
        <v>0</v>
      </c>
      <c r="X409" s="263">
        <v>3</v>
      </c>
      <c r="Y409" s="263">
        <v>1</v>
      </c>
      <c r="Z409" s="263">
        <v>0</v>
      </c>
      <c r="AA409" s="263">
        <v>0</v>
      </c>
      <c r="AB409" s="263">
        <v>4</v>
      </c>
      <c r="AC409" s="263">
        <v>0</v>
      </c>
      <c r="AD409" s="263">
        <v>4</v>
      </c>
      <c r="AE409" s="263"/>
      <c r="AF409" s="263"/>
      <c r="AG409" s="263"/>
      <c r="AH409" s="263"/>
      <c r="AI409" s="263"/>
      <c r="AJ409" s="259"/>
      <c r="AK409" s="263">
        <f t="shared" si="215"/>
        <v>4</v>
      </c>
      <c r="AL409" s="265">
        <f t="shared" si="206"/>
        <v>28</v>
      </c>
      <c r="AM409" s="6">
        <f t="shared" si="216"/>
        <v>4</v>
      </c>
      <c r="AN409" s="255">
        <f t="shared" si="207"/>
        <v>0.9905325443786982</v>
      </c>
      <c r="AO409" s="256">
        <f t="shared" si="208"/>
        <v>0.67734946049425682</v>
      </c>
      <c r="AP409" s="257">
        <f t="shared" si="209"/>
        <v>4733.7278106508875</v>
      </c>
      <c r="AQ409" s="263">
        <f t="shared" si="217"/>
        <v>2</v>
      </c>
      <c r="AR409" s="263">
        <f t="shared" si="218"/>
        <v>0</v>
      </c>
      <c r="AS409" s="263">
        <f t="shared" si="219"/>
        <v>0.4</v>
      </c>
      <c r="AT409" s="263">
        <f t="shared" si="220"/>
        <v>2.4</v>
      </c>
      <c r="AU409" s="263"/>
      <c r="AV409" s="263"/>
      <c r="AW409" s="263"/>
      <c r="AX409" s="263">
        <f t="shared" si="221"/>
        <v>2.4</v>
      </c>
      <c r="BA409" s="282">
        <f t="shared" si="210"/>
        <v>328.23529411764707</v>
      </c>
      <c r="BB409">
        <v>1</v>
      </c>
      <c r="BC409">
        <f t="shared" si="222"/>
        <v>328.23529411764707</v>
      </c>
      <c r="BD409">
        <f t="shared" si="211"/>
        <v>435</v>
      </c>
      <c r="BE409">
        <f t="shared" si="212"/>
        <v>480</v>
      </c>
      <c r="BF409" s="281">
        <f t="shared" si="223"/>
        <v>0.68382352941176472</v>
      </c>
      <c r="BG409" s="282"/>
      <c r="BH409" s="283"/>
    </row>
    <row r="410" spans="1:60" x14ac:dyDescent="0.3">
      <c r="A410">
        <f t="shared" si="136"/>
        <v>407</v>
      </c>
      <c r="B410" s="241" t="s">
        <v>2499</v>
      </c>
      <c r="C410" s="294" t="s">
        <v>2512</v>
      </c>
      <c r="D410" s="14">
        <v>45845</v>
      </c>
      <c r="E410" s="7"/>
      <c r="F410" s="7"/>
      <c r="G410" s="66"/>
      <c r="H410" s="59"/>
      <c r="I410" s="59">
        <v>450</v>
      </c>
      <c r="J410" s="47">
        <f t="shared" si="213"/>
        <v>450</v>
      </c>
      <c r="K410" s="8">
        <f t="shared" si="214"/>
        <v>450</v>
      </c>
      <c r="L410" s="96">
        <f t="shared" si="195"/>
        <v>1</v>
      </c>
      <c r="M410" s="81">
        <v>1126</v>
      </c>
      <c r="N410" s="8">
        <v>153</v>
      </c>
      <c r="O410" s="8">
        <v>60</v>
      </c>
      <c r="P410" s="96">
        <f t="shared" si="114"/>
        <v>0.9812636165577342</v>
      </c>
      <c r="Q410" s="59">
        <f t="shared" si="149"/>
        <v>1126</v>
      </c>
      <c r="R410" s="252">
        <f t="shared" si="205"/>
        <v>1132</v>
      </c>
      <c r="S410" s="263">
        <v>4</v>
      </c>
      <c r="T410" s="263">
        <v>0</v>
      </c>
      <c r="U410" s="263">
        <v>0</v>
      </c>
      <c r="V410" s="263">
        <v>0</v>
      </c>
      <c r="W410" s="263">
        <v>0</v>
      </c>
      <c r="X410" s="263">
        <v>0</v>
      </c>
      <c r="Y410" s="263">
        <v>0</v>
      </c>
      <c r="Z410" s="263">
        <v>0</v>
      </c>
      <c r="AA410" s="263">
        <v>0</v>
      </c>
      <c r="AB410" s="263">
        <v>3</v>
      </c>
      <c r="AC410" s="263">
        <v>1</v>
      </c>
      <c r="AD410" s="263">
        <v>2</v>
      </c>
      <c r="AE410" s="263"/>
      <c r="AF410" s="263"/>
      <c r="AG410" s="263"/>
      <c r="AH410" s="263"/>
      <c r="AI410" s="263"/>
      <c r="AJ410" s="259"/>
      <c r="AK410" s="263">
        <f t="shared" si="215"/>
        <v>2</v>
      </c>
      <c r="AL410" s="265">
        <f t="shared" si="206"/>
        <v>28</v>
      </c>
      <c r="AM410" s="6">
        <f t="shared" si="216"/>
        <v>2</v>
      </c>
      <c r="AN410" s="255">
        <f t="shared" si="207"/>
        <v>0.9946996466431095</v>
      </c>
      <c r="AO410" s="256">
        <f t="shared" si="208"/>
        <v>0.97606257265371787</v>
      </c>
      <c r="AP410" s="257">
        <f t="shared" si="209"/>
        <v>1766.7844522968198</v>
      </c>
      <c r="AQ410" s="263">
        <f t="shared" si="217"/>
        <v>1.5</v>
      </c>
      <c r="AR410" s="263">
        <f t="shared" si="218"/>
        <v>0.2</v>
      </c>
      <c r="AS410" s="263">
        <f t="shared" si="219"/>
        <v>0.2</v>
      </c>
      <c r="AT410" s="263">
        <f t="shared" si="220"/>
        <v>1.9</v>
      </c>
      <c r="AU410" s="263"/>
      <c r="AV410" s="263"/>
      <c r="AW410" s="263"/>
      <c r="AX410" s="263">
        <f t="shared" si="221"/>
        <v>1.9</v>
      </c>
      <c r="BA410" s="282">
        <f t="shared" si="210"/>
        <v>441.56862745098039</v>
      </c>
      <c r="BB410">
        <v>1</v>
      </c>
      <c r="BC410">
        <f t="shared" si="222"/>
        <v>441.56862745098039</v>
      </c>
      <c r="BD410">
        <f t="shared" si="211"/>
        <v>450</v>
      </c>
      <c r="BE410">
        <f t="shared" si="212"/>
        <v>450</v>
      </c>
      <c r="BF410" s="281">
        <f t="shared" si="223"/>
        <v>0.9812636165577342</v>
      </c>
      <c r="BG410" s="282"/>
      <c r="BH410" s="283"/>
    </row>
    <row r="411" spans="1:60" x14ac:dyDescent="0.3">
      <c r="A411">
        <f t="shared" si="136"/>
        <v>408</v>
      </c>
      <c r="B411" s="241" t="s">
        <v>2499</v>
      </c>
      <c r="C411" s="294" t="s">
        <v>2513</v>
      </c>
      <c r="D411" s="14">
        <v>45845</v>
      </c>
      <c r="E411" s="7"/>
      <c r="F411" s="7"/>
      <c r="G411" s="66"/>
      <c r="H411" s="59"/>
      <c r="I411" s="59">
        <v>510</v>
      </c>
      <c r="J411" s="47">
        <f t="shared" si="213"/>
        <v>510</v>
      </c>
      <c r="K411" s="8">
        <f t="shared" si="214"/>
        <v>510</v>
      </c>
      <c r="L411" s="96">
        <f t="shared" si="195"/>
        <v>1</v>
      </c>
      <c r="M411" s="81">
        <v>1270</v>
      </c>
      <c r="N411" s="8">
        <v>153</v>
      </c>
      <c r="O411" s="8">
        <v>60</v>
      </c>
      <c r="P411" s="96">
        <f t="shared" si="114"/>
        <v>0.97654748173779315</v>
      </c>
      <c r="Q411" s="59">
        <f t="shared" si="149"/>
        <v>1270</v>
      </c>
      <c r="R411" s="252">
        <f t="shared" si="205"/>
        <v>1279</v>
      </c>
      <c r="S411" s="263">
        <v>2</v>
      </c>
      <c r="T411" s="263">
        <v>1</v>
      </c>
      <c r="U411" s="263">
        <v>0</v>
      </c>
      <c r="V411" s="263">
        <v>0</v>
      </c>
      <c r="W411" s="263">
        <v>2</v>
      </c>
      <c r="X411" s="263">
        <v>4</v>
      </c>
      <c r="Y411" s="263">
        <v>0</v>
      </c>
      <c r="Z411" s="263">
        <v>1</v>
      </c>
      <c r="AA411" s="263">
        <v>0</v>
      </c>
      <c r="AB411" s="263">
        <v>8</v>
      </c>
      <c r="AC411" s="263">
        <v>1</v>
      </c>
      <c r="AD411" s="263">
        <v>0</v>
      </c>
      <c r="AE411" s="263"/>
      <c r="AF411" s="263"/>
      <c r="AG411" s="263"/>
      <c r="AH411" s="263"/>
      <c r="AI411" s="263"/>
      <c r="AJ411" s="259"/>
      <c r="AK411" s="263">
        <f t="shared" si="215"/>
        <v>0</v>
      </c>
      <c r="AL411" s="265">
        <f t="shared" si="206"/>
        <v>28</v>
      </c>
      <c r="AM411" s="6">
        <f t="shared" si="216"/>
        <v>0</v>
      </c>
      <c r="AN411" s="255">
        <f t="shared" si="207"/>
        <v>0.99296325254104767</v>
      </c>
      <c r="AO411" s="256">
        <f t="shared" si="208"/>
        <v>0.96967576372712849</v>
      </c>
      <c r="AP411" s="257">
        <f t="shared" si="209"/>
        <v>0</v>
      </c>
      <c r="AQ411" s="263">
        <f t="shared" si="217"/>
        <v>4</v>
      </c>
      <c r="AR411" s="263">
        <f t="shared" si="218"/>
        <v>0.2</v>
      </c>
      <c r="AS411" s="263">
        <f t="shared" si="219"/>
        <v>0</v>
      </c>
      <c r="AT411" s="263">
        <f t="shared" si="220"/>
        <v>4.2</v>
      </c>
      <c r="AU411" s="263"/>
      <c r="AV411" s="263"/>
      <c r="AW411" s="263"/>
      <c r="AX411" s="263">
        <f t="shared" si="221"/>
        <v>4.2</v>
      </c>
      <c r="BA411" s="282">
        <f t="shared" si="210"/>
        <v>498.03921568627453</v>
      </c>
      <c r="BB411">
        <v>1</v>
      </c>
      <c r="BC411">
        <f t="shared" si="222"/>
        <v>498.03921568627453</v>
      </c>
      <c r="BD411">
        <f t="shared" si="211"/>
        <v>510</v>
      </c>
      <c r="BE411">
        <f t="shared" si="212"/>
        <v>510</v>
      </c>
      <c r="BF411" s="281">
        <f t="shared" si="223"/>
        <v>0.97654748173779315</v>
      </c>
      <c r="BG411" s="282"/>
      <c r="BH411" s="283"/>
    </row>
    <row r="412" spans="1:60" x14ac:dyDescent="0.3">
      <c r="A412">
        <f t="shared" si="136"/>
        <v>409</v>
      </c>
      <c r="B412" s="241" t="s">
        <v>2499</v>
      </c>
      <c r="C412" s="294" t="s">
        <v>2511</v>
      </c>
      <c r="D412" s="14">
        <v>45846</v>
      </c>
      <c r="E412" s="7">
        <v>45</v>
      </c>
      <c r="F412" s="7"/>
      <c r="G412" s="66"/>
      <c r="H412" s="59"/>
      <c r="I412" s="59">
        <v>480</v>
      </c>
      <c r="J412" s="47">
        <f t="shared" si="213"/>
        <v>480</v>
      </c>
      <c r="K412" s="8">
        <f t="shared" si="214"/>
        <v>435</v>
      </c>
      <c r="L412" s="96">
        <f t="shared" si="195"/>
        <v>0.90625</v>
      </c>
      <c r="M412" s="81">
        <v>1118</v>
      </c>
      <c r="N412" s="8">
        <v>153</v>
      </c>
      <c r="O412" s="8">
        <v>60</v>
      </c>
      <c r="P412" s="96">
        <f t="shared" si="114"/>
        <v>1.0078882127563669</v>
      </c>
      <c r="Q412" s="59">
        <f t="shared" si="149"/>
        <v>1118</v>
      </c>
      <c r="R412" s="252">
        <f t="shared" si="205"/>
        <v>1134</v>
      </c>
      <c r="S412" s="263">
        <v>4</v>
      </c>
      <c r="T412" s="263">
        <v>0</v>
      </c>
      <c r="U412" s="263">
        <v>0</v>
      </c>
      <c r="V412" s="263">
        <v>0</v>
      </c>
      <c r="W412" s="263">
        <v>0</v>
      </c>
      <c r="X412" s="263">
        <v>0</v>
      </c>
      <c r="Y412" s="263">
        <v>0</v>
      </c>
      <c r="Z412" s="263">
        <v>1</v>
      </c>
      <c r="AA412" s="263">
        <v>0</v>
      </c>
      <c r="AB412" s="263">
        <v>5</v>
      </c>
      <c r="AC412" s="263">
        <v>0</v>
      </c>
      <c r="AD412" s="263">
        <v>11</v>
      </c>
      <c r="AE412" s="263"/>
      <c r="AF412" s="263"/>
      <c r="AG412" s="263"/>
      <c r="AH412" s="263"/>
      <c r="AI412" s="263"/>
      <c r="AJ412" s="259"/>
      <c r="AK412" s="263">
        <f t="shared" si="215"/>
        <v>11</v>
      </c>
      <c r="AL412" s="265">
        <f t="shared" si="206"/>
        <v>28</v>
      </c>
      <c r="AM412" s="6">
        <f t="shared" si="216"/>
        <v>11</v>
      </c>
      <c r="AN412" s="255">
        <f t="shared" si="207"/>
        <v>0.98589065255731922</v>
      </c>
      <c r="AO412" s="256">
        <f t="shared" si="208"/>
        <v>0.90051123329990423</v>
      </c>
      <c r="AP412" s="257">
        <f t="shared" si="209"/>
        <v>9700.1763668430322</v>
      </c>
      <c r="AQ412" s="263">
        <f t="shared" si="217"/>
        <v>2.5</v>
      </c>
      <c r="AR412" s="263">
        <f t="shared" si="218"/>
        <v>0</v>
      </c>
      <c r="AS412" s="263">
        <f t="shared" si="219"/>
        <v>1.1000000000000001</v>
      </c>
      <c r="AT412" s="263">
        <f t="shared" si="220"/>
        <v>3.6</v>
      </c>
      <c r="AU412" s="263"/>
      <c r="AV412" s="263"/>
      <c r="AW412" s="263"/>
      <c r="AX412" s="263">
        <f t="shared" si="221"/>
        <v>3.6</v>
      </c>
      <c r="BA412" s="282">
        <f t="shared" si="210"/>
        <v>438.43137254901961</v>
      </c>
      <c r="BB412">
        <v>1</v>
      </c>
      <c r="BC412">
        <f t="shared" si="222"/>
        <v>438.43137254901961</v>
      </c>
      <c r="BD412">
        <f t="shared" si="211"/>
        <v>435</v>
      </c>
      <c r="BE412">
        <f t="shared" si="212"/>
        <v>480</v>
      </c>
      <c r="BF412" s="281">
        <f t="shared" si="223"/>
        <v>0.91339869281045749</v>
      </c>
      <c r="BG412" s="282"/>
      <c r="BH412" s="283"/>
    </row>
    <row r="413" spans="1:60" x14ac:dyDescent="0.3">
      <c r="A413">
        <f t="shared" si="136"/>
        <v>410</v>
      </c>
      <c r="B413" s="241" t="s">
        <v>2499</v>
      </c>
      <c r="C413" s="294" t="s">
        <v>2512</v>
      </c>
      <c r="D413" s="14">
        <v>45846</v>
      </c>
      <c r="E413" s="7"/>
      <c r="F413" s="7">
        <v>26</v>
      </c>
      <c r="G413" s="66"/>
      <c r="H413" s="59"/>
      <c r="I413" s="59">
        <v>450</v>
      </c>
      <c r="J413" s="47">
        <f t="shared" si="213"/>
        <v>450</v>
      </c>
      <c r="K413" s="8">
        <f t="shared" si="214"/>
        <v>424</v>
      </c>
      <c r="L413" s="96">
        <f t="shared" si="195"/>
        <v>0.94222222222222218</v>
      </c>
      <c r="M413" s="81">
        <v>985</v>
      </c>
      <c r="N413" s="8">
        <v>153</v>
      </c>
      <c r="O413" s="8">
        <v>60</v>
      </c>
      <c r="P413" s="96">
        <f t="shared" si="114"/>
        <v>0.91102478727339997</v>
      </c>
      <c r="Q413" s="59">
        <f t="shared" si="149"/>
        <v>985</v>
      </c>
      <c r="R413" s="252">
        <f t="shared" si="205"/>
        <v>1007</v>
      </c>
      <c r="S413" s="263">
        <v>3</v>
      </c>
      <c r="T413" s="263">
        <v>4</v>
      </c>
      <c r="U413" s="263">
        <v>0</v>
      </c>
      <c r="V413" s="263">
        <v>0</v>
      </c>
      <c r="W413" s="263">
        <v>0</v>
      </c>
      <c r="X413" s="263">
        <v>1</v>
      </c>
      <c r="Y413" s="263">
        <v>0</v>
      </c>
      <c r="Z413" s="263">
        <v>0</v>
      </c>
      <c r="AA413" s="263">
        <v>0</v>
      </c>
      <c r="AB413" s="263">
        <v>19</v>
      </c>
      <c r="AC413" s="263">
        <v>2</v>
      </c>
      <c r="AD413" s="263">
        <v>1</v>
      </c>
      <c r="AE413" s="263"/>
      <c r="AF413" s="263"/>
      <c r="AG413" s="263"/>
      <c r="AH413" s="263"/>
      <c r="AI413" s="263"/>
      <c r="AJ413" s="259"/>
      <c r="AK413" s="263">
        <f t="shared" si="215"/>
        <v>1</v>
      </c>
      <c r="AL413" s="265">
        <f t="shared" si="206"/>
        <v>28</v>
      </c>
      <c r="AM413" s="6">
        <f t="shared" si="216"/>
        <v>1</v>
      </c>
      <c r="AN413" s="255">
        <f t="shared" si="207"/>
        <v>0.97815292949354515</v>
      </c>
      <c r="AO413" s="256">
        <f t="shared" si="208"/>
        <v>0.83963454078530886</v>
      </c>
      <c r="AP413" s="257">
        <f t="shared" si="209"/>
        <v>993.04865938430976</v>
      </c>
      <c r="AQ413" s="263">
        <f t="shared" si="217"/>
        <v>9.5</v>
      </c>
      <c r="AR413" s="263">
        <f t="shared" si="218"/>
        <v>0.4</v>
      </c>
      <c r="AS413" s="263">
        <f t="shared" si="219"/>
        <v>0.1</v>
      </c>
      <c r="AT413" s="263">
        <f t="shared" si="220"/>
        <v>10</v>
      </c>
      <c r="AU413" s="263"/>
      <c r="AV413" s="263"/>
      <c r="AW413" s="263"/>
      <c r="AX413" s="263">
        <f t="shared" si="221"/>
        <v>10</v>
      </c>
      <c r="BA413" s="282">
        <f t="shared" si="210"/>
        <v>386.2745098039216</v>
      </c>
      <c r="BB413">
        <v>1</v>
      </c>
      <c r="BC413">
        <f t="shared" si="222"/>
        <v>386.2745098039216</v>
      </c>
      <c r="BD413">
        <f t="shared" si="211"/>
        <v>424</v>
      </c>
      <c r="BE413">
        <f t="shared" si="212"/>
        <v>450</v>
      </c>
      <c r="BF413" s="281">
        <f t="shared" si="223"/>
        <v>0.85838779956427025</v>
      </c>
      <c r="BG413" s="282"/>
      <c r="BH413" s="283"/>
    </row>
    <row r="414" spans="1:60" x14ac:dyDescent="0.3">
      <c r="A414">
        <f t="shared" si="136"/>
        <v>411</v>
      </c>
      <c r="B414" s="241" t="s">
        <v>2499</v>
      </c>
      <c r="C414" s="294" t="s">
        <v>2513</v>
      </c>
      <c r="D414" s="14">
        <v>45846</v>
      </c>
      <c r="E414" s="7"/>
      <c r="F414" s="7"/>
      <c r="G414" s="66"/>
      <c r="H414" s="59"/>
      <c r="I414" s="59">
        <v>510</v>
      </c>
      <c r="J414" s="47">
        <f t="shared" si="213"/>
        <v>510</v>
      </c>
      <c r="K414" s="8">
        <f t="shared" si="214"/>
        <v>510</v>
      </c>
      <c r="L414" s="96">
        <f t="shared" si="195"/>
        <v>1</v>
      </c>
      <c r="M414" s="81">
        <v>1213</v>
      </c>
      <c r="N414" s="8">
        <v>153</v>
      </c>
      <c r="O414" s="8">
        <v>60</v>
      </c>
      <c r="P414" s="96">
        <f t="shared" si="114"/>
        <v>0.93271818531334105</v>
      </c>
      <c r="Q414" s="59">
        <f t="shared" si="149"/>
        <v>1213</v>
      </c>
      <c r="R414" s="252">
        <f t="shared" si="205"/>
        <v>1246</v>
      </c>
      <c r="S414" s="263">
        <v>9</v>
      </c>
      <c r="T414" s="263">
        <v>0</v>
      </c>
      <c r="U414" s="263">
        <v>0</v>
      </c>
      <c r="V414" s="263">
        <v>0</v>
      </c>
      <c r="W414" s="263">
        <v>0</v>
      </c>
      <c r="X414" s="263">
        <v>0</v>
      </c>
      <c r="Y414" s="263">
        <v>0</v>
      </c>
      <c r="Z414" s="263">
        <v>0</v>
      </c>
      <c r="AA414" s="263">
        <v>0</v>
      </c>
      <c r="AB414" s="263">
        <v>31</v>
      </c>
      <c r="AC414" s="263">
        <v>1</v>
      </c>
      <c r="AD414" s="263">
        <v>1</v>
      </c>
      <c r="AE414" s="263"/>
      <c r="AF414" s="263"/>
      <c r="AG414" s="263"/>
      <c r="AH414" s="263"/>
      <c r="AI414" s="263"/>
      <c r="AJ414" s="259"/>
      <c r="AK414" s="263">
        <f t="shared" si="215"/>
        <v>1</v>
      </c>
      <c r="AL414" s="265">
        <f t="shared" si="206"/>
        <v>28</v>
      </c>
      <c r="AM414" s="6">
        <f t="shared" si="216"/>
        <v>1</v>
      </c>
      <c r="AN414" s="255">
        <f t="shared" si="207"/>
        <v>0.9735152487961477</v>
      </c>
      <c r="AO414" s="256">
        <f t="shared" si="208"/>
        <v>0.90801537623200856</v>
      </c>
      <c r="AP414" s="257">
        <f t="shared" si="209"/>
        <v>802.56821829855539</v>
      </c>
      <c r="AQ414" s="263">
        <f t="shared" si="217"/>
        <v>15.5</v>
      </c>
      <c r="AR414" s="263">
        <f t="shared" si="218"/>
        <v>0.2</v>
      </c>
      <c r="AS414" s="263">
        <f t="shared" si="219"/>
        <v>0.1</v>
      </c>
      <c r="AT414" s="263">
        <f t="shared" si="220"/>
        <v>15.799999999999999</v>
      </c>
      <c r="AU414" s="263"/>
      <c r="AV414" s="263"/>
      <c r="AW414" s="263"/>
      <c r="AX414" s="263">
        <f t="shared" si="221"/>
        <v>15.799999999999999</v>
      </c>
      <c r="BA414" s="282">
        <f t="shared" si="210"/>
        <v>475.68627450980392</v>
      </c>
      <c r="BB414">
        <v>1</v>
      </c>
      <c r="BC414">
        <f t="shared" si="222"/>
        <v>475.68627450980392</v>
      </c>
      <c r="BD414">
        <f t="shared" si="211"/>
        <v>510</v>
      </c>
      <c r="BE414">
        <f t="shared" si="212"/>
        <v>510</v>
      </c>
      <c r="BF414" s="281">
        <f t="shared" si="223"/>
        <v>0.93271818531334105</v>
      </c>
      <c r="BG414" s="282"/>
      <c r="BH414" s="283"/>
    </row>
    <row r="415" spans="1:60" x14ac:dyDescent="0.3">
      <c r="A415">
        <f t="shared" si="136"/>
        <v>412</v>
      </c>
      <c r="B415" s="241" t="s">
        <v>2499</v>
      </c>
      <c r="C415" s="294" t="s">
        <v>2511</v>
      </c>
      <c r="D415" s="14">
        <v>45847</v>
      </c>
      <c r="E415" s="7">
        <v>45</v>
      </c>
      <c r="F415" s="7"/>
      <c r="G415" s="66"/>
      <c r="H415" s="59"/>
      <c r="I415" s="59">
        <v>480</v>
      </c>
      <c r="J415" s="47">
        <f t="shared" si="213"/>
        <v>480</v>
      </c>
      <c r="K415" s="8">
        <f t="shared" si="214"/>
        <v>435</v>
      </c>
      <c r="L415" s="96">
        <f t="shared" si="195"/>
        <v>0.90625</v>
      </c>
      <c r="M415" s="81">
        <v>861</v>
      </c>
      <c r="N415" s="8">
        <v>153</v>
      </c>
      <c r="O415" s="8">
        <v>60</v>
      </c>
      <c r="P415" s="96">
        <f t="shared" si="114"/>
        <v>0.77620013522650444</v>
      </c>
      <c r="Q415" s="59">
        <f t="shared" si="149"/>
        <v>861</v>
      </c>
      <c r="R415" s="252">
        <f t="shared" si="205"/>
        <v>881</v>
      </c>
      <c r="S415" s="263">
        <v>8</v>
      </c>
      <c r="T415" s="263">
        <v>2</v>
      </c>
      <c r="U415" s="263">
        <v>0</v>
      </c>
      <c r="V415" s="263">
        <v>0</v>
      </c>
      <c r="W415" s="263">
        <v>0</v>
      </c>
      <c r="X415" s="263">
        <v>1</v>
      </c>
      <c r="Y415" s="263">
        <v>0</v>
      </c>
      <c r="Z415" s="263">
        <v>2</v>
      </c>
      <c r="AA415" s="263">
        <v>0</v>
      </c>
      <c r="AB415" s="263">
        <v>11</v>
      </c>
      <c r="AC415" s="263">
        <v>0</v>
      </c>
      <c r="AD415" s="263">
        <v>9</v>
      </c>
      <c r="AE415" s="263"/>
      <c r="AF415" s="263"/>
      <c r="AG415" s="263"/>
      <c r="AH415" s="263"/>
      <c r="AI415" s="263"/>
      <c r="AJ415" s="259"/>
      <c r="AK415" s="263">
        <f t="shared" si="215"/>
        <v>9</v>
      </c>
      <c r="AL415" s="265">
        <f t="shared" si="206"/>
        <v>28</v>
      </c>
      <c r="AM415" s="6">
        <f t="shared" si="216"/>
        <v>9</v>
      </c>
      <c r="AN415" s="255">
        <f t="shared" si="207"/>
        <v>0.97729852440408627</v>
      </c>
      <c r="AO415" s="256">
        <f t="shared" si="208"/>
        <v>0.68746244241169796</v>
      </c>
      <c r="AP415" s="257">
        <f t="shared" si="209"/>
        <v>10215.66401816118</v>
      </c>
      <c r="AQ415" s="263">
        <f t="shared" si="217"/>
        <v>5.5</v>
      </c>
      <c r="AR415" s="263">
        <f t="shared" si="218"/>
        <v>0</v>
      </c>
      <c r="AS415" s="263">
        <f t="shared" si="219"/>
        <v>0.9</v>
      </c>
      <c r="AT415" s="263">
        <f t="shared" si="220"/>
        <v>6.4</v>
      </c>
      <c r="AU415" s="263"/>
      <c r="AV415" s="263"/>
      <c r="AW415" s="263"/>
      <c r="AX415" s="263">
        <f t="shared" si="221"/>
        <v>6.4</v>
      </c>
      <c r="BA415" s="282">
        <f t="shared" si="210"/>
        <v>337.64705882352945</v>
      </c>
      <c r="BB415">
        <v>1</v>
      </c>
      <c r="BC415">
        <f t="shared" si="222"/>
        <v>337.64705882352945</v>
      </c>
      <c r="BD415">
        <f t="shared" si="211"/>
        <v>435</v>
      </c>
      <c r="BE415">
        <f t="shared" si="212"/>
        <v>480</v>
      </c>
      <c r="BF415" s="281">
        <f t="shared" si="223"/>
        <v>0.70343137254901966</v>
      </c>
      <c r="BG415" s="282"/>
      <c r="BH415" s="283"/>
    </row>
    <row r="416" spans="1:60" x14ac:dyDescent="0.3">
      <c r="A416">
        <f t="shared" si="136"/>
        <v>413</v>
      </c>
      <c r="B416" s="241" t="s">
        <v>2499</v>
      </c>
      <c r="C416" s="294" t="s">
        <v>2512</v>
      </c>
      <c r="D416" s="14">
        <v>45847</v>
      </c>
      <c r="E416" s="7"/>
      <c r="F416" s="7"/>
      <c r="G416" s="66"/>
      <c r="H416" s="59"/>
      <c r="I416" s="59">
        <v>450</v>
      </c>
      <c r="J416" s="47">
        <f t="shared" si="213"/>
        <v>450</v>
      </c>
      <c r="K416" s="8">
        <f t="shared" si="214"/>
        <v>450</v>
      </c>
      <c r="L416" s="96">
        <f t="shared" si="195"/>
        <v>1</v>
      </c>
      <c r="M416" s="81">
        <v>941</v>
      </c>
      <c r="N416" s="8">
        <v>153</v>
      </c>
      <c r="O416" s="8">
        <v>60</v>
      </c>
      <c r="P416" s="96">
        <f t="shared" si="114"/>
        <v>0.8200435729847495</v>
      </c>
      <c r="Q416" s="59">
        <f t="shared" si="149"/>
        <v>941</v>
      </c>
      <c r="R416" s="252">
        <f t="shared" si="205"/>
        <v>948</v>
      </c>
      <c r="S416" s="263">
        <v>2</v>
      </c>
      <c r="T416" s="263">
        <v>0</v>
      </c>
      <c r="U416" s="263">
        <v>0</v>
      </c>
      <c r="V416" s="263">
        <v>0</v>
      </c>
      <c r="W416" s="263">
        <v>0</v>
      </c>
      <c r="X416" s="263">
        <v>1</v>
      </c>
      <c r="Y416" s="263">
        <v>0</v>
      </c>
      <c r="Z416" s="263">
        <v>2</v>
      </c>
      <c r="AA416" s="263">
        <v>4</v>
      </c>
      <c r="AB416" s="263">
        <v>3</v>
      </c>
      <c r="AC416" s="263">
        <v>0</v>
      </c>
      <c r="AD416" s="263">
        <v>4</v>
      </c>
      <c r="AE416" s="263"/>
      <c r="AF416" s="263"/>
      <c r="AG416" s="263"/>
      <c r="AH416" s="263"/>
      <c r="AI416" s="263"/>
      <c r="AJ416" s="259"/>
      <c r="AK416" s="263">
        <f t="shared" si="215"/>
        <v>4</v>
      </c>
      <c r="AL416" s="265">
        <f t="shared" si="206"/>
        <v>28</v>
      </c>
      <c r="AM416" s="6">
        <f t="shared" si="216"/>
        <v>4</v>
      </c>
      <c r="AN416" s="255">
        <f t="shared" si="207"/>
        <v>0.9926160337552743</v>
      </c>
      <c r="AO416" s="256">
        <f t="shared" si="208"/>
        <v>0.81398839892262587</v>
      </c>
      <c r="AP416" s="257">
        <f t="shared" si="209"/>
        <v>4219.4092827004215</v>
      </c>
      <c r="AQ416" s="263">
        <f t="shared" si="217"/>
        <v>1.5</v>
      </c>
      <c r="AR416" s="263">
        <f t="shared" si="218"/>
        <v>0</v>
      </c>
      <c r="AS416" s="263">
        <f t="shared" si="219"/>
        <v>0.4</v>
      </c>
      <c r="AT416" s="263">
        <f t="shared" si="220"/>
        <v>1.9</v>
      </c>
      <c r="AU416" s="263"/>
      <c r="AV416" s="263"/>
      <c r="AW416" s="263"/>
      <c r="AX416" s="263">
        <f t="shared" si="221"/>
        <v>1.9</v>
      </c>
      <c r="BA416" s="282">
        <f t="shared" si="210"/>
        <v>369.01960784313729</v>
      </c>
      <c r="BB416">
        <v>1</v>
      </c>
      <c r="BC416">
        <f t="shared" si="222"/>
        <v>369.01960784313729</v>
      </c>
      <c r="BD416">
        <f t="shared" si="211"/>
        <v>450</v>
      </c>
      <c r="BE416">
        <f t="shared" si="212"/>
        <v>450</v>
      </c>
      <c r="BF416" s="281">
        <f t="shared" si="223"/>
        <v>0.8200435729847495</v>
      </c>
      <c r="BG416" s="282"/>
      <c r="BH416" s="283"/>
    </row>
    <row r="417" spans="1:60" x14ac:dyDescent="0.3">
      <c r="A417">
        <f t="shared" si="136"/>
        <v>414</v>
      </c>
      <c r="B417" s="241" t="s">
        <v>2499</v>
      </c>
      <c r="C417" s="294" t="s">
        <v>2513</v>
      </c>
      <c r="D417" s="14">
        <v>45847</v>
      </c>
      <c r="E417" s="7"/>
      <c r="F417" s="7"/>
      <c r="G417" s="66"/>
      <c r="H417" s="59"/>
      <c r="I417" s="59">
        <v>510</v>
      </c>
      <c r="J417" s="47">
        <f t="shared" si="213"/>
        <v>510</v>
      </c>
      <c r="K417" s="8">
        <f t="shared" si="214"/>
        <v>510</v>
      </c>
      <c r="L417" s="96">
        <f t="shared" si="195"/>
        <v>1</v>
      </c>
      <c r="M417" s="81">
        <v>1090</v>
      </c>
      <c r="N417" s="8">
        <v>153</v>
      </c>
      <c r="O417" s="8">
        <v>60</v>
      </c>
      <c r="P417" s="96">
        <f t="shared" si="114"/>
        <v>0.83813917723952325</v>
      </c>
      <c r="Q417" s="59">
        <f t="shared" si="149"/>
        <v>1090</v>
      </c>
      <c r="R417" s="252">
        <f t="shared" si="205"/>
        <v>1108</v>
      </c>
      <c r="S417" s="263">
        <v>4</v>
      </c>
      <c r="T417" s="263">
        <v>0</v>
      </c>
      <c r="U417" s="263">
        <v>0</v>
      </c>
      <c r="V417" s="263">
        <v>0</v>
      </c>
      <c r="W417" s="263">
        <v>0</v>
      </c>
      <c r="X417" s="263">
        <v>1</v>
      </c>
      <c r="Y417" s="263">
        <v>2</v>
      </c>
      <c r="Z417" s="263">
        <v>0</v>
      </c>
      <c r="AA417" s="263">
        <v>0</v>
      </c>
      <c r="AB417" s="263">
        <v>17</v>
      </c>
      <c r="AC417" s="263">
        <v>0</v>
      </c>
      <c r="AD417" s="263">
        <v>1</v>
      </c>
      <c r="AE417" s="263"/>
      <c r="AF417" s="263"/>
      <c r="AG417" s="263"/>
      <c r="AH417" s="263"/>
      <c r="AI417" s="263"/>
      <c r="AJ417" s="259"/>
      <c r="AK417" s="263">
        <f t="shared" si="215"/>
        <v>1</v>
      </c>
      <c r="AL417" s="265">
        <f t="shared" si="206"/>
        <v>28</v>
      </c>
      <c r="AM417" s="6">
        <f t="shared" si="216"/>
        <v>1</v>
      </c>
      <c r="AN417" s="255">
        <f t="shared" si="207"/>
        <v>0.98375451263537905</v>
      </c>
      <c r="AO417" s="256">
        <f t="shared" si="208"/>
        <v>0.82452319782588479</v>
      </c>
      <c r="AP417" s="257">
        <f t="shared" si="209"/>
        <v>902.52707581227435</v>
      </c>
      <c r="AQ417" s="263">
        <f t="shared" si="217"/>
        <v>8.5</v>
      </c>
      <c r="AR417" s="263">
        <f t="shared" si="218"/>
        <v>0</v>
      </c>
      <c r="AS417" s="263">
        <f t="shared" si="219"/>
        <v>0.1</v>
      </c>
      <c r="AT417" s="263">
        <f t="shared" si="220"/>
        <v>8.6</v>
      </c>
      <c r="AU417" s="263"/>
      <c r="AV417" s="263"/>
      <c r="AW417" s="263"/>
      <c r="AX417" s="263">
        <f t="shared" si="221"/>
        <v>8.6</v>
      </c>
      <c r="BA417" s="282">
        <f t="shared" si="210"/>
        <v>427.45098039215685</v>
      </c>
      <c r="BB417">
        <v>1</v>
      </c>
      <c r="BC417">
        <f t="shared" si="222"/>
        <v>427.45098039215685</v>
      </c>
      <c r="BD417">
        <f t="shared" si="211"/>
        <v>510</v>
      </c>
      <c r="BE417">
        <f t="shared" si="212"/>
        <v>510</v>
      </c>
      <c r="BF417" s="281">
        <f t="shared" si="223"/>
        <v>0.83813917723952325</v>
      </c>
      <c r="BG417" s="282"/>
      <c r="BH417" s="283"/>
    </row>
    <row r="418" spans="1:60" x14ac:dyDescent="0.3">
      <c r="A418">
        <f t="shared" si="136"/>
        <v>415</v>
      </c>
      <c r="B418" s="323" t="s">
        <v>2527</v>
      </c>
      <c r="C418" s="294" t="s">
        <v>2511</v>
      </c>
      <c r="D418" s="14">
        <v>45848</v>
      </c>
      <c r="E418" s="7">
        <v>45</v>
      </c>
      <c r="F418" s="7"/>
      <c r="G418" s="66"/>
      <c r="H418" s="59"/>
      <c r="I418" s="59">
        <v>480</v>
      </c>
      <c r="J418" s="47">
        <f t="shared" si="213"/>
        <v>480</v>
      </c>
      <c r="K418" s="8">
        <f t="shared" si="214"/>
        <v>435</v>
      </c>
      <c r="L418" s="96">
        <f t="shared" si="195"/>
        <v>0.90625</v>
      </c>
      <c r="M418" s="81">
        <v>357</v>
      </c>
      <c r="N418" s="8">
        <v>153</v>
      </c>
      <c r="O418" s="8">
        <v>60</v>
      </c>
      <c r="P418" s="96">
        <f t="shared" si="114"/>
        <v>0.32183908045977011</v>
      </c>
      <c r="Q418" s="59">
        <f t="shared" si="149"/>
        <v>357</v>
      </c>
      <c r="R418" s="252">
        <f t="shared" si="205"/>
        <v>370</v>
      </c>
      <c r="S418" s="263"/>
      <c r="T418" s="263"/>
      <c r="U418" s="263"/>
      <c r="V418" s="263"/>
      <c r="W418" s="263"/>
      <c r="X418" s="263"/>
      <c r="Y418" s="263"/>
      <c r="Z418" s="263"/>
      <c r="AA418" s="263"/>
      <c r="AB418" s="263"/>
      <c r="AC418" s="263"/>
      <c r="AD418" s="263">
        <v>13</v>
      </c>
      <c r="AE418" s="263"/>
      <c r="AF418" s="263"/>
      <c r="AG418" s="263"/>
      <c r="AH418" s="263"/>
      <c r="AI418" s="263"/>
      <c r="AJ418" s="259"/>
      <c r="AK418" s="263">
        <f t="shared" si="215"/>
        <v>13</v>
      </c>
      <c r="AL418" s="265">
        <f t="shared" si="206"/>
        <v>28</v>
      </c>
      <c r="AM418" s="6">
        <f t="shared" si="216"/>
        <v>13</v>
      </c>
      <c r="AN418" s="255">
        <f t="shared" si="207"/>
        <v>0.96486486486486489</v>
      </c>
      <c r="AO418" s="256">
        <f t="shared" si="208"/>
        <v>0.2814189189189189</v>
      </c>
      <c r="AP418" s="257">
        <f t="shared" si="209"/>
        <v>35135.13513513514</v>
      </c>
      <c r="AQ418" s="263">
        <f t="shared" si="217"/>
        <v>0</v>
      </c>
      <c r="AR418" s="263">
        <f t="shared" si="218"/>
        <v>0</v>
      </c>
      <c r="AS418" s="263">
        <f t="shared" si="219"/>
        <v>1.3</v>
      </c>
      <c r="AT418" s="263">
        <f t="shared" si="220"/>
        <v>1.3</v>
      </c>
      <c r="AU418" s="263"/>
      <c r="AV418" s="263"/>
      <c r="AW418" s="263"/>
      <c r="AX418" s="263">
        <f t="shared" si="221"/>
        <v>1.3</v>
      </c>
      <c r="BA418" s="282">
        <f t="shared" si="210"/>
        <v>140</v>
      </c>
      <c r="BB418">
        <v>1</v>
      </c>
      <c r="BC418">
        <f t="shared" si="222"/>
        <v>140</v>
      </c>
      <c r="BD418">
        <f t="shared" si="211"/>
        <v>435</v>
      </c>
      <c r="BE418">
        <f t="shared" si="212"/>
        <v>480</v>
      </c>
      <c r="BF418" s="281">
        <f t="shared" si="223"/>
        <v>0.29166666666666669</v>
      </c>
      <c r="BG418" s="282"/>
      <c r="BH418" s="283"/>
    </row>
    <row r="419" spans="1:60" x14ac:dyDescent="0.3">
      <c r="A419">
        <f t="shared" si="136"/>
        <v>416</v>
      </c>
      <c r="B419" s="241" t="s">
        <v>2499</v>
      </c>
      <c r="C419" s="294" t="s">
        <v>2512</v>
      </c>
      <c r="D419" s="14">
        <v>45848</v>
      </c>
      <c r="E419" s="7"/>
      <c r="F419" s="7"/>
      <c r="G419" s="66"/>
      <c r="H419" s="59"/>
      <c r="I419" s="59">
        <v>450</v>
      </c>
      <c r="J419" s="47">
        <f t="shared" si="213"/>
        <v>450</v>
      </c>
      <c r="K419" s="8">
        <f t="shared" si="214"/>
        <v>450</v>
      </c>
      <c r="L419" s="96">
        <f t="shared" si="195"/>
        <v>1</v>
      </c>
      <c r="M419" s="81">
        <f>226+665</f>
        <v>891</v>
      </c>
      <c r="N419" s="8">
        <v>153</v>
      </c>
      <c r="O419" s="8">
        <v>60</v>
      </c>
      <c r="P419" s="96">
        <f t="shared" si="114"/>
        <v>0.77647058823529402</v>
      </c>
      <c r="Q419" s="59">
        <f t="shared" si="149"/>
        <v>891</v>
      </c>
      <c r="R419" s="252">
        <f t="shared" si="205"/>
        <v>894</v>
      </c>
      <c r="S419" s="263"/>
      <c r="T419" s="263"/>
      <c r="U419" s="263"/>
      <c r="V419" s="263"/>
      <c r="W419" s="263"/>
      <c r="X419" s="263"/>
      <c r="Y419" s="263"/>
      <c r="Z419" s="263"/>
      <c r="AA419" s="263"/>
      <c r="AB419" s="263"/>
      <c r="AC419" s="263">
        <v>3</v>
      </c>
      <c r="AD419" s="263"/>
      <c r="AE419" s="263"/>
      <c r="AF419" s="263"/>
      <c r="AG419" s="263"/>
      <c r="AH419" s="263"/>
      <c r="AI419" s="263"/>
      <c r="AJ419" s="259"/>
      <c r="AK419" s="263">
        <f t="shared" si="215"/>
        <v>0</v>
      </c>
      <c r="AL419" s="265">
        <f t="shared" si="206"/>
        <v>28</v>
      </c>
      <c r="AM419" s="6">
        <f t="shared" si="216"/>
        <v>0</v>
      </c>
      <c r="AN419" s="255">
        <f t="shared" si="207"/>
        <v>0.99664429530201337</v>
      </c>
      <c r="AO419" s="256">
        <f t="shared" si="208"/>
        <v>0.77386498223450439</v>
      </c>
      <c r="AP419" s="257">
        <f t="shared" si="209"/>
        <v>0</v>
      </c>
      <c r="AQ419" s="263">
        <f t="shared" si="217"/>
        <v>0</v>
      </c>
      <c r="AR419" s="263">
        <f t="shared" si="218"/>
        <v>0.60000000000000009</v>
      </c>
      <c r="AS419" s="263">
        <f t="shared" si="219"/>
        <v>0</v>
      </c>
      <c r="AT419" s="263">
        <f t="shared" si="220"/>
        <v>0.60000000000000009</v>
      </c>
      <c r="AU419" s="263"/>
      <c r="AV419" s="263"/>
      <c r="AW419" s="263"/>
      <c r="AX419" s="263">
        <f t="shared" si="221"/>
        <v>0.60000000000000009</v>
      </c>
      <c r="BA419" s="282">
        <f t="shared" si="210"/>
        <v>349.41176470588232</v>
      </c>
      <c r="BB419">
        <v>1</v>
      </c>
      <c r="BC419">
        <f t="shared" si="222"/>
        <v>349.41176470588232</v>
      </c>
      <c r="BD419">
        <f t="shared" si="211"/>
        <v>450</v>
      </c>
      <c r="BE419">
        <f t="shared" si="212"/>
        <v>450</v>
      </c>
      <c r="BF419" s="281">
        <f t="shared" si="223"/>
        <v>0.77647058823529402</v>
      </c>
      <c r="BG419" s="282"/>
      <c r="BH419" s="283"/>
    </row>
    <row r="420" spans="1:60" x14ac:dyDescent="0.3">
      <c r="A420">
        <f t="shared" si="136"/>
        <v>417</v>
      </c>
      <c r="B420" s="334" t="s">
        <v>2598</v>
      </c>
      <c r="C420" s="294" t="s">
        <v>2513</v>
      </c>
      <c r="D420" s="14">
        <v>45848</v>
      </c>
      <c r="E420" s="7"/>
      <c r="F420" s="7"/>
      <c r="G420" s="66"/>
      <c r="H420" s="59"/>
      <c r="I420" s="59">
        <v>510</v>
      </c>
      <c r="J420" s="47">
        <f t="shared" si="213"/>
        <v>510</v>
      </c>
      <c r="K420" s="8">
        <f t="shared" si="214"/>
        <v>510</v>
      </c>
      <c r="L420" s="96">
        <f t="shared" si="195"/>
        <v>1</v>
      </c>
      <c r="M420" s="81">
        <v>582</v>
      </c>
      <c r="N420" s="8">
        <v>153</v>
      </c>
      <c r="O420" s="8">
        <v>60</v>
      </c>
      <c r="P420" s="96">
        <f t="shared" si="114"/>
        <v>0.44752018454440595</v>
      </c>
      <c r="Q420" s="59">
        <f t="shared" si="149"/>
        <v>582</v>
      </c>
      <c r="R420" s="252">
        <f t="shared" si="205"/>
        <v>646</v>
      </c>
      <c r="S420" s="263">
        <v>2</v>
      </c>
      <c r="T420" s="263">
        <v>1</v>
      </c>
      <c r="U420" s="263">
        <v>0</v>
      </c>
      <c r="V420" s="263">
        <v>0</v>
      </c>
      <c r="W420" s="263">
        <v>2</v>
      </c>
      <c r="X420" s="263">
        <v>0</v>
      </c>
      <c r="Y420" s="263">
        <v>1</v>
      </c>
      <c r="Z420" s="263">
        <v>0</v>
      </c>
      <c r="AA420" s="263">
        <v>0</v>
      </c>
      <c r="AB420" s="263">
        <v>61</v>
      </c>
      <c r="AC420" s="263">
        <v>2</v>
      </c>
      <c r="AD420" s="263">
        <v>1</v>
      </c>
      <c r="AE420" s="263"/>
      <c r="AF420" s="263"/>
      <c r="AG420" s="263"/>
      <c r="AH420" s="263"/>
      <c r="AI420" s="263"/>
      <c r="AJ420" s="259"/>
      <c r="AK420" s="263">
        <f t="shared" si="215"/>
        <v>1</v>
      </c>
      <c r="AL420" s="265">
        <f t="shared" si="206"/>
        <v>28</v>
      </c>
      <c r="AM420" s="6">
        <f t="shared" si="216"/>
        <v>1</v>
      </c>
      <c r="AN420" s="255">
        <f t="shared" si="207"/>
        <v>0.90092879256965941</v>
      </c>
      <c r="AO420" s="256">
        <f t="shared" si="208"/>
        <v>0.40318381951214283</v>
      </c>
      <c r="AP420" s="257">
        <f t="shared" si="209"/>
        <v>1547.9876160990714</v>
      </c>
      <c r="AQ420" s="263">
        <f t="shared" si="217"/>
        <v>30.5</v>
      </c>
      <c r="AR420" s="263">
        <f t="shared" si="218"/>
        <v>0.4</v>
      </c>
      <c r="AS420" s="263">
        <f t="shared" si="219"/>
        <v>0.1</v>
      </c>
      <c r="AT420" s="263">
        <f t="shared" si="220"/>
        <v>31</v>
      </c>
      <c r="AU420" s="263"/>
      <c r="AV420" s="263"/>
      <c r="AW420" s="263"/>
      <c r="AX420" s="263">
        <f t="shared" si="221"/>
        <v>31</v>
      </c>
      <c r="BA420" s="282">
        <f t="shared" si="210"/>
        <v>228.23529411764704</v>
      </c>
      <c r="BB420">
        <v>1</v>
      </c>
      <c r="BC420">
        <f t="shared" si="222"/>
        <v>228.23529411764704</v>
      </c>
      <c r="BD420">
        <f t="shared" si="211"/>
        <v>510</v>
      </c>
      <c r="BE420">
        <f t="shared" si="212"/>
        <v>510</v>
      </c>
      <c r="BF420" s="281">
        <f t="shared" si="223"/>
        <v>0.44752018454440595</v>
      </c>
      <c r="BG420" s="282"/>
      <c r="BH420" s="283"/>
    </row>
    <row r="421" spans="1:60" x14ac:dyDescent="0.3">
      <c r="A421">
        <f t="shared" si="136"/>
        <v>418</v>
      </c>
      <c r="B421" s="241" t="s">
        <v>2518</v>
      </c>
      <c r="C421" s="294" t="s">
        <v>2511</v>
      </c>
      <c r="D421" s="14">
        <v>45849</v>
      </c>
      <c r="E421" s="7">
        <v>45</v>
      </c>
      <c r="F421" s="7">
        <v>435</v>
      </c>
      <c r="G421" s="66"/>
      <c r="H421" s="59"/>
      <c r="I421" s="59">
        <v>480</v>
      </c>
      <c r="J421" s="47">
        <f t="shared" si="213"/>
        <v>480</v>
      </c>
      <c r="K421" s="8">
        <f t="shared" si="214"/>
        <v>0</v>
      </c>
      <c r="L421" s="96">
        <f t="shared" si="195"/>
        <v>0</v>
      </c>
      <c r="M421" s="81">
        <v>0</v>
      </c>
      <c r="N421" s="8">
        <v>153</v>
      </c>
      <c r="O421" s="8">
        <v>60</v>
      </c>
      <c r="P421" s="96" t="str">
        <f t="shared" si="114"/>
        <v/>
      </c>
      <c r="Q421" s="59">
        <f t="shared" si="149"/>
        <v>0</v>
      </c>
      <c r="R421" s="252">
        <f t="shared" si="205"/>
        <v>0</v>
      </c>
      <c r="S421" s="263"/>
      <c r="T421" s="263"/>
      <c r="U421" s="263"/>
      <c r="V421" s="263"/>
      <c r="W421" s="263"/>
      <c r="X421" s="263"/>
      <c r="Y421" s="263"/>
      <c r="Z421" s="263"/>
      <c r="AA421" s="263"/>
      <c r="AB421" s="263"/>
      <c r="AC421" s="263"/>
      <c r="AD421" s="263"/>
      <c r="AE421" s="263"/>
      <c r="AF421" s="263"/>
      <c r="AG421" s="263"/>
      <c r="AH421" s="263"/>
      <c r="AI421" s="263"/>
      <c r="AJ421" s="259"/>
      <c r="AK421" s="263">
        <f t="shared" si="215"/>
        <v>0</v>
      </c>
      <c r="AL421" s="265">
        <f t="shared" si="206"/>
        <v>28</v>
      </c>
      <c r="AM421" s="6">
        <f t="shared" si="216"/>
        <v>0</v>
      </c>
      <c r="AN421" s="255" t="str">
        <f t="shared" si="207"/>
        <v/>
      </c>
      <c r="AO421" s="256" t="str">
        <f t="shared" si="208"/>
        <v/>
      </c>
      <c r="AP421" s="257" t="str">
        <f t="shared" si="209"/>
        <v/>
      </c>
      <c r="AQ421" s="263">
        <f t="shared" si="217"/>
        <v>0</v>
      </c>
      <c r="AR421" s="263">
        <f t="shared" si="218"/>
        <v>0</v>
      </c>
      <c r="AS421" s="263">
        <f t="shared" si="219"/>
        <v>0</v>
      </c>
      <c r="AT421" s="263">
        <f t="shared" si="220"/>
        <v>0</v>
      </c>
      <c r="AU421" s="263"/>
      <c r="AV421" s="263"/>
      <c r="AW421" s="263"/>
      <c r="AX421" s="263">
        <f t="shared" si="221"/>
        <v>0</v>
      </c>
      <c r="BA421" s="282">
        <f t="shared" si="210"/>
        <v>0</v>
      </c>
      <c r="BB421">
        <v>1</v>
      </c>
      <c r="BC421">
        <f t="shared" si="222"/>
        <v>0</v>
      </c>
      <c r="BD421">
        <f t="shared" si="211"/>
        <v>0</v>
      </c>
      <c r="BE421">
        <f t="shared" si="212"/>
        <v>480</v>
      </c>
      <c r="BF421" s="281">
        <f t="shared" si="223"/>
        <v>0</v>
      </c>
      <c r="BG421" s="282"/>
      <c r="BH421" s="283"/>
    </row>
    <row r="422" spans="1:60" x14ac:dyDescent="0.3">
      <c r="A422">
        <f t="shared" si="136"/>
        <v>419</v>
      </c>
      <c r="B422" s="241" t="s">
        <v>2518</v>
      </c>
      <c r="C422" s="294" t="s">
        <v>2512</v>
      </c>
      <c r="D422" s="14">
        <v>45849</v>
      </c>
      <c r="E422" s="7"/>
      <c r="F422" s="7">
        <v>120</v>
      </c>
      <c r="G422" s="66"/>
      <c r="H422" s="59"/>
      <c r="I422" s="59">
        <v>450</v>
      </c>
      <c r="J422" s="47">
        <f t="shared" si="213"/>
        <v>450</v>
      </c>
      <c r="K422" s="8">
        <f t="shared" si="214"/>
        <v>330</v>
      </c>
      <c r="L422" s="96">
        <f t="shared" si="195"/>
        <v>0.73333333333333328</v>
      </c>
      <c r="M422" s="81">
        <v>684</v>
      </c>
      <c r="N422" s="8">
        <v>153</v>
      </c>
      <c r="O422" s="8">
        <v>60</v>
      </c>
      <c r="P422" s="96">
        <f t="shared" si="114"/>
        <v>0.81283422459893051</v>
      </c>
      <c r="Q422" s="59">
        <f t="shared" si="149"/>
        <v>684</v>
      </c>
      <c r="R422" s="252">
        <f t="shared" si="205"/>
        <v>706</v>
      </c>
      <c r="S422" s="263">
        <v>18</v>
      </c>
      <c r="T422" s="263">
        <v>1</v>
      </c>
      <c r="U422" s="263">
        <v>1</v>
      </c>
      <c r="V422" s="263">
        <v>0</v>
      </c>
      <c r="W422" s="263">
        <v>0</v>
      </c>
      <c r="X422" s="263">
        <v>12</v>
      </c>
      <c r="Y422" s="263">
        <v>8</v>
      </c>
      <c r="Z422" s="263">
        <v>1</v>
      </c>
      <c r="AA422" s="263">
        <v>0</v>
      </c>
      <c r="AB422" s="263">
        <v>12</v>
      </c>
      <c r="AC422" s="263">
        <v>0</v>
      </c>
      <c r="AD422" s="263">
        <v>10</v>
      </c>
      <c r="AE422" s="263"/>
      <c r="AF422" s="263"/>
      <c r="AG422" s="263"/>
      <c r="AH422" s="263"/>
      <c r="AI422" s="263"/>
      <c r="AJ422" s="259"/>
      <c r="AK422" s="263">
        <f t="shared" si="215"/>
        <v>10</v>
      </c>
      <c r="AL422" s="265">
        <f t="shared" si="206"/>
        <v>28</v>
      </c>
      <c r="AM422" s="6">
        <f t="shared" si="216"/>
        <v>10</v>
      </c>
      <c r="AN422" s="255">
        <f t="shared" si="207"/>
        <v>0.96883852691218131</v>
      </c>
      <c r="AO422" s="256">
        <f t="shared" si="208"/>
        <v>0.57750374937510418</v>
      </c>
      <c r="AP422" s="257">
        <f t="shared" si="209"/>
        <v>14164.305949008498</v>
      </c>
      <c r="AQ422" s="263">
        <f t="shared" si="217"/>
        <v>6</v>
      </c>
      <c r="AR422" s="263">
        <f t="shared" si="218"/>
        <v>0</v>
      </c>
      <c r="AS422" s="263">
        <f t="shared" si="219"/>
        <v>1</v>
      </c>
      <c r="AT422" s="263">
        <f t="shared" si="220"/>
        <v>7</v>
      </c>
      <c r="AU422" s="263"/>
      <c r="AV422" s="263"/>
      <c r="AW422" s="263"/>
      <c r="AX422" s="263">
        <f t="shared" si="221"/>
        <v>7</v>
      </c>
      <c r="BA422" s="282">
        <f t="shared" si="210"/>
        <v>268.23529411764707</v>
      </c>
      <c r="BB422">
        <v>1</v>
      </c>
      <c r="BC422">
        <f t="shared" si="222"/>
        <v>268.23529411764707</v>
      </c>
      <c r="BD422">
        <f t="shared" si="211"/>
        <v>330</v>
      </c>
      <c r="BE422">
        <f t="shared" si="212"/>
        <v>450</v>
      </c>
      <c r="BF422" s="281">
        <f t="shared" si="223"/>
        <v>0.59607843137254901</v>
      </c>
      <c r="BG422" s="282"/>
      <c r="BH422" s="283"/>
    </row>
    <row r="423" spans="1:60" x14ac:dyDescent="0.3">
      <c r="A423">
        <f t="shared" si="136"/>
        <v>420</v>
      </c>
      <c r="B423" s="241" t="s">
        <v>2518</v>
      </c>
      <c r="C423" s="294" t="s">
        <v>2513</v>
      </c>
      <c r="D423" s="14">
        <v>45849</v>
      </c>
      <c r="E423" s="7"/>
      <c r="F423" s="7"/>
      <c r="G423" s="66"/>
      <c r="H423" s="59"/>
      <c r="I423" s="59">
        <v>510</v>
      </c>
      <c r="J423" s="47">
        <f t="shared" si="213"/>
        <v>510</v>
      </c>
      <c r="K423" s="8">
        <f t="shared" si="214"/>
        <v>510</v>
      </c>
      <c r="L423" s="96">
        <f t="shared" si="195"/>
        <v>1</v>
      </c>
      <c r="M423" s="81">
        <v>1082</v>
      </c>
      <c r="N423" s="8">
        <v>153</v>
      </c>
      <c r="O423" s="8">
        <v>60</v>
      </c>
      <c r="P423" s="96">
        <f t="shared" si="114"/>
        <v>0.83198769703960018</v>
      </c>
      <c r="Q423" s="59">
        <f t="shared" si="149"/>
        <v>1082</v>
      </c>
      <c r="R423" s="252">
        <f t="shared" si="205"/>
        <v>1135</v>
      </c>
      <c r="S423" s="263">
        <v>77</v>
      </c>
      <c r="T423" s="263">
        <v>0</v>
      </c>
      <c r="U423" s="263">
        <v>0</v>
      </c>
      <c r="V423" s="263">
        <v>0</v>
      </c>
      <c r="W423" s="263">
        <v>2</v>
      </c>
      <c r="X423" s="263">
        <v>52</v>
      </c>
      <c r="Y423" s="263">
        <v>16</v>
      </c>
      <c r="Z423" s="263">
        <v>6</v>
      </c>
      <c r="AA423" s="263">
        <v>0</v>
      </c>
      <c r="AB423" s="263">
        <v>47</v>
      </c>
      <c r="AC423" s="263">
        <v>3</v>
      </c>
      <c r="AD423" s="263">
        <v>3</v>
      </c>
      <c r="AE423" s="263"/>
      <c r="AF423" s="263"/>
      <c r="AG423" s="263"/>
      <c r="AH423" s="263"/>
      <c r="AI423" s="263"/>
      <c r="AJ423" s="259"/>
      <c r="AK423" s="263">
        <f t="shared" si="215"/>
        <v>3</v>
      </c>
      <c r="AL423" s="265">
        <f t="shared" si="206"/>
        <v>28</v>
      </c>
      <c r="AM423" s="6">
        <f t="shared" si="216"/>
        <v>3</v>
      </c>
      <c r="AN423" s="255">
        <f t="shared" si="207"/>
        <v>0.95330396475770929</v>
      </c>
      <c r="AO423" s="256">
        <f t="shared" si="208"/>
        <v>0.79313717021748675</v>
      </c>
      <c r="AP423" s="257">
        <f t="shared" si="209"/>
        <v>2643.171806167401</v>
      </c>
      <c r="AQ423" s="263">
        <f t="shared" si="217"/>
        <v>23.5</v>
      </c>
      <c r="AR423" s="263">
        <f t="shared" si="218"/>
        <v>0.60000000000000009</v>
      </c>
      <c r="AS423" s="263">
        <f t="shared" si="219"/>
        <v>0.30000000000000004</v>
      </c>
      <c r="AT423" s="263">
        <f t="shared" si="220"/>
        <v>24.400000000000002</v>
      </c>
      <c r="AU423" s="263"/>
      <c r="AV423" s="263"/>
      <c r="AW423" s="263"/>
      <c r="AX423" s="263">
        <f t="shared" si="221"/>
        <v>24.400000000000002</v>
      </c>
      <c r="BA423" s="282">
        <f t="shared" si="210"/>
        <v>424.31372549019608</v>
      </c>
      <c r="BB423">
        <v>1</v>
      </c>
      <c r="BC423">
        <f t="shared" si="222"/>
        <v>424.31372549019608</v>
      </c>
      <c r="BD423">
        <f t="shared" si="211"/>
        <v>510</v>
      </c>
      <c r="BE423">
        <f t="shared" si="212"/>
        <v>510</v>
      </c>
      <c r="BF423" s="281">
        <f t="shared" si="223"/>
        <v>0.83198769703960018</v>
      </c>
      <c r="BG423" s="282"/>
      <c r="BH423" s="283"/>
    </row>
    <row r="424" spans="1:60" x14ac:dyDescent="0.3">
      <c r="A424">
        <f t="shared" si="136"/>
        <v>421</v>
      </c>
      <c r="B424" s="241" t="s">
        <v>2518</v>
      </c>
      <c r="C424" s="294" t="s">
        <v>2511</v>
      </c>
      <c r="D424" s="14">
        <v>45850</v>
      </c>
      <c r="E424" s="7"/>
      <c r="F424" s="7">
        <v>60</v>
      </c>
      <c r="G424" s="66"/>
      <c r="H424" s="59"/>
      <c r="I424" s="59">
        <v>480</v>
      </c>
      <c r="J424" s="47">
        <f t="shared" si="213"/>
        <v>480</v>
      </c>
      <c r="K424" s="8">
        <f t="shared" si="214"/>
        <v>420</v>
      </c>
      <c r="L424" s="96">
        <f t="shared" si="195"/>
        <v>0.875</v>
      </c>
      <c r="M424" s="81">
        <v>956</v>
      </c>
      <c r="N424" s="8">
        <v>153</v>
      </c>
      <c r="O424" s="8">
        <v>60</v>
      </c>
      <c r="P424" s="96">
        <f t="shared" si="114"/>
        <v>0.89262371615312786</v>
      </c>
      <c r="Q424" s="59">
        <f t="shared" si="149"/>
        <v>956</v>
      </c>
      <c r="R424" s="252">
        <f t="shared" si="205"/>
        <v>961</v>
      </c>
      <c r="S424" s="263">
        <v>38</v>
      </c>
      <c r="T424" s="263">
        <v>2</v>
      </c>
      <c r="U424" s="263">
        <v>1</v>
      </c>
      <c r="V424" s="263">
        <v>0</v>
      </c>
      <c r="W424" s="263">
        <v>0</v>
      </c>
      <c r="X424" s="263">
        <v>26</v>
      </c>
      <c r="Y424" s="263">
        <v>10</v>
      </c>
      <c r="Z424" s="263">
        <v>0</v>
      </c>
      <c r="AA424" s="263">
        <v>0</v>
      </c>
      <c r="AB424" s="263">
        <v>3</v>
      </c>
      <c r="AC424" s="263">
        <v>1</v>
      </c>
      <c r="AD424" s="263">
        <v>1</v>
      </c>
      <c r="AE424" s="263"/>
      <c r="AF424" s="263"/>
      <c r="AG424" s="263"/>
      <c r="AH424" s="263"/>
      <c r="AI424" s="263"/>
      <c r="AJ424" s="259"/>
      <c r="AK424" s="263">
        <f t="shared" si="215"/>
        <v>1</v>
      </c>
      <c r="AL424" s="265">
        <f t="shared" si="206"/>
        <v>28</v>
      </c>
      <c r="AM424" s="6">
        <f t="shared" si="216"/>
        <v>1</v>
      </c>
      <c r="AN424" s="255">
        <f t="shared" si="207"/>
        <v>0.99479708636836628</v>
      </c>
      <c r="AO424" s="256">
        <f t="shared" si="208"/>
        <v>0.77698203804588084</v>
      </c>
      <c r="AP424" s="257">
        <f t="shared" si="209"/>
        <v>1040.5827263267431</v>
      </c>
      <c r="AQ424" s="263">
        <f t="shared" si="217"/>
        <v>1.5</v>
      </c>
      <c r="AR424" s="263">
        <f t="shared" si="218"/>
        <v>0.2</v>
      </c>
      <c r="AS424" s="263">
        <f t="shared" si="219"/>
        <v>0.1</v>
      </c>
      <c r="AT424" s="263">
        <f t="shared" si="220"/>
        <v>1.8</v>
      </c>
      <c r="AU424" s="263"/>
      <c r="AV424" s="263"/>
      <c r="AW424" s="263"/>
      <c r="AX424" s="263">
        <f t="shared" si="221"/>
        <v>1.8</v>
      </c>
      <c r="BA424" s="282">
        <f t="shared" si="210"/>
        <v>374.9019607843137</v>
      </c>
      <c r="BB424">
        <v>1</v>
      </c>
      <c r="BC424">
        <f t="shared" si="222"/>
        <v>374.9019607843137</v>
      </c>
      <c r="BD424">
        <f t="shared" si="211"/>
        <v>420</v>
      </c>
      <c r="BE424">
        <f t="shared" si="212"/>
        <v>480</v>
      </c>
      <c r="BF424" s="281">
        <f t="shared" si="223"/>
        <v>0.78104575163398693</v>
      </c>
      <c r="BG424" s="282"/>
      <c r="BH424" s="283"/>
    </row>
    <row r="425" spans="1:60" x14ac:dyDescent="0.3">
      <c r="A425">
        <f t="shared" si="136"/>
        <v>422</v>
      </c>
      <c r="B425" s="241" t="s">
        <v>2518</v>
      </c>
      <c r="C425" s="294" t="s">
        <v>2512</v>
      </c>
      <c r="D425" s="14">
        <v>45850</v>
      </c>
      <c r="E425" s="7"/>
      <c r="F425" s="7">
        <v>60</v>
      </c>
      <c r="G425" s="66"/>
      <c r="H425" s="59"/>
      <c r="I425" s="59">
        <v>450</v>
      </c>
      <c r="J425" s="47">
        <f t="shared" si="213"/>
        <v>450</v>
      </c>
      <c r="K425" s="8">
        <f t="shared" si="214"/>
        <v>390</v>
      </c>
      <c r="L425" s="96">
        <f t="shared" si="195"/>
        <v>0.8666666666666667</v>
      </c>
      <c r="M425" s="81">
        <v>921</v>
      </c>
      <c r="N425" s="8">
        <v>153</v>
      </c>
      <c r="O425" s="8">
        <v>60</v>
      </c>
      <c r="P425" s="96">
        <f t="shared" si="114"/>
        <v>0.92609351432880849</v>
      </c>
      <c r="Q425" s="59">
        <f t="shared" si="149"/>
        <v>921</v>
      </c>
      <c r="R425" s="252">
        <f t="shared" si="205"/>
        <v>935</v>
      </c>
      <c r="S425" s="263">
        <v>26</v>
      </c>
      <c r="T425" s="263">
        <v>0</v>
      </c>
      <c r="U425" s="263">
        <v>1</v>
      </c>
      <c r="V425" s="263">
        <v>0</v>
      </c>
      <c r="W425" s="263">
        <v>0</v>
      </c>
      <c r="X425" s="263">
        <v>8</v>
      </c>
      <c r="Y425" s="263">
        <v>3</v>
      </c>
      <c r="Z425" s="263">
        <v>2</v>
      </c>
      <c r="AA425" s="263">
        <v>1</v>
      </c>
      <c r="AB425" s="263">
        <v>1</v>
      </c>
      <c r="AC425" s="263">
        <v>10</v>
      </c>
      <c r="AD425" s="263">
        <v>3</v>
      </c>
      <c r="AE425" s="263"/>
      <c r="AF425" s="263"/>
      <c r="AG425" s="263"/>
      <c r="AH425" s="263"/>
      <c r="AI425" s="263"/>
      <c r="AJ425" s="259"/>
      <c r="AK425" s="263">
        <f t="shared" si="215"/>
        <v>3</v>
      </c>
      <c r="AL425" s="265">
        <f t="shared" si="206"/>
        <v>28</v>
      </c>
      <c r="AM425" s="6">
        <f t="shared" si="216"/>
        <v>3</v>
      </c>
      <c r="AN425" s="255">
        <f t="shared" si="207"/>
        <v>0.9850267379679144</v>
      </c>
      <c r="AO425" s="256">
        <f t="shared" si="208"/>
        <v>0.79059662367620853</v>
      </c>
      <c r="AP425" s="257">
        <f t="shared" si="209"/>
        <v>3208.5561497326203</v>
      </c>
      <c r="AQ425" s="263">
        <f t="shared" si="217"/>
        <v>0.5</v>
      </c>
      <c r="AR425" s="263">
        <f t="shared" si="218"/>
        <v>2</v>
      </c>
      <c r="AS425" s="263">
        <f t="shared" si="219"/>
        <v>0.30000000000000004</v>
      </c>
      <c r="AT425" s="263">
        <f t="shared" si="220"/>
        <v>2.8</v>
      </c>
      <c r="AU425" s="263"/>
      <c r="AV425" s="263"/>
      <c r="AW425" s="263"/>
      <c r="AX425" s="263">
        <f t="shared" si="221"/>
        <v>2.8</v>
      </c>
      <c r="BA425" s="282">
        <f t="shared" si="210"/>
        <v>361.1764705882353</v>
      </c>
      <c r="BB425">
        <v>1</v>
      </c>
      <c r="BC425">
        <f t="shared" si="222"/>
        <v>361.1764705882353</v>
      </c>
      <c r="BD425">
        <f t="shared" si="211"/>
        <v>390</v>
      </c>
      <c r="BE425">
        <f t="shared" si="212"/>
        <v>450</v>
      </c>
      <c r="BF425" s="281">
        <f t="shared" si="223"/>
        <v>0.80261437908496736</v>
      </c>
      <c r="BG425" s="282"/>
      <c r="BH425" s="283"/>
    </row>
    <row r="426" spans="1:60" x14ac:dyDescent="0.3">
      <c r="A426">
        <f t="shared" si="136"/>
        <v>423</v>
      </c>
      <c r="B426" s="241" t="s">
        <v>2515</v>
      </c>
      <c r="C426" s="294" t="s">
        <v>2511</v>
      </c>
      <c r="D426" s="14">
        <v>45852</v>
      </c>
      <c r="E426" s="7">
        <v>300</v>
      </c>
      <c r="F426" s="7"/>
      <c r="G426" s="66"/>
      <c r="H426" s="59"/>
      <c r="I426" s="59">
        <v>480</v>
      </c>
      <c r="J426" s="47">
        <f t="shared" si="213"/>
        <v>480</v>
      </c>
      <c r="K426" s="8">
        <f t="shared" si="214"/>
        <v>180</v>
      </c>
      <c r="L426" s="96">
        <f t="shared" si="195"/>
        <v>0.375</v>
      </c>
      <c r="M426" s="81">
        <v>480</v>
      </c>
      <c r="N426" s="8">
        <v>153</v>
      </c>
      <c r="O426" s="8">
        <v>60</v>
      </c>
      <c r="P426" s="96">
        <f t="shared" si="114"/>
        <v>1.0457516339869279</v>
      </c>
      <c r="Q426" s="59">
        <f t="shared" si="149"/>
        <v>480</v>
      </c>
      <c r="R426" s="252">
        <f t="shared" si="205"/>
        <v>495</v>
      </c>
      <c r="S426" s="263">
        <v>23</v>
      </c>
      <c r="T426" s="263">
        <v>1</v>
      </c>
      <c r="U426" s="263">
        <v>0</v>
      </c>
      <c r="V426" s="263">
        <v>0</v>
      </c>
      <c r="W426" s="263">
        <v>0</v>
      </c>
      <c r="X426" s="263">
        <v>19</v>
      </c>
      <c r="Y426" s="263">
        <v>2</v>
      </c>
      <c r="Z426" s="263">
        <v>1</v>
      </c>
      <c r="AA426" s="263">
        <v>0</v>
      </c>
      <c r="AB426" s="263">
        <v>5</v>
      </c>
      <c r="AC426" s="263">
        <v>3</v>
      </c>
      <c r="AD426" s="263">
        <v>7</v>
      </c>
      <c r="AE426" s="263"/>
      <c r="AF426" s="263"/>
      <c r="AG426" s="263"/>
      <c r="AH426" s="263"/>
      <c r="AI426" s="263"/>
      <c r="AJ426" s="259"/>
      <c r="AK426" s="263">
        <f t="shared" si="215"/>
        <v>7</v>
      </c>
      <c r="AL426" s="265">
        <f t="shared" si="206"/>
        <v>29</v>
      </c>
      <c r="AM426" s="6">
        <f t="shared" si="216"/>
        <v>7</v>
      </c>
      <c r="AN426" s="255">
        <f t="shared" si="207"/>
        <v>0.96969696969696972</v>
      </c>
      <c r="AO426" s="256">
        <f t="shared" si="208"/>
        <v>0.38027332144979198</v>
      </c>
      <c r="AP426" s="257">
        <f t="shared" si="209"/>
        <v>14141.414141414143</v>
      </c>
      <c r="AQ426" s="263">
        <f t="shared" si="217"/>
        <v>2.5</v>
      </c>
      <c r="AR426" s="263">
        <f t="shared" si="218"/>
        <v>0.60000000000000009</v>
      </c>
      <c r="AS426" s="263">
        <f t="shared" si="219"/>
        <v>0.70000000000000007</v>
      </c>
      <c r="AT426" s="263">
        <f t="shared" si="220"/>
        <v>3.8000000000000003</v>
      </c>
      <c r="AU426" s="263"/>
      <c r="AV426" s="263"/>
      <c r="AW426" s="263"/>
      <c r="AX426" s="263">
        <f t="shared" si="221"/>
        <v>3.8000000000000003</v>
      </c>
      <c r="BA426" s="282">
        <f t="shared" si="210"/>
        <v>188.23529411764704</v>
      </c>
      <c r="BB426">
        <v>1</v>
      </c>
      <c r="BC426">
        <f t="shared" si="222"/>
        <v>188.23529411764704</v>
      </c>
      <c r="BD426">
        <f t="shared" si="211"/>
        <v>180</v>
      </c>
      <c r="BE426">
        <f t="shared" si="212"/>
        <v>480</v>
      </c>
      <c r="BF426" s="281">
        <f t="shared" si="223"/>
        <v>0.39215686274509803</v>
      </c>
      <c r="BG426" s="282"/>
      <c r="BH426" s="283"/>
    </row>
    <row r="427" spans="1:60" x14ac:dyDescent="0.3">
      <c r="A427">
        <f t="shared" si="136"/>
        <v>424</v>
      </c>
      <c r="B427" s="241" t="s">
        <v>2515</v>
      </c>
      <c r="C427" s="294" t="s">
        <v>2512</v>
      </c>
      <c r="D427" s="14">
        <v>45852</v>
      </c>
      <c r="E427" s="7"/>
      <c r="F427" s="7"/>
      <c r="G427" s="66"/>
      <c r="H427" s="59"/>
      <c r="I427" s="59">
        <v>450</v>
      </c>
      <c r="J427" s="47">
        <f t="shared" si="213"/>
        <v>450</v>
      </c>
      <c r="K427" s="8">
        <f t="shared" si="214"/>
        <v>450</v>
      </c>
      <c r="L427" s="96">
        <f t="shared" si="195"/>
        <v>1</v>
      </c>
      <c r="M427" s="81">
        <v>933</v>
      </c>
      <c r="N427" s="8">
        <v>153</v>
      </c>
      <c r="O427" s="8">
        <v>60</v>
      </c>
      <c r="P427" s="96">
        <f t="shared" si="114"/>
        <v>0.8130718954248366</v>
      </c>
      <c r="Q427" s="59">
        <f t="shared" si="149"/>
        <v>933</v>
      </c>
      <c r="R427" s="252">
        <f t="shared" si="205"/>
        <v>967</v>
      </c>
      <c r="S427" s="263">
        <v>35</v>
      </c>
      <c r="T427" s="263">
        <v>3</v>
      </c>
      <c r="U427" s="263">
        <v>0</v>
      </c>
      <c r="V427" s="263">
        <v>0</v>
      </c>
      <c r="W427" s="263">
        <v>2</v>
      </c>
      <c r="X427" s="263">
        <v>8</v>
      </c>
      <c r="Y427" s="263">
        <v>7</v>
      </c>
      <c r="Z427" s="263">
        <v>0</v>
      </c>
      <c r="AA427" s="263">
        <v>1</v>
      </c>
      <c r="AB427" s="263">
        <v>23</v>
      </c>
      <c r="AC427" s="263">
        <v>1</v>
      </c>
      <c r="AD427" s="263">
        <v>10</v>
      </c>
      <c r="AE427" s="263"/>
      <c r="AF427" s="263"/>
      <c r="AG427" s="263"/>
      <c r="AH427" s="263"/>
      <c r="AI427" s="263"/>
      <c r="AJ427" s="259"/>
      <c r="AK427" s="263">
        <f t="shared" si="215"/>
        <v>10</v>
      </c>
      <c r="AL427" s="265">
        <f t="shared" si="206"/>
        <v>29</v>
      </c>
      <c r="AM427" s="6">
        <f t="shared" si="216"/>
        <v>10</v>
      </c>
      <c r="AN427" s="255">
        <f t="shared" si="207"/>
        <v>0.9648397104446742</v>
      </c>
      <c r="AO427" s="256">
        <f t="shared" si="208"/>
        <v>0.7844840521524018</v>
      </c>
      <c r="AP427" s="257">
        <f t="shared" si="209"/>
        <v>10341.261633919337</v>
      </c>
      <c r="AQ427" s="263">
        <f t="shared" si="217"/>
        <v>11.5</v>
      </c>
      <c r="AR427" s="263">
        <f t="shared" si="218"/>
        <v>0.2</v>
      </c>
      <c r="AS427" s="263">
        <f t="shared" si="219"/>
        <v>1</v>
      </c>
      <c r="AT427" s="263">
        <f t="shared" si="220"/>
        <v>12.7</v>
      </c>
      <c r="AU427" s="263"/>
      <c r="AV427" s="263"/>
      <c r="AW427" s="263"/>
      <c r="AX427" s="263">
        <f t="shared" si="221"/>
        <v>12.7</v>
      </c>
      <c r="BA427" s="282">
        <f t="shared" si="210"/>
        <v>365.88235294117646</v>
      </c>
      <c r="BB427">
        <v>1</v>
      </c>
      <c r="BC427">
        <f t="shared" si="222"/>
        <v>365.88235294117646</v>
      </c>
      <c r="BD427">
        <f t="shared" si="211"/>
        <v>450</v>
      </c>
      <c r="BE427">
        <f t="shared" si="212"/>
        <v>450</v>
      </c>
      <c r="BF427" s="281">
        <f t="shared" si="223"/>
        <v>0.8130718954248366</v>
      </c>
      <c r="BG427" s="282"/>
      <c r="BH427" s="283"/>
    </row>
    <row r="428" spans="1:60" x14ac:dyDescent="0.3">
      <c r="A428">
        <f t="shared" si="136"/>
        <v>425</v>
      </c>
      <c r="B428" s="327" t="s">
        <v>2600</v>
      </c>
      <c r="C428" s="294" t="s">
        <v>2513</v>
      </c>
      <c r="D428" s="14">
        <v>45852</v>
      </c>
      <c r="E428" s="7">
        <v>240</v>
      </c>
      <c r="F428" s="7">
        <v>150</v>
      </c>
      <c r="G428" s="66"/>
      <c r="H428" s="59"/>
      <c r="I428" s="59">
        <v>510</v>
      </c>
      <c r="J428" s="47">
        <f t="shared" si="213"/>
        <v>510</v>
      </c>
      <c r="K428" s="8">
        <f t="shared" si="214"/>
        <v>120</v>
      </c>
      <c r="L428" s="96">
        <f t="shared" si="195"/>
        <v>0.23529411764705882</v>
      </c>
      <c r="M428" s="81">
        <v>241</v>
      </c>
      <c r="N428" s="8">
        <v>153</v>
      </c>
      <c r="O428" s="8">
        <v>60</v>
      </c>
      <c r="P428" s="96">
        <f t="shared" si="114"/>
        <v>0.78758169934640521</v>
      </c>
      <c r="Q428" s="59">
        <f t="shared" si="149"/>
        <v>241</v>
      </c>
      <c r="R428" s="252">
        <f t="shared" si="205"/>
        <v>267</v>
      </c>
      <c r="S428" s="263">
        <v>1</v>
      </c>
      <c r="T428" s="263">
        <v>1</v>
      </c>
      <c r="U428" s="263">
        <v>0</v>
      </c>
      <c r="V428" s="263">
        <v>0</v>
      </c>
      <c r="W428" s="263">
        <v>0</v>
      </c>
      <c r="X428" s="263">
        <v>4</v>
      </c>
      <c r="Y428" s="263">
        <v>1</v>
      </c>
      <c r="Z428" s="263">
        <v>0</v>
      </c>
      <c r="AA428" s="263">
        <v>0</v>
      </c>
      <c r="AB428" s="263">
        <v>1</v>
      </c>
      <c r="AC428" s="263">
        <v>0</v>
      </c>
      <c r="AD428" s="263">
        <v>25</v>
      </c>
      <c r="AE428" s="263"/>
      <c r="AF428" s="263"/>
      <c r="AG428" s="263"/>
      <c r="AH428" s="263"/>
      <c r="AI428" s="263"/>
      <c r="AJ428" s="259"/>
      <c r="AK428" s="263">
        <f t="shared" si="215"/>
        <v>25</v>
      </c>
      <c r="AL428" s="265">
        <f t="shared" si="206"/>
        <v>29</v>
      </c>
      <c r="AM428" s="6">
        <f t="shared" si="216"/>
        <v>25</v>
      </c>
      <c r="AN428" s="255">
        <f t="shared" si="207"/>
        <v>0.90262172284644193</v>
      </c>
      <c r="AO428" s="256">
        <f t="shared" si="208"/>
        <v>0.16726784714032489</v>
      </c>
      <c r="AP428" s="257">
        <f t="shared" si="209"/>
        <v>93632.958801498127</v>
      </c>
      <c r="AQ428" s="263">
        <f t="shared" si="217"/>
        <v>0.5</v>
      </c>
      <c r="AR428" s="263">
        <f t="shared" si="218"/>
        <v>0</v>
      </c>
      <c r="AS428" s="263">
        <f t="shared" si="219"/>
        <v>2.5</v>
      </c>
      <c r="AT428" s="263">
        <f t="shared" si="220"/>
        <v>3</v>
      </c>
      <c r="AU428" s="263"/>
      <c r="AV428" s="263"/>
      <c r="AW428" s="263"/>
      <c r="AX428" s="263">
        <f t="shared" si="221"/>
        <v>3</v>
      </c>
      <c r="BA428" s="282">
        <f t="shared" si="210"/>
        <v>94.509803921568619</v>
      </c>
      <c r="BB428">
        <v>1</v>
      </c>
      <c r="BC428">
        <f t="shared" si="222"/>
        <v>94.509803921568619</v>
      </c>
      <c r="BD428">
        <f t="shared" si="211"/>
        <v>120</v>
      </c>
      <c r="BE428">
        <f t="shared" si="212"/>
        <v>510</v>
      </c>
      <c r="BF428" s="281">
        <f t="shared" si="223"/>
        <v>0.18531334102268357</v>
      </c>
      <c r="BG428" s="282"/>
      <c r="BH428" s="283"/>
    </row>
    <row r="429" spans="1:60" x14ac:dyDescent="0.3">
      <c r="A429">
        <f t="shared" si="136"/>
        <v>426</v>
      </c>
      <c r="B429" s="241" t="s">
        <v>2499</v>
      </c>
      <c r="C429" s="294" t="s">
        <v>2511</v>
      </c>
      <c r="D429" s="14">
        <v>45853</v>
      </c>
      <c r="E429" s="7">
        <v>270</v>
      </c>
      <c r="F429" s="7"/>
      <c r="G429" s="66"/>
      <c r="H429" s="59"/>
      <c r="I429" s="59">
        <v>480</v>
      </c>
      <c r="J429" s="47">
        <f t="shared" si="213"/>
        <v>480</v>
      </c>
      <c r="K429" s="8">
        <f t="shared" si="214"/>
        <v>210</v>
      </c>
      <c r="L429" s="96">
        <f t="shared" si="195"/>
        <v>0.4375</v>
      </c>
      <c r="M429" s="81">
        <v>269</v>
      </c>
      <c r="N429" s="8">
        <v>153</v>
      </c>
      <c r="O429" s="8">
        <v>60</v>
      </c>
      <c r="P429" s="96">
        <f t="shared" si="114"/>
        <v>0.50233426704014938</v>
      </c>
      <c r="Q429" s="59">
        <f t="shared" si="149"/>
        <v>269</v>
      </c>
      <c r="R429" s="252">
        <f t="shared" si="205"/>
        <v>278</v>
      </c>
      <c r="S429" s="263">
        <v>8</v>
      </c>
      <c r="T429" s="263">
        <v>4</v>
      </c>
      <c r="U429" s="263">
        <v>0</v>
      </c>
      <c r="V429" s="263">
        <v>0</v>
      </c>
      <c r="W429" s="263">
        <v>0</v>
      </c>
      <c r="X429" s="263">
        <v>3</v>
      </c>
      <c r="Y429" s="263">
        <v>0</v>
      </c>
      <c r="Z429" s="263">
        <v>0</v>
      </c>
      <c r="AA429" s="263">
        <v>1</v>
      </c>
      <c r="AB429" s="263">
        <v>4</v>
      </c>
      <c r="AC429" s="263">
        <v>4</v>
      </c>
      <c r="AD429" s="263">
        <v>1</v>
      </c>
      <c r="AE429" s="263"/>
      <c r="AF429" s="263"/>
      <c r="AG429" s="263"/>
      <c r="AH429" s="263"/>
      <c r="AI429" s="263"/>
      <c r="AJ429" s="259"/>
      <c r="AK429" s="263">
        <f t="shared" si="215"/>
        <v>1</v>
      </c>
      <c r="AL429" s="265">
        <f t="shared" si="206"/>
        <v>29</v>
      </c>
      <c r="AM429" s="6">
        <f t="shared" si="216"/>
        <v>1</v>
      </c>
      <c r="AN429" s="255">
        <f t="shared" si="207"/>
        <v>0.96762589928057552</v>
      </c>
      <c r="AO429" s="256">
        <f t="shared" si="208"/>
        <v>0.21265634551182583</v>
      </c>
      <c r="AP429" s="257">
        <f t="shared" si="209"/>
        <v>3597.1223021582737</v>
      </c>
      <c r="AQ429" s="263">
        <f t="shared" si="217"/>
        <v>2</v>
      </c>
      <c r="AR429" s="263">
        <f t="shared" si="218"/>
        <v>0.8</v>
      </c>
      <c r="AS429" s="263">
        <f t="shared" si="219"/>
        <v>0.1</v>
      </c>
      <c r="AT429" s="263">
        <f t="shared" si="220"/>
        <v>2.9</v>
      </c>
      <c r="AU429" s="263"/>
      <c r="AV429" s="263"/>
      <c r="AW429" s="263"/>
      <c r="AX429" s="263">
        <f t="shared" si="221"/>
        <v>2.9</v>
      </c>
      <c r="BA429" s="282">
        <f t="shared" si="210"/>
        <v>105.49019607843137</v>
      </c>
      <c r="BB429">
        <v>1</v>
      </c>
      <c r="BC429">
        <f t="shared" si="222"/>
        <v>105.49019607843137</v>
      </c>
      <c r="BD429">
        <f t="shared" si="211"/>
        <v>210</v>
      </c>
      <c r="BE429">
        <f t="shared" si="212"/>
        <v>480</v>
      </c>
      <c r="BF429" s="281">
        <f t="shared" si="223"/>
        <v>0.21977124183006536</v>
      </c>
      <c r="BG429" s="282"/>
      <c r="BH429" s="283"/>
    </row>
    <row r="430" spans="1:60" x14ac:dyDescent="0.3">
      <c r="A430">
        <f t="shared" si="136"/>
        <v>427</v>
      </c>
      <c r="B430" s="241" t="s">
        <v>2499</v>
      </c>
      <c r="C430" s="294" t="s">
        <v>2512</v>
      </c>
      <c r="D430" s="14">
        <v>45853</v>
      </c>
      <c r="E430" s="7"/>
      <c r="F430" s="7"/>
      <c r="G430" s="66"/>
      <c r="H430" s="59"/>
      <c r="I430" s="59">
        <v>450</v>
      </c>
      <c r="J430" s="47">
        <f t="shared" si="213"/>
        <v>450</v>
      </c>
      <c r="K430" s="8">
        <f t="shared" si="214"/>
        <v>450</v>
      </c>
      <c r="L430" s="96">
        <f t="shared" si="195"/>
        <v>1</v>
      </c>
      <c r="M430" s="81">
        <v>941</v>
      </c>
      <c r="N430" s="8">
        <v>153</v>
      </c>
      <c r="O430" s="8">
        <v>60</v>
      </c>
      <c r="P430" s="96">
        <f t="shared" si="114"/>
        <v>0.8200435729847495</v>
      </c>
      <c r="Q430" s="59">
        <f t="shared" si="149"/>
        <v>941</v>
      </c>
      <c r="R430" s="252">
        <f t="shared" si="205"/>
        <v>954</v>
      </c>
      <c r="S430" s="263">
        <v>11</v>
      </c>
      <c r="T430" s="263">
        <v>1</v>
      </c>
      <c r="U430" s="263">
        <v>0</v>
      </c>
      <c r="V430" s="263">
        <v>0</v>
      </c>
      <c r="W430" s="263">
        <v>0</v>
      </c>
      <c r="X430" s="263">
        <v>10</v>
      </c>
      <c r="Y430" s="263">
        <v>10</v>
      </c>
      <c r="Z430" s="263">
        <v>0</v>
      </c>
      <c r="AA430" s="263">
        <v>2</v>
      </c>
      <c r="AB430" s="263">
        <v>8</v>
      </c>
      <c r="AC430" s="263">
        <v>3</v>
      </c>
      <c r="AD430" s="263">
        <v>2</v>
      </c>
      <c r="AE430" s="263"/>
      <c r="AF430" s="263"/>
      <c r="AG430" s="263"/>
      <c r="AH430" s="263"/>
      <c r="AI430" s="263"/>
      <c r="AJ430" s="259"/>
      <c r="AK430" s="263">
        <f t="shared" si="215"/>
        <v>2</v>
      </c>
      <c r="AL430" s="265">
        <f t="shared" si="206"/>
        <v>29</v>
      </c>
      <c r="AM430" s="6">
        <f t="shared" si="216"/>
        <v>2</v>
      </c>
      <c r="AN430" s="255">
        <f t="shared" si="207"/>
        <v>0.98637316561844868</v>
      </c>
      <c r="AO430" s="256">
        <f t="shared" si="208"/>
        <v>0.80886897503003075</v>
      </c>
      <c r="AP430" s="257">
        <f t="shared" si="209"/>
        <v>2096.4360587002097</v>
      </c>
      <c r="AQ430" s="263">
        <f t="shared" si="217"/>
        <v>4</v>
      </c>
      <c r="AR430" s="263">
        <f t="shared" si="218"/>
        <v>0.60000000000000009</v>
      </c>
      <c r="AS430" s="263">
        <f t="shared" si="219"/>
        <v>0.2</v>
      </c>
      <c r="AT430" s="263">
        <f t="shared" si="220"/>
        <v>4.8</v>
      </c>
      <c r="AU430" s="263"/>
      <c r="AV430" s="263"/>
      <c r="AW430" s="263"/>
      <c r="AX430" s="263">
        <f t="shared" si="221"/>
        <v>4.8</v>
      </c>
      <c r="BA430" s="282">
        <f t="shared" si="210"/>
        <v>369.01960784313729</v>
      </c>
      <c r="BB430">
        <v>1</v>
      </c>
      <c r="BC430">
        <f t="shared" si="222"/>
        <v>369.01960784313729</v>
      </c>
      <c r="BD430">
        <f t="shared" si="211"/>
        <v>450</v>
      </c>
      <c r="BE430">
        <f t="shared" si="212"/>
        <v>450</v>
      </c>
      <c r="BF430" s="281">
        <f t="shared" si="223"/>
        <v>0.8200435729847495</v>
      </c>
      <c r="BG430" s="282"/>
      <c r="BH430" s="283"/>
    </row>
    <row r="431" spans="1:60" x14ac:dyDescent="0.3">
      <c r="A431">
        <f t="shared" si="136"/>
        <v>428</v>
      </c>
      <c r="B431" s="241" t="s">
        <v>2499</v>
      </c>
      <c r="C431" s="294" t="s">
        <v>2513</v>
      </c>
      <c r="D431" s="14">
        <v>45853</v>
      </c>
      <c r="E431" s="7"/>
      <c r="F431" s="7"/>
      <c r="G431" s="66"/>
      <c r="H431" s="59"/>
      <c r="I431" s="59">
        <v>510</v>
      </c>
      <c r="J431" s="47">
        <f t="shared" si="213"/>
        <v>510</v>
      </c>
      <c r="K431" s="8">
        <f t="shared" si="214"/>
        <v>510</v>
      </c>
      <c r="L431" s="96">
        <f t="shared" si="195"/>
        <v>1</v>
      </c>
      <c r="M431" s="81">
        <v>1253</v>
      </c>
      <c r="N431" s="8">
        <v>153</v>
      </c>
      <c r="O431" s="8">
        <v>60</v>
      </c>
      <c r="P431" s="96">
        <f t="shared" si="114"/>
        <v>0.96347558631295649</v>
      </c>
      <c r="Q431" s="59">
        <f t="shared" si="149"/>
        <v>1253</v>
      </c>
      <c r="R431" s="252">
        <f t="shared" si="205"/>
        <v>1269</v>
      </c>
      <c r="S431" s="263">
        <v>5</v>
      </c>
      <c r="T431" s="263">
        <v>1</v>
      </c>
      <c r="U431" s="263">
        <v>0</v>
      </c>
      <c r="V431" s="263">
        <v>0</v>
      </c>
      <c r="W431" s="263">
        <v>0</v>
      </c>
      <c r="X431" s="263">
        <v>4</v>
      </c>
      <c r="Y431" s="263">
        <v>3</v>
      </c>
      <c r="Z431" s="263">
        <v>0</v>
      </c>
      <c r="AA431" s="263">
        <v>1</v>
      </c>
      <c r="AB431" s="263">
        <v>13</v>
      </c>
      <c r="AC431" s="263">
        <v>2</v>
      </c>
      <c r="AD431" s="263">
        <v>1</v>
      </c>
      <c r="AE431" s="263"/>
      <c r="AF431" s="263"/>
      <c r="AG431" s="263"/>
      <c r="AH431" s="263"/>
      <c r="AI431" s="263"/>
      <c r="AJ431" s="259"/>
      <c r="AK431" s="263">
        <f t="shared" si="215"/>
        <v>1</v>
      </c>
      <c r="AL431" s="265">
        <f t="shared" si="206"/>
        <v>29</v>
      </c>
      <c r="AM431" s="6">
        <f t="shared" si="216"/>
        <v>1</v>
      </c>
      <c r="AN431" s="255">
        <f t="shared" si="207"/>
        <v>0.98739164696611503</v>
      </c>
      <c r="AO431" s="256">
        <f t="shared" si="208"/>
        <v>0.95132774598119341</v>
      </c>
      <c r="AP431" s="257">
        <f t="shared" si="209"/>
        <v>788.02206461780941</v>
      </c>
      <c r="AQ431" s="263">
        <f t="shared" si="217"/>
        <v>6.5</v>
      </c>
      <c r="AR431" s="263">
        <f t="shared" si="218"/>
        <v>0.4</v>
      </c>
      <c r="AS431" s="263">
        <f t="shared" si="219"/>
        <v>0.1</v>
      </c>
      <c r="AT431" s="263">
        <f t="shared" si="220"/>
        <v>7</v>
      </c>
      <c r="AU431" s="263"/>
      <c r="AV431" s="263"/>
      <c r="AW431" s="263"/>
      <c r="AX431" s="263">
        <f t="shared" si="221"/>
        <v>7</v>
      </c>
      <c r="BA431" s="282">
        <f t="shared" si="210"/>
        <v>491.37254901960779</v>
      </c>
      <c r="BB431">
        <v>1</v>
      </c>
      <c r="BC431">
        <f t="shared" si="222"/>
        <v>491.37254901960779</v>
      </c>
      <c r="BD431">
        <f t="shared" si="211"/>
        <v>510</v>
      </c>
      <c r="BE431">
        <f t="shared" si="212"/>
        <v>510</v>
      </c>
      <c r="BF431" s="281">
        <f t="shared" si="223"/>
        <v>0.96347558631295649</v>
      </c>
      <c r="BG431" s="282"/>
      <c r="BH431" s="283"/>
    </row>
    <row r="432" spans="1:60" x14ac:dyDescent="0.3">
      <c r="A432">
        <f t="shared" si="136"/>
        <v>429</v>
      </c>
      <c r="B432" s="241" t="s">
        <v>2499</v>
      </c>
      <c r="C432" s="294" t="s">
        <v>2511</v>
      </c>
      <c r="D432" s="14">
        <v>45854</v>
      </c>
      <c r="E432" s="7">
        <v>45</v>
      </c>
      <c r="F432" s="7"/>
      <c r="G432" s="66"/>
      <c r="H432" s="59"/>
      <c r="I432" s="59">
        <v>480</v>
      </c>
      <c r="J432" s="47">
        <f t="shared" si="213"/>
        <v>480</v>
      </c>
      <c r="K432" s="8">
        <f t="shared" si="214"/>
        <v>435</v>
      </c>
      <c r="L432" s="96">
        <f t="shared" si="195"/>
        <v>0.90625</v>
      </c>
      <c r="M432" s="81">
        <v>1138</v>
      </c>
      <c r="N432" s="8">
        <v>153</v>
      </c>
      <c r="O432" s="8">
        <v>60</v>
      </c>
      <c r="P432" s="96">
        <f t="shared" si="114"/>
        <v>1.0259184133423485</v>
      </c>
      <c r="Q432" s="59">
        <f t="shared" si="149"/>
        <v>1138</v>
      </c>
      <c r="R432" s="252">
        <f t="shared" si="205"/>
        <v>1149</v>
      </c>
      <c r="S432" s="263">
        <v>6</v>
      </c>
      <c r="T432" s="263">
        <v>0</v>
      </c>
      <c r="U432" s="263">
        <v>0</v>
      </c>
      <c r="V432" s="263">
        <v>0</v>
      </c>
      <c r="W432" s="263">
        <v>2</v>
      </c>
      <c r="X432" s="263">
        <v>3</v>
      </c>
      <c r="Y432" s="263">
        <v>3</v>
      </c>
      <c r="Z432" s="263">
        <v>3</v>
      </c>
      <c r="AA432" s="263">
        <v>0</v>
      </c>
      <c r="AB432" s="263">
        <v>7</v>
      </c>
      <c r="AC432" s="263">
        <v>4</v>
      </c>
      <c r="AD432" s="263">
        <v>0</v>
      </c>
      <c r="AE432" s="263"/>
      <c r="AF432" s="263"/>
      <c r="AG432" s="263"/>
      <c r="AH432" s="263"/>
      <c r="AI432" s="263"/>
      <c r="AJ432" s="259"/>
      <c r="AK432" s="263">
        <f t="shared" si="215"/>
        <v>0</v>
      </c>
      <c r="AL432" s="265">
        <f t="shared" si="206"/>
        <v>29</v>
      </c>
      <c r="AM432" s="6">
        <f t="shared" si="216"/>
        <v>0</v>
      </c>
      <c r="AN432" s="255">
        <f t="shared" si="207"/>
        <v>0.9904264577893821</v>
      </c>
      <c r="AO432" s="256">
        <f t="shared" si="208"/>
        <v>0.92083767072248113</v>
      </c>
      <c r="AP432" s="257">
        <f t="shared" si="209"/>
        <v>0</v>
      </c>
      <c r="AQ432" s="263">
        <f t="shared" ref="AQ432:AQ474" si="224">+AB432*0.2</f>
        <v>1.4000000000000001</v>
      </c>
      <c r="AR432" s="263">
        <f t="shared" si="218"/>
        <v>0.8</v>
      </c>
      <c r="AS432" s="263">
        <f t="shared" si="219"/>
        <v>0</v>
      </c>
      <c r="AT432" s="263">
        <f t="shared" si="220"/>
        <v>2.2000000000000002</v>
      </c>
      <c r="AU432" s="263"/>
      <c r="AV432" s="263"/>
      <c r="AW432" s="263"/>
      <c r="AX432" s="263">
        <f t="shared" si="221"/>
        <v>2.2000000000000002</v>
      </c>
      <c r="BA432" s="282">
        <f t="shared" si="210"/>
        <v>446.2745098039216</v>
      </c>
      <c r="BB432">
        <v>1</v>
      </c>
      <c r="BC432">
        <f t="shared" si="222"/>
        <v>446.2745098039216</v>
      </c>
      <c r="BD432">
        <f t="shared" si="211"/>
        <v>435</v>
      </c>
      <c r="BE432">
        <f t="shared" si="212"/>
        <v>480</v>
      </c>
      <c r="BF432" s="281">
        <f t="shared" si="223"/>
        <v>0.9297385620915033</v>
      </c>
      <c r="BG432" s="282"/>
      <c r="BH432" s="283"/>
    </row>
    <row r="433" spans="1:60" x14ac:dyDescent="0.3">
      <c r="A433">
        <f t="shared" si="136"/>
        <v>430</v>
      </c>
      <c r="B433" s="241" t="s">
        <v>2499</v>
      </c>
      <c r="C433" s="294" t="s">
        <v>2512</v>
      </c>
      <c r="D433" s="14">
        <v>45854</v>
      </c>
      <c r="E433" s="7"/>
      <c r="F433" s="7">
        <v>60</v>
      </c>
      <c r="G433" s="66"/>
      <c r="H433" s="59"/>
      <c r="I433" s="59">
        <v>450</v>
      </c>
      <c r="J433" s="47">
        <f t="shared" si="213"/>
        <v>450</v>
      </c>
      <c r="K433" s="8">
        <f t="shared" si="214"/>
        <v>390</v>
      </c>
      <c r="L433" s="96">
        <f t="shared" si="195"/>
        <v>0.8666666666666667</v>
      </c>
      <c r="M433" s="81">
        <v>981</v>
      </c>
      <c r="N433" s="8">
        <v>153</v>
      </c>
      <c r="O433" s="8">
        <v>60</v>
      </c>
      <c r="P433" s="96">
        <f t="shared" si="114"/>
        <v>0.98642533936651589</v>
      </c>
      <c r="Q433" s="59">
        <f t="shared" si="149"/>
        <v>981</v>
      </c>
      <c r="R433" s="252">
        <f t="shared" si="205"/>
        <v>1000</v>
      </c>
      <c r="S433" s="263">
        <v>11</v>
      </c>
      <c r="T433" s="263">
        <v>4</v>
      </c>
      <c r="U433" s="263">
        <v>0</v>
      </c>
      <c r="V433" s="263">
        <v>0</v>
      </c>
      <c r="W433" s="263">
        <v>10</v>
      </c>
      <c r="X433" s="263">
        <v>3</v>
      </c>
      <c r="Y433" s="263">
        <v>5</v>
      </c>
      <c r="Z433" s="263">
        <v>0</v>
      </c>
      <c r="AA433" s="263">
        <v>3</v>
      </c>
      <c r="AB433" s="263">
        <v>5</v>
      </c>
      <c r="AC433" s="263">
        <v>13</v>
      </c>
      <c r="AD433" s="263">
        <v>1</v>
      </c>
      <c r="AE433" s="263"/>
      <c r="AF433" s="263"/>
      <c r="AG433" s="263"/>
      <c r="AH433" s="263"/>
      <c r="AI433" s="263"/>
      <c r="AJ433" s="259"/>
      <c r="AK433" s="263">
        <f t="shared" si="215"/>
        <v>1</v>
      </c>
      <c r="AL433" s="265">
        <f t="shared" si="206"/>
        <v>29</v>
      </c>
      <c r="AM433" s="6">
        <f t="shared" si="216"/>
        <v>1</v>
      </c>
      <c r="AN433" s="255">
        <f t="shared" si="207"/>
        <v>0.98099999999999998</v>
      </c>
      <c r="AO433" s="256">
        <f t="shared" si="208"/>
        <v>0.83865882352941179</v>
      </c>
      <c r="AP433" s="257">
        <f t="shared" si="209"/>
        <v>1000</v>
      </c>
      <c r="AQ433" s="263">
        <f t="shared" si="224"/>
        <v>1</v>
      </c>
      <c r="AR433" s="263">
        <f t="shared" si="218"/>
        <v>2.6</v>
      </c>
      <c r="AS433" s="263">
        <f t="shared" si="219"/>
        <v>0.1</v>
      </c>
      <c r="AT433" s="263">
        <f t="shared" si="220"/>
        <v>3.7</v>
      </c>
      <c r="AU433" s="263"/>
      <c r="AV433" s="263"/>
      <c r="AW433" s="263"/>
      <c r="AX433" s="263">
        <f t="shared" si="221"/>
        <v>3.7</v>
      </c>
      <c r="BA433" s="282">
        <f t="shared" si="210"/>
        <v>384.70588235294122</v>
      </c>
      <c r="BB433">
        <v>1</v>
      </c>
      <c r="BC433">
        <f t="shared" si="222"/>
        <v>384.70588235294122</v>
      </c>
      <c r="BD433">
        <f t="shared" si="211"/>
        <v>390</v>
      </c>
      <c r="BE433">
        <f t="shared" si="212"/>
        <v>450</v>
      </c>
      <c r="BF433" s="281">
        <f t="shared" si="223"/>
        <v>0.8549019607843138</v>
      </c>
      <c r="BG433" s="282"/>
      <c r="BH433" s="283"/>
    </row>
    <row r="434" spans="1:60" x14ac:dyDescent="0.3">
      <c r="A434">
        <f t="shared" si="136"/>
        <v>431</v>
      </c>
      <c r="B434" s="241" t="s">
        <v>2499</v>
      </c>
      <c r="C434" s="294" t="s">
        <v>2513</v>
      </c>
      <c r="D434" s="14">
        <v>45854</v>
      </c>
      <c r="E434" s="7"/>
      <c r="F434" s="7"/>
      <c r="G434" s="66"/>
      <c r="H434" s="59"/>
      <c r="I434" s="59">
        <v>510</v>
      </c>
      <c r="J434" s="47">
        <f t="shared" si="213"/>
        <v>510</v>
      </c>
      <c r="K434" s="8">
        <f t="shared" si="214"/>
        <v>510</v>
      </c>
      <c r="L434" s="96">
        <f t="shared" si="195"/>
        <v>1</v>
      </c>
      <c r="M434" s="81">
        <v>1195</v>
      </c>
      <c r="N434" s="8">
        <v>153</v>
      </c>
      <c r="O434" s="8">
        <v>60</v>
      </c>
      <c r="P434" s="96">
        <f t="shared" si="114"/>
        <v>0.91887735486351407</v>
      </c>
      <c r="Q434" s="59">
        <f t="shared" si="149"/>
        <v>1195</v>
      </c>
      <c r="R434" s="252">
        <f t="shared" si="205"/>
        <v>1219</v>
      </c>
      <c r="S434" s="263">
        <v>25</v>
      </c>
      <c r="T434" s="263">
        <v>1</v>
      </c>
      <c r="U434" s="263">
        <v>0</v>
      </c>
      <c r="V434" s="263">
        <v>0</v>
      </c>
      <c r="W434" s="263">
        <v>5</v>
      </c>
      <c r="X434" s="263">
        <v>2</v>
      </c>
      <c r="Y434" s="263">
        <v>4</v>
      </c>
      <c r="Z434" s="263">
        <v>0</v>
      </c>
      <c r="AA434" s="263">
        <v>5</v>
      </c>
      <c r="AB434" s="263">
        <v>7</v>
      </c>
      <c r="AC434" s="263">
        <v>16</v>
      </c>
      <c r="AD434" s="263">
        <v>1</v>
      </c>
      <c r="AE434" s="263"/>
      <c r="AF434" s="263"/>
      <c r="AG434" s="263"/>
      <c r="AH434" s="263"/>
      <c r="AI434" s="263"/>
      <c r="AJ434" s="259"/>
      <c r="AK434" s="263">
        <f t="shared" si="215"/>
        <v>1</v>
      </c>
      <c r="AL434" s="265">
        <f t="shared" si="206"/>
        <v>29</v>
      </c>
      <c r="AM434" s="6">
        <f t="shared" si="216"/>
        <v>1</v>
      </c>
      <c r="AN434" s="255">
        <f t="shared" si="207"/>
        <v>0.98031173092698931</v>
      </c>
      <c r="AO434" s="256">
        <f t="shared" si="208"/>
        <v>0.9007862502558649</v>
      </c>
      <c r="AP434" s="257">
        <f t="shared" si="209"/>
        <v>820.34454470877779</v>
      </c>
      <c r="AQ434" s="263">
        <f t="shared" si="224"/>
        <v>1.4000000000000001</v>
      </c>
      <c r="AR434" s="263">
        <f t="shared" si="218"/>
        <v>3.2</v>
      </c>
      <c r="AS434" s="263">
        <f t="shared" si="219"/>
        <v>0.1</v>
      </c>
      <c r="AT434" s="263">
        <f t="shared" si="220"/>
        <v>4.7</v>
      </c>
      <c r="AU434" s="263"/>
      <c r="AV434" s="263"/>
      <c r="AW434" s="263"/>
      <c r="AX434" s="263">
        <f t="shared" si="221"/>
        <v>4.7</v>
      </c>
      <c r="BA434" s="282">
        <f t="shared" si="210"/>
        <v>468.62745098039215</v>
      </c>
      <c r="BB434">
        <v>1</v>
      </c>
      <c r="BC434">
        <f t="shared" si="222"/>
        <v>468.62745098039215</v>
      </c>
      <c r="BD434">
        <f t="shared" si="211"/>
        <v>510</v>
      </c>
      <c r="BE434">
        <f t="shared" si="212"/>
        <v>510</v>
      </c>
      <c r="BF434" s="281">
        <f t="shared" si="223"/>
        <v>0.91887735486351407</v>
      </c>
      <c r="BG434" s="282"/>
      <c r="BH434" s="283"/>
    </row>
    <row r="435" spans="1:60" x14ac:dyDescent="0.3">
      <c r="A435">
        <f t="shared" si="136"/>
        <v>432</v>
      </c>
      <c r="B435" s="241" t="s">
        <v>2499</v>
      </c>
      <c r="C435" s="294" t="s">
        <v>2511</v>
      </c>
      <c r="D435" s="14">
        <v>45855</v>
      </c>
      <c r="E435" s="7">
        <v>45</v>
      </c>
      <c r="F435" s="7"/>
      <c r="G435" s="66"/>
      <c r="H435" s="59"/>
      <c r="I435" s="59">
        <v>480</v>
      </c>
      <c r="J435" s="47">
        <f t="shared" si="213"/>
        <v>480</v>
      </c>
      <c r="K435" s="8">
        <f t="shared" si="214"/>
        <v>435</v>
      </c>
      <c r="L435" s="96">
        <f t="shared" si="195"/>
        <v>0.90625</v>
      </c>
      <c r="M435" s="81">
        <v>993</v>
      </c>
      <c r="N435" s="8">
        <v>153</v>
      </c>
      <c r="O435" s="8">
        <v>60</v>
      </c>
      <c r="P435" s="96">
        <f t="shared" si="114"/>
        <v>0.89519945909398246</v>
      </c>
      <c r="Q435" s="59">
        <f t="shared" si="149"/>
        <v>993</v>
      </c>
      <c r="R435" s="252">
        <f t="shared" si="205"/>
        <v>1020</v>
      </c>
      <c r="S435" s="263">
        <v>17</v>
      </c>
      <c r="T435" s="263">
        <v>1</v>
      </c>
      <c r="U435" s="263">
        <v>1</v>
      </c>
      <c r="V435" s="263">
        <v>0</v>
      </c>
      <c r="W435" s="263">
        <v>18</v>
      </c>
      <c r="X435" s="263">
        <v>5</v>
      </c>
      <c r="Y435" s="263">
        <v>2</v>
      </c>
      <c r="Z435" s="263">
        <v>0</v>
      </c>
      <c r="AA435" s="263">
        <v>3</v>
      </c>
      <c r="AB435" s="263">
        <v>24</v>
      </c>
      <c r="AC435" s="263">
        <v>3</v>
      </c>
      <c r="AD435" s="263">
        <v>0</v>
      </c>
      <c r="AE435" s="263"/>
      <c r="AF435" s="263"/>
      <c r="AG435" s="263"/>
      <c r="AH435" s="263"/>
      <c r="AI435" s="263"/>
      <c r="AJ435" s="259"/>
      <c r="AK435" s="263">
        <f t="shared" si="215"/>
        <v>0</v>
      </c>
      <c r="AL435" s="265">
        <f t="shared" si="206"/>
        <v>29</v>
      </c>
      <c r="AM435" s="6">
        <f t="shared" si="216"/>
        <v>0</v>
      </c>
      <c r="AN435" s="255">
        <f t="shared" si="207"/>
        <v>0.97352941176470587</v>
      </c>
      <c r="AO435" s="256">
        <f t="shared" si="208"/>
        <v>0.7897995963091119</v>
      </c>
      <c r="AP435" s="257">
        <f t="shared" si="209"/>
        <v>0</v>
      </c>
      <c r="AQ435" s="263">
        <f t="shared" si="224"/>
        <v>4.8000000000000007</v>
      </c>
      <c r="AR435" s="263">
        <f t="shared" si="218"/>
        <v>0.60000000000000009</v>
      </c>
      <c r="AS435" s="263">
        <f t="shared" si="219"/>
        <v>0</v>
      </c>
      <c r="AT435" s="263">
        <f>SUM(AQ435:AS435)</f>
        <v>5.4</v>
      </c>
      <c r="AU435" s="263"/>
      <c r="AV435" s="263"/>
      <c r="AW435" s="263"/>
      <c r="AX435" s="263">
        <f t="shared" si="221"/>
        <v>5.4</v>
      </c>
      <c r="BA435" s="282">
        <f t="shared" si="210"/>
        <v>389.41176470588238</v>
      </c>
      <c r="BB435">
        <v>1</v>
      </c>
      <c r="BC435">
        <f t="shared" si="222"/>
        <v>389.41176470588238</v>
      </c>
      <c r="BD435">
        <f t="shared" si="211"/>
        <v>435</v>
      </c>
      <c r="BE435">
        <f t="shared" si="212"/>
        <v>480</v>
      </c>
      <c r="BF435" s="281">
        <f t="shared" si="223"/>
        <v>0.81127450980392157</v>
      </c>
      <c r="BG435" s="282"/>
      <c r="BH435" s="283"/>
    </row>
    <row r="436" spans="1:60" x14ac:dyDescent="0.3">
      <c r="A436">
        <f t="shared" si="136"/>
        <v>433</v>
      </c>
      <c r="B436" s="241" t="s">
        <v>2499</v>
      </c>
      <c r="C436" s="294" t="s">
        <v>2512</v>
      </c>
      <c r="D436" s="14">
        <v>45855</v>
      </c>
      <c r="E436" s="7"/>
      <c r="F436" s="7"/>
      <c r="G436" s="66"/>
      <c r="H436" s="59"/>
      <c r="I436" s="59">
        <v>450</v>
      </c>
      <c r="J436" s="47">
        <f t="shared" si="213"/>
        <v>450</v>
      </c>
      <c r="K436" s="8">
        <f t="shared" si="214"/>
        <v>450</v>
      </c>
      <c r="L436" s="96">
        <f t="shared" si="195"/>
        <v>1</v>
      </c>
      <c r="M436" s="81">
        <v>1093</v>
      </c>
      <c r="N436" s="8">
        <v>153</v>
      </c>
      <c r="O436" s="8">
        <v>60</v>
      </c>
      <c r="P436" s="96">
        <f t="shared" si="114"/>
        <v>0.95250544662309367</v>
      </c>
      <c r="Q436" s="59">
        <f t="shared" si="149"/>
        <v>1093</v>
      </c>
      <c r="R436" s="252">
        <f t="shared" si="205"/>
        <v>1124</v>
      </c>
      <c r="S436" s="263">
        <v>18</v>
      </c>
      <c r="T436" s="263">
        <v>3</v>
      </c>
      <c r="U436" s="263">
        <v>0</v>
      </c>
      <c r="V436" s="263">
        <v>0</v>
      </c>
      <c r="W436" s="263">
        <v>16</v>
      </c>
      <c r="X436" s="263">
        <v>3</v>
      </c>
      <c r="Y436" s="263">
        <v>5</v>
      </c>
      <c r="Z436" s="263">
        <v>0</v>
      </c>
      <c r="AA436" s="263">
        <v>0</v>
      </c>
      <c r="AB436" s="263">
        <v>31</v>
      </c>
      <c r="AC436" s="263">
        <v>0</v>
      </c>
      <c r="AD436" s="263">
        <v>0</v>
      </c>
      <c r="AE436" s="263"/>
      <c r="AF436" s="263"/>
      <c r="AG436" s="263"/>
      <c r="AH436" s="263"/>
      <c r="AI436" s="263"/>
      <c r="AJ436" s="259"/>
      <c r="AK436" s="263">
        <f t="shared" si="215"/>
        <v>0</v>
      </c>
      <c r="AL436" s="265">
        <f t="shared" si="206"/>
        <v>29</v>
      </c>
      <c r="AM436" s="6">
        <f t="shared" si="216"/>
        <v>0</v>
      </c>
      <c r="AN436" s="255">
        <f t="shared" si="207"/>
        <v>0.97241992882562278</v>
      </c>
      <c r="AO436" s="256">
        <f t="shared" si="208"/>
        <v>0.92623527861124677</v>
      </c>
      <c r="AP436" s="257">
        <f t="shared" si="209"/>
        <v>0</v>
      </c>
      <c r="AQ436" s="263">
        <f t="shared" si="224"/>
        <v>6.2</v>
      </c>
      <c r="AR436" s="263">
        <f t="shared" si="218"/>
        <v>0</v>
      </c>
      <c r="AS436" s="263">
        <f t="shared" si="219"/>
        <v>0</v>
      </c>
      <c r="AT436" s="263">
        <f t="shared" si="220"/>
        <v>6.2</v>
      </c>
      <c r="AU436" s="263"/>
      <c r="AV436" s="263"/>
      <c r="AW436" s="263"/>
      <c r="AX436" s="263">
        <f t="shared" si="221"/>
        <v>6.2</v>
      </c>
      <c r="BA436" s="282">
        <f t="shared" si="210"/>
        <v>428.62745098039215</v>
      </c>
      <c r="BB436">
        <v>1</v>
      </c>
      <c r="BC436">
        <f t="shared" si="222"/>
        <v>428.62745098039215</v>
      </c>
      <c r="BD436">
        <f t="shared" si="211"/>
        <v>450</v>
      </c>
      <c r="BE436">
        <f t="shared" si="212"/>
        <v>450</v>
      </c>
      <c r="BF436" s="281">
        <f t="shared" si="223"/>
        <v>0.95250544662309367</v>
      </c>
      <c r="BG436" s="282"/>
      <c r="BH436" s="283"/>
    </row>
    <row r="437" spans="1:60" x14ac:dyDescent="0.3">
      <c r="A437">
        <f t="shared" si="136"/>
        <v>434</v>
      </c>
      <c r="B437" s="241" t="s">
        <v>2499</v>
      </c>
      <c r="C437" s="294" t="s">
        <v>2513</v>
      </c>
      <c r="D437" s="14">
        <v>45855</v>
      </c>
      <c r="E437" s="7"/>
      <c r="F437" s="7"/>
      <c r="G437" s="66"/>
      <c r="H437" s="59"/>
      <c r="I437" s="59">
        <v>510</v>
      </c>
      <c r="J437" s="47">
        <f t="shared" si="213"/>
        <v>510</v>
      </c>
      <c r="K437" s="8">
        <f t="shared" si="214"/>
        <v>510</v>
      </c>
      <c r="L437" s="96">
        <f t="shared" si="195"/>
        <v>1</v>
      </c>
      <c r="M437" s="81">
        <v>1293</v>
      </c>
      <c r="N437" s="8">
        <v>153</v>
      </c>
      <c r="O437" s="8">
        <v>60</v>
      </c>
      <c r="P437" s="96">
        <f t="shared" si="114"/>
        <v>0.99423298731257215</v>
      </c>
      <c r="Q437" s="59">
        <f t="shared" si="149"/>
        <v>1293</v>
      </c>
      <c r="R437" s="252">
        <f t="shared" si="205"/>
        <v>1299</v>
      </c>
      <c r="S437" s="263">
        <v>10</v>
      </c>
      <c r="T437" s="263">
        <v>0</v>
      </c>
      <c r="U437" s="263">
        <v>0</v>
      </c>
      <c r="V437" s="263">
        <v>0</v>
      </c>
      <c r="W437" s="263">
        <v>4</v>
      </c>
      <c r="X437" s="263">
        <v>1</v>
      </c>
      <c r="Y437" s="263">
        <v>6</v>
      </c>
      <c r="Z437" s="263">
        <v>0</v>
      </c>
      <c r="AA437" s="263">
        <v>0</v>
      </c>
      <c r="AB437" s="263">
        <v>3</v>
      </c>
      <c r="AC437" s="263">
        <v>3</v>
      </c>
      <c r="AD437" s="263">
        <v>0</v>
      </c>
      <c r="AE437" s="263"/>
      <c r="AF437" s="263"/>
      <c r="AG437" s="263"/>
      <c r="AH437" s="263"/>
      <c r="AI437" s="263"/>
      <c r="AJ437" s="259"/>
      <c r="AK437" s="263">
        <f t="shared" si="215"/>
        <v>0</v>
      </c>
      <c r="AL437" s="265">
        <f t="shared" si="206"/>
        <v>29</v>
      </c>
      <c r="AM437" s="6">
        <f t="shared" si="216"/>
        <v>0</v>
      </c>
      <c r="AN437" s="255">
        <f t="shared" si="207"/>
        <v>0.99538106235565815</v>
      </c>
      <c r="AO437" s="256">
        <f t="shared" si="208"/>
        <v>0.98964068714022768</v>
      </c>
      <c r="AP437" s="257">
        <f t="shared" si="209"/>
        <v>0</v>
      </c>
      <c r="AQ437" s="263">
        <f t="shared" si="224"/>
        <v>0.60000000000000009</v>
      </c>
      <c r="AR437" s="263">
        <f t="shared" si="218"/>
        <v>0.60000000000000009</v>
      </c>
      <c r="AS437" s="263">
        <f t="shared" si="219"/>
        <v>0</v>
      </c>
      <c r="AT437" s="263">
        <f t="shared" si="220"/>
        <v>1.2000000000000002</v>
      </c>
      <c r="AU437" s="263"/>
      <c r="AV437" s="263"/>
      <c r="AW437" s="263"/>
      <c r="AX437" s="263">
        <f t="shared" si="221"/>
        <v>1.2000000000000002</v>
      </c>
      <c r="BA437" s="282">
        <f t="shared" si="210"/>
        <v>507.05882352941177</v>
      </c>
      <c r="BB437">
        <v>1</v>
      </c>
      <c r="BC437">
        <f t="shared" si="222"/>
        <v>507.05882352941177</v>
      </c>
      <c r="BD437">
        <f t="shared" si="211"/>
        <v>510</v>
      </c>
      <c r="BE437">
        <f t="shared" si="212"/>
        <v>510</v>
      </c>
      <c r="BF437" s="281">
        <f t="shared" si="223"/>
        <v>0.99423298731257215</v>
      </c>
      <c r="BG437" s="282"/>
      <c r="BH437" s="283"/>
    </row>
    <row r="438" spans="1:60" x14ac:dyDescent="0.3">
      <c r="A438">
        <f t="shared" si="136"/>
        <v>435</v>
      </c>
      <c r="B438" s="241" t="s">
        <v>2499</v>
      </c>
      <c r="C438" s="294" t="s">
        <v>2511</v>
      </c>
      <c r="D438" s="14">
        <v>45856</v>
      </c>
      <c r="E438" s="7">
        <v>45</v>
      </c>
      <c r="F438" s="7"/>
      <c r="G438" s="66"/>
      <c r="H438" s="59"/>
      <c r="I438" s="59">
        <v>480</v>
      </c>
      <c r="J438" s="47">
        <f t="shared" si="213"/>
        <v>480</v>
      </c>
      <c r="K438" s="8">
        <f t="shared" si="214"/>
        <v>435</v>
      </c>
      <c r="L438" s="96">
        <f t="shared" si="195"/>
        <v>0.90625</v>
      </c>
      <c r="M438" s="81">
        <v>1134</v>
      </c>
      <c r="N438" s="8">
        <v>153</v>
      </c>
      <c r="O438" s="8">
        <v>60</v>
      </c>
      <c r="P438" s="96">
        <f t="shared" si="114"/>
        <v>1.0223123732251522</v>
      </c>
      <c r="Q438" s="59">
        <f t="shared" si="149"/>
        <v>1134</v>
      </c>
      <c r="R438" s="252">
        <f t="shared" si="205"/>
        <v>1141</v>
      </c>
      <c r="S438" s="263">
        <v>15</v>
      </c>
      <c r="T438" s="263">
        <v>1</v>
      </c>
      <c r="U438" s="263">
        <v>0</v>
      </c>
      <c r="V438" s="263">
        <v>0</v>
      </c>
      <c r="W438" s="263">
        <v>6</v>
      </c>
      <c r="X438" s="263">
        <v>5</v>
      </c>
      <c r="Y438" s="263">
        <v>4</v>
      </c>
      <c r="Z438" s="263">
        <v>1</v>
      </c>
      <c r="AA438" s="263">
        <v>0</v>
      </c>
      <c r="AB438" s="263">
        <v>7</v>
      </c>
      <c r="AC438" s="263">
        <v>0</v>
      </c>
      <c r="AD438" s="263">
        <v>0</v>
      </c>
      <c r="AE438" s="263"/>
      <c r="AF438" s="263"/>
      <c r="AG438" s="263"/>
      <c r="AH438" s="263"/>
      <c r="AI438" s="263"/>
      <c r="AJ438" s="259"/>
      <c r="AK438" s="263">
        <f t="shared" si="215"/>
        <v>0</v>
      </c>
      <c r="AL438" s="265">
        <f t="shared" si="206"/>
        <v>29</v>
      </c>
      <c r="AM438" s="6">
        <f t="shared" si="216"/>
        <v>0</v>
      </c>
      <c r="AN438" s="255">
        <f t="shared" si="207"/>
        <v>0.99386503067484666</v>
      </c>
      <c r="AO438" s="256">
        <f t="shared" si="208"/>
        <v>0.92078671959581393</v>
      </c>
      <c r="AP438" s="257">
        <f t="shared" si="209"/>
        <v>0</v>
      </c>
      <c r="AQ438" s="263">
        <f t="shared" si="224"/>
        <v>1.4000000000000001</v>
      </c>
      <c r="AR438" s="263">
        <f t="shared" si="218"/>
        <v>0</v>
      </c>
      <c r="AS438" s="263">
        <f t="shared" si="219"/>
        <v>0</v>
      </c>
      <c r="AT438" s="263">
        <f t="shared" si="220"/>
        <v>1.4000000000000001</v>
      </c>
      <c r="AU438" s="263"/>
      <c r="AV438" s="263"/>
      <c r="AW438" s="263"/>
      <c r="AX438" s="263">
        <f t="shared" si="221"/>
        <v>1.4000000000000001</v>
      </c>
      <c r="BA438" s="282">
        <f t="shared" si="210"/>
        <v>444.70588235294122</v>
      </c>
      <c r="BB438">
        <v>1</v>
      </c>
      <c r="BC438">
        <f t="shared" si="222"/>
        <v>444.70588235294122</v>
      </c>
      <c r="BD438">
        <f t="shared" si="211"/>
        <v>435</v>
      </c>
      <c r="BE438">
        <f t="shared" si="212"/>
        <v>480</v>
      </c>
      <c r="BF438" s="281">
        <f t="shared" si="223"/>
        <v>0.92647058823529416</v>
      </c>
      <c r="BG438" s="282"/>
      <c r="BH438" s="283"/>
    </row>
    <row r="439" spans="1:60" x14ac:dyDescent="0.3">
      <c r="A439">
        <f t="shared" si="136"/>
        <v>436</v>
      </c>
      <c r="B439" s="241" t="s">
        <v>2499</v>
      </c>
      <c r="C439" s="294" t="s">
        <v>2512</v>
      </c>
      <c r="D439" s="14">
        <v>45856</v>
      </c>
      <c r="E439" s="7"/>
      <c r="F439" s="7"/>
      <c r="G439" s="66"/>
      <c r="H439" s="59"/>
      <c r="I439" s="59">
        <v>450</v>
      </c>
      <c r="J439" s="47">
        <f t="shared" si="213"/>
        <v>450</v>
      </c>
      <c r="K439" s="8">
        <f t="shared" si="214"/>
        <v>450</v>
      </c>
      <c r="L439" s="96">
        <f t="shared" si="195"/>
        <v>1</v>
      </c>
      <c r="M439" s="81">
        <v>946</v>
      </c>
      <c r="N439" s="8">
        <v>153</v>
      </c>
      <c r="O439" s="8">
        <v>60</v>
      </c>
      <c r="P439" s="96">
        <f t="shared" si="114"/>
        <v>0.82440087145969498</v>
      </c>
      <c r="Q439" s="59">
        <f t="shared" si="149"/>
        <v>946</v>
      </c>
      <c r="R439" s="252">
        <f t="shared" si="205"/>
        <v>982</v>
      </c>
      <c r="S439" s="263">
        <v>18</v>
      </c>
      <c r="T439" s="263">
        <v>3</v>
      </c>
      <c r="U439" s="263">
        <v>0</v>
      </c>
      <c r="V439" s="263">
        <v>0</v>
      </c>
      <c r="W439" s="263">
        <v>44</v>
      </c>
      <c r="X439" s="263">
        <v>2</v>
      </c>
      <c r="Y439" s="263">
        <v>3</v>
      </c>
      <c r="Z439" s="263">
        <v>1</v>
      </c>
      <c r="AA439" s="263">
        <v>1</v>
      </c>
      <c r="AB439" s="263">
        <v>34</v>
      </c>
      <c r="AC439" s="263">
        <v>0</v>
      </c>
      <c r="AD439" s="263">
        <v>2</v>
      </c>
      <c r="AE439" s="263"/>
      <c r="AF439" s="263"/>
      <c r="AG439" s="263"/>
      <c r="AH439" s="263"/>
      <c r="AI439" s="263"/>
      <c r="AJ439" s="259"/>
      <c r="AK439" s="263">
        <f t="shared" si="215"/>
        <v>2</v>
      </c>
      <c r="AL439" s="265">
        <f t="shared" si="206"/>
        <v>29</v>
      </c>
      <c r="AM439" s="6">
        <f t="shared" si="216"/>
        <v>2</v>
      </c>
      <c r="AN439" s="255">
        <f t="shared" si="207"/>
        <v>0.96334012219959264</v>
      </c>
      <c r="AO439" s="256">
        <f t="shared" si="208"/>
        <v>0.79417843625343321</v>
      </c>
      <c r="AP439" s="257">
        <f t="shared" si="209"/>
        <v>2036.6598778004072</v>
      </c>
      <c r="AQ439" s="263">
        <f t="shared" si="224"/>
        <v>6.8000000000000007</v>
      </c>
      <c r="AR439" s="263">
        <f t="shared" si="218"/>
        <v>0</v>
      </c>
      <c r="AS439" s="263">
        <f t="shared" si="219"/>
        <v>0.2</v>
      </c>
      <c r="AT439" s="263">
        <f t="shared" si="220"/>
        <v>7.0000000000000009</v>
      </c>
      <c r="AU439" s="263"/>
      <c r="AV439" s="263"/>
      <c r="AW439" s="263"/>
      <c r="AX439" s="263">
        <f t="shared" si="221"/>
        <v>7.0000000000000009</v>
      </c>
      <c r="BA439" s="282">
        <f t="shared" si="210"/>
        <v>370.98039215686276</v>
      </c>
      <c r="BB439">
        <v>1</v>
      </c>
      <c r="BC439">
        <f t="shared" si="222"/>
        <v>370.98039215686276</v>
      </c>
      <c r="BD439">
        <f t="shared" si="211"/>
        <v>450</v>
      </c>
      <c r="BE439">
        <f t="shared" si="212"/>
        <v>450</v>
      </c>
      <c r="BF439" s="281">
        <f t="shared" si="223"/>
        <v>0.82440087145969498</v>
      </c>
      <c r="BG439" s="282"/>
      <c r="BH439" s="283"/>
    </row>
    <row r="440" spans="1:60" x14ac:dyDescent="0.3">
      <c r="A440">
        <f t="shared" si="136"/>
        <v>437</v>
      </c>
      <c r="B440" s="241" t="s">
        <v>2499</v>
      </c>
      <c r="C440" s="294" t="s">
        <v>2513</v>
      </c>
      <c r="D440" s="14">
        <v>45856</v>
      </c>
      <c r="E440" s="7"/>
      <c r="F440" s="7"/>
      <c r="G440" s="66"/>
      <c r="H440" s="59"/>
      <c r="I440" s="59">
        <v>510</v>
      </c>
      <c r="J440" s="47">
        <f t="shared" si="213"/>
        <v>510</v>
      </c>
      <c r="K440" s="8">
        <f t="shared" si="214"/>
        <v>510</v>
      </c>
      <c r="L440" s="96">
        <f t="shared" si="195"/>
        <v>1</v>
      </c>
      <c r="M440" s="81">
        <v>1173</v>
      </c>
      <c r="N440" s="8">
        <v>153</v>
      </c>
      <c r="O440" s="8">
        <v>60</v>
      </c>
      <c r="P440" s="96">
        <f t="shared" si="114"/>
        <v>0.90196078431372551</v>
      </c>
      <c r="Q440" s="59">
        <f t="shared" si="149"/>
        <v>1173</v>
      </c>
      <c r="R440" s="252">
        <f t="shared" si="205"/>
        <v>1188</v>
      </c>
      <c r="S440" s="263">
        <v>18</v>
      </c>
      <c r="T440" s="263">
        <v>0</v>
      </c>
      <c r="U440" s="263">
        <v>0</v>
      </c>
      <c r="V440" s="263">
        <v>0</v>
      </c>
      <c r="W440" s="263">
        <v>24</v>
      </c>
      <c r="X440" s="263">
        <v>3</v>
      </c>
      <c r="Y440" s="263">
        <v>0</v>
      </c>
      <c r="Z440" s="263">
        <v>1</v>
      </c>
      <c r="AA440" s="263">
        <v>0</v>
      </c>
      <c r="AB440" s="263">
        <v>10</v>
      </c>
      <c r="AC440" s="263">
        <v>5</v>
      </c>
      <c r="AD440" s="263">
        <v>0</v>
      </c>
      <c r="AE440" s="263"/>
      <c r="AF440" s="263"/>
      <c r="AG440" s="263"/>
      <c r="AH440" s="263"/>
      <c r="AI440" s="263"/>
      <c r="AJ440" s="259"/>
      <c r="AK440" s="263">
        <f t="shared" si="215"/>
        <v>0</v>
      </c>
      <c r="AL440" s="265">
        <f t="shared" si="206"/>
        <v>29</v>
      </c>
      <c r="AM440" s="6">
        <f t="shared" si="216"/>
        <v>0</v>
      </c>
      <c r="AN440" s="255">
        <f t="shared" si="207"/>
        <v>0.98737373737373735</v>
      </c>
      <c r="AO440" s="256">
        <f t="shared" si="208"/>
        <v>0.89057239057239057</v>
      </c>
      <c r="AP440" s="257">
        <f t="shared" si="209"/>
        <v>0</v>
      </c>
      <c r="AQ440" s="263">
        <f t="shared" si="224"/>
        <v>2</v>
      </c>
      <c r="AR440" s="263">
        <f t="shared" si="218"/>
        <v>1</v>
      </c>
      <c r="AS440" s="263">
        <f t="shared" si="219"/>
        <v>0</v>
      </c>
      <c r="AT440" s="263">
        <f t="shared" si="220"/>
        <v>3</v>
      </c>
      <c r="AU440" s="263"/>
      <c r="AV440" s="263"/>
      <c r="AW440" s="263"/>
      <c r="AX440" s="263">
        <f t="shared" si="221"/>
        <v>3</v>
      </c>
      <c r="BA440" s="282">
        <f t="shared" si="210"/>
        <v>460</v>
      </c>
      <c r="BB440">
        <v>1</v>
      </c>
      <c r="BC440">
        <f t="shared" si="222"/>
        <v>460</v>
      </c>
      <c r="BD440">
        <f t="shared" si="211"/>
        <v>510</v>
      </c>
      <c r="BE440">
        <f t="shared" si="212"/>
        <v>510</v>
      </c>
      <c r="BF440" s="281">
        <f t="shared" si="223"/>
        <v>0.90196078431372551</v>
      </c>
      <c r="BG440" s="282"/>
      <c r="BH440" s="283"/>
    </row>
    <row r="441" spans="1:60" x14ac:dyDescent="0.3">
      <c r="A441">
        <f t="shared" si="136"/>
        <v>438</v>
      </c>
      <c r="B441" s="241" t="s">
        <v>2499</v>
      </c>
      <c r="C441" s="294" t="s">
        <v>2511</v>
      </c>
      <c r="D441" s="14">
        <v>45857</v>
      </c>
      <c r="E441" s="7">
        <v>45</v>
      </c>
      <c r="F441" s="7"/>
      <c r="G441" s="66"/>
      <c r="H441" s="59"/>
      <c r="I441" s="59">
        <v>480</v>
      </c>
      <c r="J441" s="47">
        <f t="shared" si="213"/>
        <v>480</v>
      </c>
      <c r="K441" s="8">
        <f t="shared" si="214"/>
        <v>435</v>
      </c>
      <c r="L441" s="96">
        <f t="shared" si="195"/>
        <v>0.90625</v>
      </c>
      <c r="M441" s="81">
        <v>1090</v>
      </c>
      <c r="N441" s="8">
        <v>153</v>
      </c>
      <c r="O441" s="8">
        <v>60</v>
      </c>
      <c r="P441" s="96">
        <f t="shared" si="114"/>
        <v>0.98264593193599281</v>
      </c>
      <c r="Q441" s="59">
        <f t="shared" si="149"/>
        <v>1090</v>
      </c>
      <c r="R441" s="252">
        <f t="shared" si="205"/>
        <v>1102</v>
      </c>
      <c r="S441" s="263">
        <v>17</v>
      </c>
      <c r="T441" s="263">
        <v>1</v>
      </c>
      <c r="U441" s="263">
        <v>0</v>
      </c>
      <c r="V441" s="263">
        <v>0</v>
      </c>
      <c r="W441" s="263">
        <v>4</v>
      </c>
      <c r="X441" s="263">
        <v>4</v>
      </c>
      <c r="Y441" s="263">
        <v>1</v>
      </c>
      <c r="Z441" s="263">
        <v>1</v>
      </c>
      <c r="AA441" s="263">
        <v>0</v>
      </c>
      <c r="AB441" s="263">
        <v>9</v>
      </c>
      <c r="AC441" s="263">
        <v>1</v>
      </c>
      <c r="AD441" s="263">
        <v>2</v>
      </c>
      <c r="AE441" s="263"/>
      <c r="AF441" s="263"/>
      <c r="AG441" s="263"/>
      <c r="AH441" s="263"/>
      <c r="AI441" s="263"/>
      <c r="AJ441" s="259"/>
      <c r="AK441" s="263">
        <f t="shared" si="215"/>
        <v>2</v>
      </c>
      <c r="AL441" s="265">
        <f t="shared" si="206"/>
        <v>29</v>
      </c>
      <c r="AM441" s="6">
        <f t="shared" si="216"/>
        <v>2</v>
      </c>
      <c r="AN441" s="255">
        <f t="shared" si="207"/>
        <v>0.98911070780399279</v>
      </c>
      <c r="AO441" s="256">
        <f t="shared" si="208"/>
        <v>0.8808257120149936</v>
      </c>
      <c r="AP441" s="257">
        <f t="shared" si="209"/>
        <v>1814.8820326678765</v>
      </c>
      <c r="AQ441" s="263">
        <f t="shared" si="224"/>
        <v>1.8</v>
      </c>
      <c r="AR441" s="263">
        <f t="shared" si="218"/>
        <v>0.2</v>
      </c>
      <c r="AS441" s="263">
        <f t="shared" si="219"/>
        <v>0.2</v>
      </c>
      <c r="AT441" s="263">
        <f t="shared" si="220"/>
        <v>2.2000000000000002</v>
      </c>
      <c r="AU441" s="263"/>
      <c r="AV441" s="263"/>
      <c r="AW441" s="263"/>
      <c r="AX441" s="263">
        <f t="shared" si="221"/>
        <v>2.2000000000000002</v>
      </c>
      <c r="BA441" s="282">
        <f t="shared" si="210"/>
        <v>427.45098039215685</v>
      </c>
      <c r="BB441">
        <v>1</v>
      </c>
      <c r="BC441">
        <f t="shared" si="222"/>
        <v>427.45098039215685</v>
      </c>
      <c r="BD441">
        <f t="shared" si="211"/>
        <v>435</v>
      </c>
      <c r="BE441">
        <f t="shared" si="212"/>
        <v>480</v>
      </c>
      <c r="BF441" s="281">
        <f t="shared" si="223"/>
        <v>0.89052287581699341</v>
      </c>
      <c r="BG441" s="282"/>
      <c r="BH441" s="283"/>
    </row>
    <row r="442" spans="1:60" x14ac:dyDescent="0.3">
      <c r="A442">
        <f t="shared" si="136"/>
        <v>439</v>
      </c>
      <c r="B442" s="241" t="s">
        <v>2499</v>
      </c>
      <c r="C442" s="294" t="s">
        <v>2512</v>
      </c>
      <c r="D442" s="14">
        <v>45857</v>
      </c>
      <c r="E442" s="7"/>
      <c r="F442" s="7"/>
      <c r="G442" s="66"/>
      <c r="H442" s="59"/>
      <c r="I442" s="59">
        <v>450</v>
      </c>
      <c r="J442" s="47">
        <f t="shared" si="213"/>
        <v>450</v>
      </c>
      <c r="K442" s="8">
        <f t="shared" si="214"/>
        <v>450</v>
      </c>
      <c r="L442" s="96">
        <f t="shared" si="195"/>
        <v>1</v>
      </c>
      <c r="M442" s="81">
        <v>1026</v>
      </c>
      <c r="N442" s="8">
        <v>153</v>
      </c>
      <c r="O442" s="8">
        <v>60</v>
      </c>
      <c r="P442" s="96">
        <f t="shared" si="114"/>
        <v>0.89411764705882357</v>
      </c>
      <c r="Q442" s="59">
        <f t="shared" si="149"/>
        <v>1026</v>
      </c>
      <c r="R442" s="252">
        <f t="shared" si="205"/>
        <v>1048</v>
      </c>
      <c r="S442" s="263">
        <v>61</v>
      </c>
      <c r="T442" s="263">
        <v>1</v>
      </c>
      <c r="U442" s="263">
        <v>0</v>
      </c>
      <c r="V442" s="263">
        <v>0</v>
      </c>
      <c r="W442" s="263">
        <v>12</v>
      </c>
      <c r="X442" s="263">
        <v>11</v>
      </c>
      <c r="Y442" s="263">
        <v>6</v>
      </c>
      <c r="Z442" s="263">
        <v>1</v>
      </c>
      <c r="AA442" s="263">
        <v>0</v>
      </c>
      <c r="AB442" s="263">
        <v>21</v>
      </c>
      <c r="AC442" s="263">
        <v>1</v>
      </c>
      <c r="AD442" s="263">
        <v>0</v>
      </c>
      <c r="AE442" s="263"/>
      <c r="AF442" s="263"/>
      <c r="AG442" s="263"/>
      <c r="AH442" s="263"/>
      <c r="AI442" s="263"/>
      <c r="AJ442" s="259"/>
      <c r="AK442" s="263">
        <f t="shared" si="215"/>
        <v>0</v>
      </c>
      <c r="AL442" s="265">
        <f t="shared" si="206"/>
        <v>29</v>
      </c>
      <c r="AM442" s="6">
        <f t="shared" si="216"/>
        <v>0</v>
      </c>
      <c r="AN442" s="255">
        <f t="shared" si="207"/>
        <v>0.97900763358778631</v>
      </c>
      <c r="AO442" s="256">
        <f t="shared" si="208"/>
        <v>0.87534800179613836</v>
      </c>
      <c r="AP442" s="257">
        <f t="shared" si="209"/>
        <v>0</v>
      </c>
      <c r="AQ442" s="263">
        <f t="shared" si="224"/>
        <v>4.2</v>
      </c>
      <c r="AR442" s="263">
        <f t="shared" si="218"/>
        <v>0.2</v>
      </c>
      <c r="AS442" s="263">
        <f t="shared" si="219"/>
        <v>0</v>
      </c>
      <c r="AT442" s="263">
        <f t="shared" si="220"/>
        <v>4.4000000000000004</v>
      </c>
      <c r="AU442" s="263"/>
      <c r="AV442" s="263"/>
      <c r="AW442" s="263"/>
      <c r="AX442" s="263">
        <f t="shared" si="221"/>
        <v>4.4000000000000004</v>
      </c>
      <c r="BA442" s="282">
        <f t="shared" si="210"/>
        <v>402.35294117647061</v>
      </c>
      <c r="BB442">
        <v>1</v>
      </c>
      <c r="BC442">
        <f t="shared" si="222"/>
        <v>402.35294117647061</v>
      </c>
      <c r="BD442">
        <f t="shared" si="211"/>
        <v>450</v>
      </c>
      <c r="BE442">
        <f t="shared" si="212"/>
        <v>450</v>
      </c>
      <c r="BF442" s="281">
        <f t="shared" si="223"/>
        <v>0.89411764705882357</v>
      </c>
      <c r="BG442" s="282"/>
      <c r="BH442" s="283"/>
    </row>
    <row r="443" spans="1:60" x14ac:dyDescent="0.3">
      <c r="A443">
        <f t="shared" si="136"/>
        <v>440</v>
      </c>
      <c r="B443" s="241" t="s">
        <v>2604</v>
      </c>
      <c r="C443" s="294" t="s">
        <v>2511</v>
      </c>
      <c r="D443" s="14">
        <v>45859</v>
      </c>
      <c r="E443" s="7"/>
      <c r="F443" s="7"/>
      <c r="G443" s="66"/>
      <c r="H443" s="59"/>
      <c r="I443" s="59"/>
      <c r="J443" s="47">
        <f t="shared" si="213"/>
        <v>0</v>
      </c>
      <c r="K443" s="8">
        <f t="shared" si="214"/>
        <v>0</v>
      </c>
      <c r="L443" s="96" t="str">
        <f t="shared" si="195"/>
        <v/>
      </c>
      <c r="M443" s="81"/>
      <c r="N443" s="8">
        <v>153</v>
      </c>
      <c r="O443" s="8">
        <v>60</v>
      </c>
      <c r="P443" s="96" t="str">
        <f t="shared" si="114"/>
        <v/>
      </c>
      <c r="Q443" s="59">
        <f t="shared" si="149"/>
        <v>0</v>
      </c>
      <c r="R443" s="252">
        <f t="shared" si="205"/>
        <v>0</v>
      </c>
      <c r="S443" s="263"/>
      <c r="T443" s="263"/>
      <c r="U443" s="263"/>
      <c r="V443" s="263"/>
      <c r="W443" s="263"/>
      <c r="X443" s="263"/>
      <c r="Y443" s="263"/>
      <c r="Z443" s="263"/>
      <c r="AA443" s="263"/>
      <c r="AB443" s="263"/>
      <c r="AC443" s="263"/>
      <c r="AD443" s="263"/>
      <c r="AE443" s="263"/>
      <c r="AF443" s="263"/>
      <c r="AG443" s="263"/>
      <c r="AH443" s="263"/>
      <c r="AI443" s="263"/>
      <c r="AJ443" s="259"/>
      <c r="AK443" s="263">
        <f t="shared" si="215"/>
        <v>0</v>
      </c>
      <c r="AL443" s="265">
        <f t="shared" si="206"/>
        <v>30</v>
      </c>
      <c r="AM443" s="6">
        <f t="shared" si="216"/>
        <v>0</v>
      </c>
      <c r="AN443" s="255" t="str">
        <f t="shared" si="207"/>
        <v/>
      </c>
      <c r="AO443" s="256" t="str">
        <f t="shared" si="208"/>
        <v/>
      </c>
      <c r="AP443" s="257" t="str">
        <f t="shared" si="209"/>
        <v/>
      </c>
      <c r="AQ443" s="263">
        <f t="shared" si="224"/>
        <v>0</v>
      </c>
      <c r="AR443" s="263">
        <f t="shared" si="218"/>
        <v>0</v>
      </c>
      <c r="AS443" s="263">
        <f t="shared" si="219"/>
        <v>0</v>
      </c>
      <c r="AT443" s="263">
        <f t="shared" si="220"/>
        <v>0</v>
      </c>
      <c r="AU443" s="263"/>
      <c r="AV443" s="263"/>
      <c r="AW443" s="263"/>
      <c r="AX443" s="263">
        <f t="shared" si="221"/>
        <v>0</v>
      </c>
      <c r="BA443" s="282">
        <f t="shared" si="210"/>
        <v>0</v>
      </c>
      <c r="BB443">
        <v>1</v>
      </c>
      <c r="BC443">
        <f t="shared" si="222"/>
        <v>0</v>
      </c>
      <c r="BD443">
        <f t="shared" si="211"/>
        <v>0</v>
      </c>
      <c r="BE443">
        <f t="shared" si="212"/>
        <v>0</v>
      </c>
      <c r="BF443" s="281" t="e">
        <f t="shared" si="223"/>
        <v>#DIV/0!</v>
      </c>
      <c r="BG443" s="282"/>
      <c r="BH443" s="283"/>
    </row>
    <row r="444" spans="1:60" x14ac:dyDescent="0.3">
      <c r="A444">
        <f t="shared" si="136"/>
        <v>441</v>
      </c>
      <c r="B444" s="241" t="s">
        <v>2604</v>
      </c>
      <c r="C444" s="294" t="s">
        <v>2512</v>
      </c>
      <c r="D444" s="14">
        <v>45859</v>
      </c>
      <c r="E444" s="7"/>
      <c r="F444" s="7"/>
      <c r="G444" s="66"/>
      <c r="H444" s="59"/>
      <c r="I444" s="59"/>
      <c r="J444" s="47">
        <f t="shared" si="213"/>
        <v>0</v>
      </c>
      <c r="K444" s="8">
        <f t="shared" si="214"/>
        <v>0</v>
      </c>
      <c r="L444" s="96" t="str">
        <f t="shared" si="195"/>
        <v/>
      </c>
      <c r="M444" s="81"/>
      <c r="N444" s="8">
        <v>153</v>
      </c>
      <c r="O444" s="8">
        <v>60</v>
      </c>
      <c r="P444" s="96" t="str">
        <f t="shared" si="114"/>
        <v/>
      </c>
      <c r="Q444" s="59">
        <f t="shared" si="149"/>
        <v>0</v>
      </c>
      <c r="R444" s="252">
        <f t="shared" si="205"/>
        <v>0</v>
      </c>
      <c r="S444" s="263"/>
      <c r="T444" s="263"/>
      <c r="U444" s="263"/>
      <c r="V444" s="263"/>
      <c r="W444" s="263"/>
      <c r="X444" s="263"/>
      <c r="Y444" s="263"/>
      <c r="Z444" s="263"/>
      <c r="AA444" s="263"/>
      <c r="AB444" s="263"/>
      <c r="AC444" s="263"/>
      <c r="AD444" s="263"/>
      <c r="AE444" s="263"/>
      <c r="AF444" s="263"/>
      <c r="AG444" s="263"/>
      <c r="AH444" s="263"/>
      <c r="AI444" s="263"/>
      <c r="AJ444" s="259"/>
      <c r="AK444" s="263">
        <f t="shared" si="215"/>
        <v>0</v>
      </c>
      <c r="AL444" s="265">
        <f t="shared" si="206"/>
        <v>30</v>
      </c>
      <c r="AM444" s="6">
        <f t="shared" si="216"/>
        <v>0</v>
      </c>
      <c r="AN444" s="255" t="str">
        <f t="shared" si="207"/>
        <v/>
      </c>
      <c r="AO444" s="256" t="str">
        <f t="shared" si="208"/>
        <v/>
      </c>
      <c r="AP444" s="257" t="str">
        <f t="shared" si="209"/>
        <v/>
      </c>
      <c r="AQ444" s="263">
        <f t="shared" si="224"/>
        <v>0</v>
      </c>
      <c r="AR444" s="263">
        <f t="shared" si="218"/>
        <v>0</v>
      </c>
      <c r="AS444" s="263">
        <f t="shared" si="219"/>
        <v>0</v>
      </c>
      <c r="AT444" s="263">
        <f t="shared" si="220"/>
        <v>0</v>
      </c>
      <c r="AU444" s="263"/>
      <c r="AV444" s="263"/>
      <c r="AW444" s="263"/>
      <c r="AX444" s="263">
        <f t="shared" si="221"/>
        <v>0</v>
      </c>
      <c r="BA444" s="282">
        <f t="shared" si="210"/>
        <v>0</v>
      </c>
      <c r="BB444">
        <v>1</v>
      </c>
      <c r="BC444">
        <f t="shared" si="222"/>
        <v>0</v>
      </c>
      <c r="BD444">
        <f t="shared" si="211"/>
        <v>0</v>
      </c>
      <c r="BE444">
        <f t="shared" si="212"/>
        <v>0</v>
      </c>
      <c r="BF444" s="281" t="e">
        <f t="shared" si="223"/>
        <v>#DIV/0!</v>
      </c>
      <c r="BG444" s="282"/>
      <c r="BH444" s="283"/>
    </row>
    <row r="445" spans="1:60" x14ac:dyDescent="0.3">
      <c r="A445">
        <f t="shared" si="136"/>
        <v>442</v>
      </c>
      <c r="B445" s="241" t="s">
        <v>2604</v>
      </c>
      <c r="C445" s="294" t="s">
        <v>2513</v>
      </c>
      <c r="D445" s="14">
        <v>45859</v>
      </c>
      <c r="E445" s="7"/>
      <c r="F445" s="7"/>
      <c r="G445" s="66"/>
      <c r="H445" s="59"/>
      <c r="I445" s="59"/>
      <c r="J445" s="47">
        <f t="shared" si="213"/>
        <v>0</v>
      </c>
      <c r="K445" s="8">
        <f t="shared" si="214"/>
        <v>0</v>
      </c>
      <c r="L445" s="96" t="str">
        <f t="shared" si="195"/>
        <v/>
      </c>
      <c r="M445" s="81"/>
      <c r="N445" s="8">
        <v>153</v>
      </c>
      <c r="O445" s="8">
        <v>60</v>
      </c>
      <c r="P445" s="96" t="str">
        <f t="shared" si="114"/>
        <v/>
      </c>
      <c r="Q445" s="59">
        <f t="shared" si="149"/>
        <v>0</v>
      </c>
      <c r="R445" s="252">
        <f t="shared" si="205"/>
        <v>0</v>
      </c>
      <c r="S445" s="263"/>
      <c r="T445" s="263"/>
      <c r="U445" s="263"/>
      <c r="V445" s="263"/>
      <c r="W445" s="263"/>
      <c r="X445" s="263"/>
      <c r="Y445" s="263"/>
      <c r="Z445" s="263"/>
      <c r="AA445" s="263"/>
      <c r="AB445" s="263"/>
      <c r="AC445" s="263"/>
      <c r="AD445" s="263"/>
      <c r="AE445" s="263"/>
      <c r="AF445" s="263"/>
      <c r="AG445" s="263"/>
      <c r="AH445" s="263"/>
      <c r="AI445" s="263"/>
      <c r="AJ445" s="259"/>
      <c r="AK445" s="263">
        <f t="shared" si="215"/>
        <v>0</v>
      </c>
      <c r="AL445" s="265">
        <f t="shared" si="206"/>
        <v>30</v>
      </c>
      <c r="AM445" s="6">
        <f t="shared" si="216"/>
        <v>0</v>
      </c>
      <c r="AN445" s="255" t="str">
        <f t="shared" si="207"/>
        <v/>
      </c>
      <c r="AO445" s="256" t="str">
        <f t="shared" si="208"/>
        <v/>
      </c>
      <c r="AP445" s="257" t="str">
        <f t="shared" si="209"/>
        <v/>
      </c>
      <c r="AQ445" s="263">
        <f t="shared" si="224"/>
        <v>0</v>
      </c>
      <c r="AR445" s="263">
        <f t="shared" si="218"/>
        <v>0</v>
      </c>
      <c r="AS445" s="263">
        <f t="shared" si="219"/>
        <v>0</v>
      </c>
      <c r="AT445" s="263">
        <f t="shared" si="220"/>
        <v>0</v>
      </c>
      <c r="AU445" s="263"/>
      <c r="AV445" s="263"/>
      <c r="AW445" s="263"/>
      <c r="AX445" s="263">
        <f t="shared" si="221"/>
        <v>0</v>
      </c>
      <c r="BA445" s="282">
        <f t="shared" si="210"/>
        <v>0</v>
      </c>
      <c r="BB445">
        <v>1</v>
      </c>
      <c r="BC445">
        <f t="shared" si="222"/>
        <v>0</v>
      </c>
      <c r="BD445">
        <f t="shared" si="211"/>
        <v>0</v>
      </c>
      <c r="BE445">
        <f t="shared" si="212"/>
        <v>0</v>
      </c>
      <c r="BF445" s="281" t="e">
        <f t="shared" si="223"/>
        <v>#DIV/0!</v>
      </c>
      <c r="BG445" s="282"/>
      <c r="BH445" s="283"/>
    </row>
    <row r="446" spans="1:60" x14ac:dyDescent="0.3">
      <c r="A446">
        <f t="shared" si="136"/>
        <v>443</v>
      </c>
      <c r="B446" s="335" t="s">
        <v>2604</v>
      </c>
      <c r="C446" s="336" t="s">
        <v>2511</v>
      </c>
      <c r="D446" s="14">
        <v>45860</v>
      </c>
      <c r="E446" s="7"/>
      <c r="F446" s="7"/>
      <c r="G446" s="66"/>
      <c r="H446" s="59"/>
      <c r="I446" s="59">
        <v>480</v>
      </c>
      <c r="J446" s="47">
        <f t="shared" si="213"/>
        <v>480</v>
      </c>
      <c r="K446" s="8">
        <f t="shared" si="214"/>
        <v>480</v>
      </c>
      <c r="L446" s="96">
        <f t="shared" si="195"/>
        <v>1</v>
      </c>
      <c r="M446" s="81">
        <v>332</v>
      </c>
      <c r="N446" s="8">
        <v>153</v>
      </c>
      <c r="O446" s="8">
        <v>60</v>
      </c>
      <c r="P446" s="96">
        <f t="shared" si="114"/>
        <v>0.27124183006535946</v>
      </c>
      <c r="Q446" s="59">
        <f t="shared" si="149"/>
        <v>332</v>
      </c>
      <c r="R446" s="252">
        <f t="shared" si="205"/>
        <v>332</v>
      </c>
      <c r="S446" s="263"/>
      <c r="T446" s="263"/>
      <c r="U446" s="263"/>
      <c r="V446" s="263"/>
      <c r="W446" s="263"/>
      <c r="X446" s="263"/>
      <c r="Y446" s="263"/>
      <c r="Z446" s="263"/>
      <c r="AA446" s="263"/>
      <c r="AB446" s="263"/>
      <c r="AC446" s="263"/>
      <c r="AD446" s="263"/>
      <c r="AE446" s="263"/>
      <c r="AF446" s="263"/>
      <c r="AG446" s="263"/>
      <c r="AH446" s="263"/>
      <c r="AI446" s="263"/>
      <c r="AJ446" s="259"/>
      <c r="AK446" s="263">
        <f t="shared" si="215"/>
        <v>0</v>
      </c>
      <c r="AL446" s="265">
        <f t="shared" si="206"/>
        <v>30</v>
      </c>
      <c r="AM446" s="6">
        <f t="shared" si="216"/>
        <v>0</v>
      </c>
      <c r="AN446" s="255">
        <f t="shared" si="207"/>
        <v>1</v>
      </c>
      <c r="AO446" s="256">
        <f t="shared" si="208"/>
        <v>0.27124183006535946</v>
      </c>
      <c r="AP446" s="257">
        <f t="shared" si="209"/>
        <v>0</v>
      </c>
      <c r="AQ446" s="263">
        <f t="shared" si="224"/>
        <v>0</v>
      </c>
      <c r="AR446" s="263">
        <f t="shared" si="218"/>
        <v>0</v>
      </c>
      <c r="AS446" s="263">
        <f t="shared" si="219"/>
        <v>0</v>
      </c>
      <c r="AT446" s="263">
        <f t="shared" si="220"/>
        <v>0</v>
      </c>
      <c r="AU446" s="263"/>
      <c r="AV446" s="263"/>
      <c r="AW446" s="263"/>
      <c r="AX446" s="263">
        <f t="shared" si="221"/>
        <v>0</v>
      </c>
      <c r="BA446" s="282">
        <f t="shared" si="210"/>
        <v>130.19607843137254</v>
      </c>
      <c r="BB446">
        <v>1</v>
      </c>
      <c r="BC446">
        <f t="shared" si="222"/>
        <v>130.19607843137254</v>
      </c>
      <c r="BD446">
        <f t="shared" si="211"/>
        <v>480</v>
      </c>
      <c r="BE446">
        <f t="shared" si="212"/>
        <v>480</v>
      </c>
      <c r="BF446" s="281">
        <f t="shared" si="223"/>
        <v>0.27124183006535946</v>
      </c>
      <c r="BG446" s="282"/>
      <c r="BH446" s="283"/>
    </row>
    <row r="447" spans="1:60" x14ac:dyDescent="0.3">
      <c r="A447">
        <f t="shared" si="136"/>
        <v>444</v>
      </c>
      <c r="B447" s="335" t="s">
        <v>2604</v>
      </c>
      <c r="C447" s="336" t="s">
        <v>2512</v>
      </c>
      <c r="D447" s="14">
        <v>45860</v>
      </c>
      <c r="E447" s="7"/>
      <c r="F447" s="7"/>
      <c r="G447" s="66"/>
      <c r="H447" s="59"/>
      <c r="I447" s="59">
        <v>450</v>
      </c>
      <c r="J447" s="47">
        <f t="shared" si="213"/>
        <v>450</v>
      </c>
      <c r="K447" s="8">
        <f t="shared" si="214"/>
        <v>450</v>
      </c>
      <c r="L447" s="96">
        <f t="shared" si="195"/>
        <v>1</v>
      </c>
      <c r="M447" s="81">
        <v>365</v>
      </c>
      <c r="N447" s="8">
        <v>153</v>
      </c>
      <c r="O447" s="8">
        <v>60</v>
      </c>
      <c r="P447" s="96">
        <f t="shared" si="114"/>
        <v>0.31808278867102396</v>
      </c>
      <c r="Q447" s="59">
        <f t="shared" si="149"/>
        <v>365</v>
      </c>
      <c r="R447" s="252">
        <f t="shared" si="205"/>
        <v>402</v>
      </c>
      <c r="S447" s="263">
        <v>11</v>
      </c>
      <c r="T447" s="263">
        <v>3</v>
      </c>
      <c r="U447" s="263">
        <v>0</v>
      </c>
      <c r="V447" s="263">
        <v>0</v>
      </c>
      <c r="W447" s="263">
        <v>6</v>
      </c>
      <c r="X447" s="263">
        <v>1</v>
      </c>
      <c r="Y447" s="263">
        <v>1</v>
      </c>
      <c r="Z447" s="263">
        <v>37</v>
      </c>
      <c r="AA447" s="263">
        <v>0</v>
      </c>
      <c r="AB447" s="263">
        <v>27</v>
      </c>
      <c r="AC447" s="263">
        <v>5</v>
      </c>
      <c r="AD447" s="263">
        <v>5</v>
      </c>
      <c r="AE447" s="263"/>
      <c r="AF447" s="263"/>
      <c r="AG447" s="263"/>
      <c r="AH447" s="263"/>
      <c r="AI447" s="263"/>
      <c r="AJ447" s="259">
        <v>21</v>
      </c>
      <c r="AK447" s="263">
        <f t="shared" si="215"/>
        <v>5</v>
      </c>
      <c r="AL447" s="265">
        <f t="shared" si="206"/>
        <v>30</v>
      </c>
      <c r="AM447" s="6">
        <f t="shared" si="216"/>
        <v>5</v>
      </c>
      <c r="AN447" s="255">
        <f t="shared" si="207"/>
        <v>0.90796019900497515</v>
      </c>
      <c r="AO447" s="256">
        <f t="shared" si="208"/>
        <v>0.28880651210180036</v>
      </c>
      <c r="AP447" s="257">
        <f t="shared" si="209"/>
        <v>12437.810945273632</v>
      </c>
      <c r="AQ447" s="263">
        <f t="shared" si="224"/>
        <v>5.4</v>
      </c>
      <c r="AR447" s="263">
        <f t="shared" si="218"/>
        <v>1</v>
      </c>
      <c r="AS447" s="263">
        <f t="shared" si="219"/>
        <v>0.5</v>
      </c>
      <c r="AT447" s="263">
        <f t="shared" si="220"/>
        <v>6.9</v>
      </c>
      <c r="AU447" s="263"/>
      <c r="AV447" s="263"/>
      <c r="AW447" s="263"/>
      <c r="AX447" s="263">
        <f t="shared" si="221"/>
        <v>6.9</v>
      </c>
      <c r="BA447" s="282">
        <f t="shared" si="210"/>
        <v>143.13725490196077</v>
      </c>
      <c r="BB447">
        <v>1</v>
      </c>
      <c r="BC447">
        <f t="shared" si="222"/>
        <v>143.13725490196077</v>
      </c>
      <c r="BD447">
        <f t="shared" si="211"/>
        <v>450</v>
      </c>
      <c r="BE447">
        <f t="shared" si="212"/>
        <v>450</v>
      </c>
      <c r="BF447" s="281">
        <f t="shared" si="223"/>
        <v>0.31808278867102396</v>
      </c>
      <c r="BG447" s="282"/>
      <c r="BH447" s="283"/>
    </row>
    <row r="448" spans="1:60" x14ac:dyDescent="0.3">
      <c r="A448">
        <f t="shared" si="136"/>
        <v>445</v>
      </c>
      <c r="B448" s="338" t="s">
        <v>2607</v>
      </c>
      <c r="C448" s="294" t="s">
        <v>2513</v>
      </c>
      <c r="D448" s="14">
        <v>45860</v>
      </c>
      <c r="E448" s="7"/>
      <c r="F448" s="7"/>
      <c r="G448" s="66"/>
      <c r="H448" s="59"/>
      <c r="I448" s="59">
        <v>510</v>
      </c>
      <c r="J448" s="47">
        <f t="shared" si="213"/>
        <v>510</v>
      </c>
      <c r="K448" s="8">
        <f t="shared" si="214"/>
        <v>510</v>
      </c>
      <c r="L448" s="96">
        <f t="shared" si="195"/>
        <v>1</v>
      </c>
      <c r="M448" s="81">
        <f>9+22</f>
        <v>31</v>
      </c>
      <c r="N448" s="8">
        <v>153</v>
      </c>
      <c r="O448" s="8">
        <v>60</v>
      </c>
      <c r="P448" s="96">
        <f t="shared" si="114"/>
        <v>2.3836985774702037E-2</v>
      </c>
      <c r="Q448" s="59">
        <f t="shared" si="149"/>
        <v>31</v>
      </c>
      <c r="R448" s="252">
        <f t="shared" ref="R448:R511" si="225">+Q448+AB448+AC448+AD448</f>
        <v>31</v>
      </c>
      <c r="S448" s="263"/>
      <c r="T448" s="263"/>
      <c r="U448" s="263"/>
      <c r="V448" s="263"/>
      <c r="W448" s="263"/>
      <c r="X448" s="263"/>
      <c r="Y448" s="263"/>
      <c r="Z448" s="263"/>
      <c r="AA448" s="263"/>
      <c r="AB448" s="263"/>
      <c r="AC448" s="263"/>
      <c r="AD448" s="263"/>
      <c r="AE448" s="263"/>
      <c r="AF448" s="263"/>
      <c r="AG448" s="263"/>
      <c r="AH448" s="263"/>
      <c r="AI448" s="263"/>
      <c r="AJ448" s="259"/>
      <c r="AK448" s="263">
        <f t="shared" si="215"/>
        <v>0</v>
      </c>
      <c r="AL448" s="265">
        <f t="shared" si="206"/>
        <v>30</v>
      </c>
      <c r="AM448" s="6">
        <f t="shared" si="216"/>
        <v>0</v>
      </c>
      <c r="AN448" s="255">
        <f t="shared" si="207"/>
        <v>1</v>
      </c>
      <c r="AO448" s="256">
        <f t="shared" si="208"/>
        <v>2.3836985774702037E-2</v>
      </c>
      <c r="AP448" s="257">
        <f t="shared" si="209"/>
        <v>0</v>
      </c>
      <c r="AQ448" s="263">
        <f t="shared" si="224"/>
        <v>0</v>
      </c>
      <c r="AR448" s="263">
        <f t="shared" si="218"/>
        <v>0</v>
      </c>
      <c r="AS448" s="263">
        <f t="shared" si="219"/>
        <v>0</v>
      </c>
      <c r="AT448" s="263">
        <f t="shared" si="220"/>
        <v>0</v>
      </c>
      <c r="AU448" s="263"/>
      <c r="AV448" s="263"/>
      <c r="AW448" s="263"/>
      <c r="AX448" s="263">
        <f t="shared" si="221"/>
        <v>0</v>
      </c>
      <c r="BA448" s="282">
        <f t="shared" si="210"/>
        <v>12.156862745098039</v>
      </c>
      <c r="BB448">
        <v>1</v>
      </c>
      <c r="BC448">
        <f t="shared" si="222"/>
        <v>12.156862745098039</v>
      </c>
      <c r="BD448">
        <f t="shared" si="211"/>
        <v>510</v>
      </c>
      <c r="BE448">
        <f t="shared" si="212"/>
        <v>510</v>
      </c>
      <c r="BF448" s="281">
        <f t="shared" si="223"/>
        <v>2.3836985774702037E-2</v>
      </c>
      <c r="BG448" s="282"/>
      <c r="BH448" s="283"/>
    </row>
    <row r="449" spans="1:60" x14ac:dyDescent="0.3">
      <c r="A449">
        <f t="shared" si="136"/>
        <v>446</v>
      </c>
      <c r="B449" s="335" t="s">
        <v>2605</v>
      </c>
      <c r="C449" s="336" t="s">
        <v>2511</v>
      </c>
      <c r="D449" s="14">
        <v>45861</v>
      </c>
      <c r="E449" s="7"/>
      <c r="F449" s="7"/>
      <c r="G449" s="66"/>
      <c r="H449" s="59"/>
      <c r="I449" s="59">
        <v>480</v>
      </c>
      <c r="J449" s="47">
        <f t="shared" si="213"/>
        <v>480</v>
      </c>
      <c r="K449" s="8">
        <f t="shared" si="214"/>
        <v>480</v>
      </c>
      <c r="L449" s="96">
        <f t="shared" si="195"/>
        <v>1</v>
      </c>
      <c r="M449" s="81">
        <v>89</v>
      </c>
      <c r="N449" s="8">
        <v>153</v>
      </c>
      <c r="O449" s="8">
        <v>60</v>
      </c>
      <c r="P449" s="96">
        <f t="shared" si="114"/>
        <v>7.27124183006536E-2</v>
      </c>
      <c r="Q449" s="59">
        <f t="shared" si="149"/>
        <v>89</v>
      </c>
      <c r="R449" s="252">
        <f t="shared" si="225"/>
        <v>113</v>
      </c>
      <c r="S449" s="263">
        <v>1</v>
      </c>
      <c r="T449" s="263">
        <v>0</v>
      </c>
      <c r="U449" s="263">
        <v>0</v>
      </c>
      <c r="V449" s="263">
        <v>0</v>
      </c>
      <c r="W449" s="263">
        <v>0</v>
      </c>
      <c r="X449" s="263">
        <v>0</v>
      </c>
      <c r="Y449" s="263">
        <v>0</v>
      </c>
      <c r="Z449" s="263">
        <v>6</v>
      </c>
      <c r="AA449" s="263">
        <v>0</v>
      </c>
      <c r="AB449" s="263">
        <v>15</v>
      </c>
      <c r="AC449" s="263">
        <v>8</v>
      </c>
      <c r="AD449" s="263">
        <v>1</v>
      </c>
      <c r="AE449" s="263"/>
      <c r="AF449" s="263"/>
      <c r="AG449" s="263"/>
      <c r="AH449" s="263"/>
      <c r="AI449" s="263"/>
      <c r="AJ449" s="259">
        <v>3</v>
      </c>
      <c r="AK449" s="263">
        <f t="shared" si="215"/>
        <v>1</v>
      </c>
      <c r="AL449" s="265">
        <f t="shared" si="206"/>
        <v>30</v>
      </c>
      <c r="AM449" s="6">
        <f t="shared" si="216"/>
        <v>1</v>
      </c>
      <c r="AN449" s="255">
        <f t="shared" si="207"/>
        <v>0.78761061946902655</v>
      </c>
      <c r="AO449" s="256">
        <f t="shared" si="208"/>
        <v>5.7269072820868766E-2</v>
      </c>
      <c r="AP449" s="257">
        <f t="shared" si="209"/>
        <v>8849.5575221238942</v>
      </c>
      <c r="AQ449" s="263">
        <f t="shared" si="224"/>
        <v>3</v>
      </c>
      <c r="AR449" s="263">
        <f t="shared" si="218"/>
        <v>1.6</v>
      </c>
      <c r="AS449" s="263">
        <f t="shared" si="219"/>
        <v>0.1</v>
      </c>
      <c r="AT449" s="263">
        <f t="shared" si="220"/>
        <v>4.6999999999999993</v>
      </c>
      <c r="AU449" s="263"/>
      <c r="AV449" s="263"/>
      <c r="AW449" s="263"/>
      <c r="AX449" s="263">
        <f t="shared" si="221"/>
        <v>4.6999999999999993</v>
      </c>
      <c r="BA449" s="282">
        <f t="shared" si="210"/>
        <v>34.901960784313729</v>
      </c>
      <c r="BB449">
        <v>1</v>
      </c>
      <c r="BC449">
        <f t="shared" si="222"/>
        <v>34.901960784313729</v>
      </c>
      <c r="BD449">
        <f t="shared" si="211"/>
        <v>480</v>
      </c>
      <c r="BE449">
        <f t="shared" si="212"/>
        <v>480</v>
      </c>
      <c r="BF449" s="281">
        <f t="shared" si="223"/>
        <v>7.27124183006536E-2</v>
      </c>
      <c r="BG449" s="282"/>
      <c r="BH449" s="283"/>
    </row>
    <row r="450" spans="1:60" x14ac:dyDescent="0.3">
      <c r="A450">
        <f t="shared" si="136"/>
        <v>447</v>
      </c>
      <c r="B450" s="241" t="s">
        <v>2605</v>
      </c>
      <c r="C450" s="294" t="s">
        <v>2512</v>
      </c>
      <c r="D450" s="14">
        <v>45861</v>
      </c>
      <c r="E450" s="7"/>
      <c r="F450" s="7"/>
      <c r="G450" s="66"/>
      <c r="H450" s="59"/>
      <c r="I450" s="59">
        <v>450</v>
      </c>
      <c r="J450" s="47">
        <f t="shared" si="213"/>
        <v>450</v>
      </c>
      <c r="K450" s="8">
        <f t="shared" si="214"/>
        <v>450</v>
      </c>
      <c r="L450" s="96">
        <f t="shared" si="195"/>
        <v>1</v>
      </c>
      <c r="M450" s="81">
        <v>626</v>
      </c>
      <c r="N450" s="8">
        <v>153</v>
      </c>
      <c r="O450" s="8">
        <v>60</v>
      </c>
      <c r="P450" s="96">
        <f t="shared" si="114"/>
        <v>0.54553376906318074</v>
      </c>
      <c r="Q450" s="59">
        <f t="shared" si="149"/>
        <v>626</v>
      </c>
      <c r="R450" s="252">
        <f t="shared" si="225"/>
        <v>673</v>
      </c>
      <c r="S450" s="263">
        <v>4</v>
      </c>
      <c r="T450" s="263">
        <v>0</v>
      </c>
      <c r="U450" s="263">
        <v>0</v>
      </c>
      <c r="V450" s="263">
        <v>0</v>
      </c>
      <c r="W450" s="263">
        <v>0</v>
      </c>
      <c r="X450" s="263">
        <v>0</v>
      </c>
      <c r="Y450" s="263">
        <v>0</v>
      </c>
      <c r="Z450" s="263">
        <v>70</v>
      </c>
      <c r="AA450" s="263">
        <v>0</v>
      </c>
      <c r="AB450" s="263">
        <v>20</v>
      </c>
      <c r="AC450" s="263">
        <v>26</v>
      </c>
      <c r="AD450" s="263">
        <v>1</v>
      </c>
      <c r="AE450" s="263"/>
      <c r="AF450" s="263"/>
      <c r="AG450" s="263"/>
      <c r="AH450" s="263"/>
      <c r="AI450" s="263"/>
      <c r="AJ450" s="259">
        <v>10</v>
      </c>
      <c r="AK450" s="263">
        <f t="shared" si="215"/>
        <v>1</v>
      </c>
      <c r="AL450" s="265">
        <f t="shared" si="206"/>
        <v>30</v>
      </c>
      <c r="AM450" s="6">
        <f t="shared" si="216"/>
        <v>1</v>
      </c>
      <c r="AN450" s="255">
        <f t="shared" si="207"/>
        <v>0.93016344725111444</v>
      </c>
      <c r="AO450" s="256">
        <f t="shared" si="208"/>
        <v>0.50743557122370153</v>
      </c>
      <c r="AP450" s="257">
        <f t="shared" si="209"/>
        <v>1485.8841010401188</v>
      </c>
      <c r="AQ450" s="263">
        <f t="shared" si="224"/>
        <v>4</v>
      </c>
      <c r="AR450" s="263">
        <f t="shared" si="218"/>
        <v>5.2</v>
      </c>
      <c r="AS450" s="263">
        <f t="shared" si="219"/>
        <v>0.1</v>
      </c>
      <c r="AT450" s="263">
        <f t="shared" si="220"/>
        <v>9.2999999999999989</v>
      </c>
      <c r="AU450" s="263"/>
      <c r="AV450" s="263"/>
      <c r="AW450" s="263"/>
      <c r="AX450" s="263">
        <f t="shared" si="221"/>
        <v>9.2999999999999989</v>
      </c>
      <c r="BA450" s="282">
        <f t="shared" si="210"/>
        <v>245.49019607843135</v>
      </c>
      <c r="BB450">
        <v>1</v>
      </c>
      <c r="BC450">
        <f t="shared" si="222"/>
        <v>245.49019607843135</v>
      </c>
      <c r="BD450">
        <f t="shared" si="211"/>
        <v>450</v>
      </c>
      <c r="BE450">
        <f t="shared" si="212"/>
        <v>450</v>
      </c>
      <c r="BF450" s="281">
        <f t="shared" si="223"/>
        <v>0.54553376906318074</v>
      </c>
      <c r="BG450" s="282"/>
      <c r="BH450" s="283"/>
    </row>
    <row r="451" spans="1:60" x14ac:dyDescent="0.3">
      <c r="A451">
        <f t="shared" si="136"/>
        <v>448</v>
      </c>
      <c r="B451" s="338" t="s">
        <v>2608</v>
      </c>
      <c r="C451" s="294" t="s">
        <v>2513</v>
      </c>
      <c r="D451" s="14">
        <v>45861</v>
      </c>
      <c r="E451" s="7"/>
      <c r="F451" s="7"/>
      <c r="G451" s="66"/>
      <c r="H451" s="59"/>
      <c r="I451" s="59">
        <v>510</v>
      </c>
      <c r="J451" s="47">
        <f t="shared" si="213"/>
        <v>510</v>
      </c>
      <c r="K451" s="8">
        <f t="shared" si="214"/>
        <v>510</v>
      </c>
      <c r="L451" s="96">
        <f t="shared" si="195"/>
        <v>1</v>
      </c>
      <c r="M451" s="81">
        <v>20</v>
      </c>
      <c r="N451" s="8">
        <v>153</v>
      </c>
      <c r="O451" s="8">
        <v>60</v>
      </c>
      <c r="P451" s="96">
        <f t="shared" si="114"/>
        <v>1.5378700499807767E-2</v>
      </c>
      <c r="Q451" s="59">
        <f t="shared" si="149"/>
        <v>20</v>
      </c>
      <c r="R451" s="252">
        <f t="shared" si="225"/>
        <v>20</v>
      </c>
      <c r="S451" s="263"/>
      <c r="T451" s="263"/>
      <c r="U451" s="263"/>
      <c r="V451" s="263"/>
      <c r="W451" s="263"/>
      <c r="X451" s="263"/>
      <c r="Y451" s="263"/>
      <c r="Z451" s="263"/>
      <c r="AA451" s="263"/>
      <c r="AB451" s="263"/>
      <c r="AC451" s="263"/>
      <c r="AD451" s="263"/>
      <c r="AE451" s="263"/>
      <c r="AF451" s="263"/>
      <c r="AG451" s="263"/>
      <c r="AH451" s="263"/>
      <c r="AI451" s="263"/>
      <c r="AJ451" s="259"/>
      <c r="AK451" s="263">
        <f t="shared" si="215"/>
        <v>0</v>
      </c>
      <c r="AL451" s="265">
        <f t="shared" ref="AL451:AL514" si="226">WEEKNUM(D451,21)</f>
        <v>30</v>
      </c>
      <c r="AM451" s="6">
        <f t="shared" si="216"/>
        <v>0</v>
      </c>
      <c r="AN451" s="255">
        <f t="shared" ref="AN451:AN514" si="227">IFERROR(Q451/R451,"")</f>
        <v>1</v>
      </c>
      <c r="AO451" s="256">
        <f t="shared" ref="AO451:AO514" si="228">IFERROR(AN451*P451*L451,"")</f>
        <v>1.5378700499807767E-2</v>
      </c>
      <c r="AP451" s="257">
        <f t="shared" ref="AP451:AP514" si="229">IFERROR(AM451/R451*1000000,"")</f>
        <v>0</v>
      </c>
      <c r="AQ451" s="263">
        <f t="shared" si="224"/>
        <v>0</v>
      </c>
      <c r="AR451" s="263">
        <f t="shared" si="218"/>
        <v>0</v>
      </c>
      <c r="AS451" s="263">
        <f t="shared" si="219"/>
        <v>0</v>
      </c>
      <c r="AT451" s="263">
        <f t="shared" si="220"/>
        <v>0</v>
      </c>
      <c r="AU451" s="263"/>
      <c r="AV451" s="263"/>
      <c r="AW451" s="263"/>
      <c r="AX451" s="263">
        <f t="shared" si="221"/>
        <v>0</v>
      </c>
      <c r="BA451" s="282">
        <f t="shared" ref="BA451:BA514" si="230">IFERROR(M451/N451*60,"")</f>
        <v>7.8431372549019613</v>
      </c>
      <c r="BB451">
        <v>1</v>
      </c>
      <c r="BC451">
        <f t="shared" si="222"/>
        <v>7.8431372549019613</v>
      </c>
      <c r="BD451">
        <f t="shared" ref="BD451:BD514" si="231">IFERROR(BB451*K451,"")</f>
        <v>510</v>
      </c>
      <c r="BE451">
        <f t="shared" ref="BE451:BE514" si="232">J451*BB451</f>
        <v>510</v>
      </c>
      <c r="BF451" s="281">
        <f t="shared" si="223"/>
        <v>1.5378700499807767E-2</v>
      </c>
      <c r="BG451" s="282"/>
      <c r="BH451" s="283"/>
    </row>
    <row r="452" spans="1:60" x14ac:dyDescent="0.3">
      <c r="A452">
        <f t="shared" si="136"/>
        <v>449</v>
      </c>
      <c r="B452" s="335" t="s">
        <v>2552</v>
      </c>
      <c r="C452" s="294" t="s">
        <v>2511</v>
      </c>
      <c r="D452" s="14">
        <v>45862</v>
      </c>
      <c r="E452" s="7">
        <v>420</v>
      </c>
      <c r="F452" s="7"/>
      <c r="G452" s="66"/>
      <c r="H452" s="59"/>
      <c r="I452" s="59">
        <v>480</v>
      </c>
      <c r="J452" s="47">
        <f t="shared" si="213"/>
        <v>480</v>
      </c>
      <c r="K452" s="8">
        <f t="shared" si="214"/>
        <v>60</v>
      </c>
      <c r="L452" s="96">
        <f t="shared" si="195"/>
        <v>0.125</v>
      </c>
      <c r="M452" s="81">
        <v>39</v>
      </c>
      <c r="N452" s="8">
        <v>153</v>
      </c>
      <c r="O452" s="8">
        <v>60</v>
      </c>
      <c r="P452" s="96">
        <f t="shared" si="114"/>
        <v>0.25490196078431371</v>
      </c>
      <c r="Q452" s="59">
        <f>M452</f>
        <v>39</v>
      </c>
      <c r="R452" s="252">
        <f t="shared" si="225"/>
        <v>75</v>
      </c>
      <c r="S452" s="263">
        <v>5</v>
      </c>
      <c r="T452" s="263">
        <v>1</v>
      </c>
      <c r="U452" s="263">
        <v>5</v>
      </c>
      <c r="V452" s="263">
        <v>0</v>
      </c>
      <c r="W452" s="263">
        <v>0</v>
      </c>
      <c r="X452" s="263">
        <v>0</v>
      </c>
      <c r="Y452" s="263">
        <v>3</v>
      </c>
      <c r="Z452" s="263">
        <v>30</v>
      </c>
      <c r="AA452" s="263">
        <v>0</v>
      </c>
      <c r="AB452" s="263">
        <v>24</v>
      </c>
      <c r="AC452" s="263">
        <v>7</v>
      </c>
      <c r="AD452" s="263">
        <v>5</v>
      </c>
      <c r="AE452" s="263"/>
      <c r="AF452" s="263"/>
      <c r="AG452" s="263"/>
      <c r="AH452" s="263"/>
      <c r="AI452" s="263"/>
      <c r="AJ452" s="259"/>
      <c r="AK452" s="263">
        <f t="shared" si="215"/>
        <v>5</v>
      </c>
      <c r="AL452" s="265">
        <f t="shared" si="226"/>
        <v>30</v>
      </c>
      <c r="AM452" s="6">
        <f t="shared" si="216"/>
        <v>5</v>
      </c>
      <c r="AN452" s="255">
        <f t="shared" si="227"/>
        <v>0.52</v>
      </c>
      <c r="AO452" s="256">
        <f t="shared" si="228"/>
        <v>1.6568627450980391E-2</v>
      </c>
      <c r="AP452" s="257">
        <f t="shared" si="229"/>
        <v>66666.666666666672</v>
      </c>
      <c r="AQ452" s="263">
        <f t="shared" si="224"/>
        <v>4.8000000000000007</v>
      </c>
      <c r="AR452" s="263">
        <f t="shared" si="218"/>
        <v>1.4000000000000001</v>
      </c>
      <c r="AS452" s="263">
        <f t="shared" si="219"/>
        <v>0.5</v>
      </c>
      <c r="AT452" s="263">
        <f t="shared" si="220"/>
        <v>6.7000000000000011</v>
      </c>
      <c r="AU452" s="263"/>
      <c r="AV452" s="263"/>
      <c r="AW452" s="263"/>
      <c r="AX452" s="263">
        <f t="shared" si="221"/>
        <v>6.7000000000000011</v>
      </c>
      <c r="BA452" s="282">
        <f t="shared" si="230"/>
        <v>15.294117647058822</v>
      </c>
      <c r="BB452">
        <v>1</v>
      </c>
      <c r="BC452">
        <f t="shared" si="222"/>
        <v>15.294117647058822</v>
      </c>
      <c r="BD452">
        <f t="shared" si="231"/>
        <v>60</v>
      </c>
      <c r="BE452">
        <f t="shared" si="232"/>
        <v>480</v>
      </c>
      <c r="BF452" s="281">
        <f t="shared" si="223"/>
        <v>3.1862745098039214E-2</v>
      </c>
      <c r="BG452" s="282"/>
      <c r="BH452" s="283"/>
    </row>
    <row r="453" spans="1:60" x14ac:dyDescent="0.3">
      <c r="A453">
        <f t="shared" si="136"/>
        <v>450</v>
      </c>
      <c r="B453" s="241" t="s">
        <v>2515</v>
      </c>
      <c r="C453" s="294" t="s">
        <v>2512</v>
      </c>
      <c r="D453" s="14">
        <v>45862</v>
      </c>
      <c r="E453" s="7"/>
      <c r="F453" s="7">
        <v>60</v>
      </c>
      <c r="G453" s="66"/>
      <c r="H453" s="59"/>
      <c r="I453" s="59">
        <v>450</v>
      </c>
      <c r="J453" s="47">
        <f t="shared" si="213"/>
        <v>450</v>
      </c>
      <c r="K453" s="8">
        <f t="shared" si="214"/>
        <v>390</v>
      </c>
      <c r="L453" s="96">
        <f t="shared" si="195"/>
        <v>0.8666666666666667</v>
      </c>
      <c r="M453" s="81">
        <v>857</v>
      </c>
      <c r="N453" s="8">
        <v>153</v>
      </c>
      <c r="O453" s="8">
        <v>60</v>
      </c>
      <c r="P453" s="96">
        <f t="shared" si="114"/>
        <v>0.8617395676219205</v>
      </c>
      <c r="Q453" s="59">
        <f t="shared" si="149"/>
        <v>857</v>
      </c>
      <c r="R453" s="252">
        <f t="shared" si="225"/>
        <v>922</v>
      </c>
      <c r="S453" s="263">
        <v>25</v>
      </c>
      <c r="T453" s="263">
        <v>18</v>
      </c>
      <c r="U453" s="263">
        <v>12</v>
      </c>
      <c r="V453" s="263">
        <v>0</v>
      </c>
      <c r="W453" s="263">
        <v>2</v>
      </c>
      <c r="X453" s="263">
        <v>2</v>
      </c>
      <c r="Y453" s="263">
        <v>0</v>
      </c>
      <c r="Z453" s="263">
        <v>0</v>
      </c>
      <c r="AA453" s="263">
        <v>0</v>
      </c>
      <c r="AB453" s="263">
        <v>37</v>
      </c>
      <c r="AC453" s="263">
        <v>15</v>
      </c>
      <c r="AD453" s="263">
        <v>13</v>
      </c>
      <c r="AE453" s="263"/>
      <c r="AF453" s="263"/>
      <c r="AG453" s="263"/>
      <c r="AH453" s="263"/>
      <c r="AI453" s="263"/>
      <c r="AJ453" s="259"/>
      <c r="AK453" s="263">
        <f t="shared" si="215"/>
        <v>13</v>
      </c>
      <c r="AL453" s="265">
        <f t="shared" si="226"/>
        <v>30</v>
      </c>
      <c r="AM453" s="6">
        <f t="shared" si="216"/>
        <v>13</v>
      </c>
      <c r="AN453" s="255">
        <f t="shared" si="227"/>
        <v>0.92950108459869851</v>
      </c>
      <c r="AO453" s="256">
        <f t="shared" si="228"/>
        <v>0.69418948104669687</v>
      </c>
      <c r="AP453" s="257">
        <f t="shared" si="229"/>
        <v>14099.783080260304</v>
      </c>
      <c r="AQ453" s="263">
        <f t="shared" si="224"/>
        <v>7.4</v>
      </c>
      <c r="AR453" s="263">
        <f t="shared" si="218"/>
        <v>3</v>
      </c>
      <c r="AS453" s="263">
        <f t="shared" si="219"/>
        <v>1.3</v>
      </c>
      <c r="AT453" s="263">
        <f t="shared" si="220"/>
        <v>11.700000000000001</v>
      </c>
      <c r="AU453" s="263"/>
      <c r="AV453" s="263"/>
      <c r="AW453" s="263"/>
      <c r="AX453" s="263">
        <f t="shared" si="221"/>
        <v>11.700000000000001</v>
      </c>
      <c r="BA453" s="282">
        <f t="shared" si="230"/>
        <v>336.07843137254901</v>
      </c>
      <c r="BB453">
        <v>1</v>
      </c>
      <c r="BC453">
        <f t="shared" si="222"/>
        <v>336.07843137254901</v>
      </c>
      <c r="BD453">
        <f t="shared" si="231"/>
        <v>390</v>
      </c>
      <c r="BE453">
        <f t="shared" si="232"/>
        <v>450</v>
      </c>
      <c r="BF453" s="281">
        <f t="shared" si="223"/>
        <v>0.74684095860566446</v>
      </c>
      <c r="BG453" s="282"/>
      <c r="BH453" s="283"/>
    </row>
    <row r="454" spans="1:60" x14ac:dyDescent="0.3">
      <c r="A454">
        <f t="shared" si="136"/>
        <v>451</v>
      </c>
      <c r="B454" s="241" t="s">
        <v>2515</v>
      </c>
      <c r="C454" s="294" t="s">
        <v>2513</v>
      </c>
      <c r="D454" s="14">
        <v>45862</v>
      </c>
      <c r="E454" s="7"/>
      <c r="F454" s="7"/>
      <c r="G454" s="66"/>
      <c r="H454" s="59"/>
      <c r="I454" s="59">
        <v>510</v>
      </c>
      <c r="J454" s="47">
        <f t="shared" si="213"/>
        <v>510</v>
      </c>
      <c r="K454" s="8">
        <f t="shared" si="214"/>
        <v>510</v>
      </c>
      <c r="L454" s="96">
        <f t="shared" si="195"/>
        <v>1</v>
      </c>
      <c r="M454" s="81">
        <v>925</v>
      </c>
      <c r="N454" s="8">
        <v>153</v>
      </c>
      <c r="O454" s="8">
        <v>60</v>
      </c>
      <c r="P454" s="96">
        <f t="shared" si="114"/>
        <v>0.71126489811610916</v>
      </c>
      <c r="Q454" s="59">
        <f t="shared" si="149"/>
        <v>925</v>
      </c>
      <c r="R454" s="252">
        <f t="shared" si="225"/>
        <v>976</v>
      </c>
      <c r="S454" s="263">
        <v>32</v>
      </c>
      <c r="T454" s="263">
        <v>2</v>
      </c>
      <c r="U454" s="263">
        <v>0</v>
      </c>
      <c r="V454" s="263">
        <v>0</v>
      </c>
      <c r="W454" s="263">
        <v>2</v>
      </c>
      <c r="X454" s="263">
        <v>0</v>
      </c>
      <c r="Y454" s="263">
        <v>0</v>
      </c>
      <c r="Z454" s="263">
        <v>1</v>
      </c>
      <c r="AA454" s="263">
        <v>0</v>
      </c>
      <c r="AB454" s="263">
        <v>16</v>
      </c>
      <c r="AC454" s="263">
        <v>12</v>
      </c>
      <c r="AD454" s="263">
        <v>23</v>
      </c>
      <c r="AE454" s="263"/>
      <c r="AF454" s="263"/>
      <c r="AG454" s="263"/>
      <c r="AH454" s="263"/>
      <c r="AI454" s="263"/>
      <c r="AJ454" s="259"/>
      <c r="AK454" s="263">
        <f t="shared" si="215"/>
        <v>23</v>
      </c>
      <c r="AL454" s="265">
        <f t="shared" si="226"/>
        <v>30</v>
      </c>
      <c r="AM454" s="6">
        <f t="shared" si="216"/>
        <v>23</v>
      </c>
      <c r="AN454" s="255">
        <f t="shared" si="227"/>
        <v>0.94774590163934425</v>
      </c>
      <c r="AO454" s="256">
        <f t="shared" si="228"/>
        <v>0.67409839216946821</v>
      </c>
      <c r="AP454" s="257">
        <f t="shared" si="229"/>
        <v>23565.573770491803</v>
      </c>
      <c r="AQ454" s="263">
        <f t="shared" si="224"/>
        <v>3.2</v>
      </c>
      <c r="AR454" s="263">
        <f t="shared" si="218"/>
        <v>2.4000000000000004</v>
      </c>
      <c r="AS454" s="263">
        <f t="shared" si="219"/>
        <v>2.3000000000000003</v>
      </c>
      <c r="AT454" s="263">
        <f t="shared" si="220"/>
        <v>7.9</v>
      </c>
      <c r="AU454" s="263"/>
      <c r="AV454" s="263"/>
      <c r="AW454" s="263"/>
      <c r="AX454" s="263">
        <f t="shared" si="221"/>
        <v>7.9</v>
      </c>
      <c r="BA454" s="282">
        <f t="shared" si="230"/>
        <v>362.74509803921569</v>
      </c>
      <c r="BB454">
        <v>1</v>
      </c>
      <c r="BC454">
        <f t="shared" si="222"/>
        <v>362.74509803921569</v>
      </c>
      <c r="BD454">
        <f t="shared" si="231"/>
        <v>510</v>
      </c>
      <c r="BE454">
        <f t="shared" si="232"/>
        <v>510</v>
      </c>
      <c r="BF454" s="281">
        <f t="shared" si="223"/>
        <v>0.71126489811610916</v>
      </c>
      <c r="BG454" s="282"/>
      <c r="BH454" s="283"/>
    </row>
    <row r="455" spans="1:60" x14ac:dyDescent="0.3">
      <c r="A455">
        <f t="shared" si="136"/>
        <v>452</v>
      </c>
      <c r="B455" s="241" t="s">
        <v>2515</v>
      </c>
      <c r="C455" s="294" t="s">
        <v>2511</v>
      </c>
      <c r="D455" s="14">
        <v>45863</v>
      </c>
      <c r="E455" s="7">
        <v>45</v>
      </c>
      <c r="F455" s="7"/>
      <c r="G455" s="66"/>
      <c r="H455" s="59"/>
      <c r="I455" s="59">
        <v>480</v>
      </c>
      <c r="J455" s="47">
        <f t="shared" ref="J455:J474" si="233">I455+H455</f>
        <v>480</v>
      </c>
      <c r="K455" s="8">
        <f t="shared" ref="K455:K474" si="234">IFERROR(J455-E455-F455-G455,"")</f>
        <v>435</v>
      </c>
      <c r="L455" s="96">
        <f t="shared" si="195"/>
        <v>0.90625</v>
      </c>
      <c r="M455" s="81">
        <v>768</v>
      </c>
      <c r="N455" s="8">
        <v>153</v>
      </c>
      <c r="O455" s="8">
        <v>60</v>
      </c>
      <c r="P455" s="96">
        <f t="shared" si="114"/>
        <v>0.69235970250169032</v>
      </c>
      <c r="Q455" s="59">
        <f t="shared" si="149"/>
        <v>768</v>
      </c>
      <c r="R455" s="252">
        <f t="shared" si="225"/>
        <v>801</v>
      </c>
      <c r="S455" s="263">
        <v>30</v>
      </c>
      <c r="T455" s="263">
        <v>1</v>
      </c>
      <c r="U455" s="263">
        <v>0</v>
      </c>
      <c r="V455" s="263">
        <v>0</v>
      </c>
      <c r="W455" s="263">
        <v>0</v>
      </c>
      <c r="X455" s="263">
        <v>3</v>
      </c>
      <c r="Y455" s="263">
        <v>0</v>
      </c>
      <c r="Z455" s="263">
        <v>1</v>
      </c>
      <c r="AA455" s="263">
        <v>0</v>
      </c>
      <c r="AB455" s="263">
        <v>12</v>
      </c>
      <c r="AC455" s="263">
        <v>9</v>
      </c>
      <c r="AD455" s="263">
        <v>12</v>
      </c>
      <c r="AE455" s="263"/>
      <c r="AF455" s="263"/>
      <c r="AG455" s="263"/>
      <c r="AH455" s="263"/>
      <c r="AI455" s="263"/>
      <c r="AJ455" s="259"/>
      <c r="AK455" s="263">
        <f t="shared" ref="AK455:AK474" si="235">+AD455+AE455+AF455+AG455+AH455+AI455</f>
        <v>12</v>
      </c>
      <c r="AL455" s="265">
        <f t="shared" si="226"/>
        <v>30</v>
      </c>
      <c r="AM455" s="6">
        <f t="shared" ref="AM455:AM474" si="236">AK455</f>
        <v>12</v>
      </c>
      <c r="AN455" s="255">
        <f t="shared" si="227"/>
        <v>0.95880149812734083</v>
      </c>
      <c r="AO455" s="256">
        <f t="shared" si="228"/>
        <v>0.6016009400014688</v>
      </c>
      <c r="AP455" s="257">
        <f t="shared" si="229"/>
        <v>14981.2734082397</v>
      </c>
      <c r="AQ455" s="263">
        <f t="shared" si="224"/>
        <v>2.4000000000000004</v>
      </c>
      <c r="AR455" s="263">
        <f t="shared" ref="AR455:AR474" si="237">+AC455*0.2</f>
        <v>1.8</v>
      </c>
      <c r="AS455" s="263">
        <f t="shared" ref="AS455:AS554" si="238">+AD455*0.1</f>
        <v>1.2000000000000002</v>
      </c>
      <c r="AT455" s="263">
        <f t="shared" ref="AT455:AT554" si="239">SUM(AQ455:AS455)</f>
        <v>5.4</v>
      </c>
      <c r="AU455" s="263"/>
      <c r="AV455" s="263"/>
      <c r="AW455" s="263"/>
      <c r="AX455" s="263">
        <f t="shared" ref="AX455:AX474" si="240">+AW455+AU455+AT455+AV455</f>
        <v>5.4</v>
      </c>
      <c r="BA455" s="282">
        <f t="shared" si="230"/>
        <v>301.1764705882353</v>
      </c>
      <c r="BB455">
        <v>1</v>
      </c>
      <c r="BC455">
        <f t="shared" ref="BC455:BC474" si="241">IFERROR(BA455*BB455,"")</f>
        <v>301.1764705882353</v>
      </c>
      <c r="BD455">
        <f t="shared" si="231"/>
        <v>435</v>
      </c>
      <c r="BE455">
        <f t="shared" si="232"/>
        <v>480</v>
      </c>
      <c r="BF455" s="281">
        <f t="shared" ref="BF455:BF474" si="242">BC455/BE455</f>
        <v>0.62745098039215685</v>
      </c>
      <c r="BG455" s="282"/>
      <c r="BH455" s="283"/>
    </row>
    <row r="456" spans="1:60" x14ac:dyDescent="0.3">
      <c r="A456">
        <f t="shared" si="136"/>
        <v>453</v>
      </c>
      <c r="B456" s="241" t="s">
        <v>2515</v>
      </c>
      <c r="C456" s="294" t="s">
        <v>2512</v>
      </c>
      <c r="D456" s="14">
        <v>45863</v>
      </c>
      <c r="E456" s="7"/>
      <c r="F456" s="7"/>
      <c r="G456" s="66"/>
      <c r="H456" s="59"/>
      <c r="I456" s="59">
        <v>450</v>
      </c>
      <c r="J456" s="47">
        <f t="shared" si="233"/>
        <v>450</v>
      </c>
      <c r="K456" s="8">
        <f t="shared" si="234"/>
        <v>450</v>
      </c>
      <c r="L456" s="96">
        <f t="shared" si="195"/>
        <v>1</v>
      </c>
      <c r="M456" s="81">
        <v>953</v>
      </c>
      <c r="N456" s="8">
        <v>153</v>
      </c>
      <c r="O456" s="8">
        <v>60</v>
      </c>
      <c r="P456" s="96">
        <f t="shared" si="114"/>
        <v>0.83050108932461875</v>
      </c>
      <c r="Q456" s="59">
        <f t="shared" si="149"/>
        <v>953</v>
      </c>
      <c r="R456" s="252">
        <f t="shared" si="225"/>
        <v>1016</v>
      </c>
      <c r="S456" s="263">
        <v>22</v>
      </c>
      <c r="T456" s="263">
        <v>1</v>
      </c>
      <c r="U456" s="263">
        <v>0</v>
      </c>
      <c r="V456" s="263">
        <v>0</v>
      </c>
      <c r="W456" s="263">
        <v>0</v>
      </c>
      <c r="X456" s="263">
        <v>3</v>
      </c>
      <c r="Y456" s="263">
        <v>0</v>
      </c>
      <c r="Z456" s="263">
        <v>1</v>
      </c>
      <c r="AA456" s="263">
        <v>0</v>
      </c>
      <c r="AB456" s="263">
        <v>15</v>
      </c>
      <c r="AC456" s="263">
        <v>25</v>
      </c>
      <c r="AD456" s="263">
        <v>23</v>
      </c>
      <c r="AE456" s="263"/>
      <c r="AF456" s="263"/>
      <c r="AG456" s="263"/>
      <c r="AH456" s="263"/>
      <c r="AI456" s="263"/>
      <c r="AJ456" s="259"/>
      <c r="AK456" s="263">
        <f t="shared" si="235"/>
        <v>23</v>
      </c>
      <c r="AL456" s="265">
        <f t="shared" si="226"/>
        <v>30</v>
      </c>
      <c r="AM456" s="6">
        <f t="shared" si="236"/>
        <v>23</v>
      </c>
      <c r="AN456" s="255">
        <f t="shared" si="227"/>
        <v>0.93799212598425197</v>
      </c>
      <c r="AO456" s="256">
        <f t="shared" si="228"/>
        <v>0.77900348240783623</v>
      </c>
      <c r="AP456" s="257">
        <f t="shared" si="229"/>
        <v>22637.795275590554</v>
      </c>
      <c r="AQ456" s="263">
        <f t="shared" si="224"/>
        <v>3</v>
      </c>
      <c r="AR456" s="263">
        <f t="shared" si="237"/>
        <v>5</v>
      </c>
      <c r="AS456" s="263">
        <f t="shared" si="238"/>
        <v>2.3000000000000003</v>
      </c>
      <c r="AT456" s="263">
        <f t="shared" si="239"/>
        <v>10.3</v>
      </c>
      <c r="AU456" s="263"/>
      <c r="AV456" s="263"/>
      <c r="AW456" s="263"/>
      <c r="AX456" s="263">
        <f t="shared" si="240"/>
        <v>10.3</v>
      </c>
      <c r="BA456" s="282">
        <f t="shared" si="230"/>
        <v>373.72549019607845</v>
      </c>
      <c r="BB456">
        <v>1</v>
      </c>
      <c r="BC456">
        <f t="shared" si="241"/>
        <v>373.72549019607845</v>
      </c>
      <c r="BD456">
        <f t="shared" si="231"/>
        <v>450</v>
      </c>
      <c r="BE456">
        <f t="shared" si="232"/>
        <v>450</v>
      </c>
      <c r="BF456" s="281">
        <f t="shared" si="242"/>
        <v>0.83050108932461875</v>
      </c>
      <c r="BG456" s="282"/>
      <c r="BH456" s="283"/>
    </row>
    <row r="457" spans="1:60" x14ac:dyDescent="0.3">
      <c r="A457">
        <f t="shared" si="136"/>
        <v>454</v>
      </c>
      <c r="B457" s="335" t="s">
        <v>2609</v>
      </c>
      <c r="C457" s="294" t="s">
        <v>2513</v>
      </c>
      <c r="D457" s="14">
        <v>45863</v>
      </c>
      <c r="E457" s="7"/>
      <c r="F457" s="7"/>
      <c r="G457" s="66"/>
      <c r="H457" s="59"/>
      <c r="I457" s="59">
        <v>510</v>
      </c>
      <c r="J457" s="47">
        <f t="shared" si="233"/>
        <v>510</v>
      </c>
      <c r="K457" s="8">
        <f t="shared" si="234"/>
        <v>510</v>
      </c>
      <c r="L457" s="96">
        <f t="shared" si="195"/>
        <v>1</v>
      </c>
      <c r="M457" s="81">
        <v>679</v>
      </c>
      <c r="N457" s="8">
        <v>153</v>
      </c>
      <c r="O457" s="8">
        <v>60</v>
      </c>
      <c r="P457" s="96">
        <f t="shared" si="114"/>
        <v>0.52210688196847377</v>
      </c>
      <c r="Q457" s="59">
        <f t="shared" si="149"/>
        <v>679</v>
      </c>
      <c r="R457" s="252">
        <f t="shared" si="225"/>
        <v>726</v>
      </c>
      <c r="S457" s="263">
        <v>20</v>
      </c>
      <c r="T457" s="263">
        <v>2</v>
      </c>
      <c r="U457" s="263">
        <v>0</v>
      </c>
      <c r="V457" s="263">
        <v>0</v>
      </c>
      <c r="W457" s="263">
        <v>0</v>
      </c>
      <c r="X457" s="263">
        <v>2</v>
      </c>
      <c r="Y457" s="263">
        <v>0</v>
      </c>
      <c r="Z457" s="263">
        <v>0</v>
      </c>
      <c r="AA457" s="263">
        <v>0</v>
      </c>
      <c r="AB457" s="263">
        <v>27</v>
      </c>
      <c r="AC457" s="263">
        <v>9</v>
      </c>
      <c r="AD457" s="263">
        <v>11</v>
      </c>
      <c r="AE457" s="263"/>
      <c r="AF457" s="263"/>
      <c r="AG457" s="263"/>
      <c r="AH457" s="263"/>
      <c r="AI457" s="263"/>
      <c r="AJ457" s="259"/>
      <c r="AK457" s="263">
        <f t="shared" si="235"/>
        <v>11</v>
      </c>
      <c r="AL457" s="265">
        <f t="shared" si="226"/>
        <v>30</v>
      </c>
      <c r="AM457" s="6">
        <f t="shared" si="236"/>
        <v>11</v>
      </c>
      <c r="AN457" s="255">
        <f t="shared" si="227"/>
        <v>0.93526170798898067</v>
      </c>
      <c r="AO457" s="256">
        <f t="shared" si="228"/>
        <v>0.4883065741826359</v>
      </c>
      <c r="AP457" s="257">
        <f t="shared" si="229"/>
        <v>15151.515151515152</v>
      </c>
      <c r="AQ457" s="263">
        <f t="shared" si="224"/>
        <v>5.4</v>
      </c>
      <c r="AR457" s="263">
        <f t="shared" si="237"/>
        <v>1.8</v>
      </c>
      <c r="AS457" s="263">
        <f t="shared" si="238"/>
        <v>1.1000000000000001</v>
      </c>
      <c r="AT457" s="263">
        <f t="shared" si="239"/>
        <v>8.3000000000000007</v>
      </c>
      <c r="AU457" s="263"/>
      <c r="AV457" s="263"/>
      <c r="AW457" s="263"/>
      <c r="AX457" s="263">
        <f t="shared" si="240"/>
        <v>8.3000000000000007</v>
      </c>
      <c r="BA457" s="282">
        <f t="shared" si="230"/>
        <v>266.2745098039216</v>
      </c>
      <c r="BB457">
        <v>1</v>
      </c>
      <c r="BC457">
        <f t="shared" si="241"/>
        <v>266.2745098039216</v>
      </c>
      <c r="BD457">
        <f t="shared" si="231"/>
        <v>510</v>
      </c>
      <c r="BE457">
        <f t="shared" si="232"/>
        <v>510</v>
      </c>
      <c r="BF457" s="281">
        <f t="shared" si="242"/>
        <v>0.52210688196847377</v>
      </c>
      <c r="BG457" s="282"/>
      <c r="BH457" s="283"/>
    </row>
    <row r="458" spans="1:60" x14ac:dyDescent="0.3">
      <c r="A458">
        <f t="shared" si="136"/>
        <v>455</v>
      </c>
      <c r="B458" s="335" t="s">
        <v>2610</v>
      </c>
      <c r="C458" s="294" t="s">
        <v>2511</v>
      </c>
      <c r="D458" s="14">
        <v>45864</v>
      </c>
      <c r="E458" s="7"/>
      <c r="F458" s="7"/>
      <c r="G458" s="66"/>
      <c r="H458" s="59"/>
      <c r="I458" s="59">
        <v>480</v>
      </c>
      <c r="J458" s="47">
        <f t="shared" si="233"/>
        <v>480</v>
      </c>
      <c r="K458" s="8">
        <f t="shared" si="234"/>
        <v>480</v>
      </c>
      <c r="L458" s="96">
        <f t="shared" si="195"/>
        <v>1</v>
      </c>
      <c r="M458" s="81">
        <v>113</v>
      </c>
      <c r="N458" s="8">
        <v>153</v>
      </c>
      <c r="O458" s="8">
        <v>60</v>
      </c>
      <c r="P458" s="96">
        <f t="shared" si="114"/>
        <v>9.2320261437908488E-2</v>
      </c>
      <c r="Q458" s="59">
        <f t="shared" si="149"/>
        <v>113</v>
      </c>
      <c r="R458" s="252">
        <f t="shared" si="225"/>
        <v>121</v>
      </c>
      <c r="S458" s="263">
        <v>22</v>
      </c>
      <c r="T458" s="263">
        <v>8</v>
      </c>
      <c r="U458" s="263">
        <v>25</v>
      </c>
      <c r="V458" s="263">
        <v>0</v>
      </c>
      <c r="W458" s="263">
        <v>0</v>
      </c>
      <c r="X458" s="263">
        <v>0</v>
      </c>
      <c r="Y458" s="263">
        <v>0</v>
      </c>
      <c r="Z458" s="263">
        <v>0</v>
      </c>
      <c r="AA458" s="263">
        <v>0</v>
      </c>
      <c r="AB458" s="263">
        <v>3</v>
      </c>
      <c r="AC458" s="263">
        <v>1</v>
      </c>
      <c r="AD458" s="263">
        <v>4</v>
      </c>
      <c r="AE458" s="263"/>
      <c r="AF458" s="263"/>
      <c r="AG458" s="263"/>
      <c r="AH458" s="263"/>
      <c r="AI458" s="263"/>
      <c r="AJ458" s="259"/>
      <c r="AK458" s="263">
        <f t="shared" si="235"/>
        <v>4</v>
      </c>
      <c r="AL458" s="265">
        <f t="shared" si="226"/>
        <v>30</v>
      </c>
      <c r="AM458" s="6">
        <f t="shared" si="236"/>
        <v>4</v>
      </c>
      <c r="AN458" s="255">
        <f t="shared" si="227"/>
        <v>0.93388429752066116</v>
      </c>
      <c r="AO458" s="256">
        <f t="shared" si="228"/>
        <v>8.6216442499864945E-2</v>
      </c>
      <c r="AP458" s="257">
        <f t="shared" si="229"/>
        <v>33057.85123966942</v>
      </c>
      <c r="AQ458" s="263">
        <f t="shared" si="224"/>
        <v>0.60000000000000009</v>
      </c>
      <c r="AR458" s="263">
        <f t="shared" si="237"/>
        <v>0.2</v>
      </c>
      <c r="AS458" s="263">
        <f t="shared" si="238"/>
        <v>0.4</v>
      </c>
      <c r="AT458" s="263">
        <f t="shared" si="239"/>
        <v>1.2000000000000002</v>
      </c>
      <c r="AU458" s="263"/>
      <c r="AV458" s="263"/>
      <c r="AW458" s="263"/>
      <c r="AX458" s="263">
        <f t="shared" si="240"/>
        <v>1.2000000000000002</v>
      </c>
      <c r="BA458" s="282">
        <f t="shared" si="230"/>
        <v>44.313725490196077</v>
      </c>
      <c r="BB458">
        <v>1</v>
      </c>
      <c r="BC458">
        <f t="shared" si="241"/>
        <v>44.313725490196077</v>
      </c>
      <c r="BD458">
        <f t="shared" si="231"/>
        <v>480</v>
      </c>
      <c r="BE458">
        <f t="shared" si="232"/>
        <v>480</v>
      </c>
      <c r="BF458" s="281">
        <f t="shared" si="242"/>
        <v>9.2320261437908488E-2</v>
      </c>
      <c r="BG458" s="282"/>
      <c r="BH458" s="283"/>
    </row>
    <row r="459" spans="1:60" x14ac:dyDescent="0.3">
      <c r="A459">
        <f t="shared" si="136"/>
        <v>456</v>
      </c>
      <c r="B459" s="241" t="s">
        <v>2499</v>
      </c>
      <c r="C459" s="294" t="s">
        <v>2512</v>
      </c>
      <c r="D459" s="14">
        <v>45864</v>
      </c>
      <c r="E459" s="7"/>
      <c r="F459" s="7"/>
      <c r="G459" s="66"/>
      <c r="H459" s="59"/>
      <c r="I459" s="59">
        <v>450</v>
      </c>
      <c r="J459" s="47">
        <f t="shared" si="233"/>
        <v>450</v>
      </c>
      <c r="K459" s="8">
        <f t="shared" si="234"/>
        <v>450</v>
      </c>
      <c r="L459" s="96">
        <f t="shared" si="195"/>
        <v>1</v>
      </c>
      <c r="M459" s="81">
        <v>849</v>
      </c>
      <c r="N459" s="8">
        <v>153</v>
      </c>
      <c r="O459" s="8">
        <v>60</v>
      </c>
      <c r="P459" s="96">
        <f t="shared" si="114"/>
        <v>0.73986928104575167</v>
      </c>
      <c r="Q459" s="59">
        <f t="shared" si="149"/>
        <v>849</v>
      </c>
      <c r="R459" s="252">
        <f t="shared" si="225"/>
        <v>908</v>
      </c>
      <c r="S459" s="263">
        <v>10</v>
      </c>
      <c r="T459" s="263">
        <v>1</v>
      </c>
      <c r="U459" s="263">
        <v>1</v>
      </c>
      <c r="V459" s="263">
        <v>0</v>
      </c>
      <c r="W459" s="263">
        <v>0</v>
      </c>
      <c r="X459" s="263">
        <v>1</v>
      </c>
      <c r="Y459" s="263">
        <v>0</v>
      </c>
      <c r="Z459" s="263">
        <v>0</v>
      </c>
      <c r="AA459" s="263">
        <v>0</v>
      </c>
      <c r="AB459" s="263">
        <v>10</v>
      </c>
      <c r="AC459" s="263">
        <v>15</v>
      </c>
      <c r="AD459" s="263">
        <v>34</v>
      </c>
      <c r="AE459" s="263"/>
      <c r="AF459" s="263"/>
      <c r="AG459" s="263"/>
      <c r="AH459" s="263"/>
      <c r="AI459" s="263"/>
      <c r="AJ459" s="259"/>
      <c r="AK459" s="263">
        <f t="shared" si="235"/>
        <v>34</v>
      </c>
      <c r="AL459" s="265">
        <f t="shared" si="226"/>
        <v>30</v>
      </c>
      <c r="AM459" s="6">
        <f t="shared" si="236"/>
        <v>34</v>
      </c>
      <c r="AN459" s="255">
        <f t="shared" si="227"/>
        <v>0.93502202643171806</v>
      </c>
      <c r="AO459" s="256">
        <f t="shared" si="228"/>
        <v>0.69179407445797703</v>
      </c>
      <c r="AP459" s="257">
        <f t="shared" si="229"/>
        <v>37444.933920704847</v>
      </c>
      <c r="AQ459" s="263">
        <f t="shared" si="224"/>
        <v>2</v>
      </c>
      <c r="AR459" s="263">
        <f t="shared" si="237"/>
        <v>3</v>
      </c>
      <c r="AS459" s="263">
        <f t="shared" si="238"/>
        <v>3.4000000000000004</v>
      </c>
      <c r="AT459" s="263">
        <f t="shared" si="239"/>
        <v>8.4</v>
      </c>
      <c r="AU459" s="263"/>
      <c r="AV459" s="263"/>
      <c r="AW459" s="263"/>
      <c r="AX459" s="263">
        <f t="shared" si="240"/>
        <v>8.4</v>
      </c>
      <c r="BA459" s="282">
        <f t="shared" si="230"/>
        <v>332.94117647058823</v>
      </c>
      <c r="BB459">
        <v>1</v>
      </c>
      <c r="BC459">
        <f t="shared" si="241"/>
        <v>332.94117647058823</v>
      </c>
      <c r="BD459">
        <f t="shared" si="231"/>
        <v>450</v>
      </c>
      <c r="BE459">
        <f t="shared" si="232"/>
        <v>450</v>
      </c>
      <c r="BF459" s="281">
        <f t="shared" si="242"/>
        <v>0.73986928104575167</v>
      </c>
      <c r="BG459" s="282"/>
      <c r="BH459" s="283"/>
    </row>
    <row r="460" spans="1:60" x14ac:dyDescent="0.3">
      <c r="A460">
        <f t="shared" si="136"/>
        <v>457</v>
      </c>
      <c r="B460" s="241" t="s">
        <v>2499</v>
      </c>
      <c r="C460" s="294" t="s">
        <v>2511</v>
      </c>
      <c r="D460" s="14">
        <v>45866</v>
      </c>
      <c r="E460" s="7">
        <v>45</v>
      </c>
      <c r="F460" s="7"/>
      <c r="G460" s="66"/>
      <c r="H460" s="59"/>
      <c r="I460" s="59">
        <v>480</v>
      </c>
      <c r="J460" s="47">
        <f t="shared" si="233"/>
        <v>480</v>
      </c>
      <c r="K460" s="8">
        <f t="shared" si="234"/>
        <v>435</v>
      </c>
      <c r="L460" s="96">
        <f t="shared" si="195"/>
        <v>0.90625</v>
      </c>
      <c r="M460" s="81">
        <f>484+184</f>
        <v>668</v>
      </c>
      <c r="N460" s="8">
        <v>153</v>
      </c>
      <c r="O460" s="8">
        <v>60</v>
      </c>
      <c r="P460" s="96">
        <f t="shared" si="114"/>
        <v>0.60220869957178269</v>
      </c>
      <c r="Q460" s="59">
        <f t="shared" si="149"/>
        <v>668</v>
      </c>
      <c r="R460" s="252">
        <f t="shared" si="225"/>
        <v>694</v>
      </c>
      <c r="S460" s="263">
        <v>13</v>
      </c>
      <c r="T460" s="263">
        <v>0</v>
      </c>
      <c r="U460" s="263">
        <v>4</v>
      </c>
      <c r="V460" s="263">
        <v>0</v>
      </c>
      <c r="W460" s="263">
        <v>0</v>
      </c>
      <c r="X460" s="263">
        <v>1</v>
      </c>
      <c r="Y460" s="263">
        <v>0</v>
      </c>
      <c r="Z460" s="263">
        <v>0</v>
      </c>
      <c r="AA460" s="263">
        <v>0</v>
      </c>
      <c r="AB460" s="263">
        <v>10</v>
      </c>
      <c r="AC460" s="263">
        <v>3</v>
      </c>
      <c r="AD460" s="263">
        <v>13</v>
      </c>
      <c r="AE460" s="263"/>
      <c r="AF460" s="263"/>
      <c r="AG460" s="263"/>
      <c r="AH460" s="263"/>
      <c r="AI460" s="263"/>
      <c r="AJ460" s="259"/>
      <c r="AK460" s="263">
        <f t="shared" si="235"/>
        <v>13</v>
      </c>
      <c r="AL460" s="265">
        <f t="shared" si="226"/>
        <v>31</v>
      </c>
      <c r="AM460" s="6">
        <f t="shared" si="236"/>
        <v>13</v>
      </c>
      <c r="AN460" s="255">
        <f t="shared" si="227"/>
        <v>0.96253602305475505</v>
      </c>
      <c r="AO460" s="256">
        <f t="shared" si="228"/>
        <v>0.52530560735341203</v>
      </c>
      <c r="AP460" s="257">
        <f t="shared" si="229"/>
        <v>18731.988472622477</v>
      </c>
      <c r="AQ460" s="263">
        <f t="shared" si="224"/>
        <v>2</v>
      </c>
      <c r="AR460" s="263">
        <f t="shared" si="237"/>
        <v>0.60000000000000009</v>
      </c>
      <c r="AS460" s="263">
        <f t="shared" si="238"/>
        <v>1.3</v>
      </c>
      <c r="AT460" s="263">
        <f t="shared" si="239"/>
        <v>3.9000000000000004</v>
      </c>
      <c r="AU460" s="263"/>
      <c r="AV460" s="263"/>
      <c r="AW460" s="263"/>
      <c r="AX460" s="263">
        <f t="shared" si="240"/>
        <v>3.9000000000000004</v>
      </c>
      <c r="BA460" s="282">
        <f t="shared" si="230"/>
        <v>261.96078431372547</v>
      </c>
      <c r="BB460">
        <v>1</v>
      </c>
      <c r="BC460">
        <f>IFERROR(BA460*BB460,"")</f>
        <v>261.96078431372547</v>
      </c>
      <c r="BD460">
        <f t="shared" si="231"/>
        <v>435</v>
      </c>
      <c r="BE460">
        <f t="shared" si="232"/>
        <v>480</v>
      </c>
      <c r="BF460" s="281">
        <f t="shared" si="242"/>
        <v>0.54575163398692805</v>
      </c>
      <c r="BG460" s="282"/>
      <c r="BH460" s="283"/>
    </row>
    <row r="461" spans="1:60" x14ac:dyDescent="0.3">
      <c r="A461">
        <f t="shared" si="136"/>
        <v>458</v>
      </c>
      <c r="B461" s="241" t="s">
        <v>2499</v>
      </c>
      <c r="C461" s="294" t="s">
        <v>2512</v>
      </c>
      <c r="D461" s="14">
        <v>45866</v>
      </c>
      <c r="E461" s="7"/>
      <c r="F461" s="7"/>
      <c r="G461" s="66"/>
      <c r="H461" s="59"/>
      <c r="I461" s="59">
        <v>450</v>
      </c>
      <c r="J461" s="47">
        <f t="shared" si="233"/>
        <v>450</v>
      </c>
      <c r="K461" s="8">
        <f t="shared" si="234"/>
        <v>450</v>
      </c>
      <c r="L461" s="96">
        <f t="shared" si="195"/>
        <v>1</v>
      </c>
      <c r="M461" s="81">
        <v>1142</v>
      </c>
      <c r="N461" s="8">
        <v>153</v>
      </c>
      <c r="O461" s="8">
        <v>60</v>
      </c>
      <c r="P461" s="96">
        <f t="shared" si="114"/>
        <v>0.99520697167756</v>
      </c>
      <c r="Q461" s="59">
        <f t="shared" si="149"/>
        <v>1142</v>
      </c>
      <c r="R461" s="252">
        <f t="shared" si="225"/>
        <v>1172</v>
      </c>
      <c r="S461" s="263">
        <v>15</v>
      </c>
      <c r="T461" s="263">
        <v>0</v>
      </c>
      <c r="U461" s="263">
        <v>2</v>
      </c>
      <c r="V461" s="263">
        <v>0</v>
      </c>
      <c r="W461" s="263">
        <v>0</v>
      </c>
      <c r="X461" s="263">
        <v>0</v>
      </c>
      <c r="Y461" s="263">
        <v>0</v>
      </c>
      <c r="Z461" s="263">
        <v>0</v>
      </c>
      <c r="AA461" s="263">
        <v>0</v>
      </c>
      <c r="AB461" s="263">
        <v>27</v>
      </c>
      <c r="AC461" s="263">
        <v>1</v>
      </c>
      <c r="AD461" s="263">
        <v>2</v>
      </c>
      <c r="AE461" s="263"/>
      <c r="AF461" s="263"/>
      <c r="AG461" s="263"/>
      <c r="AH461" s="263"/>
      <c r="AI461" s="263"/>
      <c r="AJ461" s="259"/>
      <c r="AK461" s="263">
        <f t="shared" si="235"/>
        <v>2</v>
      </c>
      <c r="AL461" s="265">
        <f t="shared" si="226"/>
        <v>31</v>
      </c>
      <c r="AM461" s="6">
        <f t="shared" si="236"/>
        <v>2</v>
      </c>
      <c r="AN461" s="255">
        <f t="shared" si="227"/>
        <v>0.97440273037542657</v>
      </c>
      <c r="AO461" s="256">
        <f t="shared" si="228"/>
        <v>0.96973239049127424</v>
      </c>
      <c r="AP461" s="257">
        <f t="shared" si="229"/>
        <v>1706.4846416382252</v>
      </c>
      <c r="AQ461" s="263">
        <f t="shared" si="224"/>
        <v>5.4</v>
      </c>
      <c r="AR461" s="263">
        <f t="shared" si="237"/>
        <v>0.2</v>
      </c>
      <c r="AS461" s="263">
        <f t="shared" si="238"/>
        <v>0.2</v>
      </c>
      <c r="AT461" s="263">
        <f t="shared" si="239"/>
        <v>5.8000000000000007</v>
      </c>
      <c r="AU461" s="263"/>
      <c r="AV461" s="263"/>
      <c r="AW461" s="263"/>
      <c r="AX461" s="263">
        <f t="shared" si="240"/>
        <v>5.8000000000000007</v>
      </c>
      <c r="BA461" s="282">
        <f t="shared" si="230"/>
        <v>447.84313725490199</v>
      </c>
      <c r="BB461">
        <v>1</v>
      </c>
      <c r="BC461">
        <f t="shared" si="241"/>
        <v>447.84313725490199</v>
      </c>
      <c r="BD461">
        <f t="shared" si="231"/>
        <v>450</v>
      </c>
      <c r="BE461">
        <f t="shared" si="232"/>
        <v>450</v>
      </c>
      <c r="BF461" s="281">
        <f t="shared" si="242"/>
        <v>0.99520697167756</v>
      </c>
      <c r="BG461" s="282"/>
      <c r="BH461" s="283"/>
    </row>
    <row r="462" spans="1:60" x14ac:dyDescent="0.3">
      <c r="A462">
        <f t="shared" si="136"/>
        <v>459</v>
      </c>
      <c r="B462" s="241" t="s">
        <v>2499</v>
      </c>
      <c r="C462" s="294" t="s">
        <v>2513</v>
      </c>
      <c r="D462" s="14">
        <v>45866</v>
      </c>
      <c r="E462" s="7"/>
      <c r="F462" s="7"/>
      <c r="G462" s="66"/>
      <c r="H462" s="59"/>
      <c r="I462" s="59">
        <v>510</v>
      </c>
      <c r="J462" s="47">
        <f t="shared" si="233"/>
        <v>510</v>
      </c>
      <c r="K462" s="8">
        <f t="shared" si="234"/>
        <v>510</v>
      </c>
      <c r="L462" s="96">
        <f t="shared" si="195"/>
        <v>1</v>
      </c>
      <c r="M462" s="81">
        <v>1167</v>
      </c>
      <c r="N462" s="8">
        <v>153</v>
      </c>
      <c r="O462" s="8">
        <v>60</v>
      </c>
      <c r="P462" s="96">
        <f t="shared" ref="P462:P525" si="243">IFERROR((M462/N462*O462)/K462,"")</f>
        <v>0.89734717416378318</v>
      </c>
      <c r="Q462" s="59">
        <f t="shared" si="149"/>
        <v>1167</v>
      </c>
      <c r="R462" s="252">
        <f t="shared" si="225"/>
        <v>1210</v>
      </c>
      <c r="S462" s="263">
        <v>35</v>
      </c>
      <c r="T462" s="263">
        <v>2</v>
      </c>
      <c r="U462" s="263">
        <v>1</v>
      </c>
      <c r="V462" s="263">
        <v>0</v>
      </c>
      <c r="W462" s="263">
        <v>0</v>
      </c>
      <c r="X462" s="263">
        <v>0</v>
      </c>
      <c r="Y462" s="263">
        <v>0</v>
      </c>
      <c r="Z462" s="263">
        <v>0</v>
      </c>
      <c r="AA462" s="263">
        <v>0</v>
      </c>
      <c r="AB462" s="263">
        <v>42</v>
      </c>
      <c r="AC462" s="263">
        <v>0</v>
      </c>
      <c r="AD462" s="263">
        <v>1</v>
      </c>
      <c r="AE462" s="263"/>
      <c r="AF462" s="263"/>
      <c r="AG462" s="263"/>
      <c r="AH462" s="263"/>
      <c r="AI462" s="263"/>
      <c r="AJ462" s="259"/>
      <c r="AK462" s="263">
        <f t="shared" si="235"/>
        <v>1</v>
      </c>
      <c r="AL462" s="265">
        <f t="shared" si="226"/>
        <v>31</v>
      </c>
      <c r="AM462" s="6">
        <f t="shared" si="236"/>
        <v>1</v>
      </c>
      <c r="AN462" s="255">
        <f t="shared" si="227"/>
        <v>0.96446280991735533</v>
      </c>
      <c r="AO462" s="256">
        <f t="shared" si="228"/>
        <v>0.86545797706540073</v>
      </c>
      <c r="AP462" s="257">
        <f t="shared" si="229"/>
        <v>826.44628099173553</v>
      </c>
      <c r="AQ462" s="263">
        <f t="shared" si="224"/>
        <v>8.4</v>
      </c>
      <c r="AR462" s="263">
        <f t="shared" si="237"/>
        <v>0</v>
      </c>
      <c r="AS462" s="263">
        <f t="shared" si="238"/>
        <v>0.1</v>
      </c>
      <c r="AT462" s="263">
        <f t="shared" si="239"/>
        <v>8.5</v>
      </c>
      <c r="AU462" s="263"/>
      <c r="AV462" s="263"/>
      <c r="AW462" s="263"/>
      <c r="AX462" s="263">
        <f t="shared" si="240"/>
        <v>8.5</v>
      </c>
      <c r="BA462" s="282">
        <f t="shared" si="230"/>
        <v>457.64705882352945</v>
      </c>
      <c r="BB462">
        <v>1</v>
      </c>
      <c r="BC462">
        <f t="shared" si="241"/>
        <v>457.64705882352945</v>
      </c>
      <c r="BD462">
        <f t="shared" si="231"/>
        <v>510</v>
      </c>
      <c r="BE462">
        <f t="shared" si="232"/>
        <v>510</v>
      </c>
      <c r="BF462" s="281">
        <f t="shared" si="242"/>
        <v>0.89734717416378318</v>
      </c>
      <c r="BG462" s="282"/>
      <c r="BH462" s="283"/>
    </row>
    <row r="463" spans="1:60" x14ac:dyDescent="0.3">
      <c r="A463">
        <f t="shared" si="136"/>
        <v>460</v>
      </c>
      <c r="B463" s="241" t="s">
        <v>2499</v>
      </c>
      <c r="C463" s="294" t="s">
        <v>2511</v>
      </c>
      <c r="D463" s="14">
        <v>45867</v>
      </c>
      <c r="E463" s="7">
        <v>45</v>
      </c>
      <c r="F463" s="7"/>
      <c r="G463" s="66"/>
      <c r="H463" s="59"/>
      <c r="I463" s="59">
        <v>480</v>
      </c>
      <c r="J463" s="47">
        <f t="shared" si="233"/>
        <v>480</v>
      </c>
      <c r="K463" s="8">
        <f t="shared" si="234"/>
        <v>435</v>
      </c>
      <c r="L463" s="96">
        <f t="shared" si="195"/>
        <v>0.90625</v>
      </c>
      <c r="M463" s="81">
        <v>1061</v>
      </c>
      <c r="N463" s="8">
        <v>153</v>
      </c>
      <c r="O463" s="8">
        <v>60</v>
      </c>
      <c r="P463" s="96">
        <f t="shared" si="243"/>
        <v>0.9565021410863197</v>
      </c>
      <c r="Q463" s="59">
        <f t="shared" si="149"/>
        <v>1061</v>
      </c>
      <c r="R463" s="252">
        <f t="shared" si="225"/>
        <v>1071</v>
      </c>
      <c r="S463" s="263">
        <v>13</v>
      </c>
      <c r="T463" s="263">
        <v>4</v>
      </c>
      <c r="U463" s="263">
        <v>5</v>
      </c>
      <c r="V463" s="263">
        <v>0</v>
      </c>
      <c r="W463" s="263">
        <v>54</v>
      </c>
      <c r="X463" s="263">
        <v>0</v>
      </c>
      <c r="Y463" s="263">
        <v>0</v>
      </c>
      <c r="Z463" s="263">
        <v>1</v>
      </c>
      <c r="AA463" s="263">
        <v>0</v>
      </c>
      <c r="AB463" s="263">
        <v>4</v>
      </c>
      <c r="AC463" s="263">
        <v>4</v>
      </c>
      <c r="AD463" s="263">
        <v>2</v>
      </c>
      <c r="AE463" s="263"/>
      <c r="AF463" s="263"/>
      <c r="AG463" s="263"/>
      <c r="AH463" s="263"/>
      <c r="AI463" s="263"/>
      <c r="AJ463" s="259"/>
      <c r="AK463" s="263">
        <f t="shared" si="235"/>
        <v>2</v>
      </c>
      <c r="AL463" s="265">
        <f t="shared" si="226"/>
        <v>31</v>
      </c>
      <c r="AM463" s="6">
        <f t="shared" si="236"/>
        <v>2</v>
      </c>
      <c r="AN463" s="255">
        <f t="shared" si="227"/>
        <v>0.99066293183940246</v>
      </c>
      <c r="AO463" s="256">
        <f t="shared" si="228"/>
        <v>0.85873641395556055</v>
      </c>
      <c r="AP463" s="257">
        <f t="shared" si="229"/>
        <v>1867.4136321195147</v>
      </c>
      <c r="AQ463" s="263">
        <f t="shared" si="224"/>
        <v>0.8</v>
      </c>
      <c r="AR463" s="263">
        <f t="shared" si="237"/>
        <v>0.8</v>
      </c>
      <c r="AS463" s="263">
        <f t="shared" si="238"/>
        <v>0.2</v>
      </c>
      <c r="AT463" s="263">
        <f t="shared" si="239"/>
        <v>1.8</v>
      </c>
      <c r="AU463" s="263"/>
      <c r="AV463" s="263"/>
      <c r="AW463" s="263"/>
      <c r="AX463" s="263">
        <f t="shared" si="240"/>
        <v>1.8</v>
      </c>
      <c r="BA463" s="282">
        <f t="shared" si="230"/>
        <v>416.07843137254906</v>
      </c>
      <c r="BB463">
        <v>1</v>
      </c>
      <c r="BC463">
        <f t="shared" si="241"/>
        <v>416.07843137254906</v>
      </c>
      <c r="BD463">
        <f t="shared" si="231"/>
        <v>435</v>
      </c>
      <c r="BE463">
        <f t="shared" si="232"/>
        <v>480</v>
      </c>
      <c r="BF463" s="281">
        <f t="shared" si="242"/>
        <v>0.86683006535947726</v>
      </c>
      <c r="BG463" s="282"/>
      <c r="BH463" s="283"/>
    </row>
    <row r="464" spans="1:60" x14ac:dyDescent="0.3">
      <c r="A464">
        <f t="shared" si="136"/>
        <v>461</v>
      </c>
      <c r="B464" s="241" t="s">
        <v>2499</v>
      </c>
      <c r="C464" s="294" t="s">
        <v>2512</v>
      </c>
      <c r="D464" s="14">
        <v>45867</v>
      </c>
      <c r="E464" s="7"/>
      <c r="F464" s="7"/>
      <c r="G464" s="66"/>
      <c r="H464" s="59"/>
      <c r="I464" s="59">
        <v>450</v>
      </c>
      <c r="J464" s="47">
        <f t="shared" si="233"/>
        <v>450</v>
      </c>
      <c r="K464" s="8">
        <f t="shared" si="234"/>
        <v>450</v>
      </c>
      <c r="L464" s="96">
        <f t="shared" si="195"/>
        <v>1</v>
      </c>
      <c r="M464" s="81">
        <v>1212</v>
      </c>
      <c r="N464" s="8">
        <v>153</v>
      </c>
      <c r="O464" s="8">
        <v>60</v>
      </c>
      <c r="P464" s="96">
        <f t="shared" si="243"/>
        <v>1.0562091503267974</v>
      </c>
      <c r="Q464" s="59">
        <f t="shared" si="149"/>
        <v>1212</v>
      </c>
      <c r="R464" s="252">
        <f t="shared" si="225"/>
        <v>1225</v>
      </c>
      <c r="S464" s="263">
        <v>7</v>
      </c>
      <c r="T464" s="263">
        <v>1</v>
      </c>
      <c r="U464" s="263">
        <v>0</v>
      </c>
      <c r="V464" s="263">
        <v>0</v>
      </c>
      <c r="W464" s="263">
        <v>0</v>
      </c>
      <c r="X464" s="263">
        <v>0</v>
      </c>
      <c r="Y464" s="263">
        <v>0</v>
      </c>
      <c r="Z464" s="263">
        <v>2</v>
      </c>
      <c r="AA464" s="263">
        <v>0</v>
      </c>
      <c r="AB464" s="263">
        <v>4</v>
      </c>
      <c r="AC464" s="263">
        <v>2</v>
      </c>
      <c r="AD464" s="263">
        <v>7</v>
      </c>
      <c r="AE464" s="263"/>
      <c r="AF464" s="263"/>
      <c r="AG464" s="263"/>
      <c r="AH464" s="263"/>
      <c r="AI464" s="263"/>
      <c r="AJ464" s="259"/>
      <c r="AK464" s="263">
        <f t="shared" si="235"/>
        <v>7</v>
      </c>
      <c r="AL464" s="265">
        <f t="shared" si="226"/>
        <v>31</v>
      </c>
      <c r="AM464" s="6">
        <f t="shared" si="236"/>
        <v>7</v>
      </c>
      <c r="AN464" s="255">
        <f t="shared" si="227"/>
        <v>0.9893877551020408</v>
      </c>
      <c r="AO464" s="256">
        <f t="shared" si="228"/>
        <v>1.0450004001600641</v>
      </c>
      <c r="AP464" s="257">
        <f t="shared" si="229"/>
        <v>5714.2857142857147</v>
      </c>
      <c r="AQ464" s="263">
        <f t="shared" si="224"/>
        <v>0.8</v>
      </c>
      <c r="AR464" s="263">
        <f t="shared" si="237"/>
        <v>0.4</v>
      </c>
      <c r="AS464" s="263">
        <f t="shared" si="238"/>
        <v>0.70000000000000007</v>
      </c>
      <c r="AT464" s="263">
        <f t="shared" si="239"/>
        <v>1.9000000000000004</v>
      </c>
      <c r="AU464" s="263"/>
      <c r="AV464" s="263"/>
      <c r="AW464" s="263"/>
      <c r="AX464" s="263">
        <f t="shared" si="240"/>
        <v>1.9000000000000004</v>
      </c>
      <c r="BA464" s="282">
        <f t="shared" si="230"/>
        <v>475.29411764705884</v>
      </c>
      <c r="BB464">
        <v>1</v>
      </c>
      <c r="BC464">
        <f t="shared" si="241"/>
        <v>475.29411764705884</v>
      </c>
      <c r="BD464">
        <f t="shared" si="231"/>
        <v>450</v>
      </c>
      <c r="BE464">
        <f t="shared" si="232"/>
        <v>450</v>
      </c>
      <c r="BF464" s="281">
        <f t="shared" si="242"/>
        <v>1.0562091503267974</v>
      </c>
      <c r="BG464" s="282"/>
      <c r="BH464" s="283"/>
    </row>
    <row r="465" spans="1:60" x14ac:dyDescent="0.3">
      <c r="A465">
        <f t="shared" si="136"/>
        <v>462</v>
      </c>
      <c r="B465" s="241" t="s">
        <v>2499</v>
      </c>
      <c r="C465" s="294" t="s">
        <v>2513</v>
      </c>
      <c r="D465" s="14">
        <v>45867</v>
      </c>
      <c r="E465" s="7"/>
      <c r="F465" s="7"/>
      <c r="G465" s="66"/>
      <c r="H465" s="59"/>
      <c r="I465" s="59">
        <v>510</v>
      </c>
      <c r="J465" s="47">
        <f t="shared" si="233"/>
        <v>510</v>
      </c>
      <c r="K465" s="8">
        <f t="shared" si="234"/>
        <v>510</v>
      </c>
      <c r="L465" s="96">
        <f t="shared" si="195"/>
        <v>1</v>
      </c>
      <c r="M465" s="81">
        <v>1302</v>
      </c>
      <c r="N465" s="8">
        <v>153</v>
      </c>
      <c r="O465" s="8">
        <v>60</v>
      </c>
      <c r="P465" s="96">
        <f t="shared" si="243"/>
        <v>1.0011534025374855</v>
      </c>
      <c r="Q465" s="59">
        <f t="shared" si="149"/>
        <v>1302</v>
      </c>
      <c r="R465" s="252">
        <f t="shared" si="225"/>
        <v>1315</v>
      </c>
      <c r="S465" s="263">
        <v>5</v>
      </c>
      <c r="T465" s="263">
        <v>1</v>
      </c>
      <c r="U465" s="263">
        <v>2</v>
      </c>
      <c r="V465" s="263">
        <v>0</v>
      </c>
      <c r="W465" s="263">
        <v>2</v>
      </c>
      <c r="X465" s="263">
        <v>0</v>
      </c>
      <c r="Y465" s="263">
        <v>0</v>
      </c>
      <c r="Z465" s="263">
        <v>4</v>
      </c>
      <c r="AA465" s="263">
        <v>1</v>
      </c>
      <c r="AB465" s="263">
        <v>8</v>
      </c>
      <c r="AC465" s="263">
        <v>3</v>
      </c>
      <c r="AD465" s="263">
        <v>2</v>
      </c>
      <c r="AE465" s="263"/>
      <c r="AF465" s="263"/>
      <c r="AG465" s="263"/>
      <c r="AH465" s="263"/>
      <c r="AI465" s="263"/>
      <c r="AJ465" s="259"/>
      <c r="AK465" s="263">
        <f t="shared" si="235"/>
        <v>2</v>
      </c>
      <c r="AL465" s="265">
        <f t="shared" si="226"/>
        <v>31</v>
      </c>
      <c r="AM465" s="6">
        <f t="shared" si="236"/>
        <v>2</v>
      </c>
      <c r="AN465" s="255">
        <f t="shared" si="227"/>
        <v>0.99011406844106464</v>
      </c>
      <c r="AO465" s="256">
        <f t="shared" si="228"/>
        <v>0.9912560685200047</v>
      </c>
      <c r="AP465" s="257">
        <f t="shared" si="229"/>
        <v>1520.9125475285171</v>
      </c>
      <c r="AQ465" s="263">
        <f t="shared" si="224"/>
        <v>1.6</v>
      </c>
      <c r="AR465" s="263">
        <f t="shared" si="237"/>
        <v>0.60000000000000009</v>
      </c>
      <c r="AS465" s="263">
        <f t="shared" si="238"/>
        <v>0.2</v>
      </c>
      <c r="AT465" s="263">
        <f t="shared" si="239"/>
        <v>2.4000000000000004</v>
      </c>
      <c r="AU465" s="263"/>
      <c r="AV465" s="263"/>
      <c r="AW465" s="263"/>
      <c r="AX465" s="263">
        <f t="shared" si="240"/>
        <v>2.4000000000000004</v>
      </c>
      <c r="BA465" s="282">
        <f t="shared" si="230"/>
        <v>510.58823529411762</v>
      </c>
      <c r="BB465">
        <v>1</v>
      </c>
      <c r="BC465">
        <f t="shared" si="241"/>
        <v>510.58823529411762</v>
      </c>
      <c r="BD465">
        <f t="shared" si="231"/>
        <v>510</v>
      </c>
      <c r="BE465">
        <f t="shared" si="232"/>
        <v>510</v>
      </c>
      <c r="BF465" s="281">
        <f t="shared" si="242"/>
        <v>1.0011534025374855</v>
      </c>
      <c r="BG465" s="282"/>
      <c r="BH465" s="283"/>
    </row>
    <row r="466" spans="1:60" x14ac:dyDescent="0.3">
      <c r="A466">
        <f t="shared" si="136"/>
        <v>463</v>
      </c>
      <c r="B466" s="241" t="s">
        <v>2499</v>
      </c>
      <c r="C466" s="294" t="s">
        <v>2511</v>
      </c>
      <c r="D466" s="14">
        <v>45868</v>
      </c>
      <c r="E466" s="7">
        <v>45</v>
      </c>
      <c r="F466" s="7"/>
      <c r="G466" s="66"/>
      <c r="H466" s="59"/>
      <c r="I466" s="59">
        <v>480</v>
      </c>
      <c r="J466" s="47">
        <f t="shared" si="233"/>
        <v>480</v>
      </c>
      <c r="K466" s="8">
        <f t="shared" si="234"/>
        <v>435</v>
      </c>
      <c r="L466" s="96">
        <f t="shared" si="195"/>
        <v>0.90625</v>
      </c>
      <c r="M466" s="81">
        <v>1192</v>
      </c>
      <c r="N466" s="8">
        <v>153</v>
      </c>
      <c r="O466" s="8">
        <v>60</v>
      </c>
      <c r="P466" s="96">
        <f t="shared" si="243"/>
        <v>1.0745999549244984</v>
      </c>
      <c r="Q466" s="59">
        <f t="shared" si="149"/>
        <v>1192</v>
      </c>
      <c r="R466" s="252">
        <f t="shared" si="225"/>
        <v>1208</v>
      </c>
      <c r="S466" s="263">
        <v>13</v>
      </c>
      <c r="T466" s="263">
        <v>2</v>
      </c>
      <c r="U466" s="263">
        <v>1</v>
      </c>
      <c r="V466" s="263">
        <v>1</v>
      </c>
      <c r="W466" s="263">
        <v>0</v>
      </c>
      <c r="X466" s="263">
        <v>4</v>
      </c>
      <c r="Y466" s="263">
        <v>0</v>
      </c>
      <c r="Z466" s="263">
        <v>1</v>
      </c>
      <c r="AA466" s="263">
        <v>0</v>
      </c>
      <c r="AB466" s="263">
        <v>11</v>
      </c>
      <c r="AC466" s="263">
        <v>3</v>
      </c>
      <c r="AD466" s="263">
        <v>2</v>
      </c>
      <c r="AE466" s="263"/>
      <c r="AF466" s="263"/>
      <c r="AG466" s="263"/>
      <c r="AH466" s="263"/>
      <c r="AI466" s="263"/>
      <c r="AJ466" s="259"/>
      <c r="AK466" s="263">
        <f t="shared" si="235"/>
        <v>2</v>
      </c>
      <c r="AL466" s="265">
        <f t="shared" si="226"/>
        <v>31</v>
      </c>
      <c r="AM466" s="6">
        <f t="shared" si="236"/>
        <v>2</v>
      </c>
      <c r="AN466" s="255">
        <f t="shared" si="227"/>
        <v>0.98675496688741726</v>
      </c>
      <c r="AO466" s="256">
        <f t="shared" si="228"/>
        <v>0.96095745141323641</v>
      </c>
      <c r="AP466" s="257">
        <f t="shared" si="229"/>
        <v>1655.6291390728477</v>
      </c>
      <c r="AQ466" s="263">
        <f t="shared" si="224"/>
        <v>2.2000000000000002</v>
      </c>
      <c r="AR466" s="263">
        <f t="shared" si="237"/>
        <v>0.60000000000000009</v>
      </c>
      <c r="AS466" s="263">
        <f t="shared" si="238"/>
        <v>0.2</v>
      </c>
      <c r="AT466" s="263">
        <f t="shared" si="239"/>
        <v>3.0000000000000004</v>
      </c>
      <c r="AU466" s="263"/>
      <c r="AV466" s="263"/>
      <c r="AW466" s="263"/>
      <c r="AX466" s="263">
        <f t="shared" si="240"/>
        <v>3.0000000000000004</v>
      </c>
      <c r="BA466" s="282">
        <f t="shared" si="230"/>
        <v>467.45098039215685</v>
      </c>
      <c r="BB466">
        <v>1</v>
      </c>
      <c r="BC466">
        <f t="shared" si="241"/>
        <v>467.45098039215685</v>
      </c>
      <c r="BD466">
        <f t="shared" si="231"/>
        <v>435</v>
      </c>
      <c r="BE466">
        <f t="shared" si="232"/>
        <v>480</v>
      </c>
      <c r="BF466" s="281">
        <f t="shared" si="242"/>
        <v>0.97385620915032678</v>
      </c>
      <c r="BG466" s="282"/>
      <c r="BH466" s="283"/>
    </row>
    <row r="467" spans="1:60" x14ac:dyDescent="0.3">
      <c r="A467">
        <f t="shared" si="136"/>
        <v>464</v>
      </c>
      <c r="B467" s="241" t="s">
        <v>2499</v>
      </c>
      <c r="C467" s="294" t="s">
        <v>2512</v>
      </c>
      <c r="D467" s="14">
        <v>45868</v>
      </c>
      <c r="E467" s="7"/>
      <c r="F467" s="7"/>
      <c r="G467" s="66"/>
      <c r="H467" s="59"/>
      <c r="I467" s="59">
        <v>450</v>
      </c>
      <c r="J467" s="47">
        <f t="shared" si="233"/>
        <v>450</v>
      </c>
      <c r="K467" s="8">
        <f t="shared" si="234"/>
        <v>450</v>
      </c>
      <c r="L467" s="96">
        <f t="shared" si="195"/>
        <v>1</v>
      </c>
      <c r="M467" s="81">
        <v>939</v>
      </c>
      <c r="N467" s="8">
        <v>153</v>
      </c>
      <c r="O467" s="8">
        <v>60</v>
      </c>
      <c r="P467" s="96">
        <f t="shared" si="243"/>
        <v>0.81830065359477122</v>
      </c>
      <c r="Q467" s="59">
        <f t="shared" si="149"/>
        <v>939</v>
      </c>
      <c r="R467" s="252">
        <f t="shared" si="225"/>
        <v>952</v>
      </c>
      <c r="S467" s="263">
        <v>8</v>
      </c>
      <c r="T467" s="263">
        <v>0</v>
      </c>
      <c r="U467" s="263">
        <v>1</v>
      </c>
      <c r="V467" s="263">
        <v>0</v>
      </c>
      <c r="W467" s="263">
        <v>0</v>
      </c>
      <c r="X467" s="263">
        <v>0</v>
      </c>
      <c r="Y467" s="263">
        <v>0</v>
      </c>
      <c r="Z467" s="263">
        <v>0</v>
      </c>
      <c r="AA467" s="263">
        <v>0</v>
      </c>
      <c r="AB467" s="263">
        <v>10</v>
      </c>
      <c r="AC467" s="263">
        <v>2</v>
      </c>
      <c r="AD467" s="263">
        <v>1</v>
      </c>
      <c r="AE467" s="263"/>
      <c r="AF467" s="263"/>
      <c r="AG467" s="263"/>
      <c r="AH467" s="263"/>
      <c r="AI467" s="263"/>
      <c r="AJ467" s="259"/>
      <c r="AK467" s="263">
        <f t="shared" si="235"/>
        <v>1</v>
      </c>
      <c r="AL467" s="265">
        <f t="shared" si="226"/>
        <v>31</v>
      </c>
      <c r="AM467" s="6">
        <f t="shared" si="236"/>
        <v>1</v>
      </c>
      <c r="AN467" s="255">
        <f t="shared" si="227"/>
        <v>0.9863445378151261</v>
      </c>
      <c r="AO467" s="256">
        <f t="shared" si="228"/>
        <v>0.80712637996375025</v>
      </c>
      <c r="AP467" s="257">
        <f t="shared" si="229"/>
        <v>1050.4201680672268</v>
      </c>
      <c r="AQ467" s="263">
        <f t="shared" si="224"/>
        <v>2</v>
      </c>
      <c r="AR467" s="263">
        <f t="shared" si="237"/>
        <v>0.4</v>
      </c>
      <c r="AS467" s="263">
        <f t="shared" si="238"/>
        <v>0.1</v>
      </c>
      <c r="AT467" s="263">
        <f t="shared" si="239"/>
        <v>2.5</v>
      </c>
      <c r="AU467" s="263"/>
      <c r="AV467" s="263"/>
      <c r="AW467" s="263"/>
      <c r="AX467" s="263">
        <f t="shared" si="240"/>
        <v>2.5</v>
      </c>
      <c r="BA467" s="282">
        <f t="shared" si="230"/>
        <v>368.23529411764707</v>
      </c>
      <c r="BB467">
        <v>1</v>
      </c>
      <c r="BC467">
        <f t="shared" si="241"/>
        <v>368.23529411764707</v>
      </c>
      <c r="BD467">
        <f t="shared" si="231"/>
        <v>450</v>
      </c>
      <c r="BE467">
        <f t="shared" si="232"/>
        <v>450</v>
      </c>
      <c r="BF467" s="281">
        <f t="shared" si="242"/>
        <v>0.81830065359477122</v>
      </c>
      <c r="BG467" s="282"/>
      <c r="BH467" s="283"/>
    </row>
    <row r="468" spans="1:60" x14ac:dyDescent="0.3">
      <c r="A468">
        <f t="shared" si="136"/>
        <v>465</v>
      </c>
      <c r="B468" s="241" t="s">
        <v>2499</v>
      </c>
      <c r="C468" s="294" t="s">
        <v>2513</v>
      </c>
      <c r="D468" s="14">
        <v>45868</v>
      </c>
      <c r="E468" s="7"/>
      <c r="F468" s="7"/>
      <c r="G468" s="66"/>
      <c r="H468" s="59"/>
      <c r="I468" s="59">
        <v>510</v>
      </c>
      <c r="J468" s="47">
        <f t="shared" si="233"/>
        <v>510</v>
      </c>
      <c r="K468" s="8">
        <f t="shared" si="234"/>
        <v>510</v>
      </c>
      <c r="L468" s="96">
        <f t="shared" si="195"/>
        <v>1</v>
      </c>
      <c r="M468" s="81">
        <v>1279</v>
      </c>
      <c r="N468" s="8">
        <v>153</v>
      </c>
      <c r="O468" s="8">
        <v>60</v>
      </c>
      <c r="P468" s="96">
        <f t="shared" si="243"/>
        <v>0.98346789696270676</v>
      </c>
      <c r="Q468" s="59">
        <f t="shared" si="149"/>
        <v>1279</v>
      </c>
      <c r="R468" s="252">
        <f t="shared" si="225"/>
        <v>1304</v>
      </c>
      <c r="S468" s="263">
        <v>3</v>
      </c>
      <c r="T468" s="263">
        <v>2</v>
      </c>
      <c r="U468" s="263">
        <v>0</v>
      </c>
      <c r="V468" s="263">
        <v>0</v>
      </c>
      <c r="W468" s="263">
        <v>0</v>
      </c>
      <c r="X468" s="263">
        <v>1</v>
      </c>
      <c r="Y468" s="263">
        <v>0</v>
      </c>
      <c r="Z468" s="263">
        <v>2</v>
      </c>
      <c r="AA468" s="263">
        <v>0</v>
      </c>
      <c r="AB468" s="263">
        <v>19</v>
      </c>
      <c r="AC468" s="263">
        <v>1</v>
      </c>
      <c r="AD468" s="263">
        <v>5</v>
      </c>
      <c r="AE468" s="263"/>
      <c r="AF468" s="263"/>
      <c r="AG468" s="263"/>
      <c r="AH468" s="263"/>
      <c r="AI468" s="263"/>
      <c r="AJ468" s="259"/>
      <c r="AK468" s="263">
        <f t="shared" si="235"/>
        <v>5</v>
      </c>
      <c r="AL468" s="265">
        <f t="shared" si="226"/>
        <v>31</v>
      </c>
      <c r="AM468" s="6">
        <f t="shared" si="236"/>
        <v>5</v>
      </c>
      <c r="AN468" s="255">
        <f t="shared" si="227"/>
        <v>0.98082822085889576</v>
      </c>
      <c r="AO468" s="256">
        <f t="shared" si="228"/>
        <v>0.96461306764977151</v>
      </c>
      <c r="AP468" s="257">
        <f t="shared" si="229"/>
        <v>3834.3558282208587</v>
      </c>
      <c r="AQ468" s="263">
        <f t="shared" si="224"/>
        <v>3.8000000000000003</v>
      </c>
      <c r="AR468" s="263">
        <f t="shared" si="237"/>
        <v>0.2</v>
      </c>
      <c r="AS468" s="263">
        <f t="shared" si="238"/>
        <v>0.5</v>
      </c>
      <c r="AT468" s="263">
        <f t="shared" si="239"/>
        <v>4.5</v>
      </c>
      <c r="AU468" s="263"/>
      <c r="AV468" s="263"/>
      <c r="AW468" s="263"/>
      <c r="AX468" s="263">
        <f t="shared" si="240"/>
        <v>4.5</v>
      </c>
      <c r="BA468" s="282">
        <f t="shared" si="230"/>
        <v>501.56862745098044</v>
      </c>
      <c r="BB468">
        <v>1</v>
      </c>
      <c r="BC468">
        <f t="shared" si="241"/>
        <v>501.56862745098044</v>
      </c>
      <c r="BD468">
        <f t="shared" si="231"/>
        <v>510</v>
      </c>
      <c r="BE468">
        <f t="shared" si="232"/>
        <v>510</v>
      </c>
      <c r="BF468" s="281">
        <f t="shared" si="242"/>
        <v>0.98346789696270676</v>
      </c>
      <c r="BG468" s="282"/>
      <c r="BH468" s="283"/>
    </row>
    <row r="469" spans="1:60" x14ac:dyDescent="0.3">
      <c r="A469">
        <f t="shared" si="136"/>
        <v>466</v>
      </c>
      <c r="B469" s="241" t="s">
        <v>2499</v>
      </c>
      <c r="C469" s="294" t="s">
        <v>2511</v>
      </c>
      <c r="D469" s="14">
        <v>45869</v>
      </c>
      <c r="E469" s="7">
        <v>45</v>
      </c>
      <c r="F469" s="7"/>
      <c r="G469" s="66"/>
      <c r="H469" s="59"/>
      <c r="I469" s="59">
        <v>480</v>
      </c>
      <c r="J469" s="47">
        <f t="shared" si="233"/>
        <v>480</v>
      </c>
      <c r="K469" s="8">
        <f t="shared" si="234"/>
        <v>435</v>
      </c>
      <c r="L469" s="96">
        <f t="shared" si="195"/>
        <v>0.90625</v>
      </c>
      <c r="M469" s="81">
        <v>984</v>
      </c>
      <c r="N469" s="8">
        <v>153</v>
      </c>
      <c r="O469" s="8">
        <v>60</v>
      </c>
      <c r="P469" s="96">
        <f t="shared" si="243"/>
        <v>0.88708586883029072</v>
      </c>
      <c r="Q469" s="59">
        <f t="shared" si="149"/>
        <v>984</v>
      </c>
      <c r="R469" s="252">
        <f t="shared" si="225"/>
        <v>1013</v>
      </c>
      <c r="S469" s="263">
        <v>2</v>
      </c>
      <c r="T469" s="263">
        <v>3</v>
      </c>
      <c r="U469" s="263">
        <v>0</v>
      </c>
      <c r="V469" s="263">
        <v>0</v>
      </c>
      <c r="W469" s="263">
        <v>0</v>
      </c>
      <c r="X469" s="263">
        <v>0</v>
      </c>
      <c r="Y469" s="263">
        <v>0</v>
      </c>
      <c r="Z469" s="263">
        <v>0</v>
      </c>
      <c r="AA469" s="263">
        <v>0</v>
      </c>
      <c r="AB469" s="263">
        <v>19</v>
      </c>
      <c r="AC469" s="263">
        <v>3</v>
      </c>
      <c r="AD469" s="263">
        <v>7</v>
      </c>
      <c r="AE469" s="263"/>
      <c r="AF469" s="263"/>
      <c r="AG469" s="263"/>
      <c r="AH469" s="263"/>
      <c r="AI469" s="263"/>
      <c r="AJ469" s="259"/>
      <c r="AK469" s="263">
        <f t="shared" si="235"/>
        <v>7</v>
      </c>
      <c r="AL469" s="265">
        <f t="shared" si="226"/>
        <v>31</v>
      </c>
      <c r="AM469" s="6">
        <f t="shared" si="236"/>
        <v>7</v>
      </c>
      <c r="AN469" s="255">
        <f t="shared" si="227"/>
        <v>0.97137216189536035</v>
      </c>
      <c r="AO469" s="256">
        <f t="shared" si="228"/>
        <v>0.78090703211195633</v>
      </c>
      <c r="AP469" s="257">
        <f t="shared" si="229"/>
        <v>6910.167818361303</v>
      </c>
      <c r="AQ469" s="263">
        <f t="shared" si="224"/>
        <v>3.8000000000000003</v>
      </c>
      <c r="AR469" s="263">
        <f t="shared" si="237"/>
        <v>0.60000000000000009</v>
      </c>
      <c r="AS469" s="263">
        <f t="shared" si="238"/>
        <v>0.70000000000000007</v>
      </c>
      <c r="AT469" s="263">
        <f t="shared" si="239"/>
        <v>5.1000000000000005</v>
      </c>
      <c r="AU469" s="263"/>
      <c r="AV469" s="263"/>
      <c r="AW469" s="263"/>
      <c r="AX469" s="263">
        <f t="shared" si="240"/>
        <v>5.1000000000000005</v>
      </c>
      <c r="BA469" s="282">
        <f t="shared" si="230"/>
        <v>385.88235294117646</v>
      </c>
      <c r="BB469">
        <v>1</v>
      </c>
      <c r="BC469">
        <f t="shared" si="241"/>
        <v>385.88235294117646</v>
      </c>
      <c r="BD469">
        <f t="shared" si="231"/>
        <v>435</v>
      </c>
      <c r="BE469">
        <f t="shared" si="232"/>
        <v>480</v>
      </c>
      <c r="BF469" s="281">
        <f t="shared" si="242"/>
        <v>0.80392156862745101</v>
      </c>
      <c r="BG469" s="282"/>
      <c r="BH469" s="283"/>
    </row>
    <row r="470" spans="1:60" x14ac:dyDescent="0.3">
      <c r="A470">
        <f t="shared" si="136"/>
        <v>467</v>
      </c>
      <c r="B470" s="241" t="s">
        <v>2499</v>
      </c>
      <c r="C470" s="294" t="s">
        <v>2512</v>
      </c>
      <c r="D470" s="14">
        <v>45869</v>
      </c>
      <c r="E470" s="7"/>
      <c r="F470" s="7"/>
      <c r="G470" s="66"/>
      <c r="H470" s="59"/>
      <c r="I470" s="59">
        <v>450</v>
      </c>
      <c r="J470" s="47">
        <f t="shared" si="233"/>
        <v>450</v>
      </c>
      <c r="K470" s="8">
        <f t="shared" si="234"/>
        <v>450</v>
      </c>
      <c r="L470" s="96">
        <f t="shared" si="195"/>
        <v>1</v>
      </c>
      <c r="M470" s="81">
        <v>976</v>
      </c>
      <c r="N470" s="8">
        <v>153</v>
      </c>
      <c r="O470" s="8">
        <v>60</v>
      </c>
      <c r="P470" s="96">
        <f t="shared" si="243"/>
        <v>0.8505446623093682</v>
      </c>
      <c r="Q470" s="59">
        <f t="shared" si="149"/>
        <v>976</v>
      </c>
      <c r="R470" s="252">
        <f t="shared" si="225"/>
        <v>1021</v>
      </c>
      <c r="S470" s="263">
        <v>8</v>
      </c>
      <c r="T470" s="263">
        <v>1</v>
      </c>
      <c r="U470" s="263">
        <v>0</v>
      </c>
      <c r="V470" s="263">
        <v>0</v>
      </c>
      <c r="W470" s="263">
        <v>0</v>
      </c>
      <c r="X470" s="263">
        <v>0</v>
      </c>
      <c r="Y470" s="263">
        <v>0</v>
      </c>
      <c r="Z470" s="263">
        <v>15</v>
      </c>
      <c r="AA470" s="263">
        <v>0</v>
      </c>
      <c r="AB470" s="263">
        <v>33</v>
      </c>
      <c r="AC470" s="263">
        <v>1</v>
      </c>
      <c r="AD470" s="263">
        <v>11</v>
      </c>
      <c r="AE470" s="263"/>
      <c r="AF470" s="263"/>
      <c r="AG470" s="263"/>
      <c r="AH470" s="263"/>
      <c r="AI470" s="263"/>
      <c r="AJ470" s="259"/>
      <c r="AK470" s="263">
        <f t="shared" si="235"/>
        <v>11</v>
      </c>
      <c r="AL470" s="265">
        <f t="shared" si="226"/>
        <v>31</v>
      </c>
      <c r="AM470" s="6">
        <f t="shared" si="236"/>
        <v>11</v>
      </c>
      <c r="AN470" s="255">
        <f t="shared" si="227"/>
        <v>0.95592556317335942</v>
      </c>
      <c r="AO470" s="256">
        <f t="shared" si="228"/>
        <v>0.81305738532217764</v>
      </c>
      <c r="AP470" s="257">
        <f t="shared" si="229"/>
        <v>10773.751224289912</v>
      </c>
      <c r="AQ470" s="263">
        <f t="shared" si="224"/>
        <v>6.6000000000000005</v>
      </c>
      <c r="AR470" s="263">
        <f t="shared" si="237"/>
        <v>0.2</v>
      </c>
      <c r="AS470" s="263">
        <f t="shared" si="238"/>
        <v>1.1000000000000001</v>
      </c>
      <c r="AT470" s="263">
        <f t="shared" si="239"/>
        <v>7.9</v>
      </c>
      <c r="AU470" s="263"/>
      <c r="AV470" s="263"/>
      <c r="AW470" s="263"/>
      <c r="AX470" s="263">
        <f t="shared" si="240"/>
        <v>7.9</v>
      </c>
      <c r="BA470" s="282">
        <f t="shared" si="230"/>
        <v>382.74509803921569</v>
      </c>
      <c r="BB470">
        <v>1</v>
      </c>
      <c r="BC470">
        <f t="shared" si="241"/>
        <v>382.74509803921569</v>
      </c>
      <c r="BD470">
        <f t="shared" si="231"/>
        <v>450</v>
      </c>
      <c r="BE470">
        <f t="shared" si="232"/>
        <v>450</v>
      </c>
      <c r="BF470" s="281">
        <f t="shared" si="242"/>
        <v>0.8505446623093682</v>
      </c>
      <c r="BG470" s="282"/>
      <c r="BH470" s="283"/>
    </row>
    <row r="471" spans="1:60" x14ac:dyDescent="0.3">
      <c r="A471">
        <f t="shared" si="136"/>
        <v>468</v>
      </c>
      <c r="B471" s="241" t="s">
        <v>2499</v>
      </c>
      <c r="C471" s="294" t="s">
        <v>2513</v>
      </c>
      <c r="D471" s="14">
        <v>45869</v>
      </c>
      <c r="E471" s="7"/>
      <c r="F471" s="7"/>
      <c r="G471" s="66"/>
      <c r="H471" s="59"/>
      <c r="I471" s="59">
        <v>510</v>
      </c>
      <c r="J471" s="47">
        <f t="shared" si="233"/>
        <v>510</v>
      </c>
      <c r="K471" s="8">
        <f t="shared" si="234"/>
        <v>510</v>
      </c>
      <c r="L471" s="96">
        <f t="shared" si="195"/>
        <v>1</v>
      </c>
      <c r="M471" s="81">
        <v>1090</v>
      </c>
      <c r="N471" s="8">
        <v>153</v>
      </c>
      <c r="O471" s="8">
        <v>60</v>
      </c>
      <c r="P471" s="96">
        <f t="shared" si="243"/>
        <v>0.83813917723952325</v>
      </c>
      <c r="Q471" s="59">
        <f t="shared" si="149"/>
        <v>1090</v>
      </c>
      <c r="R471" s="252">
        <f t="shared" si="225"/>
        <v>1146</v>
      </c>
      <c r="S471" s="263">
        <v>10</v>
      </c>
      <c r="T471" s="263">
        <v>3</v>
      </c>
      <c r="U471" s="263">
        <v>0</v>
      </c>
      <c r="V471" s="263">
        <v>0</v>
      </c>
      <c r="W471" s="263">
        <v>0</v>
      </c>
      <c r="X471" s="263">
        <v>3</v>
      </c>
      <c r="Y471" s="263">
        <v>0</v>
      </c>
      <c r="Z471" s="263">
        <v>12</v>
      </c>
      <c r="AA471" s="263">
        <v>0</v>
      </c>
      <c r="AB471" s="263">
        <v>42</v>
      </c>
      <c r="AC471" s="263">
        <v>3</v>
      </c>
      <c r="AD471" s="263">
        <v>11</v>
      </c>
      <c r="AE471" s="263"/>
      <c r="AF471" s="263"/>
      <c r="AG471" s="263"/>
      <c r="AH471" s="263"/>
      <c r="AI471" s="263"/>
      <c r="AJ471" s="259"/>
      <c r="AK471" s="263">
        <f t="shared" si="235"/>
        <v>11</v>
      </c>
      <c r="AL471" s="265">
        <f t="shared" si="226"/>
        <v>31</v>
      </c>
      <c r="AM471" s="6">
        <f t="shared" si="236"/>
        <v>11</v>
      </c>
      <c r="AN471" s="255">
        <f t="shared" si="227"/>
        <v>0.9511343804537522</v>
      </c>
      <c r="AO471" s="256">
        <f t="shared" si="228"/>
        <v>0.79718298707773161</v>
      </c>
      <c r="AP471" s="257">
        <f t="shared" si="229"/>
        <v>9598.6038394415355</v>
      </c>
      <c r="AQ471" s="263">
        <f t="shared" si="224"/>
        <v>8.4</v>
      </c>
      <c r="AR471" s="263">
        <f t="shared" si="237"/>
        <v>0.60000000000000009</v>
      </c>
      <c r="AS471" s="263">
        <f t="shared" si="238"/>
        <v>1.1000000000000001</v>
      </c>
      <c r="AT471" s="263">
        <f t="shared" si="239"/>
        <v>10.1</v>
      </c>
      <c r="AU471" s="263"/>
      <c r="AV471" s="263"/>
      <c r="AW471" s="263"/>
      <c r="AX471" s="263">
        <f t="shared" si="240"/>
        <v>10.1</v>
      </c>
      <c r="BA471" s="282">
        <f t="shared" si="230"/>
        <v>427.45098039215685</v>
      </c>
      <c r="BB471">
        <v>1</v>
      </c>
      <c r="BC471">
        <f t="shared" si="241"/>
        <v>427.45098039215685</v>
      </c>
      <c r="BD471">
        <f t="shared" si="231"/>
        <v>510</v>
      </c>
      <c r="BE471">
        <f t="shared" si="232"/>
        <v>510</v>
      </c>
      <c r="BF471" s="281">
        <f t="shared" si="242"/>
        <v>0.83813917723952325</v>
      </c>
      <c r="BG471" s="282"/>
      <c r="BH471" s="283"/>
    </row>
    <row r="472" spans="1:60" x14ac:dyDescent="0.3">
      <c r="A472">
        <f t="shared" si="136"/>
        <v>469</v>
      </c>
      <c r="B472" s="241" t="s">
        <v>2499</v>
      </c>
      <c r="D472" s="14"/>
      <c r="E472" s="7"/>
      <c r="F472" s="7"/>
      <c r="G472" s="66"/>
      <c r="H472" s="59"/>
      <c r="I472" s="59"/>
      <c r="J472" s="47">
        <f t="shared" si="233"/>
        <v>0</v>
      </c>
      <c r="K472" s="8">
        <f t="shared" si="234"/>
        <v>0</v>
      </c>
      <c r="L472" s="96" t="str">
        <f t="shared" si="195"/>
        <v/>
      </c>
      <c r="M472" s="81"/>
      <c r="N472" s="8">
        <v>153</v>
      </c>
      <c r="O472" s="8">
        <v>60</v>
      </c>
      <c r="P472" s="96" t="str">
        <f t="shared" si="243"/>
        <v/>
      </c>
      <c r="Q472" s="59">
        <f t="shared" si="149"/>
        <v>0</v>
      </c>
      <c r="R472" s="252">
        <f t="shared" si="225"/>
        <v>0</v>
      </c>
      <c r="S472" s="263"/>
      <c r="T472" s="263"/>
      <c r="U472" s="263"/>
      <c r="V472" s="263"/>
      <c r="W472" s="263"/>
      <c r="X472" s="263"/>
      <c r="Y472" s="263"/>
      <c r="Z472" s="263"/>
      <c r="AA472" s="263"/>
      <c r="AB472" s="263"/>
      <c r="AC472" s="263"/>
      <c r="AD472" s="263"/>
      <c r="AE472" s="263"/>
      <c r="AF472" s="263"/>
      <c r="AG472" s="263"/>
      <c r="AH472" s="263"/>
      <c r="AI472" s="263"/>
      <c r="AJ472" s="259"/>
      <c r="AK472" s="263">
        <f t="shared" si="235"/>
        <v>0</v>
      </c>
      <c r="AL472" s="265">
        <f t="shared" si="226"/>
        <v>52</v>
      </c>
      <c r="AM472" s="6">
        <f t="shared" si="236"/>
        <v>0</v>
      </c>
      <c r="AN472" s="255" t="str">
        <f t="shared" si="227"/>
        <v/>
      </c>
      <c r="AO472" s="256" t="str">
        <f t="shared" si="228"/>
        <v/>
      </c>
      <c r="AP472" s="257" t="str">
        <f t="shared" si="229"/>
        <v/>
      </c>
      <c r="AQ472" s="263">
        <f t="shared" si="224"/>
        <v>0</v>
      </c>
      <c r="AR472" s="263">
        <f t="shared" si="237"/>
        <v>0</v>
      </c>
      <c r="AS472" s="263">
        <f t="shared" si="238"/>
        <v>0</v>
      </c>
      <c r="AT472" s="263">
        <f t="shared" si="239"/>
        <v>0</v>
      </c>
      <c r="AU472" s="263"/>
      <c r="AV472" s="263"/>
      <c r="AW472" s="263"/>
      <c r="AX472" s="263">
        <f t="shared" si="240"/>
        <v>0</v>
      </c>
      <c r="BA472" s="282">
        <f t="shared" si="230"/>
        <v>0</v>
      </c>
      <c r="BB472">
        <v>1</v>
      </c>
      <c r="BC472">
        <f t="shared" si="241"/>
        <v>0</v>
      </c>
      <c r="BD472">
        <f t="shared" si="231"/>
        <v>0</v>
      </c>
      <c r="BE472">
        <f t="shared" si="232"/>
        <v>0</v>
      </c>
      <c r="BF472" s="281" t="e">
        <f t="shared" si="242"/>
        <v>#DIV/0!</v>
      </c>
      <c r="BG472" s="282"/>
      <c r="BH472" s="283"/>
    </row>
    <row r="473" spans="1:60" x14ac:dyDescent="0.3">
      <c r="A473">
        <f t="shared" si="136"/>
        <v>470</v>
      </c>
      <c r="B473" s="241" t="s">
        <v>2499</v>
      </c>
      <c r="D473" s="14"/>
      <c r="E473" s="7"/>
      <c r="F473" s="7"/>
      <c r="G473" s="66"/>
      <c r="H473" s="59"/>
      <c r="I473" s="59"/>
      <c r="J473" s="47">
        <f t="shared" si="233"/>
        <v>0</v>
      </c>
      <c r="K473" s="8">
        <f t="shared" si="234"/>
        <v>0</v>
      </c>
      <c r="L473" s="96" t="str">
        <f t="shared" si="195"/>
        <v/>
      </c>
      <c r="M473" s="81"/>
      <c r="N473" s="8">
        <v>153</v>
      </c>
      <c r="O473" s="8">
        <v>60</v>
      </c>
      <c r="P473" s="96" t="str">
        <f t="shared" si="243"/>
        <v/>
      </c>
      <c r="Q473" s="59">
        <f t="shared" si="149"/>
        <v>0</v>
      </c>
      <c r="R473" s="252">
        <f t="shared" si="225"/>
        <v>0</v>
      </c>
      <c r="S473" s="263"/>
      <c r="T473" s="263"/>
      <c r="U473" s="263"/>
      <c r="V473" s="263"/>
      <c r="W473" s="263"/>
      <c r="X473" s="263"/>
      <c r="Y473" s="263"/>
      <c r="Z473" s="263"/>
      <c r="AA473" s="263"/>
      <c r="AB473" s="263"/>
      <c r="AC473" s="263"/>
      <c r="AD473" s="263"/>
      <c r="AE473" s="263"/>
      <c r="AF473" s="263"/>
      <c r="AG473" s="263"/>
      <c r="AH473" s="263"/>
      <c r="AI473" s="263"/>
      <c r="AJ473" s="259"/>
      <c r="AK473" s="263">
        <f t="shared" si="235"/>
        <v>0</v>
      </c>
      <c r="AL473" s="265">
        <f t="shared" si="226"/>
        <v>52</v>
      </c>
      <c r="AM473" s="6">
        <f t="shared" si="236"/>
        <v>0</v>
      </c>
      <c r="AN473" s="255" t="str">
        <f t="shared" si="227"/>
        <v/>
      </c>
      <c r="AO473" s="256" t="str">
        <f t="shared" si="228"/>
        <v/>
      </c>
      <c r="AP473" s="257" t="str">
        <f t="shared" si="229"/>
        <v/>
      </c>
      <c r="AQ473" s="263">
        <f t="shared" si="224"/>
        <v>0</v>
      </c>
      <c r="AR473" s="263">
        <f t="shared" si="237"/>
        <v>0</v>
      </c>
      <c r="AS473" s="263">
        <f t="shared" si="238"/>
        <v>0</v>
      </c>
      <c r="AT473" s="263">
        <f t="shared" si="239"/>
        <v>0</v>
      </c>
      <c r="AU473" s="263"/>
      <c r="AV473" s="263"/>
      <c r="AW473" s="263"/>
      <c r="AX473" s="263">
        <f t="shared" si="240"/>
        <v>0</v>
      </c>
      <c r="BA473" s="282">
        <f t="shared" si="230"/>
        <v>0</v>
      </c>
      <c r="BB473">
        <v>1</v>
      </c>
      <c r="BC473">
        <f t="shared" si="241"/>
        <v>0</v>
      </c>
      <c r="BD473">
        <f t="shared" si="231"/>
        <v>0</v>
      </c>
      <c r="BE473">
        <f t="shared" si="232"/>
        <v>0</v>
      </c>
      <c r="BF473" s="281" t="e">
        <f t="shared" si="242"/>
        <v>#DIV/0!</v>
      </c>
      <c r="BG473" s="282"/>
      <c r="BH473" s="283"/>
    </row>
    <row r="474" spans="1:60" x14ac:dyDescent="0.3">
      <c r="A474">
        <f t="shared" si="136"/>
        <v>471</v>
      </c>
      <c r="B474" s="241" t="s">
        <v>2499</v>
      </c>
      <c r="D474" s="14"/>
      <c r="E474" s="7"/>
      <c r="F474" s="7"/>
      <c r="G474" s="66"/>
      <c r="H474" s="59"/>
      <c r="I474" s="59"/>
      <c r="J474" s="47">
        <f t="shared" si="233"/>
        <v>0</v>
      </c>
      <c r="K474" s="8">
        <f t="shared" si="234"/>
        <v>0</v>
      </c>
      <c r="L474" s="96" t="str">
        <f t="shared" si="195"/>
        <v/>
      </c>
      <c r="M474" s="81"/>
      <c r="N474" s="8">
        <v>153</v>
      </c>
      <c r="O474" s="8">
        <v>60</v>
      </c>
      <c r="P474" s="96" t="str">
        <f t="shared" si="243"/>
        <v/>
      </c>
      <c r="Q474" s="59">
        <f t="shared" si="149"/>
        <v>0</v>
      </c>
      <c r="R474" s="252">
        <f t="shared" si="225"/>
        <v>0</v>
      </c>
      <c r="S474" s="263"/>
      <c r="T474" s="263"/>
      <c r="U474" s="263"/>
      <c r="V474" s="263"/>
      <c r="W474" s="263"/>
      <c r="X474" s="263"/>
      <c r="Y474" s="263"/>
      <c r="Z474" s="263"/>
      <c r="AA474" s="263"/>
      <c r="AB474" s="263"/>
      <c r="AC474" s="263"/>
      <c r="AD474" s="263"/>
      <c r="AE474" s="263"/>
      <c r="AF474" s="263"/>
      <c r="AG474" s="263"/>
      <c r="AH474" s="263"/>
      <c r="AI474" s="263"/>
      <c r="AJ474" s="259"/>
      <c r="AK474" s="263">
        <f t="shared" si="235"/>
        <v>0</v>
      </c>
      <c r="AL474" s="265">
        <f t="shared" si="226"/>
        <v>52</v>
      </c>
      <c r="AM474" s="6">
        <f t="shared" si="236"/>
        <v>0</v>
      </c>
      <c r="AN474" s="255" t="str">
        <f t="shared" si="227"/>
        <v/>
      </c>
      <c r="AO474" s="256" t="str">
        <f t="shared" si="228"/>
        <v/>
      </c>
      <c r="AP474" s="257" t="str">
        <f t="shared" si="229"/>
        <v/>
      </c>
      <c r="AQ474" s="263">
        <f t="shared" si="224"/>
        <v>0</v>
      </c>
      <c r="AR474" s="263">
        <f t="shared" si="237"/>
        <v>0</v>
      </c>
      <c r="AS474" s="263">
        <f t="shared" si="238"/>
        <v>0</v>
      </c>
      <c r="AT474" s="263">
        <f t="shared" si="239"/>
        <v>0</v>
      </c>
      <c r="AU474" s="263"/>
      <c r="AV474" s="263"/>
      <c r="AW474" s="263"/>
      <c r="AX474" s="263">
        <f t="shared" si="240"/>
        <v>0</v>
      </c>
      <c r="BA474" s="282">
        <f t="shared" si="230"/>
        <v>0</v>
      </c>
      <c r="BB474">
        <v>1</v>
      </c>
      <c r="BC474">
        <f t="shared" si="241"/>
        <v>0</v>
      </c>
      <c r="BD474">
        <f t="shared" si="231"/>
        <v>0</v>
      </c>
      <c r="BE474">
        <f t="shared" si="232"/>
        <v>0</v>
      </c>
      <c r="BF474" s="281" t="e">
        <f t="shared" si="242"/>
        <v>#DIV/0!</v>
      </c>
      <c r="BG474" s="282"/>
      <c r="BH474" s="283"/>
    </row>
    <row r="475" spans="1:60" x14ac:dyDescent="0.3">
      <c r="D475" s="14"/>
      <c r="E475" s="7"/>
      <c r="F475" s="7"/>
      <c r="G475" s="66"/>
      <c r="H475" s="59"/>
      <c r="I475" s="59"/>
      <c r="J475" s="47">
        <f t="shared" ref="J475:J538" si="244">I475+H475</f>
        <v>0</v>
      </c>
      <c r="K475" s="8">
        <f t="shared" ref="K475:K538" si="245">IFERROR(J475-E475-F475-G475,"")</f>
        <v>0</v>
      </c>
      <c r="L475" s="96"/>
      <c r="M475" s="81"/>
      <c r="N475" s="8">
        <v>153</v>
      </c>
      <c r="O475" s="8">
        <v>60</v>
      </c>
      <c r="P475" s="96" t="str">
        <f t="shared" si="243"/>
        <v/>
      </c>
      <c r="Q475" s="59">
        <f t="shared" ref="Q475:Q538" si="246">M475</f>
        <v>0</v>
      </c>
      <c r="R475" s="252">
        <f t="shared" si="225"/>
        <v>0</v>
      </c>
      <c r="S475" s="263"/>
      <c r="T475" s="263"/>
      <c r="U475" s="263"/>
      <c r="V475" s="263"/>
      <c r="W475" s="263"/>
      <c r="X475" s="263"/>
      <c r="Y475" s="263"/>
      <c r="Z475" s="263"/>
      <c r="AA475" s="263"/>
      <c r="AB475" s="263"/>
      <c r="AC475" s="263"/>
      <c r="AD475" s="263"/>
      <c r="AE475" s="263"/>
      <c r="AF475" s="263"/>
      <c r="AG475" s="263"/>
      <c r="AH475" s="263"/>
      <c r="AI475" s="263"/>
      <c r="AJ475" s="259"/>
      <c r="AK475" s="263">
        <f t="shared" ref="AK475:AK538" si="247">+AD475+AE475+AF475+AG475+AH475+AI475</f>
        <v>0</v>
      </c>
      <c r="AL475" s="265">
        <f t="shared" si="226"/>
        <v>52</v>
      </c>
      <c r="AM475" s="6">
        <f t="shared" ref="AM475:AM538" si="248">AK475</f>
        <v>0</v>
      </c>
      <c r="AN475" s="255" t="str">
        <f t="shared" si="227"/>
        <v/>
      </c>
      <c r="AO475" s="256" t="str">
        <f t="shared" si="228"/>
        <v/>
      </c>
      <c r="AP475" s="257" t="str">
        <f t="shared" si="229"/>
        <v/>
      </c>
      <c r="AQ475" s="263">
        <f t="shared" ref="AQ475:AQ538" si="249">+AB475*0.2</f>
        <v>0</v>
      </c>
      <c r="AR475" s="263">
        <f t="shared" ref="AR475:AR538" si="250">+AC475*0.2</f>
        <v>0</v>
      </c>
      <c r="AS475" s="263">
        <f t="shared" ref="AS475:AS538" si="251">+AD475*0.1</f>
        <v>0</v>
      </c>
      <c r="AT475" s="263">
        <f t="shared" ref="AT475:AT538" si="252">SUM(AQ475:AS475)</f>
        <v>0</v>
      </c>
      <c r="AU475" s="263"/>
      <c r="AV475" s="263"/>
      <c r="AW475" s="263"/>
      <c r="AX475" s="263">
        <f t="shared" ref="AX475:AX538" si="253">+AW475+AU475+AT475+AV475</f>
        <v>0</v>
      </c>
      <c r="BA475" s="282">
        <f t="shared" si="230"/>
        <v>0</v>
      </c>
      <c r="BB475">
        <v>1</v>
      </c>
      <c r="BC475">
        <f t="shared" ref="BC475:BC538" si="254">IFERROR(BA475*BB475,"")</f>
        <v>0</v>
      </c>
      <c r="BD475">
        <f t="shared" si="231"/>
        <v>0</v>
      </c>
      <c r="BE475">
        <f t="shared" si="232"/>
        <v>0</v>
      </c>
      <c r="BF475" s="281" t="e">
        <f t="shared" ref="BF475:BF538" si="255">BC475/BE475</f>
        <v>#DIV/0!</v>
      </c>
      <c r="BG475" s="282"/>
      <c r="BH475" s="283"/>
    </row>
    <row r="476" spans="1:60" x14ac:dyDescent="0.3">
      <c r="D476" s="14"/>
      <c r="E476" s="7"/>
      <c r="F476" s="7"/>
      <c r="G476" s="66"/>
      <c r="H476" s="59"/>
      <c r="I476" s="59"/>
      <c r="J476" s="47">
        <f t="shared" si="244"/>
        <v>0</v>
      </c>
      <c r="K476" s="8">
        <f t="shared" si="245"/>
        <v>0</v>
      </c>
      <c r="L476" s="96"/>
      <c r="M476" s="81"/>
      <c r="N476" s="8">
        <v>153</v>
      </c>
      <c r="O476" s="8">
        <v>60</v>
      </c>
      <c r="P476" s="96" t="str">
        <f t="shared" si="243"/>
        <v/>
      </c>
      <c r="Q476" s="59">
        <f t="shared" si="246"/>
        <v>0</v>
      </c>
      <c r="R476" s="252">
        <f t="shared" si="225"/>
        <v>0</v>
      </c>
      <c r="S476" s="263"/>
      <c r="T476" s="263"/>
      <c r="U476" s="263"/>
      <c r="V476" s="263"/>
      <c r="W476" s="263"/>
      <c r="X476" s="263"/>
      <c r="Y476" s="263"/>
      <c r="Z476" s="263"/>
      <c r="AA476" s="263"/>
      <c r="AB476" s="263"/>
      <c r="AC476" s="263"/>
      <c r="AD476" s="263"/>
      <c r="AE476" s="263"/>
      <c r="AF476" s="263"/>
      <c r="AG476" s="263"/>
      <c r="AH476" s="263"/>
      <c r="AI476" s="263"/>
      <c r="AJ476" s="259"/>
      <c r="AK476" s="263">
        <f t="shared" si="247"/>
        <v>0</v>
      </c>
      <c r="AL476" s="265">
        <f t="shared" si="226"/>
        <v>52</v>
      </c>
      <c r="AM476" s="6">
        <f t="shared" si="248"/>
        <v>0</v>
      </c>
      <c r="AN476" s="255" t="str">
        <f t="shared" si="227"/>
        <v/>
      </c>
      <c r="AO476" s="256" t="str">
        <f t="shared" si="228"/>
        <v/>
      </c>
      <c r="AP476" s="257" t="str">
        <f t="shared" si="229"/>
        <v/>
      </c>
      <c r="AQ476" s="263">
        <f t="shared" si="249"/>
        <v>0</v>
      </c>
      <c r="AR476" s="263">
        <f t="shared" si="250"/>
        <v>0</v>
      </c>
      <c r="AS476" s="263">
        <f t="shared" si="251"/>
        <v>0</v>
      </c>
      <c r="AT476" s="263">
        <f t="shared" si="252"/>
        <v>0</v>
      </c>
      <c r="AU476" s="263"/>
      <c r="AV476" s="263"/>
      <c r="AW476" s="263"/>
      <c r="AX476" s="263">
        <f t="shared" si="253"/>
        <v>0</v>
      </c>
      <c r="BA476" s="282">
        <f t="shared" si="230"/>
        <v>0</v>
      </c>
      <c r="BB476">
        <v>1</v>
      </c>
      <c r="BC476">
        <f t="shared" si="254"/>
        <v>0</v>
      </c>
      <c r="BD476">
        <f t="shared" si="231"/>
        <v>0</v>
      </c>
      <c r="BE476">
        <f t="shared" si="232"/>
        <v>0</v>
      </c>
      <c r="BF476" s="281" t="e">
        <f t="shared" si="255"/>
        <v>#DIV/0!</v>
      </c>
      <c r="BG476" s="282"/>
      <c r="BH476" s="283"/>
    </row>
    <row r="477" spans="1:60" x14ac:dyDescent="0.3">
      <c r="D477" s="14"/>
      <c r="E477" s="7"/>
      <c r="F477" s="7"/>
      <c r="G477" s="66"/>
      <c r="H477" s="59"/>
      <c r="I477" s="59"/>
      <c r="J477" s="47">
        <f t="shared" si="244"/>
        <v>0</v>
      </c>
      <c r="K477" s="8">
        <f t="shared" si="245"/>
        <v>0</v>
      </c>
      <c r="L477" s="96"/>
      <c r="M477" s="81"/>
      <c r="N477" s="8">
        <v>153</v>
      </c>
      <c r="O477" s="8">
        <v>60</v>
      </c>
      <c r="P477" s="96" t="str">
        <f t="shared" si="243"/>
        <v/>
      </c>
      <c r="Q477" s="59">
        <f t="shared" si="246"/>
        <v>0</v>
      </c>
      <c r="R477" s="252">
        <f t="shared" si="225"/>
        <v>0</v>
      </c>
      <c r="S477" s="263"/>
      <c r="T477" s="263"/>
      <c r="U477" s="263"/>
      <c r="V477" s="263"/>
      <c r="W477" s="263"/>
      <c r="X477" s="263"/>
      <c r="Y477" s="263"/>
      <c r="Z477" s="263"/>
      <c r="AA477" s="263"/>
      <c r="AB477" s="263"/>
      <c r="AC477" s="263"/>
      <c r="AD477" s="263"/>
      <c r="AE477" s="263"/>
      <c r="AF477" s="263"/>
      <c r="AG477" s="263"/>
      <c r="AH477" s="263"/>
      <c r="AI477" s="263"/>
      <c r="AJ477" s="259"/>
      <c r="AK477" s="263">
        <f t="shared" si="247"/>
        <v>0</v>
      </c>
      <c r="AL477" s="265">
        <f t="shared" si="226"/>
        <v>52</v>
      </c>
      <c r="AM477" s="6">
        <f t="shared" si="248"/>
        <v>0</v>
      </c>
      <c r="AN477" s="255" t="str">
        <f t="shared" si="227"/>
        <v/>
      </c>
      <c r="AO477" s="256" t="str">
        <f t="shared" si="228"/>
        <v/>
      </c>
      <c r="AP477" s="257" t="str">
        <f t="shared" si="229"/>
        <v/>
      </c>
      <c r="AQ477" s="263">
        <f t="shared" si="249"/>
        <v>0</v>
      </c>
      <c r="AR477" s="263">
        <f t="shared" si="250"/>
        <v>0</v>
      </c>
      <c r="AS477" s="263">
        <f t="shared" si="251"/>
        <v>0</v>
      </c>
      <c r="AT477" s="263">
        <f t="shared" si="252"/>
        <v>0</v>
      </c>
      <c r="AU477" s="263"/>
      <c r="AV477" s="263"/>
      <c r="AW477" s="263"/>
      <c r="AX477" s="263">
        <f t="shared" si="253"/>
        <v>0</v>
      </c>
      <c r="BA477" s="282">
        <f t="shared" si="230"/>
        <v>0</v>
      </c>
      <c r="BB477">
        <v>1</v>
      </c>
      <c r="BC477">
        <f t="shared" si="254"/>
        <v>0</v>
      </c>
      <c r="BD477">
        <f t="shared" si="231"/>
        <v>0</v>
      </c>
      <c r="BE477">
        <f t="shared" si="232"/>
        <v>0</v>
      </c>
      <c r="BF477" s="281" t="e">
        <f t="shared" si="255"/>
        <v>#DIV/0!</v>
      </c>
      <c r="BG477" s="282"/>
      <c r="BH477" s="283"/>
    </row>
    <row r="478" spans="1:60" x14ac:dyDescent="0.3">
      <c r="D478" s="14"/>
      <c r="E478" s="7"/>
      <c r="F478" s="7"/>
      <c r="G478" s="66"/>
      <c r="H478" s="59"/>
      <c r="I478" s="59"/>
      <c r="J478" s="47">
        <f t="shared" si="244"/>
        <v>0</v>
      </c>
      <c r="K478" s="8">
        <f t="shared" si="245"/>
        <v>0</v>
      </c>
      <c r="L478" s="96"/>
      <c r="M478" s="81"/>
      <c r="N478" s="8">
        <v>153</v>
      </c>
      <c r="O478" s="8">
        <v>60</v>
      </c>
      <c r="P478" s="96" t="str">
        <f t="shared" si="243"/>
        <v/>
      </c>
      <c r="Q478" s="59">
        <f t="shared" si="246"/>
        <v>0</v>
      </c>
      <c r="R478" s="252">
        <f t="shared" si="225"/>
        <v>0</v>
      </c>
      <c r="S478" s="263"/>
      <c r="T478" s="263"/>
      <c r="U478" s="263"/>
      <c r="V478" s="263"/>
      <c r="W478" s="263"/>
      <c r="X478" s="263"/>
      <c r="Y478" s="263"/>
      <c r="Z478" s="263"/>
      <c r="AA478" s="263"/>
      <c r="AB478" s="263"/>
      <c r="AC478" s="263"/>
      <c r="AD478" s="263"/>
      <c r="AE478" s="263"/>
      <c r="AF478" s="263"/>
      <c r="AG478" s="263"/>
      <c r="AH478" s="263"/>
      <c r="AI478" s="263"/>
      <c r="AJ478" s="259"/>
      <c r="AK478" s="263">
        <f t="shared" si="247"/>
        <v>0</v>
      </c>
      <c r="AL478" s="265">
        <f t="shared" si="226"/>
        <v>52</v>
      </c>
      <c r="AM478" s="6">
        <f t="shared" si="248"/>
        <v>0</v>
      </c>
      <c r="AN478" s="255" t="str">
        <f t="shared" si="227"/>
        <v/>
      </c>
      <c r="AO478" s="256" t="str">
        <f t="shared" si="228"/>
        <v/>
      </c>
      <c r="AP478" s="257" t="str">
        <f t="shared" si="229"/>
        <v/>
      </c>
      <c r="AQ478" s="263">
        <f t="shared" si="249"/>
        <v>0</v>
      </c>
      <c r="AR478" s="263">
        <f t="shared" si="250"/>
        <v>0</v>
      </c>
      <c r="AS478" s="263">
        <f t="shared" si="251"/>
        <v>0</v>
      </c>
      <c r="AT478" s="263">
        <f t="shared" si="252"/>
        <v>0</v>
      </c>
      <c r="AU478" s="263"/>
      <c r="AV478" s="263"/>
      <c r="AW478" s="263"/>
      <c r="AX478" s="263">
        <f t="shared" si="253"/>
        <v>0</v>
      </c>
      <c r="BA478" s="282">
        <f t="shared" si="230"/>
        <v>0</v>
      </c>
      <c r="BB478">
        <v>1</v>
      </c>
      <c r="BC478">
        <f t="shared" si="254"/>
        <v>0</v>
      </c>
      <c r="BD478">
        <f t="shared" si="231"/>
        <v>0</v>
      </c>
      <c r="BE478">
        <f t="shared" si="232"/>
        <v>0</v>
      </c>
      <c r="BF478" s="281" t="e">
        <f t="shared" si="255"/>
        <v>#DIV/0!</v>
      </c>
      <c r="BG478" s="282"/>
      <c r="BH478" s="283"/>
    </row>
    <row r="479" spans="1:60" x14ac:dyDescent="0.3">
      <c r="D479" s="14"/>
      <c r="E479" s="7"/>
      <c r="F479" s="7"/>
      <c r="G479" s="66"/>
      <c r="H479" s="59"/>
      <c r="I479" s="59"/>
      <c r="J479" s="47">
        <f t="shared" si="244"/>
        <v>0</v>
      </c>
      <c r="K479" s="8">
        <f t="shared" si="245"/>
        <v>0</v>
      </c>
      <c r="L479" s="96"/>
      <c r="M479" s="81"/>
      <c r="N479" s="8">
        <v>153</v>
      </c>
      <c r="O479" s="8">
        <v>60</v>
      </c>
      <c r="P479" s="96" t="str">
        <f t="shared" si="243"/>
        <v/>
      </c>
      <c r="Q479" s="59">
        <f t="shared" si="246"/>
        <v>0</v>
      </c>
      <c r="R479" s="252">
        <f t="shared" si="225"/>
        <v>0</v>
      </c>
      <c r="S479" s="263"/>
      <c r="T479" s="263"/>
      <c r="U479" s="263"/>
      <c r="V479" s="263"/>
      <c r="W479" s="263"/>
      <c r="X479" s="263"/>
      <c r="Y479" s="263"/>
      <c r="Z479" s="263"/>
      <c r="AA479" s="263"/>
      <c r="AB479" s="263"/>
      <c r="AC479" s="263"/>
      <c r="AD479" s="263"/>
      <c r="AE479" s="263"/>
      <c r="AF479" s="263"/>
      <c r="AG479" s="263"/>
      <c r="AH479" s="263"/>
      <c r="AI479" s="263"/>
      <c r="AJ479" s="259"/>
      <c r="AK479" s="263">
        <f t="shared" si="247"/>
        <v>0</v>
      </c>
      <c r="AL479" s="265">
        <f t="shared" si="226"/>
        <v>52</v>
      </c>
      <c r="AM479" s="6">
        <f t="shared" si="248"/>
        <v>0</v>
      </c>
      <c r="AN479" s="255" t="str">
        <f t="shared" si="227"/>
        <v/>
      </c>
      <c r="AO479" s="256" t="str">
        <f t="shared" si="228"/>
        <v/>
      </c>
      <c r="AP479" s="257" t="str">
        <f t="shared" si="229"/>
        <v/>
      </c>
      <c r="AQ479" s="263">
        <f t="shared" si="249"/>
        <v>0</v>
      </c>
      <c r="AR479" s="263">
        <f t="shared" si="250"/>
        <v>0</v>
      </c>
      <c r="AS479" s="263">
        <f t="shared" si="251"/>
        <v>0</v>
      </c>
      <c r="AT479" s="263">
        <f t="shared" si="252"/>
        <v>0</v>
      </c>
      <c r="AU479" s="263"/>
      <c r="AV479" s="263"/>
      <c r="AW479" s="263"/>
      <c r="AX479" s="263">
        <f t="shared" si="253"/>
        <v>0</v>
      </c>
      <c r="BA479" s="282">
        <f t="shared" si="230"/>
        <v>0</v>
      </c>
      <c r="BB479">
        <v>1</v>
      </c>
      <c r="BC479">
        <f t="shared" si="254"/>
        <v>0</v>
      </c>
      <c r="BD479">
        <f t="shared" si="231"/>
        <v>0</v>
      </c>
      <c r="BE479">
        <f t="shared" si="232"/>
        <v>0</v>
      </c>
      <c r="BF479" s="281" t="e">
        <f t="shared" si="255"/>
        <v>#DIV/0!</v>
      </c>
      <c r="BG479" s="282"/>
      <c r="BH479" s="283"/>
    </row>
    <row r="480" spans="1:60" x14ac:dyDescent="0.3">
      <c r="D480" s="14"/>
      <c r="E480" s="7"/>
      <c r="F480" s="7"/>
      <c r="G480" s="66"/>
      <c r="H480" s="59"/>
      <c r="I480" s="59"/>
      <c r="J480" s="47">
        <f t="shared" si="244"/>
        <v>0</v>
      </c>
      <c r="K480" s="8">
        <f t="shared" si="245"/>
        <v>0</v>
      </c>
      <c r="L480" s="96"/>
      <c r="M480" s="81"/>
      <c r="N480" s="8">
        <v>153</v>
      </c>
      <c r="O480" s="8">
        <v>60</v>
      </c>
      <c r="P480" s="96" t="str">
        <f t="shared" si="243"/>
        <v/>
      </c>
      <c r="Q480" s="59">
        <f t="shared" si="246"/>
        <v>0</v>
      </c>
      <c r="R480" s="252">
        <f t="shared" si="225"/>
        <v>0</v>
      </c>
      <c r="S480" s="263"/>
      <c r="T480" s="263"/>
      <c r="U480" s="263"/>
      <c r="V480" s="263"/>
      <c r="W480" s="263"/>
      <c r="X480" s="263"/>
      <c r="Y480" s="263"/>
      <c r="Z480" s="263"/>
      <c r="AA480" s="263"/>
      <c r="AB480" s="263"/>
      <c r="AC480" s="263"/>
      <c r="AD480" s="263"/>
      <c r="AE480" s="263"/>
      <c r="AF480" s="263"/>
      <c r="AG480" s="263"/>
      <c r="AH480" s="263"/>
      <c r="AI480" s="263"/>
      <c r="AJ480" s="259"/>
      <c r="AK480" s="263">
        <f t="shared" si="247"/>
        <v>0</v>
      </c>
      <c r="AL480" s="265">
        <f t="shared" si="226"/>
        <v>52</v>
      </c>
      <c r="AM480" s="6">
        <f t="shared" si="248"/>
        <v>0</v>
      </c>
      <c r="AN480" s="255" t="str">
        <f t="shared" si="227"/>
        <v/>
      </c>
      <c r="AO480" s="256" t="str">
        <f t="shared" si="228"/>
        <v/>
      </c>
      <c r="AP480" s="257" t="str">
        <f t="shared" si="229"/>
        <v/>
      </c>
      <c r="AQ480" s="263">
        <f t="shared" si="249"/>
        <v>0</v>
      </c>
      <c r="AR480" s="263">
        <f t="shared" si="250"/>
        <v>0</v>
      </c>
      <c r="AS480" s="263">
        <f t="shared" si="251"/>
        <v>0</v>
      </c>
      <c r="AT480" s="263">
        <f t="shared" si="252"/>
        <v>0</v>
      </c>
      <c r="AU480" s="263"/>
      <c r="AV480" s="263"/>
      <c r="AW480" s="263"/>
      <c r="AX480" s="263">
        <f t="shared" si="253"/>
        <v>0</v>
      </c>
      <c r="BA480" s="282">
        <f t="shared" si="230"/>
        <v>0</v>
      </c>
      <c r="BB480">
        <v>1</v>
      </c>
      <c r="BC480">
        <f t="shared" si="254"/>
        <v>0</v>
      </c>
      <c r="BD480">
        <f t="shared" si="231"/>
        <v>0</v>
      </c>
      <c r="BE480">
        <f t="shared" si="232"/>
        <v>0</v>
      </c>
      <c r="BF480" s="281" t="e">
        <f t="shared" si="255"/>
        <v>#DIV/0!</v>
      </c>
      <c r="BG480" s="282"/>
      <c r="BH480" s="283"/>
    </row>
    <row r="481" spans="4:60" x14ac:dyDescent="0.3">
      <c r="D481" s="14"/>
      <c r="E481" s="7"/>
      <c r="F481" s="7"/>
      <c r="G481" s="66"/>
      <c r="H481" s="59"/>
      <c r="I481" s="59"/>
      <c r="J481" s="47">
        <f t="shared" si="244"/>
        <v>0</v>
      </c>
      <c r="K481" s="8">
        <f t="shared" si="245"/>
        <v>0</v>
      </c>
      <c r="L481" s="96"/>
      <c r="M481" s="81"/>
      <c r="N481" s="8">
        <v>153</v>
      </c>
      <c r="O481" s="8">
        <v>60</v>
      </c>
      <c r="P481" s="96" t="str">
        <f t="shared" si="243"/>
        <v/>
      </c>
      <c r="Q481" s="59">
        <f t="shared" si="246"/>
        <v>0</v>
      </c>
      <c r="R481" s="252">
        <f t="shared" si="225"/>
        <v>0</v>
      </c>
      <c r="S481" s="263"/>
      <c r="T481" s="263"/>
      <c r="U481" s="263"/>
      <c r="V481" s="263"/>
      <c r="W481" s="263"/>
      <c r="X481" s="263"/>
      <c r="Y481" s="263"/>
      <c r="Z481" s="263"/>
      <c r="AA481" s="263"/>
      <c r="AB481" s="263"/>
      <c r="AC481" s="263"/>
      <c r="AD481" s="263"/>
      <c r="AE481" s="263"/>
      <c r="AF481" s="263"/>
      <c r="AG481" s="263"/>
      <c r="AH481" s="263"/>
      <c r="AI481" s="263"/>
      <c r="AJ481" s="259"/>
      <c r="AK481" s="263">
        <f t="shared" si="247"/>
        <v>0</v>
      </c>
      <c r="AL481" s="265">
        <f t="shared" si="226"/>
        <v>52</v>
      </c>
      <c r="AM481" s="6">
        <f t="shared" si="248"/>
        <v>0</v>
      </c>
      <c r="AN481" s="255" t="str">
        <f t="shared" si="227"/>
        <v/>
      </c>
      <c r="AO481" s="256" t="str">
        <f t="shared" si="228"/>
        <v/>
      </c>
      <c r="AP481" s="257" t="str">
        <f t="shared" si="229"/>
        <v/>
      </c>
      <c r="AQ481" s="263">
        <f t="shared" si="249"/>
        <v>0</v>
      </c>
      <c r="AR481" s="263">
        <f t="shared" si="250"/>
        <v>0</v>
      </c>
      <c r="AS481" s="263">
        <f t="shared" si="251"/>
        <v>0</v>
      </c>
      <c r="AT481" s="263">
        <f t="shared" si="252"/>
        <v>0</v>
      </c>
      <c r="AU481" s="263"/>
      <c r="AV481" s="263"/>
      <c r="AW481" s="263"/>
      <c r="AX481" s="263">
        <f t="shared" si="253"/>
        <v>0</v>
      </c>
      <c r="BA481" s="282">
        <f t="shared" si="230"/>
        <v>0</v>
      </c>
      <c r="BB481">
        <v>1</v>
      </c>
      <c r="BC481">
        <f t="shared" si="254"/>
        <v>0</v>
      </c>
      <c r="BD481">
        <f t="shared" si="231"/>
        <v>0</v>
      </c>
      <c r="BE481">
        <f t="shared" si="232"/>
        <v>0</v>
      </c>
      <c r="BF481" s="281" t="e">
        <f t="shared" si="255"/>
        <v>#DIV/0!</v>
      </c>
      <c r="BG481" s="282"/>
      <c r="BH481" s="283"/>
    </row>
    <row r="482" spans="4:60" x14ac:dyDescent="0.3">
      <c r="D482" s="14"/>
      <c r="E482" s="7"/>
      <c r="F482" s="7"/>
      <c r="G482" s="66"/>
      <c r="H482" s="59"/>
      <c r="I482" s="59"/>
      <c r="J482" s="47">
        <f t="shared" si="244"/>
        <v>0</v>
      </c>
      <c r="K482" s="8">
        <f t="shared" si="245"/>
        <v>0</v>
      </c>
      <c r="L482" s="96"/>
      <c r="M482" s="81"/>
      <c r="N482" s="8">
        <v>153</v>
      </c>
      <c r="O482" s="8">
        <v>60</v>
      </c>
      <c r="P482" s="96" t="str">
        <f t="shared" si="243"/>
        <v/>
      </c>
      <c r="Q482" s="59">
        <f t="shared" si="246"/>
        <v>0</v>
      </c>
      <c r="R482" s="252">
        <f t="shared" si="225"/>
        <v>0</v>
      </c>
      <c r="S482" s="263"/>
      <c r="T482" s="263"/>
      <c r="U482" s="263"/>
      <c r="V482" s="263"/>
      <c r="W482" s="263"/>
      <c r="X482" s="263"/>
      <c r="Y482" s="263"/>
      <c r="Z482" s="263"/>
      <c r="AA482" s="263"/>
      <c r="AB482" s="263"/>
      <c r="AC482" s="263"/>
      <c r="AD482" s="263"/>
      <c r="AE482" s="263"/>
      <c r="AF482" s="263"/>
      <c r="AG482" s="263"/>
      <c r="AH482" s="263"/>
      <c r="AI482" s="263"/>
      <c r="AJ482" s="259"/>
      <c r="AK482" s="263">
        <f t="shared" si="247"/>
        <v>0</v>
      </c>
      <c r="AL482" s="265">
        <f t="shared" si="226"/>
        <v>52</v>
      </c>
      <c r="AM482" s="6">
        <f t="shared" si="248"/>
        <v>0</v>
      </c>
      <c r="AN482" s="255" t="str">
        <f t="shared" si="227"/>
        <v/>
      </c>
      <c r="AO482" s="256" t="str">
        <f t="shared" si="228"/>
        <v/>
      </c>
      <c r="AP482" s="257" t="str">
        <f t="shared" si="229"/>
        <v/>
      </c>
      <c r="AQ482" s="263">
        <f t="shared" si="249"/>
        <v>0</v>
      </c>
      <c r="AR482" s="263">
        <f t="shared" si="250"/>
        <v>0</v>
      </c>
      <c r="AS482" s="263">
        <f t="shared" si="251"/>
        <v>0</v>
      </c>
      <c r="AT482" s="263">
        <f t="shared" si="252"/>
        <v>0</v>
      </c>
      <c r="AU482" s="263"/>
      <c r="AV482" s="263"/>
      <c r="AW482" s="263"/>
      <c r="AX482" s="263">
        <f t="shared" si="253"/>
        <v>0</v>
      </c>
      <c r="BA482" s="282">
        <f t="shared" si="230"/>
        <v>0</v>
      </c>
      <c r="BB482">
        <v>1</v>
      </c>
      <c r="BC482">
        <f t="shared" si="254"/>
        <v>0</v>
      </c>
      <c r="BD482">
        <f t="shared" si="231"/>
        <v>0</v>
      </c>
      <c r="BE482">
        <f t="shared" si="232"/>
        <v>0</v>
      </c>
      <c r="BF482" s="281" t="e">
        <f t="shared" si="255"/>
        <v>#DIV/0!</v>
      </c>
      <c r="BG482" s="282"/>
      <c r="BH482" s="283"/>
    </row>
    <row r="483" spans="4:60" x14ac:dyDescent="0.3">
      <c r="D483" s="14"/>
      <c r="E483" s="7"/>
      <c r="F483" s="7"/>
      <c r="G483" s="66"/>
      <c r="H483" s="59"/>
      <c r="I483" s="59"/>
      <c r="J483" s="47">
        <f t="shared" si="244"/>
        <v>0</v>
      </c>
      <c r="K483" s="8">
        <f t="shared" si="245"/>
        <v>0</v>
      </c>
      <c r="L483" s="96"/>
      <c r="M483" s="81"/>
      <c r="N483" s="8">
        <v>153</v>
      </c>
      <c r="O483" s="8">
        <v>60</v>
      </c>
      <c r="P483" s="96" t="str">
        <f t="shared" si="243"/>
        <v/>
      </c>
      <c r="Q483" s="59">
        <f t="shared" si="246"/>
        <v>0</v>
      </c>
      <c r="R483" s="252">
        <f t="shared" si="225"/>
        <v>0</v>
      </c>
      <c r="S483" s="263"/>
      <c r="T483" s="263"/>
      <c r="U483" s="263"/>
      <c r="V483" s="263"/>
      <c r="W483" s="263"/>
      <c r="X483" s="263"/>
      <c r="Y483" s="263"/>
      <c r="Z483" s="263"/>
      <c r="AA483" s="263"/>
      <c r="AB483" s="263"/>
      <c r="AC483" s="263"/>
      <c r="AD483" s="263"/>
      <c r="AE483" s="263"/>
      <c r="AF483" s="263"/>
      <c r="AG483" s="263"/>
      <c r="AH483" s="263"/>
      <c r="AI483" s="263"/>
      <c r="AJ483" s="259"/>
      <c r="AK483" s="263">
        <f t="shared" si="247"/>
        <v>0</v>
      </c>
      <c r="AL483" s="265">
        <f t="shared" si="226"/>
        <v>52</v>
      </c>
      <c r="AM483" s="6">
        <f t="shared" si="248"/>
        <v>0</v>
      </c>
      <c r="AN483" s="255" t="str">
        <f t="shared" si="227"/>
        <v/>
      </c>
      <c r="AO483" s="256" t="str">
        <f t="shared" si="228"/>
        <v/>
      </c>
      <c r="AP483" s="257" t="str">
        <f t="shared" si="229"/>
        <v/>
      </c>
      <c r="AQ483" s="263">
        <f t="shared" si="249"/>
        <v>0</v>
      </c>
      <c r="AR483" s="263">
        <f t="shared" si="250"/>
        <v>0</v>
      </c>
      <c r="AS483" s="263">
        <f t="shared" si="251"/>
        <v>0</v>
      </c>
      <c r="AT483" s="263">
        <f t="shared" si="252"/>
        <v>0</v>
      </c>
      <c r="AU483" s="263"/>
      <c r="AV483" s="263"/>
      <c r="AW483" s="263"/>
      <c r="AX483" s="263">
        <f t="shared" si="253"/>
        <v>0</v>
      </c>
      <c r="BA483" s="282">
        <f t="shared" si="230"/>
        <v>0</v>
      </c>
      <c r="BB483">
        <v>1</v>
      </c>
      <c r="BC483">
        <f t="shared" si="254"/>
        <v>0</v>
      </c>
      <c r="BD483">
        <f t="shared" si="231"/>
        <v>0</v>
      </c>
      <c r="BE483">
        <f t="shared" si="232"/>
        <v>0</v>
      </c>
      <c r="BF483" s="281" t="e">
        <f t="shared" si="255"/>
        <v>#DIV/0!</v>
      </c>
      <c r="BG483" s="282"/>
      <c r="BH483" s="283"/>
    </row>
    <row r="484" spans="4:60" x14ac:dyDescent="0.3">
      <c r="D484" s="14"/>
      <c r="E484" s="7"/>
      <c r="F484" s="7"/>
      <c r="G484" s="66"/>
      <c r="H484" s="59"/>
      <c r="I484" s="59"/>
      <c r="J484" s="47">
        <f t="shared" si="244"/>
        <v>0</v>
      </c>
      <c r="K484" s="8">
        <f t="shared" si="245"/>
        <v>0</v>
      </c>
      <c r="L484" s="96"/>
      <c r="M484" s="81"/>
      <c r="N484" s="8">
        <v>153</v>
      </c>
      <c r="O484" s="8">
        <v>60</v>
      </c>
      <c r="P484" s="96" t="str">
        <f t="shared" si="243"/>
        <v/>
      </c>
      <c r="Q484" s="59">
        <f t="shared" si="246"/>
        <v>0</v>
      </c>
      <c r="R484" s="252">
        <f t="shared" si="225"/>
        <v>0</v>
      </c>
      <c r="S484" s="263"/>
      <c r="T484" s="263"/>
      <c r="U484" s="263"/>
      <c r="V484" s="263"/>
      <c r="W484" s="263"/>
      <c r="X484" s="263"/>
      <c r="Y484" s="263"/>
      <c r="Z484" s="263"/>
      <c r="AA484" s="263"/>
      <c r="AB484" s="263"/>
      <c r="AC484" s="263"/>
      <c r="AD484" s="263"/>
      <c r="AE484" s="263"/>
      <c r="AF484" s="263"/>
      <c r="AG484" s="263"/>
      <c r="AH484" s="263"/>
      <c r="AI484" s="263"/>
      <c r="AJ484" s="259"/>
      <c r="AK484" s="263">
        <f t="shared" si="247"/>
        <v>0</v>
      </c>
      <c r="AL484" s="265">
        <f t="shared" si="226"/>
        <v>52</v>
      </c>
      <c r="AM484" s="6">
        <f t="shared" si="248"/>
        <v>0</v>
      </c>
      <c r="AN484" s="255" t="str">
        <f t="shared" si="227"/>
        <v/>
      </c>
      <c r="AO484" s="256" t="str">
        <f t="shared" si="228"/>
        <v/>
      </c>
      <c r="AP484" s="257" t="str">
        <f t="shared" si="229"/>
        <v/>
      </c>
      <c r="AQ484" s="263">
        <f t="shared" si="249"/>
        <v>0</v>
      </c>
      <c r="AR484" s="263">
        <f t="shared" si="250"/>
        <v>0</v>
      </c>
      <c r="AS484" s="263">
        <f t="shared" si="251"/>
        <v>0</v>
      </c>
      <c r="AT484" s="263">
        <f t="shared" si="252"/>
        <v>0</v>
      </c>
      <c r="AU484" s="263"/>
      <c r="AV484" s="263"/>
      <c r="AW484" s="263"/>
      <c r="AX484" s="263">
        <f t="shared" si="253"/>
        <v>0</v>
      </c>
      <c r="BA484" s="282">
        <f t="shared" si="230"/>
        <v>0</v>
      </c>
      <c r="BB484">
        <v>1</v>
      </c>
      <c r="BC484">
        <f t="shared" si="254"/>
        <v>0</v>
      </c>
      <c r="BD484">
        <f t="shared" si="231"/>
        <v>0</v>
      </c>
      <c r="BE484">
        <f t="shared" si="232"/>
        <v>0</v>
      </c>
      <c r="BF484" s="281" t="e">
        <f t="shared" si="255"/>
        <v>#DIV/0!</v>
      </c>
      <c r="BG484" s="282"/>
      <c r="BH484" s="283"/>
    </row>
    <row r="485" spans="4:60" x14ac:dyDescent="0.3">
      <c r="D485" s="14"/>
      <c r="E485" s="7"/>
      <c r="F485" s="7"/>
      <c r="G485" s="66"/>
      <c r="H485" s="59"/>
      <c r="I485" s="59"/>
      <c r="J485" s="47">
        <f t="shared" si="244"/>
        <v>0</v>
      </c>
      <c r="K485" s="8">
        <f t="shared" si="245"/>
        <v>0</v>
      </c>
      <c r="L485" s="96"/>
      <c r="M485" s="81"/>
      <c r="N485" s="8">
        <v>153</v>
      </c>
      <c r="O485" s="8">
        <v>60</v>
      </c>
      <c r="P485" s="96" t="str">
        <f t="shared" si="243"/>
        <v/>
      </c>
      <c r="Q485" s="59">
        <f t="shared" si="246"/>
        <v>0</v>
      </c>
      <c r="R485" s="252">
        <f t="shared" si="225"/>
        <v>0</v>
      </c>
      <c r="S485" s="263"/>
      <c r="T485" s="263"/>
      <c r="U485" s="263"/>
      <c r="V485" s="263"/>
      <c r="W485" s="263"/>
      <c r="X485" s="263"/>
      <c r="Y485" s="263"/>
      <c r="Z485" s="263"/>
      <c r="AA485" s="263"/>
      <c r="AB485" s="263"/>
      <c r="AC485" s="263"/>
      <c r="AD485" s="263"/>
      <c r="AE485" s="263"/>
      <c r="AF485" s="263"/>
      <c r="AG485" s="263"/>
      <c r="AH485" s="263"/>
      <c r="AI485" s="263"/>
      <c r="AJ485" s="259"/>
      <c r="AK485" s="263">
        <f t="shared" si="247"/>
        <v>0</v>
      </c>
      <c r="AL485" s="265">
        <f t="shared" si="226"/>
        <v>52</v>
      </c>
      <c r="AM485" s="6">
        <f t="shared" si="248"/>
        <v>0</v>
      </c>
      <c r="AN485" s="255" t="str">
        <f t="shared" si="227"/>
        <v/>
      </c>
      <c r="AO485" s="256" t="str">
        <f t="shared" si="228"/>
        <v/>
      </c>
      <c r="AP485" s="257" t="str">
        <f t="shared" si="229"/>
        <v/>
      </c>
      <c r="AQ485" s="263">
        <f t="shared" si="249"/>
        <v>0</v>
      </c>
      <c r="AR485" s="263">
        <f t="shared" si="250"/>
        <v>0</v>
      </c>
      <c r="AS485" s="263">
        <f t="shared" si="251"/>
        <v>0</v>
      </c>
      <c r="AT485" s="263">
        <f t="shared" si="252"/>
        <v>0</v>
      </c>
      <c r="AU485" s="263"/>
      <c r="AV485" s="263"/>
      <c r="AW485" s="263"/>
      <c r="AX485" s="263">
        <f t="shared" si="253"/>
        <v>0</v>
      </c>
      <c r="BA485" s="282">
        <f t="shared" si="230"/>
        <v>0</v>
      </c>
      <c r="BB485">
        <v>1</v>
      </c>
      <c r="BC485">
        <f t="shared" si="254"/>
        <v>0</v>
      </c>
      <c r="BD485">
        <f t="shared" si="231"/>
        <v>0</v>
      </c>
      <c r="BE485">
        <f t="shared" si="232"/>
        <v>0</v>
      </c>
      <c r="BF485" s="281" t="e">
        <f t="shared" si="255"/>
        <v>#DIV/0!</v>
      </c>
      <c r="BG485" s="282"/>
      <c r="BH485" s="283"/>
    </row>
    <row r="486" spans="4:60" x14ac:dyDescent="0.3">
      <c r="D486" s="14"/>
      <c r="E486" s="7"/>
      <c r="F486" s="7"/>
      <c r="G486" s="66"/>
      <c r="H486" s="59"/>
      <c r="I486" s="59"/>
      <c r="J486" s="47">
        <f t="shared" si="244"/>
        <v>0</v>
      </c>
      <c r="K486" s="8">
        <f t="shared" si="245"/>
        <v>0</v>
      </c>
      <c r="L486" s="96"/>
      <c r="M486" s="81"/>
      <c r="N486" s="8">
        <v>153</v>
      </c>
      <c r="O486" s="8">
        <v>60</v>
      </c>
      <c r="P486" s="96" t="str">
        <f t="shared" si="243"/>
        <v/>
      </c>
      <c r="Q486" s="59">
        <f t="shared" si="246"/>
        <v>0</v>
      </c>
      <c r="R486" s="252">
        <f t="shared" si="225"/>
        <v>0</v>
      </c>
      <c r="S486" s="263"/>
      <c r="T486" s="263"/>
      <c r="U486" s="263"/>
      <c r="V486" s="263"/>
      <c r="W486" s="263"/>
      <c r="X486" s="263"/>
      <c r="Y486" s="263"/>
      <c r="Z486" s="263"/>
      <c r="AA486" s="263"/>
      <c r="AB486" s="263"/>
      <c r="AC486" s="263"/>
      <c r="AD486" s="263"/>
      <c r="AE486" s="263"/>
      <c r="AF486" s="263"/>
      <c r="AG486" s="263"/>
      <c r="AH486" s="263"/>
      <c r="AI486" s="263"/>
      <c r="AJ486" s="259"/>
      <c r="AK486" s="263">
        <f t="shared" si="247"/>
        <v>0</v>
      </c>
      <c r="AL486" s="265">
        <f t="shared" si="226"/>
        <v>52</v>
      </c>
      <c r="AM486" s="6">
        <f t="shared" si="248"/>
        <v>0</v>
      </c>
      <c r="AN486" s="255" t="str">
        <f t="shared" si="227"/>
        <v/>
      </c>
      <c r="AO486" s="256" t="str">
        <f t="shared" si="228"/>
        <v/>
      </c>
      <c r="AP486" s="257" t="str">
        <f t="shared" si="229"/>
        <v/>
      </c>
      <c r="AQ486" s="263">
        <f t="shared" si="249"/>
        <v>0</v>
      </c>
      <c r="AR486" s="263">
        <f t="shared" si="250"/>
        <v>0</v>
      </c>
      <c r="AS486" s="263">
        <f t="shared" si="251"/>
        <v>0</v>
      </c>
      <c r="AT486" s="263">
        <f t="shared" si="252"/>
        <v>0</v>
      </c>
      <c r="AU486" s="263"/>
      <c r="AV486" s="263"/>
      <c r="AW486" s="263"/>
      <c r="AX486" s="263">
        <f t="shared" si="253"/>
        <v>0</v>
      </c>
      <c r="BA486" s="282">
        <f t="shared" si="230"/>
        <v>0</v>
      </c>
      <c r="BB486">
        <v>1</v>
      </c>
      <c r="BC486">
        <f t="shared" si="254"/>
        <v>0</v>
      </c>
      <c r="BD486">
        <f t="shared" si="231"/>
        <v>0</v>
      </c>
      <c r="BE486">
        <f t="shared" si="232"/>
        <v>0</v>
      </c>
      <c r="BF486" s="281" t="e">
        <f t="shared" si="255"/>
        <v>#DIV/0!</v>
      </c>
      <c r="BG486" s="282"/>
      <c r="BH486" s="283"/>
    </row>
    <row r="487" spans="4:60" x14ac:dyDescent="0.3">
      <c r="D487" s="14"/>
      <c r="E487" s="7"/>
      <c r="F487" s="7"/>
      <c r="G487" s="66"/>
      <c r="H487" s="59"/>
      <c r="I487" s="59"/>
      <c r="J487" s="47">
        <f t="shared" si="244"/>
        <v>0</v>
      </c>
      <c r="K487" s="8">
        <f t="shared" si="245"/>
        <v>0</v>
      </c>
      <c r="L487" s="96"/>
      <c r="M487" s="81"/>
      <c r="N487" s="8">
        <v>153</v>
      </c>
      <c r="O487" s="8">
        <v>60</v>
      </c>
      <c r="P487" s="96" t="str">
        <f t="shared" si="243"/>
        <v/>
      </c>
      <c r="Q487" s="59">
        <f t="shared" si="246"/>
        <v>0</v>
      </c>
      <c r="R487" s="252">
        <f t="shared" si="225"/>
        <v>0</v>
      </c>
      <c r="S487" s="263"/>
      <c r="T487" s="263"/>
      <c r="U487" s="263"/>
      <c r="V487" s="263"/>
      <c r="W487" s="263"/>
      <c r="X487" s="263"/>
      <c r="Y487" s="263"/>
      <c r="Z487" s="263"/>
      <c r="AA487" s="263"/>
      <c r="AB487" s="263"/>
      <c r="AC487" s="263"/>
      <c r="AD487" s="263"/>
      <c r="AE487" s="263"/>
      <c r="AF487" s="263"/>
      <c r="AG487" s="263"/>
      <c r="AH487" s="263"/>
      <c r="AI487" s="263"/>
      <c r="AJ487" s="259"/>
      <c r="AK487" s="263">
        <f t="shared" si="247"/>
        <v>0</v>
      </c>
      <c r="AL487" s="265">
        <f t="shared" si="226"/>
        <v>52</v>
      </c>
      <c r="AM487" s="6">
        <f t="shared" si="248"/>
        <v>0</v>
      </c>
      <c r="AN487" s="255" t="str">
        <f t="shared" si="227"/>
        <v/>
      </c>
      <c r="AO487" s="256" t="str">
        <f t="shared" si="228"/>
        <v/>
      </c>
      <c r="AP487" s="257" t="str">
        <f t="shared" si="229"/>
        <v/>
      </c>
      <c r="AQ487" s="263">
        <f t="shared" si="249"/>
        <v>0</v>
      </c>
      <c r="AR487" s="263">
        <f t="shared" si="250"/>
        <v>0</v>
      </c>
      <c r="AS487" s="263">
        <f t="shared" si="251"/>
        <v>0</v>
      </c>
      <c r="AT487" s="263">
        <f t="shared" si="252"/>
        <v>0</v>
      </c>
      <c r="AU487" s="263"/>
      <c r="AV487" s="263"/>
      <c r="AW487" s="263"/>
      <c r="AX487" s="263">
        <f t="shared" si="253"/>
        <v>0</v>
      </c>
      <c r="BA487" s="282">
        <f t="shared" si="230"/>
        <v>0</v>
      </c>
      <c r="BB487">
        <v>1</v>
      </c>
      <c r="BC487">
        <f t="shared" si="254"/>
        <v>0</v>
      </c>
      <c r="BD487">
        <f t="shared" si="231"/>
        <v>0</v>
      </c>
      <c r="BE487">
        <f t="shared" si="232"/>
        <v>0</v>
      </c>
      <c r="BF487" s="281" t="e">
        <f t="shared" si="255"/>
        <v>#DIV/0!</v>
      </c>
      <c r="BG487" s="282"/>
      <c r="BH487" s="283"/>
    </row>
    <row r="488" spans="4:60" x14ac:dyDescent="0.3">
      <c r="D488" s="14"/>
      <c r="E488" s="7"/>
      <c r="F488" s="7"/>
      <c r="G488" s="66"/>
      <c r="H488" s="59"/>
      <c r="I488" s="59"/>
      <c r="J488" s="47">
        <f t="shared" si="244"/>
        <v>0</v>
      </c>
      <c r="K488" s="8">
        <f t="shared" si="245"/>
        <v>0</v>
      </c>
      <c r="L488" s="96"/>
      <c r="M488" s="81"/>
      <c r="N488" s="8">
        <v>153</v>
      </c>
      <c r="O488" s="8">
        <v>60</v>
      </c>
      <c r="P488" s="96" t="str">
        <f t="shared" si="243"/>
        <v/>
      </c>
      <c r="Q488" s="59">
        <f t="shared" si="246"/>
        <v>0</v>
      </c>
      <c r="R488" s="252">
        <f t="shared" si="225"/>
        <v>0</v>
      </c>
      <c r="S488" s="263"/>
      <c r="T488" s="263"/>
      <c r="U488" s="263"/>
      <c r="V488" s="263"/>
      <c r="W488" s="263"/>
      <c r="X488" s="263"/>
      <c r="Y488" s="263"/>
      <c r="Z488" s="263"/>
      <c r="AA488" s="263"/>
      <c r="AB488" s="263"/>
      <c r="AC488" s="263"/>
      <c r="AD488" s="263"/>
      <c r="AE488" s="263"/>
      <c r="AF488" s="263"/>
      <c r="AG488" s="263"/>
      <c r="AH488" s="263"/>
      <c r="AI488" s="263"/>
      <c r="AJ488" s="259"/>
      <c r="AK488" s="263">
        <f t="shared" si="247"/>
        <v>0</v>
      </c>
      <c r="AL488" s="265">
        <f t="shared" si="226"/>
        <v>52</v>
      </c>
      <c r="AM488" s="6">
        <f t="shared" si="248"/>
        <v>0</v>
      </c>
      <c r="AN488" s="255" t="str">
        <f t="shared" si="227"/>
        <v/>
      </c>
      <c r="AO488" s="256" t="str">
        <f t="shared" si="228"/>
        <v/>
      </c>
      <c r="AP488" s="257" t="str">
        <f t="shared" si="229"/>
        <v/>
      </c>
      <c r="AQ488" s="263">
        <f t="shared" si="249"/>
        <v>0</v>
      </c>
      <c r="AR488" s="263">
        <f t="shared" si="250"/>
        <v>0</v>
      </c>
      <c r="AS488" s="263">
        <f t="shared" si="251"/>
        <v>0</v>
      </c>
      <c r="AT488" s="263">
        <f t="shared" si="252"/>
        <v>0</v>
      </c>
      <c r="AU488" s="263"/>
      <c r="AV488" s="263"/>
      <c r="AW488" s="263"/>
      <c r="AX488" s="263">
        <f t="shared" si="253"/>
        <v>0</v>
      </c>
      <c r="BA488" s="282">
        <f t="shared" si="230"/>
        <v>0</v>
      </c>
      <c r="BB488">
        <v>1</v>
      </c>
      <c r="BC488">
        <f t="shared" si="254"/>
        <v>0</v>
      </c>
      <c r="BD488">
        <f t="shared" si="231"/>
        <v>0</v>
      </c>
      <c r="BE488">
        <f t="shared" si="232"/>
        <v>0</v>
      </c>
      <c r="BF488" s="281" t="e">
        <f t="shared" si="255"/>
        <v>#DIV/0!</v>
      </c>
      <c r="BG488" s="282"/>
      <c r="BH488" s="283"/>
    </row>
    <row r="489" spans="4:60" x14ac:dyDescent="0.3">
      <c r="D489" s="14"/>
      <c r="E489" s="7"/>
      <c r="F489" s="7"/>
      <c r="G489" s="66"/>
      <c r="H489" s="59"/>
      <c r="I489" s="59"/>
      <c r="J489" s="47">
        <f t="shared" si="244"/>
        <v>0</v>
      </c>
      <c r="K489" s="8">
        <f t="shared" si="245"/>
        <v>0</v>
      </c>
      <c r="L489" s="96"/>
      <c r="M489" s="81"/>
      <c r="N489" s="8">
        <v>153</v>
      </c>
      <c r="O489" s="8">
        <v>60</v>
      </c>
      <c r="P489" s="96" t="str">
        <f t="shared" si="243"/>
        <v/>
      </c>
      <c r="Q489" s="59">
        <f t="shared" si="246"/>
        <v>0</v>
      </c>
      <c r="R489" s="252">
        <f t="shared" si="225"/>
        <v>0</v>
      </c>
      <c r="S489" s="263"/>
      <c r="T489" s="263"/>
      <c r="U489" s="263"/>
      <c r="V489" s="263"/>
      <c r="W489" s="263"/>
      <c r="X489" s="263"/>
      <c r="Y489" s="263"/>
      <c r="Z489" s="263"/>
      <c r="AA489" s="263"/>
      <c r="AB489" s="263"/>
      <c r="AC489" s="263"/>
      <c r="AD489" s="263"/>
      <c r="AE489" s="263"/>
      <c r="AF489" s="263"/>
      <c r="AG489" s="263"/>
      <c r="AH489" s="263"/>
      <c r="AI489" s="263"/>
      <c r="AJ489" s="259"/>
      <c r="AK489" s="263">
        <f t="shared" si="247"/>
        <v>0</v>
      </c>
      <c r="AL489" s="265">
        <f t="shared" si="226"/>
        <v>52</v>
      </c>
      <c r="AM489" s="6">
        <f t="shared" si="248"/>
        <v>0</v>
      </c>
      <c r="AN489" s="255" t="str">
        <f t="shared" si="227"/>
        <v/>
      </c>
      <c r="AO489" s="256" t="str">
        <f t="shared" si="228"/>
        <v/>
      </c>
      <c r="AP489" s="257" t="str">
        <f t="shared" si="229"/>
        <v/>
      </c>
      <c r="AQ489" s="263">
        <f t="shared" si="249"/>
        <v>0</v>
      </c>
      <c r="AR489" s="263">
        <f t="shared" si="250"/>
        <v>0</v>
      </c>
      <c r="AS489" s="263">
        <f t="shared" si="251"/>
        <v>0</v>
      </c>
      <c r="AT489" s="263">
        <f t="shared" si="252"/>
        <v>0</v>
      </c>
      <c r="AU489" s="263"/>
      <c r="AV489" s="263"/>
      <c r="AW489" s="263"/>
      <c r="AX489" s="263">
        <f t="shared" si="253"/>
        <v>0</v>
      </c>
      <c r="BA489" s="282">
        <f t="shared" si="230"/>
        <v>0</v>
      </c>
      <c r="BB489">
        <v>1</v>
      </c>
      <c r="BC489">
        <f t="shared" si="254"/>
        <v>0</v>
      </c>
      <c r="BD489">
        <f t="shared" si="231"/>
        <v>0</v>
      </c>
      <c r="BE489">
        <f t="shared" si="232"/>
        <v>0</v>
      </c>
      <c r="BF489" s="281" t="e">
        <f t="shared" si="255"/>
        <v>#DIV/0!</v>
      </c>
      <c r="BG489" s="282"/>
      <c r="BH489" s="283"/>
    </row>
    <row r="490" spans="4:60" x14ac:dyDescent="0.3">
      <c r="D490" s="14"/>
      <c r="E490" s="7"/>
      <c r="F490" s="7"/>
      <c r="G490" s="66"/>
      <c r="H490" s="59"/>
      <c r="I490" s="59"/>
      <c r="J490" s="47">
        <f t="shared" si="244"/>
        <v>0</v>
      </c>
      <c r="K490" s="8">
        <f t="shared" si="245"/>
        <v>0</v>
      </c>
      <c r="L490" s="96"/>
      <c r="M490" s="81"/>
      <c r="N490" s="8">
        <v>153</v>
      </c>
      <c r="O490" s="8">
        <v>60</v>
      </c>
      <c r="P490" s="96" t="str">
        <f t="shared" si="243"/>
        <v/>
      </c>
      <c r="Q490" s="59">
        <f t="shared" si="246"/>
        <v>0</v>
      </c>
      <c r="R490" s="252">
        <f t="shared" si="225"/>
        <v>0</v>
      </c>
      <c r="S490" s="263"/>
      <c r="T490" s="263"/>
      <c r="U490" s="263"/>
      <c r="V490" s="263"/>
      <c r="W490" s="263"/>
      <c r="X490" s="263"/>
      <c r="Y490" s="263"/>
      <c r="Z490" s="263"/>
      <c r="AA490" s="263"/>
      <c r="AB490" s="263"/>
      <c r="AC490" s="263"/>
      <c r="AD490" s="263"/>
      <c r="AE490" s="263"/>
      <c r="AF490" s="263"/>
      <c r="AG490" s="263"/>
      <c r="AH490" s="263"/>
      <c r="AI490" s="263"/>
      <c r="AJ490" s="259"/>
      <c r="AK490" s="263">
        <f t="shared" si="247"/>
        <v>0</v>
      </c>
      <c r="AL490" s="265">
        <f t="shared" si="226"/>
        <v>52</v>
      </c>
      <c r="AM490" s="6">
        <f t="shared" si="248"/>
        <v>0</v>
      </c>
      <c r="AN490" s="255" t="str">
        <f t="shared" si="227"/>
        <v/>
      </c>
      <c r="AO490" s="256" t="str">
        <f t="shared" si="228"/>
        <v/>
      </c>
      <c r="AP490" s="257" t="str">
        <f t="shared" si="229"/>
        <v/>
      </c>
      <c r="AQ490" s="263">
        <f t="shared" si="249"/>
        <v>0</v>
      </c>
      <c r="AR490" s="263">
        <f t="shared" si="250"/>
        <v>0</v>
      </c>
      <c r="AS490" s="263">
        <f t="shared" si="251"/>
        <v>0</v>
      </c>
      <c r="AT490" s="263">
        <f t="shared" si="252"/>
        <v>0</v>
      </c>
      <c r="AU490" s="263"/>
      <c r="AV490" s="263"/>
      <c r="AW490" s="263"/>
      <c r="AX490" s="263">
        <f t="shared" si="253"/>
        <v>0</v>
      </c>
      <c r="BA490" s="282">
        <f t="shared" si="230"/>
        <v>0</v>
      </c>
      <c r="BB490">
        <v>1</v>
      </c>
      <c r="BC490">
        <f t="shared" si="254"/>
        <v>0</v>
      </c>
      <c r="BD490">
        <f t="shared" si="231"/>
        <v>0</v>
      </c>
      <c r="BE490">
        <f t="shared" si="232"/>
        <v>0</v>
      </c>
      <c r="BF490" s="281" t="e">
        <f t="shared" si="255"/>
        <v>#DIV/0!</v>
      </c>
      <c r="BG490" s="282"/>
      <c r="BH490" s="283"/>
    </row>
    <row r="491" spans="4:60" x14ac:dyDescent="0.3">
      <c r="D491" s="14"/>
      <c r="E491" s="7"/>
      <c r="F491" s="7"/>
      <c r="G491" s="66"/>
      <c r="H491" s="59"/>
      <c r="I491" s="59"/>
      <c r="J491" s="47">
        <f t="shared" si="244"/>
        <v>0</v>
      </c>
      <c r="K491" s="8">
        <f t="shared" si="245"/>
        <v>0</v>
      </c>
      <c r="L491" s="96"/>
      <c r="M491" s="81"/>
      <c r="N491" s="8">
        <v>153</v>
      </c>
      <c r="O491" s="8">
        <v>60</v>
      </c>
      <c r="P491" s="96" t="str">
        <f t="shared" si="243"/>
        <v/>
      </c>
      <c r="Q491" s="59">
        <f t="shared" si="246"/>
        <v>0</v>
      </c>
      <c r="R491" s="252">
        <f t="shared" si="225"/>
        <v>0</v>
      </c>
      <c r="S491" s="263"/>
      <c r="T491" s="263"/>
      <c r="U491" s="263"/>
      <c r="V491" s="263"/>
      <c r="W491" s="263"/>
      <c r="X491" s="263"/>
      <c r="Y491" s="263"/>
      <c r="Z491" s="263"/>
      <c r="AA491" s="263"/>
      <c r="AB491" s="263"/>
      <c r="AC491" s="263"/>
      <c r="AD491" s="263"/>
      <c r="AE491" s="263"/>
      <c r="AF491" s="263"/>
      <c r="AG491" s="263"/>
      <c r="AH491" s="263"/>
      <c r="AI491" s="263"/>
      <c r="AJ491" s="259"/>
      <c r="AK491" s="263">
        <f t="shared" si="247"/>
        <v>0</v>
      </c>
      <c r="AL491" s="265">
        <f t="shared" si="226"/>
        <v>52</v>
      </c>
      <c r="AM491" s="6">
        <f t="shared" si="248"/>
        <v>0</v>
      </c>
      <c r="AN491" s="255" t="str">
        <f t="shared" si="227"/>
        <v/>
      </c>
      <c r="AO491" s="256" t="str">
        <f t="shared" si="228"/>
        <v/>
      </c>
      <c r="AP491" s="257" t="str">
        <f t="shared" si="229"/>
        <v/>
      </c>
      <c r="AQ491" s="263">
        <f t="shared" si="249"/>
        <v>0</v>
      </c>
      <c r="AR491" s="263">
        <f t="shared" si="250"/>
        <v>0</v>
      </c>
      <c r="AS491" s="263">
        <f t="shared" si="251"/>
        <v>0</v>
      </c>
      <c r="AT491" s="263">
        <f t="shared" si="252"/>
        <v>0</v>
      </c>
      <c r="AU491" s="263"/>
      <c r="AV491" s="263"/>
      <c r="AW491" s="263"/>
      <c r="AX491" s="263">
        <f t="shared" si="253"/>
        <v>0</v>
      </c>
      <c r="BA491" s="282">
        <f t="shared" si="230"/>
        <v>0</v>
      </c>
      <c r="BB491">
        <v>1</v>
      </c>
      <c r="BC491">
        <f t="shared" si="254"/>
        <v>0</v>
      </c>
      <c r="BD491">
        <f t="shared" si="231"/>
        <v>0</v>
      </c>
      <c r="BE491">
        <f t="shared" si="232"/>
        <v>0</v>
      </c>
      <c r="BF491" s="281" t="e">
        <f t="shared" si="255"/>
        <v>#DIV/0!</v>
      </c>
      <c r="BG491" s="282"/>
      <c r="BH491" s="283"/>
    </row>
    <row r="492" spans="4:60" x14ac:dyDescent="0.3">
      <c r="D492" s="14"/>
      <c r="E492" s="7"/>
      <c r="F492" s="7"/>
      <c r="G492" s="66"/>
      <c r="H492" s="59"/>
      <c r="I492" s="59"/>
      <c r="J492" s="47">
        <f t="shared" si="244"/>
        <v>0</v>
      </c>
      <c r="K492" s="8">
        <f t="shared" si="245"/>
        <v>0</v>
      </c>
      <c r="L492" s="96"/>
      <c r="M492" s="81"/>
      <c r="N492" s="8">
        <v>153</v>
      </c>
      <c r="O492" s="8">
        <v>60</v>
      </c>
      <c r="P492" s="96" t="str">
        <f t="shared" si="243"/>
        <v/>
      </c>
      <c r="Q492" s="59">
        <f t="shared" si="246"/>
        <v>0</v>
      </c>
      <c r="R492" s="252">
        <f t="shared" si="225"/>
        <v>0</v>
      </c>
      <c r="S492" s="263"/>
      <c r="T492" s="263"/>
      <c r="U492" s="263"/>
      <c r="V492" s="263"/>
      <c r="W492" s="263"/>
      <c r="X492" s="263"/>
      <c r="Y492" s="263"/>
      <c r="Z492" s="263"/>
      <c r="AA492" s="263"/>
      <c r="AB492" s="263"/>
      <c r="AC492" s="263"/>
      <c r="AD492" s="263"/>
      <c r="AE492" s="263"/>
      <c r="AF492" s="263"/>
      <c r="AG492" s="263"/>
      <c r="AH492" s="263"/>
      <c r="AI492" s="263"/>
      <c r="AJ492" s="259"/>
      <c r="AK492" s="263">
        <f t="shared" si="247"/>
        <v>0</v>
      </c>
      <c r="AL492" s="265">
        <f t="shared" si="226"/>
        <v>52</v>
      </c>
      <c r="AM492" s="6">
        <f t="shared" si="248"/>
        <v>0</v>
      </c>
      <c r="AN492" s="255" t="str">
        <f t="shared" si="227"/>
        <v/>
      </c>
      <c r="AO492" s="256" t="str">
        <f t="shared" si="228"/>
        <v/>
      </c>
      <c r="AP492" s="257" t="str">
        <f t="shared" si="229"/>
        <v/>
      </c>
      <c r="AQ492" s="263">
        <f t="shared" si="249"/>
        <v>0</v>
      </c>
      <c r="AR492" s="263">
        <f t="shared" si="250"/>
        <v>0</v>
      </c>
      <c r="AS492" s="263">
        <f t="shared" si="251"/>
        <v>0</v>
      </c>
      <c r="AT492" s="263">
        <f t="shared" si="252"/>
        <v>0</v>
      </c>
      <c r="AU492" s="263"/>
      <c r="AV492" s="263"/>
      <c r="AW492" s="263"/>
      <c r="AX492" s="263">
        <f t="shared" si="253"/>
        <v>0</v>
      </c>
      <c r="BA492" s="282">
        <f t="shared" si="230"/>
        <v>0</v>
      </c>
      <c r="BB492">
        <v>1</v>
      </c>
      <c r="BC492">
        <f t="shared" si="254"/>
        <v>0</v>
      </c>
      <c r="BD492">
        <f t="shared" si="231"/>
        <v>0</v>
      </c>
      <c r="BE492">
        <f t="shared" si="232"/>
        <v>0</v>
      </c>
      <c r="BF492" s="281" t="e">
        <f t="shared" si="255"/>
        <v>#DIV/0!</v>
      </c>
      <c r="BG492" s="282"/>
      <c r="BH492" s="283"/>
    </row>
    <row r="493" spans="4:60" x14ac:dyDescent="0.3">
      <c r="D493" s="14"/>
      <c r="E493" s="7"/>
      <c r="F493" s="7"/>
      <c r="G493" s="66"/>
      <c r="H493" s="59"/>
      <c r="I493" s="59"/>
      <c r="J493" s="47">
        <f t="shared" si="244"/>
        <v>0</v>
      </c>
      <c r="K493" s="8">
        <f t="shared" si="245"/>
        <v>0</v>
      </c>
      <c r="L493" s="96"/>
      <c r="M493" s="81"/>
      <c r="N493" s="8">
        <v>153</v>
      </c>
      <c r="O493" s="8">
        <v>60</v>
      </c>
      <c r="P493" s="96" t="str">
        <f t="shared" si="243"/>
        <v/>
      </c>
      <c r="Q493" s="59">
        <f t="shared" si="246"/>
        <v>0</v>
      </c>
      <c r="R493" s="252">
        <f t="shared" si="225"/>
        <v>0</v>
      </c>
      <c r="S493" s="263"/>
      <c r="T493" s="263"/>
      <c r="U493" s="263"/>
      <c r="V493" s="263"/>
      <c r="W493" s="263"/>
      <c r="X493" s="263"/>
      <c r="Y493" s="263"/>
      <c r="Z493" s="263"/>
      <c r="AA493" s="263"/>
      <c r="AB493" s="263"/>
      <c r="AC493" s="263"/>
      <c r="AD493" s="263"/>
      <c r="AE493" s="263"/>
      <c r="AF493" s="263"/>
      <c r="AG493" s="263"/>
      <c r="AH493" s="263"/>
      <c r="AI493" s="263"/>
      <c r="AJ493" s="259"/>
      <c r="AK493" s="263">
        <f t="shared" si="247"/>
        <v>0</v>
      </c>
      <c r="AL493" s="265">
        <f t="shared" si="226"/>
        <v>52</v>
      </c>
      <c r="AM493" s="6">
        <f t="shared" si="248"/>
        <v>0</v>
      </c>
      <c r="AN493" s="255" t="str">
        <f t="shared" si="227"/>
        <v/>
      </c>
      <c r="AO493" s="256" t="str">
        <f t="shared" si="228"/>
        <v/>
      </c>
      <c r="AP493" s="257" t="str">
        <f t="shared" si="229"/>
        <v/>
      </c>
      <c r="AQ493" s="263">
        <f t="shared" si="249"/>
        <v>0</v>
      </c>
      <c r="AR493" s="263">
        <f t="shared" si="250"/>
        <v>0</v>
      </c>
      <c r="AS493" s="263">
        <f t="shared" si="251"/>
        <v>0</v>
      </c>
      <c r="AT493" s="263">
        <f t="shared" si="252"/>
        <v>0</v>
      </c>
      <c r="AU493" s="263"/>
      <c r="AV493" s="263"/>
      <c r="AW493" s="263"/>
      <c r="AX493" s="263">
        <f t="shared" si="253"/>
        <v>0</v>
      </c>
      <c r="BA493" s="282">
        <f t="shared" si="230"/>
        <v>0</v>
      </c>
      <c r="BB493">
        <v>1</v>
      </c>
      <c r="BC493">
        <f t="shared" si="254"/>
        <v>0</v>
      </c>
      <c r="BD493">
        <f t="shared" si="231"/>
        <v>0</v>
      </c>
      <c r="BE493">
        <f t="shared" si="232"/>
        <v>0</v>
      </c>
      <c r="BF493" s="281" t="e">
        <f t="shared" si="255"/>
        <v>#DIV/0!</v>
      </c>
      <c r="BG493" s="282"/>
      <c r="BH493" s="283"/>
    </row>
    <row r="494" spans="4:60" x14ac:dyDescent="0.3">
      <c r="D494" s="14"/>
      <c r="E494" s="7"/>
      <c r="F494" s="7"/>
      <c r="G494" s="66"/>
      <c r="H494" s="59"/>
      <c r="I494" s="59"/>
      <c r="J494" s="47">
        <f t="shared" si="244"/>
        <v>0</v>
      </c>
      <c r="K494" s="8">
        <f t="shared" si="245"/>
        <v>0</v>
      </c>
      <c r="L494" s="96"/>
      <c r="M494" s="81"/>
      <c r="N494" s="8">
        <v>153</v>
      </c>
      <c r="O494" s="8">
        <v>60</v>
      </c>
      <c r="P494" s="96" t="str">
        <f t="shared" si="243"/>
        <v/>
      </c>
      <c r="Q494" s="59">
        <f t="shared" si="246"/>
        <v>0</v>
      </c>
      <c r="R494" s="252">
        <f t="shared" si="225"/>
        <v>0</v>
      </c>
      <c r="S494" s="263"/>
      <c r="T494" s="263"/>
      <c r="U494" s="263"/>
      <c r="V494" s="263"/>
      <c r="W494" s="263"/>
      <c r="X494" s="263"/>
      <c r="Y494" s="263"/>
      <c r="Z494" s="263"/>
      <c r="AA494" s="263"/>
      <c r="AB494" s="263"/>
      <c r="AC494" s="263"/>
      <c r="AD494" s="263"/>
      <c r="AE494" s="263"/>
      <c r="AF494" s="263"/>
      <c r="AG494" s="263"/>
      <c r="AH494" s="263"/>
      <c r="AI494" s="263"/>
      <c r="AJ494" s="259"/>
      <c r="AK494" s="263">
        <f t="shared" si="247"/>
        <v>0</v>
      </c>
      <c r="AL494" s="265">
        <f t="shared" si="226"/>
        <v>52</v>
      </c>
      <c r="AM494" s="6">
        <f t="shared" si="248"/>
        <v>0</v>
      </c>
      <c r="AN494" s="255" t="str">
        <f t="shared" si="227"/>
        <v/>
      </c>
      <c r="AO494" s="256" t="str">
        <f t="shared" si="228"/>
        <v/>
      </c>
      <c r="AP494" s="257" t="str">
        <f t="shared" si="229"/>
        <v/>
      </c>
      <c r="AQ494" s="263">
        <f t="shared" si="249"/>
        <v>0</v>
      </c>
      <c r="AR494" s="263">
        <f t="shared" si="250"/>
        <v>0</v>
      </c>
      <c r="AS494" s="263">
        <f t="shared" si="251"/>
        <v>0</v>
      </c>
      <c r="AT494" s="263">
        <f t="shared" si="252"/>
        <v>0</v>
      </c>
      <c r="AU494" s="263"/>
      <c r="AV494" s="263"/>
      <c r="AW494" s="263"/>
      <c r="AX494" s="263">
        <f t="shared" si="253"/>
        <v>0</v>
      </c>
      <c r="BA494" s="282">
        <f t="shared" si="230"/>
        <v>0</v>
      </c>
      <c r="BB494">
        <v>1</v>
      </c>
      <c r="BC494">
        <f t="shared" si="254"/>
        <v>0</v>
      </c>
      <c r="BD494">
        <f t="shared" si="231"/>
        <v>0</v>
      </c>
      <c r="BE494">
        <f t="shared" si="232"/>
        <v>0</v>
      </c>
      <c r="BF494" s="281" t="e">
        <f t="shared" si="255"/>
        <v>#DIV/0!</v>
      </c>
      <c r="BG494" s="282"/>
      <c r="BH494" s="283"/>
    </row>
    <row r="495" spans="4:60" x14ac:dyDescent="0.3">
      <c r="D495" s="14"/>
      <c r="E495" s="7"/>
      <c r="F495" s="7"/>
      <c r="G495" s="66"/>
      <c r="H495" s="59"/>
      <c r="I495" s="59"/>
      <c r="J495" s="47">
        <f t="shared" si="244"/>
        <v>0</v>
      </c>
      <c r="K495" s="8">
        <f t="shared" si="245"/>
        <v>0</v>
      </c>
      <c r="L495" s="96"/>
      <c r="M495" s="81"/>
      <c r="N495" s="8">
        <v>153</v>
      </c>
      <c r="O495" s="8">
        <v>60</v>
      </c>
      <c r="P495" s="96" t="str">
        <f t="shared" si="243"/>
        <v/>
      </c>
      <c r="Q495" s="59">
        <f t="shared" si="246"/>
        <v>0</v>
      </c>
      <c r="R495" s="252">
        <f t="shared" si="225"/>
        <v>0</v>
      </c>
      <c r="S495" s="263"/>
      <c r="T495" s="263"/>
      <c r="U495" s="263"/>
      <c r="V495" s="263"/>
      <c r="W495" s="263"/>
      <c r="X495" s="263"/>
      <c r="Y495" s="263"/>
      <c r="Z495" s="263"/>
      <c r="AA495" s="263"/>
      <c r="AB495" s="263"/>
      <c r="AC495" s="263"/>
      <c r="AD495" s="263"/>
      <c r="AE495" s="263"/>
      <c r="AF495" s="263"/>
      <c r="AG495" s="263"/>
      <c r="AH495" s="263"/>
      <c r="AI495" s="263"/>
      <c r="AJ495" s="259"/>
      <c r="AK495" s="263">
        <f t="shared" si="247"/>
        <v>0</v>
      </c>
      <c r="AL495" s="265">
        <f t="shared" si="226"/>
        <v>52</v>
      </c>
      <c r="AM495" s="6">
        <f t="shared" si="248"/>
        <v>0</v>
      </c>
      <c r="AN495" s="255" t="str">
        <f t="shared" si="227"/>
        <v/>
      </c>
      <c r="AO495" s="256" t="str">
        <f t="shared" si="228"/>
        <v/>
      </c>
      <c r="AP495" s="257" t="str">
        <f t="shared" si="229"/>
        <v/>
      </c>
      <c r="AQ495" s="263">
        <f t="shared" si="249"/>
        <v>0</v>
      </c>
      <c r="AR495" s="263">
        <f t="shared" si="250"/>
        <v>0</v>
      </c>
      <c r="AS495" s="263">
        <f t="shared" si="251"/>
        <v>0</v>
      </c>
      <c r="AT495" s="263">
        <f t="shared" si="252"/>
        <v>0</v>
      </c>
      <c r="AU495" s="263"/>
      <c r="AV495" s="263"/>
      <c r="AW495" s="263"/>
      <c r="AX495" s="263">
        <f t="shared" si="253"/>
        <v>0</v>
      </c>
      <c r="BA495" s="282">
        <f t="shared" si="230"/>
        <v>0</v>
      </c>
      <c r="BB495">
        <v>1</v>
      </c>
      <c r="BC495">
        <f t="shared" si="254"/>
        <v>0</v>
      </c>
      <c r="BD495">
        <f t="shared" si="231"/>
        <v>0</v>
      </c>
      <c r="BE495">
        <f t="shared" si="232"/>
        <v>0</v>
      </c>
      <c r="BF495" s="281" t="e">
        <f t="shared" si="255"/>
        <v>#DIV/0!</v>
      </c>
      <c r="BG495" s="282"/>
      <c r="BH495" s="283"/>
    </row>
    <row r="496" spans="4:60" x14ac:dyDescent="0.3">
      <c r="D496" s="14"/>
      <c r="E496" s="7"/>
      <c r="F496" s="7"/>
      <c r="G496" s="66"/>
      <c r="H496" s="59"/>
      <c r="I496" s="59"/>
      <c r="J496" s="47">
        <f t="shared" si="244"/>
        <v>0</v>
      </c>
      <c r="K496" s="8">
        <f t="shared" si="245"/>
        <v>0</v>
      </c>
      <c r="L496" s="96"/>
      <c r="M496" s="81"/>
      <c r="N496" s="8">
        <v>153</v>
      </c>
      <c r="O496" s="8">
        <v>60</v>
      </c>
      <c r="P496" s="96" t="str">
        <f t="shared" si="243"/>
        <v/>
      </c>
      <c r="Q496" s="59">
        <f t="shared" si="246"/>
        <v>0</v>
      </c>
      <c r="R496" s="252">
        <f t="shared" si="225"/>
        <v>0</v>
      </c>
      <c r="S496" s="263"/>
      <c r="T496" s="263"/>
      <c r="U496" s="263"/>
      <c r="V496" s="263"/>
      <c r="W496" s="263"/>
      <c r="X496" s="263"/>
      <c r="Y496" s="263"/>
      <c r="Z496" s="263"/>
      <c r="AA496" s="263"/>
      <c r="AB496" s="263"/>
      <c r="AC496" s="263"/>
      <c r="AD496" s="263"/>
      <c r="AE496" s="263"/>
      <c r="AF496" s="263"/>
      <c r="AG496" s="263"/>
      <c r="AH496" s="263"/>
      <c r="AI496" s="263"/>
      <c r="AJ496" s="259"/>
      <c r="AK496" s="263">
        <f t="shared" si="247"/>
        <v>0</v>
      </c>
      <c r="AL496" s="265">
        <f t="shared" si="226"/>
        <v>52</v>
      </c>
      <c r="AM496" s="6">
        <f t="shared" si="248"/>
        <v>0</v>
      </c>
      <c r="AN496" s="255" t="str">
        <f t="shared" si="227"/>
        <v/>
      </c>
      <c r="AO496" s="256" t="str">
        <f t="shared" si="228"/>
        <v/>
      </c>
      <c r="AP496" s="257" t="str">
        <f t="shared" si="229"/>
        <v/>
      </c>
      <c r="AQ496" s="263">
        <f t="shared" si="249"/>
        <v>0</v>
      </c>
      <c r="AR496" s="263">
        <f t="shared" si="250"/>
        <v>0</v>
      </c>
      <c r="AS496" s="263">
        <f t="shared" si="251"/>
        <v>0</v>
      </c>
      <c r="AT496" s="263">
        <f t="shared" si="252"/>
        <v>0</v>
      </c>
      <c r="AU496" s="263"/>
      <c r="AV496" s="263"/>
      <c r="AW496" s="263"/>
      <c r="AX496" s="263">
        <f t="shared" si="253"/>
        <v>0</v>
      </c>
      <c r="BA496" s="282">
        <f t="shared" si="230"/>
        <v>0</v>
      </c>
      <c r="BB496">
        <v>1</v>
      </c>
      <c r="BC496">
        <f t="shared" si="254"/>
        <v>0</v>
      </c>
      <c r="BD496">
        <f t="shared" si="231"/>
        <v>0</v>
      </c>
      <c r="BE496">
        <f t="shared" si="232"/>
        <v>0</v>
      </c>
      <c r="BF496" s="281" t="e">
        <f t="shared" si="255"/>
        <v>#DIV/0!</v>
      </c>
      <c r="BG496" s="282"/>
      <c r="BH496" s="283"/>
    </row>
    <row r="497" spans="4:60" x14ac:dyDescent="0.3">
      <c r="D497" s="14"/>
      <c r="E497" s="7"/>
      <c r="F497" s="7"/>
      <c r="G497" s="66"/>
      <c r="H497" s="59"/>
      <c r="I497" s="59"/>
      <c r="J497" s="47">
        <f t="shared" si="244"/>
        <v>0</v>
      </c>
      <c r="K497" s="8">
        <f t="shared" si="245"/>
        <v>0</v>
      </c>
      <c r="L497" s="96"/>
      <c r="M497" s="81"/>
      <c r="N497" s="8">
        <v>153</v>
      </c>
      <c r="O497" s="8">
        <v>60</v>
      </c>
      <c r="P497" s="96" t="str">
        <f t="shared" si="243"/>
        <v/>
      </c>
      <c r="Q497" s="59">
        <f t="shared" si="246"/>
        <v>0</v>
      </c>
      <c r="R497" s="252">
        <f t="shared" si="225"/>
        <v>0</v>
      </c>
      <c r="S497" s="263"/>
      <c r="T497" s="263"/>
      <c r="U497" s="263"/>
      <c r="V497" s="263"/>
      <c r="W497" s="263"/>
      <c r="X497" s="263"/>
      <c r="Y497" s="263"/>
      <c r="Z497" s="263"/>
      <c r="AA497" s="263"/>
      <c r="AB497" s="263"/>
      <c r="AC497" s="263"/>
      <c r="AD497" s="263"/>
      <c r="AE497" s="263"/>
      <c r="AF497" s="263"/>
      <c r="AG497" s="263"/>
      <c r="AH497" s="263"/>
      <c r="AI497" s="263"/>
      <c r="AJ497" s="259"/>
      <c r="AK497" s="263">
        <f t="shared" si="247"/>
        <v>0</v>
      </c>
      <c r="AL497" s="265">
        <f t="shared" si="226"/>
        <v>52</v>
      </c>
      <c r="AM497" s="6">
        <f t="shared" si="248"/>
        <v>0</v>
      </c>
      <c r="AN497" s="255" t="str">
        <f t="shared" si="227"/>
        <v/>
      </c>
      <c r="AO497" s="256" t="str">
        <f t="shared" si="228"/>
        <v/>
      </c>
      <c r="AP497" s="257" t="str">
        <f t="shared" si="229"/>
        <v/>
      </c>
      <c r="AQ497" s="263">
        <f t="shared" si="249"/>
        <v>0</v>
      </c>
      <c r="AR497" s="263">
        <f t="shared" si="250"/>
        <v>0</v>
      </c>
      <c r="AS497" s="263">
        <f t="shared" si="251"/>
        <v>0</v>
      </c>
      <c r="AT497" s="263">
        <f t="shared" si="252"/>
        <v>0</v>
      </c>
      <c r="AU497" s="263"/>
      <c r="AV497" s="263"/>
      <c r="AW497" s="263"/>
      <c r="AX497" s="263">
        <f t="shared" si="253"/>
        <v>0</v>
      </c>
      <c r="BA497" s="282">
        <f t="shared" si="230"/>
        <v>0</v>
      </c>
      <c r="BB497">
        <v>1</v>
      </c>
      <c r="BC497">
        <f t="shared" si="254"/>
        <v>0</v>
      </c>
      <c r="BD497">
        <f t="shared" si="231"/>
        <v>0</v>
      </c>
      <c r="BE497">
        <f t="shared" si="232"/>
        <v>0</v>
      </c>
      <c r="BF497" s="281" t="e">
        <f t="shared" si="255"/>
        <v>#DIV/0!</v>
      </c>
      <c r="BG497" s="282"/>
      <c r="BH497" s="283"/>
    </row>
    <row r="498" spans="4:60" x14ac:dyDescent="0.3">
      <c r="D498" s="14"/>
      <c r="E498" s="7"/>
      <c r="F498" s="7"/>
      <c r="G498" s="66"/>
      <c r="H498" s="59"/>
      <c r="I498" s="59"/>
      <c r="J498" s="47">
        <f t="shared" si="244"/>
        <v>0</v>
      </c>
      <c r="K498" s="8">
        <f t="shared" si="245"/>
        <v>0</v>
      </c>
      <c r="L498" s="96"/>
      <c r="M498" s="81"/>
      <c r="N498" s="8">
        <v>153</v>
      </c>
      <c r="O498" s="8">
        <v>60</v>
      </c>
      <c r="P498" s="96" t="str">
        <f t="shared" si="243"/>
        <v/>
      </c>
      <c r="Q498" s="59">
        <f t="shared" si="246"/>
        <v>0</v>
      </c>
      <c r="R498" s="252">
        <f t="shared" si="225"/>
        <v>0</v>
      </c>
      <c r="S498" s="263"/>
      <c r="T498" s="263"/>
      <c r="U498" s="263"/>
      <c r="V498" s="263"/>
      <c r="W498" s="263"/>
      <c r="X498" s="263"/>
      <c r="Y498" s="263"/>
      <c r="Z498" s="263"/>
      <c r="AA498" s="263"/>
      <c r="AB498" s="263"/>
      <c r="AC498" s="263"/>
      <c r="AD498" s="263"/>
      <c r="AE498" s="263"/>
      <c r="AF498" s="263"/>
      <c r="AG498" s="263"/>
      <c r="AH498" s="263"/>
      <c r="AI498" s="263"/>
      <c r="AJ498" s="259"/>
      <c r="AK498" s="263">
        <f t="shared" si="247"/>
        <v>0</v>
      </c>
      <c r="AL498" s="265">
        <f t="shared" si="226"/>
        <v>52</v>
      </c>
      <c r="AM498" s="6">
        <f t="shared" si="248"/>
        <v>0</v>
      </c>
      <c r="AN498" s="255" t="str">
        <f t="shared" si="227"/>
        <v/>
      </c>
      <c r="AO498" s="256" t="str">
        <f t="shared" si="228"/>
        <v/>
      </c>
      <c r="AP498" s="257" t="str">
        <f t="shared" si="229"/>
        <v/>
      </c>
      <c r="AQ498" s="263">
        <f t="shared" si="249"/>
        <v>0</v>
      </c>
      <c r="AR498" s="263">
        <f t="shared" si="250"/>
        <v>0</v>
      </c>
      <c r="AS498" s="263">
        <f t="shared" si="251"/>
        <v>0</v>
      </c>
      <c r="AT498" s="263">
        <f t="shared" si="252"/>
        <v>0</v>
      </c>
      <c r="AU498" s="263"/>
      <c r="AV498" s="263"/>
      <c r="AW498" s="263"/>
      <c r="AX498" s="263">
        <f t="shared" si="253"/>
        <v>0</v>
      </c>
      <c r="BA498" s="282">
        <f t="shared" si="230"/>
        <v>0</v>
      </c>
      <c r="BB498">
        <v>1</v>
      </c>
      <c r="BC498">
        <f t="shared" si="254"/>
        <v>0</v>
      </c>
      <c r="BD498">
        <f t="shared" si="231"/>
        <v>0</v>
      </c>
      <c r="BE498">
        <f t="shared" si="232"/>
        <v>0</v>
      </c>
      <c r="BF498" s="281" t="e">
        <f t="shared" si="255"/>
        <v>#DIV/0!</v>
      </c>
      <c r="BG498" s="282"/>
      <c r="BH498" s="283"/>
    </row>
    <row r="499" spans="4:60" x14ac:dyDescent="0.3">
      <c r="D499" s="14"/>
      <c r="E499" s="7"/>
      <c r="F499" s="7"/>
      <c r="G499" s="66"/>
      <c r="H499" s="59"/>
      <c r="I499" s="59"/>
      <c r="J499" s="47">
        <f t="shared" si="244"/>
        <v>0</v>
      </c>
      <c r="K499" s="8">
        <f t="shared" si="245"/>
        <v>0</v>
      </c>
      <c r="L499" s="96"/>
      <c r="M499" s="81"/>
      <c r="N499" s="8">
        <v>153</v>
      </c>
      <c r="O499" s="8">
        <v>60</v>
      </c>
      <c r="P499" s="96" t="str">
        <f t="shared" si="243"/>
        <v/>
      </c>
      <c r="Q499" s="59">
        <f t="shared" si="246"/>
        <v>0</v>
      </c>
      <c r="R499" s="252">
        <f t="shared" si="225"/>
        <v>0</v>
      </c>
      <c r="S499" s="263"/>
      <c r="T499" s="263"/>
      <c r="U499" s="263"/>
      <c r="V499" s="263"/>
      <c r="W499" s="263"/>
      <c r="X499" s="263"/>
      <c r="Y499" s="263"/>
      <c r="Z499" s="263"/>
      <c r="AA499" s="263"/>
      <c r="AB499" s="263"/>
      <c r="AC499" s="263"/>
      <c r="AD499" s="263"/>
      <c r="AE499" s="263"/>
      <c r="AF499" s="263"/>
      <c r="AG499" s="263"/>
      <c r="AH499" s="263"/>
      <c r="AI499" s="263"/>
      <c r="AJ499" s="259"/>
      <c r="AK499" s="263">
        <f t="shared" si="247"/>
        <v>0</v>
      </c>
      <c r="AL499" s="265">
        <f t="shared" si="226"/>
        <v>52</v>
      </c>
      <c r="AM499" s="6">
        <f t="shared" si="248"/>
        <v>0</v>
      </c>
      <c r="AN499" s="255" t="str">
        <f t="shared" si="227"/>
        <v/>
      </c>
      <c r="AO499" s="256" t="str">
        <f t="shared" si="228"/>
        <v/>
      </c>
      <c r="AP499" s="257" t="str">
        <f t="shared" si="229"/>
        <v/>
      </c>
      <c r="AQ499" s="263">
        <f t="shared" si="249"/>
        <v>0</v>
      </c>
      <c r="AR499" s="263">
        <f t="shared" si="250"/>
        <v>0</v>
      </c>
      <c r="AS499" s="263">
        <f t="shared" si="251"/>
        <v>0</v>
      </c>
      <c r="AT499" s="263">
        <f t="shared" si="252"/>
        <v>0</v>
      </c>
      <c r="AU499" s="263"/>
      <c r="AV499" s="263"/>
      <c r="AW499" s="263"/>
      <c r="AX499" s="263">
        <f t="shared" si="253"/>
        <v>0</v>
      </c>
      <c r="BA499" s="282">
        <f t="shared" si="230"/>
        <v>0</v>
      </c>
      <c r="BB499">
        <v>1</v>
      </c>
      <c r="BC499">
        <f t="shared" si="254"/>
        <v>0</v>
      </c>
      <c r="BD499">
        <f t="shared" si="231"/>
        <v>0</v>
      </c>
      <c r="BE499">
        <f t="shared" si="232"/>
        <v>0</v>
      </c>
      <c r="BF499" s="281" t="e">
        <f t="shared" si="255"/>
        <v>#DIV/0!</v>
      </c>
      <c r="BG499" s="282"/>
      <c r="BH499" s="283"/>
    </row>
    <row r="500" spans="4:60" x14ac:dyDescent="0.3">
      <c r="D500" s="14"/>
      <c r="E500" s="7"/>
      <c r="F500" s="7"/>
      <c r="G500" s="66"/>
      <c r="H500" s="59"/>
      <c r="I500" s="59"/>
      <c r="J500" s="47">
        <f t="shared" si="244"/>
        <v>0</v>
      </c>
      <c r="K500" s="8">
        <f t="shared" si="245"/>
        <v>0</v>
      </c>
      <c r="L500" s="96"/>
      <c r="M500" s="81"/>
      <c r="N500" s="8">
        <v>153</v>
      </c>
      <c r="O500" s="8">
        <v>60</v>
      </c>
      <c r="P500" s="96" t="str">
        <f t="shared" si="243"/>
        <v/>
      </c>
      <c r="Q500" s="59">
        <f t="shared" si="246"/>
        <v>0</v>
      </c>
      <c r="R500" s="252">
        <f t="shared" si="225"/>
        <v>0</v>
      </c>
      <c r="S500" s="263"/>
      <c r="T500" s="263"/>
      <c r="U500" s="263"/>
      <c r="V500" s="263"/>
      <c r="W500" s="263"/>
      <c r="X500" s="263"/>
      <c r="Y500" s="263"/>
      <c r="Z500" s="263"/>
      <c r="AA500" s="263"/>
      <c r="AB500" s="263"/>
      <c r="AC500" s="263"/>
      <c r="AD500" s="263"/>
      <c r="AE500" s="263"/>
      <c r="AF500" s="263"/>
      <c r="AG500" s="263"/>
      <c r="AH500" s="263"/>
      <c r="AI500" s="263"/>
      <c r="AJ500" s="259"/>
      <c r="AK500" s="263">
        <f t="shared" si="247"/>
        <v>0</v>
      </c>
      <c r="AL500" s="265">
        <f t="shared" si="226"/>
        <v>52</v>
      </c>
      <c r="AM500" s="6">
        <f t="shared" si="248"/>
        <v>0</v>
      </c>
      <c r="AN500" s="255" t="str">
        <f t="shared" si="227"/>
        <v/>
      </c>
      <c r="AO500" s="256" t="str">
        <f t="shared" si="228"/>
        <v/>
      </c>
      <c r="AP500" s="257" t="str">
        <f t="shared" si="229"/>
        <v/>
      </c>
      <c r="AQ500" s="263">
        <f t="shared" si="249"/>
        <v>0</v>
      </c>
      <c r="AR500" s="263">
        <f t="shared" si="250"/>
        <v>0</v>
      </c>
      <c r="AS500" s="263">
        <f t="shared" si="251"/>
        <v>0</v>
      </c>
      <c r="AT500" s="263">
        <f t="shared" si="252"/>
        <v>0</v>
      </c>
      <c r="AU500" s="263"/>
      <c r="AV500" s="263"/>
      <c r="AW500" s="263"/>
      <c r="AX500" s="263">
        <f t="shared" si="253"/>
        <v>0</v>
      </c>
      <c r="BA500" s="282">
        <f t="shared" si="230"/>
        <v>0</v>
      </c>
      <c r="BB500">
        <v>1</v>
      </c>
      <c r="BC500">
        <f t="shared" si="254"/>
        <v>0</v>
      </c>
      <c r="BD500">
        <f t="shared" si="231"/>
        <v>0</v>
      </c>
      <c r="BE500">
        <f t="shared" si="232"/>
        <v>0</v>
      </c>
      <c r="BF500" s="281" t="e">
        <f t="shared" si="255"/>
        <v>#DIV/0!</v>
      </c>
      <c r="BG500" s="282"/>
      <c r="BH500" s="283"/>
    </row>
    <row r="501" spans="4:60" x14ac:dyDescent="0.3">
      <c r="D501" s="14"/>
      <c r="E501" s="7"/>
      <c r="F501" s="7"/>
      <c r="G501" s="66"/>
      <c r="H501" s="59"/>
      <c r="I501" s="59"/>
      <c r="J501" s="47">
        <f t="shared" si="244"/>
        <v>0</v>
      </c>
      <c r="K501" s="8">
        <f t="shared" si="245"/>
        <v>0</v>
      </c>
      <c r="L501" s="96"/>
      <c r="M501" s="81"/>
      <c r="N501" s="8">
        <v>153</v>
      </c>
      <c r="O501" s="8">
        <v>60</v>
      </c>
      <c r="P501" s="96" t="str">
        <f t="shared" si="243"/>
        <v/>
      </c>
      <c r="Q501" s="59">
        <f t="shared" si="246"/>
        <v>0</v>
      </c>
      <c r="R501" s="252">
        <f t="shared" si="225"/>
        <v>0</v>
      </c>
      <c r="S501" s="263"/>
      <c r="T501" s="263"/>
      <c r="U501" s="263"/>
      <c r="V501" s="263"/>
      <c r="W501" s="263"/>
      <c r="X501" s="263"/>
      <c r="Y501" s="263"/>
      <c r="Z501" s="263"/>
      <c r="AA501" s="263"/>
      <c r="AB501" s="263"/>
      <c r="AC501" s="263"/>
      <c r="AD501" s="263"/>
      <c r="AE501" s="263"/>
      <c r="AF501" s="263"/>
      <c r="AG501" s="263"/>
      <c r="AH501" s="263"/>
      <c r="AI501" s="263"/>
      <c r="AJ501" s="259"/>
      <c r="AK501" s="263">
        <f t="shared" si="247"/>
        <v>0</v>
      </c>
      <c r="AL501" s="265">
        <f t="shared" si="226"/>
        <v>52</v>
      </c>
      <c r="AM501" s="6">
        <f t="shared" si="248"/>
        <v>0</v>
      </c>
      <c r="AN501" s="255" t="str">
        <f t="shared" si="227"/>
        <v/>
      </c>
      <c r="AO501" s="256" t="str">
        <f t="shared" si="228"/>
        <v/>
      </c>
      <c r="AP501" s="257" t="str">
        <f t="shared" si="229"/>
        <v/>
      </c>
      <c r="AQ501" s="263">
        <f t="shared" si="249"/>
        <v>0</v>
      </c>
      <c r="AR501" s="263">
        <f t="shared" si="250"/>
        <v>0</v>
      </c>
      <c r="AS501" s="263">
        <f t="shared" si="251"/>
        <v>0</v>
      </c>
      <c r="AT501" s="263">
        <f t="shared" si="252"/>
        <v>0</v>
      </c>
      <c r="AU501" s="263"/>
      <c r="AV501" s="263"/>
      <c r="AW501" s="263"/>
      <c r="AX501" s="263">
        <f t="shared" si="253"/>
        <v>0</v>
      </c>
      <c r="BA501" s="282">
        <f t="shared" si="230"/>
        <v>0</v>
      </c>
      <c r="BB501">
        <v>1</v>
      </c>
      <c r="BC501">
        <f t="shared" si="254"/>
        <v>0</v>
      </c>
      <c r="BD501">
        <f t="shared" si="231"/>
        <v>0</v>
      </c>
      <c r="BE501">
        <f t="shared" si="232"/>
        <v>0</v>
      </c>
      <c r="BF501" s="281" t="e">
        <f t="shared" si="255"/>
        <v>#DIV/0!</v>
      </c>
      <c r="BG501" s="282"/>
      <c r="BH501" s="283"/>
    </row>
    <row r="502" spans="4:60" x14ac:dyDescent="0.3">
      <c r="D502" s="14"/>
      <c r="E502" s="7"/>
      <c r="F502" s="7"/>
      <c r="G502" s="66"/>
      <c r="H502" s="59"/>
      <c r="I502" s="59"/>
      <c r="J502" s="47">
        <f t="shared" si="244"/>
        <v>0</v>
      </c>
      <c r="K502" s="8">
        <f t="shared" si="245"/>
        <v>0</v>
      </c>
      <c r="L502" s="96"/>
      <c r="M502" s="81"/>
      <c r="N502" s="8">
        <v>153</v>
      </c>
      <c r="O502" s="8">
        <v>60</v>
      </c>
      <c r="P502" s="96" t="str">
        <f t="shared" si="243"/>
        <v/>
      </c>
      <c r="Q502" s="59">
        <f t="shared" si="246"/>
        <v>0</v>
      </c>
      <c r="R502" s="252">
        <f t="shared" si="225"/>
        <v>0</v>
      </c>
      <c r="S502" s="263"/>
      <c r="T502" s="263"/>
      <c r="U502" s="263"/>
      <c r="V502" s="263"/>
      <c r="W502" s="263"/>
      <c r="X502" s="263"/>
      <c r="Y502" s="263"/>
      <c r="Z502" s="263"/>
      <c r="AA502" s="263"/>
      <c r="AB502" s="263"/>
      <c r="AC502" s="263"/>
      <c r="AD502" s="263"/>
      <c r="AE502" s="263"/>
      <c r="AF502" s="263"/>
      <c r="AG502" s="263"/>
      <c r="AH502" s="263"/>
      <c r="AI502" s="263"/>
      <c r="AJ502" s="259"/>
      <c r="AK502" s="263">
        <f t="shared" si="247"/>
        <v>0</v>
      </c>
      <c r="AL502" s="265">
        <f t="shared" si="226"/>
        <v>52</v>
      </c>
      <c r="AM502" s="6">
        <f t="shared" si="248"/>
        <v>0</v>
      </c>
      <c r="AN502" s="255" t="str">
        <f t="shared" si="227"/>
        <v/>
      </c>
      <c r="AO502" s="256" t="str">
        <f t="shared" si="228"/>
        <v/>
      </c>
      <c r="AP502" s="257" t="str">
        <f t="shared" si="229"/>
        <v/>
      </c>
      <c r="AQ502" s="263">
        <f t="shared" si="249"/>
        <v>0</v>
      </c>
      <c r="AR502" s="263">
        <f t="shared" si="250"/>
        <v>0</v>
      </c>
      <c r="AS502" s="263">
        <f t="shared" si="251"/>
        <v>0</v>
      </c>
      <c r="AT502" s="263">
        <f t="shared" si="252"/>
        <v>0</v>
      </c>
      <c r="AU502" s="263"/>
      <c r="AV502" s="263"/>
      <c r="AW502" s="263"/>
      <c r="AX502" s="263">
        <f t="shared" si="253"/>
        <v>0</v>
      </c>
      <c r="BA502" s="282">
        <f t="shared" si="230"/>
        <v>0</v>
      </c>
      <c r="BB502">
        <v>1</v>
      </c>
      <c r="BC502">
        <f t="shared" si="254"/>
        <v>0</v>
      </c>
      <c r="BD502">
        <f t="shared" si="231"/>
        <v>0</v>
      </c>
      <c r="BE502">
        <f t="shared" si="232"/>
        <v>0</v>
      </c>
      <c r="BF502" s="281" t="e">
        <f t="shared" si="255"/>
        <v>#DIV/0!</v>
      </c>
      <c r="BG502" s="282"/>
      <c r="BH502" s="283"/>
    </row>
    <row r="503" spans="4:60" x14ac:dyDescent="0.3">
      <c r="D503" s="14"/>
      <c r="E503" s="7"/>
      <c r="F503" s="7"/>
      <c r="G503" s="66"/>
      <c r="H503" s="59"/>
      <c r="I503" s="59"/>
      <c r="J503" s="47">
        <f t="shared" si="244"/>
        <v>0</v>
      </c>
      <c r="K503" s="8">
        <f t="shared" si="245"/>
        <v>0</v>
      </c>
      <c r="L503" s="96"/>
      <c r="M503" s="81"/>
      <c r="N503" s="8">
        <v>153</v>
      </c>
      <c r="O503" s="8">
        <v>60</v>
      </c>
      <c r="P503" s="96" t="str">
        <f t="shared" si="243"/>
        <v/>
      </c>
      <c r="Q503" s="59">
        <f t="shared" si="246"/>
        <v>0</v>
      </c>
      <c r="R503" s="252">
        <f t="shared" si="225"/>
        <v>0</v>
      </c>
      <c r="S503" s="263"/>
      <c r="T503" s="263"/>
      <c r="U503" s="263"/>
      <c r="V503" s="263"/>
      <c r="W503" s="263"/>
      <c r="X503" s="263"/>
      <c r="Y503" s="263"/>
      <c r="Z503" s="263"/>
      <c r="AA503" s="263"/>
      <c r="AB503" s="263"/>
      <c r="AC503" s="263"/>
      <c r="AD503" s="263"/>
      <c r="AE503" s="263"/>
      <c r="AF503" s="263"/>
      <c r="AG503" s="263"/>
      <c r="AH503" s="263"/>
      <c r="AI503" s="263"/>
      <c r="AJ503" s="259"/>
      <c r="AK503" s="263">
        <f t="shared" si="247"/>
        <v>0</v>
      </c>
      <c r="AL503" s="265">
        <f t="shared" si="226"/>
        <v>52</v>
      </c>
      <c r="AM503" s="6">
        <f t="shared" si="248"/>
        <v>0</v>
      </c>
      <c r="AN503" s="255" t="str">
        <f t="shared" si="227"/>
        <v/>
      </c>
      <c r="AO503" s="256" t="str">
        <f t="shared" si="228"/>
        <v/>
      </c>
      <c r="AP503" s="257" t="str">
        <f t="shared" si="229"/>
        <v/>
      </c>
      <c r="AQ503" s="263">
        <f t="shared" si="249"/>
        <v>0</v>
      </c>
      <c r="AR503" s="263">
        <f t="shared" si="250"/>
        <v>0</v>
      </c>
      <c r="AS503" s="263">
        <f t="shared" si="251"/>
        <v>0</v>
      </c>
      <c r="AT503" s="263">
        <f t="shared" si="252"/>
        <v>0</v>
      </c>
      <c r="AU503" s="263"/>
      <c r="AV503" s="263"/>
      <c r="AW503" s="263"/>
      <c r="AX503" s="263">
        <f t="shared" si="253"/>
        <v>0</v>
      </c>
      <c r="BA503" s="282">
        <f t="shared" si="230"/>
        <v>0</v>
      </c>
      <c r="BB503">
        <v>1</v>
      </c>
      <c r="BC503">
        <f t="shared" si="254"/>
        <v>0</v>
      </c>
      <c r="BD503">
        <f t="shared" si="231"/>
        <v>0</v>
      </c>
      <c r="BE503">
        <f t="shared" si="232"/>
        <v>0</v>
      </c>
      <c r="BF503" s="281" t="e">
        <f t="shared" si="255"/>
        <v>#DIV/0!</v>
      </c>
      <c r="BG503" s="282"/>
      <c r="BH503" s="283"/>
    </row>
    <row r="504" spans="4:60" x14ac:dyDescent="0.3">
      <c r="D504" s="14"/>
      <c r="E504" s="7"/>
      <c r="F504" s="7"/>
      <c r="G504" s="66"/>
      <c r="H504" s="59"/>
      <c r="I504" s="59"/>
      <c r="J504" s="47">
        <f t="shared" si="244"/>
        <v>0</v>
      </c>
      <c r="K504" s="8">
        <f t="shared" si="245"/>
        <v>0</v>
      </c>
      <c r="L504" s="96"/>
      <c r="M504" s="81"/>
      <c r="N504" s="8">
        <v>153</v>
      </c>
      <c r="O504" s="8">
        <v>60</v>
      </c>
      <c r="P504" s="96" t="str">
        <f t="shared" si="243"/>
        <v/>
      </c>
      <c r="Q504" s="59">
        <f t="shared" si="246"/>
        <v>0</v>
      </c>
      <c r="R504" s="252">
        <f t="shared" si="225"/>
        <v>0</v>
      </c>
      <c r="S504" s="263"/>
      <c r="T504" s="263"/>
      <c r="U504" s="263"/>
      <c r="V504" s="263"/>
      <c r="W504" s="263"/>
      <c r="X504" s="263"/>
      <c r="Y504" s="263"/>
      <c r="Z504" s="263"/>
      <c r="AA504" s="263"/>
      <c r="AB504" s="263"/>
      <c r="AC504" s="263"/>
      <c r="AD504" s="263"/>
      <c r="AE504" s="263"/>
      <c r="AF504" s="263"/>
      <c r="AG504" s="263"/>
      <c r="AH504" s="263"/>
      <c r="AI504" s="263"/>
      <c r="AJ504" s="259"/>
      <c r="AK504" s="263">
        <f t="shared" si="247"/>
        <v>0</v>
      </c>
      <c r="AL504" s="265">
        <f t="shared" si="226"/>
        <v>52</v>
      </c>
      <c r="AM504" s="6">
        <f t="shared" si="248"/>
        <v>0</v>
      </c>
      <c r="AN504" s="255" t="str">
        <f t="shared" si="227"/>
        <v/>
      </c>
      <c r="AO504" s="256" t="str">
        <f t="shared" si="228"/>
        <v/>
      </c>
      <c r="AP504" s="257" t="str">
        <f t="shared" si="229"/>
        <v/>
      </c>
      <c r="AQ504" s="263">
        <f t="shared" si="249"/>
        <v>0</v>
      </c>
      <c r="AR504" s="263">
        <f t="shared" si="250"/>
        <v>0</v>
      </c>
      <c r="AS504" s="263">
        <f t="shared" si="251"/>
        <v>0</v>
      </c>
      <c r="AT504" s="263">
        <f t="shared" si="252"/>
        <v>0</v>
      </c>
      <c r="AU504" s="263"/>
      <c r="AV504" s="263"/>
      <c r="AW504" s="263"/>
      <c r="AX504" s="263">
        <f t="shared" si="253"/>
        <v>0</v>
      </c>
      <c r="BA504" s="282">
        <f t="shared" si="230"/>
        <v>0</v>
      </c>
      <c r="BB504">
        <v>1</v>
      </c>
      <c r="BC504">
        <f t="shared" si="254"/>
        <v>0</v>
      </c>
      <c r="BD504">
        <f t="shared" si="231"/>
        <v>0</v>
      </c>
      <c r="BE504">
        <f t="shared" si="232"/>
        <v>0</v>
      </c>
      <c r="BF504" s="281" t="e">
        <f t="shared" si="255"/>
        <v>#DIV/0!</v>
      </c>
      <c r="BG504" s="282"/>
      <c r="BH504" s="283"/>
    </row>
    <row r="505" spans="4:60" x14ac:dyDescent="0.3">
      <c r="D505" s="14"/>
      <c r="E505" s="7"/>
      <c r="F505" s="7"/>
      <c r="G505" s="66"/>
      <c r="H505" s="59"/>
      <c r="I505" s="59"/>
      <c r="J505" s="47">
        <f t="shared" si="244"/>
        <v>0</v>
      </c>
      <c r="K505" s="8">
        <f t="shared" si="245"/>
        <v>0</v>
      </c>
      <c r="L505" s="96"/>
      <c r="M505" s="81"/>
      <c r="N505" s="8">
        <v>153</v>
      </c>
      <c r="O505" s="8">
        <v>60</v>
      </c>
      <c r="P505" s="96" t="str">
        <f t="shared" si="243"/>
        <v/>
      </c>
      <c r="Q505" s="59">
        <f t="shared" si="246"/>
        <v>0</v>
      </c>
      <c r="R505" s="252">
        <f t="shared" si="225"/>
        <v>0</v>
      </c>
      <c r="S505" s="263"/>
      <c r="T505" s="263"/>
      <c r="U505" s="263"/>
      <c r="V505" s="263"/>
      <c r="W505" s="263"/>
      <c r="X505" s="263"/>
      <c r="Y505" s="263"/>
      <c r="Z505" s="263"/>
      <c r="AA505" s="263"/>
      <c r="AB505" s="263"/>
      <c r="AC505" s="263"/>
      <c r="AD505" s="263"/>
      <c r="AE505" s="263"/>
      <c r="AF505" s="263"/>
      <c r="AG505" s="263"/>
      <c r="AH505" s="263"/>
      <c r="AI505" s="263"/>
      <c r="AJ505" s="259"/>
      <c r="AK505" s="263">
        <f t="shared" si="247"/>
        <v>0</v>
      </c>
      <c r="AL505" s="265">
        <f t="shared" si="226"/>
        <v>52</v>
      </c>
      <c r="AM505" s="6">
        <f t="shared" si="248"/>
        <v>0</v>
      </c>
      <c r="AN505" s="255" t="str">
        <f t="shared" si="227"/>
        <v/>
      </c>
      <c r="AO505" s="256" t="str">
        <f t="shared" si="228"/>
        <v/>
      </c>
      <c r="AP505" s="257" t="str">
        <f t="shared" si="229"/>
        <v/>
      </c>
      <c r="AQ505" s="263">
        <f t="shared" si="249"/>
        <v>0</v>
      </c>
      <c r="AR505" s="263">
        <f t="shared" si="250"/>
        <v>0</v>
      </c>
      <c r="AS505" s="263">
        <f t="shared" si="251"/>
        <v>0</v>
      </c>
      <c r="AT505" s="263">
        <f t="shared" si="252"/>
        <v>0</v>
      </c>
      <c r="AU505" s="263"/>
      <c r="AV505" s="263"/>
      <c r="AW505" s="263"/>
      <c r="AX505" s="263">
        <f t="shared" si="253"/>
        <v>0</v>
      </c>
      <c r="BA505" s="282">
        <f t="shared" si="230"/>
        <v>0</v>
      </c>
      <c r="BB505">
        <v>1</v>
      </c>
      <c r="BC505">
        <f t="shared" si="254"/>
        <v>0</v>
      </c>
      <c r="BD505">
        <f t="shared" si="231"/>
        <v>0</v>
      </c>
      <c r="BE505">
        <f t="shared" si="232"/>
        <v>0</v>
      </c>
      <c r="BF505" s="281" t="e">
        <f t="shared" si="255"/>
        <v>#DIV/0!</v>
      </c>
      <c r="BG505" s="282"/>
      <c r="BH505" s="283"/>
    </row>
    <row r="506" spans="4:60" x14ac:dyDescent="0.3">
      <c r="D506" s="14"/>
      <c r="E506" s="7"/>
      <c r="F506" s="7"/>
      <c r="G506" s="66"/>
      <c r="H506" s="59"/>
      <c r="I506" s="59"/>
      <c r="J506" s="47">
        <f t="shared" si="244"/>
        <v>0</v>
      </c>
      <c r="K506" s="8">
        <f t="shared" si="245"/>
        <v>0</v>
      </c>
      <c r="L506" s="96"/>
      <c r="M506" s="81"/>
      <c r="N506" s="8">
        <v>153</v>
      </c>
      <c r="O506" s="8">
        <v>60</v>
      </c>
      <c r="P506" s="96" t="str">
        <f t="shared" si="243"/>
        <v/>
      </c>
      <c r="Q506" s="59">
        <f t="shared" si="246"/>
        <v>0</v>
      </c>
      <c r="R506" s="252">
        <f t="shared" si="225"/>
        <v>0</v>
      </c>
      <c r="S506" s="263"/>
      <c r="T506" s="263"/>
      <c r="U506" s="263"/>
      <c r="V506" s="263"/>
      <c r="W506" s="263"/>
      <c r="X506" s="263"/>
      <c r="Y506" s="263"/>
      <c r="Z506" s="263"/>
      <c r="AA506" s="263"/>
      <c r="AB506" s="263"/>
      <c r="AC506" s="263"/>
      <c r="AD506" s="263"/>
      <c r="AE506" s="263"/>
      <c r="AF506" s="263"/>
      <c r="AG506" s="263"/>
      <c r="AH506" s="263"/>
      <c r="AI506" s="263"/>
      <c r="AJ506" s="259"/>
      <c r="AK506" s="263">
        <f t="shared" si="247"/>
        <v>0</v>
      </c>
      <c r="AL506" s="265">
        <f t="shared" si="226"/>
        <v>52</v>
      </c>
      <c r="AM506" s="6">
        <f t="shared" si="248"/>
        <v>0</v>
      </c>
      <c r="AN506" s="255" t="str">
        <f t="shared" si="227"/>
        <v/>
      </c>
      <c r="AO506" s="256" t="str">
        <f t="shared" si="228"/>
        <v/>
      </c>
      <c r="AP506" s="257" t="str">
        <f t="shared" si="229"/>
        <v/>
      </c>
      <c r="AQ506" s="263">
        <f t="shared" si="249"/>
        <v>0</v>
      </c>
      <c r="AR506" s="263">
        <f t="shared" si="250"/>
        <v>0</v>
      </c>
      <c r="AS506" s="263">
        <f t="shared" si="251"/>
        <v>0</v>
      </c>
      <c r="AT506" s="263">
        <f t="shared" si="252"/>
        <v>0</v>
      </c>
      <c r="AU506" s="263"/>
      <c r="AV506" s="263"/>
      <c r="AW506" s="263"/>
      <c r="AX506" s="263">
        <f t="shared" si="253"/>
        <v>0</v>
      </c>
      <c r="BA506" s="282">
        <f t="shared" si="230"/>
        <v>0</v>
      </c>
      <c r="BB506">
        <v>1</v>
      </c>
      <c r="BC506">
        <f t="shared" si="254"/>
        <v>0</v>
      </c>
      <c r="BD506">
        <f t="shared" si="231"/>
        <v>0</v>
      </c>
      <c r="BE506">
        <f t="shared" si="232"/>
        <v>0</v>
      </c>
      <c r="BF506" s="281" t="e">
        <f t="shared" si="255"/>
        <v>#DIV/0!</v>
      </c>
      <c r="BG506" s="282"/>
      <c r="BH506" s="283"/>
    </row>
    <row r="507" spans="4:60" x14ac:dyDescent="0.3">
      <c r="D507" s="14"/>
      <c r="E507" s="7"/>
      <c r="F507" s="7"/>
      <c r="G507" s="66"/>
      <c r="H507" s="59"/>
      <c r="I507" s="59"/>
      <c r="J507" s="47">
        <f t="shared" si="244"/>
        <v>0</v>
      </c>
      <c r="K507" s="8">
        <f t="shared" si="245"/>
        <v>0</v>
      </c>
      <c r="L507" s="96"/>
      <c r="M507" s="81"/>
      <c r="N507" s="8">
        <v>153</v>
      </c>
      <c r="O507" s="8">
        <v>60</v>
      </c>
      <c r="P507" s="96" t="str">
        <f t="shared" si="243"/>
        <v/>
      </c>
      <c r="Q507" s="59">
        <f t="shared" si="246"/>
        <v>0</v>
      </c>
      <c r="R507" s="252">
        <f t="shared" si="225"/>
        <v>0</v>
      </c>
      <c r="S507" s="263"/>
      <c r="T507" s="263"/>
      <c r="U507" s="263"/>
      <c r="V507" s="263"/>
      <c r="W507" s="263"/>
      <c r="X507" s="263"/>
      <c r="Y507" s="263"/>
      <c r="Z507" s="263"/>
      <c r="AA507" s="263"/>
      <c r="AB507" s="263"/>
      <c r="AC507" s="263"/>
      <c r="AD507" s="263"/>
      <c r="AE507" s="263"/>
      <c r="AF507" s="263"/>
      <c r="AG507" s="263"/>
      <c r="AH507" s="263"/>
      <c r="AI507" s="263"/>
      <c r="AJ507" s="259"/>
      <c r="AK507" s="263">
        <f t="shared" si="247"/>
        <v>0</v>
      </c>
      <c r="AL507" s="265">
        <f t="shared" si="226"/>
        <v>52</v>
      </c>
      <c r="AM507" s="6">
        <f t="shared" si="248"/>
        <v>0</v>
      </c>
      <c r="AN507" s="255" t="str">
        <f t="shared" si="227"/>
        <v/>
      </c>
      <c r="AO507" s="256" t="str">
        <f t="shared" si="228"/>
        <v/>
      </c>
      <c r="AP507" s="257" t="str">
        <f t="shared" si="229"/>
        <v/>
      </c>
      <c r="AQ507" s="263">
        <f t="shared" si="249"/>
        <v>0</v>
      </c>
      <c r="AR507" s="263">
        <f t="shared" si="250"/>
        <v>0</v>
      </c>
      <c r="AS507" s="263">
        <f t="shared" si="251"/>
        <v>0</v>
      </c>
      <c r="AT507" s="263">
        <f t="shared" si="252"/>
        <v>0</v>
      </c>
      <c r="AU507" s="263"/>
      <c r="AV507" s="263"/>
      <c r="AW507" s="263"/>
      <c r="AX507" s="263">
        <f t="shared" si="253"/>
        <v>0</v>
      </c>
      <c r="BA507" s="282">
        <f t="shared" si="230"/>
        <v>0</v>
      </c>
      <c r="BB507">
        <v>1</v>
      </c>
      <c r="BC507">
        <f t="shared" si="254"/>
        <v>0</v>
      </c>
      <c r="BD507">
        <f t="shared" si="231"/>
        <v>0</v>
      </c>
      <c r="BE507">
        <f t="shared" si="232"/>
        <v>0</v>
      </c>
      <c r="BF507" s="281" t="e">
        <f t="shared" si="255"/>
        <v>#DIV/0!</v>
      </c>
      <c r="BG507" s="282"/>
      <c r="BH507" s="283"/>
    </row>
    <row r="508" spans="4:60" x14ac:dyDescent="0.3">
      <c r="D508" s="14"/>
      <c r="E508" s="7"/>
      <c r="F508" s="7"/>
      <c r="G508" s="66"/>
      <c r="H508" s="59"/>
      <c r="I508" s="59"/>
      <c r="J508" s="47">
        <f t="shared" si="244"/>
        <v>0</v>
      </c>
      <c r="K508" s="8">
        <f t="shared" si="245"/>
        <v>0</v>
      </c>
      <c r="L508" s="96"/>
      <c r="M508" s="81"/>
      <c r="N508" s="8">
        <v>153</v>
      </c>
      <c r="O508" s="8">
        <v>60</v>
      </c>
      <c r="P508" s="96" t="str">
        <f t="shared" si="243"/>
        <v/>
      </c>
      <c r="Q508" s="59">
        <f t="shared" si="246"/>
        <v>0</v>
      </c>
      <c r="R508" s="252">
        <f t="shared" si="225"/>
        <v>0</v>
      </c>
      <c r="S508" s="263"/>
      <c r="T508" s="263"/>
      <c r="U508" s="263"/>
      <c r="V508" s="263"/>
      <c r="W508" s="263"/>
      <c r="X508" s="263"/>
      <c r="Y508" s="263"/>
      <c r="Z508" s="263"/>
      <c r="AA508" s="263"/>
      <c r="AB508" s="263"/>
      <c r="AC508" s="263"/>
      <c r="AD508" s="263"/>
      <c r="AE508" s="263"/>
      <c r="AF508" s="263"/>
      <c r="AG508" s="263"/>
      <c r="AH508" s="263"/>
      <c r="AI508" s="263"/>
      <c r="AJ508" s="259"/>
      <c r="AK508" s="263">
        <f t="shared" si="247"/>
        <v>0</v>
      </c>
      <c r="AL508" s="265">
        <f t="shared" si="226"/>
        <v>52</v>
      </c>
      <c r="AM508" s="6">
        <f t="shared" si="248"/>
        <v>0</v>
      </c>
      <c r="AN508" s="255" t="str">
        <f t="shared" si="227"/>
        <v/>
      </c>
      <c r="AO508" s="256" t="str">
        <f t="shared" si="228"/>
        <v/>
      </c>
      <c r="AP508" s="257" t="str">
        <f t="shared" si="229"/>
        <v/>
      </c>
      <c r="AQ508" s="263">
        <f t="shared" si="249"/>
        <v>0</v>
      </c>
      <c r="AR508" s="263">
        <f t="shared" si="250"/>
        <v>0</v>
      </c>
      <c r="AS508" s="263">
        <f t="shared" si="251"/>
        <v>0</v>
      </c>
      <c r="AT508" s="263">
        <f t="shared" si="252"/>
        <v>0</v>
      </c>
      <c r="AU508" s="263"/>
      <c r="AV508" s="263"/>
      <c r="AW508" s="263"/>
      <c r="AX508" s="263">
        <f t="shared" si="253"/>
        <v>0</v>
      </c>
      <c r="BA508" s="282">
        <f t="shared" si="230"/>
        <v>0</v>
      </c>
      <c r="BB508">
        <v>1</v>
      </c>
      <c r="BC508">
        <f t="shared" si="254"/>
        <v>0</v>
      </c>
      <c r="BD508">
        <f t="shared" si="231"/>
        <v>0</v>
      </c>
      <c r="BE508">
        <f t="shared" si="232"/>
        <v>0</v>
      </c>
      <c r="BF508" s="281" t="e">
        <f t="shared" si="255"/>
        <v>#DIV/0!</v>
      </c>
      <c r="BG508" s="282"/>
      <c r="BH508" s="283"/>
    </row>
    <row r="509" spans="4:60" x14ac:dyDescent="0.3">
      <c r="D509" s="14"/>
      <c r="E509" s="7"/>
      <c r="F509" s="7"/>
      <c r="G509" s="66"/>
      <c r="H509" s="59"/>
      <c r="I509" s="59"/>
      <c r="J509" s="47">
        <f t="shared" si="244"/>
        <v>0</v>
      </c>
      <c r="K509" s="8">
        <f t="shared" si="245"/>
        <v>0</v>
      </c>
      <c r="L509" s="96"/>
      <c r="M509" s="81"/>
      <c r="N509" s="8">
        <v>153</v>
      </c>
      <c r="O509" s="8">
        <v>60</v>
      </c>
      <c r="P509" s="96" t="str">
        <f t="shared" si="243"/>
        <v/>
      </c>
      <c r="Q509" s="59">
        <f t="shared" si="246"/>
        <v>0</v>
      </c>
      <c r="R509" s="252">
        <f t="shared" si="225"/>
        <v>0</v>
      </c>
      <c r="S509" s="263"/>
      <c r="T509" s="263"/>
      <c r="U509" s="263"/>
      <c r="V509" s="263"/>
      <c r="W509" s="263"/>
      <c r="X509" s="263"/>
      <c r="Y509" s="263"/>
      <c r="Z509" s="263"/>
      <c r="AA509" s="263"/>
      <c r="AB509" s="263"/>
      <c r="AC509" s="263"/>
      <c r="AD509" s="263"/>
      <c r="AE509" s="263"/>
      <c r="AF509" s="263"/>
      <c r="AG509" s="263"/>
      <c r="AH509" s="263"/>
      <c r="AI509" s="263"/>
      <c r="AJ509" s="259"/>
      <c r="AK509" s="263">
        <f t="shared" si="247"/>
        <v>0</v>
      </c>
      <c r="AL509" s="265">
        <f t="shared" si="226"/>
        <v>52</v>
      </c>
      <c r="AM509" s="6">
        <f t="shared" si="248"/>
        <v>0</v>
      </c>
      <c r="AN509" s="255" t="str">
        <f t="shared" si="227"/>
        <v/>
      </c>
      <c r="AO509" s="256" t="str">
        <f t="shared" si="228"/>
        <v/>
      </c>
      <c r="AP509" s="257" t="str">
        <f t="shared" si="229"/>
        <v/>
      </c>
      <c r="AQ509" s="263">
        <f t="shared" si="249"/>
        <v>0</v>
      </c>
      <c r="AR509" s="263">
        <f t="shared" si="250"/>
        <v>0</v>
      </c>
      <c r="AS509" s="263">
        <f t="shared" si="251"/>
        <v>0</v>
      </c>
      <c r="AT509" s="263">
        <f t="shared" si="252"/>
        <v>0</v>
      </c>
      <c r="AU509" s="263"/>
      <c r="AV509" s="263"/>
      <c r="AW509" s="263"/>
      <c r="AX509" s="263">
        <f t="shared" si="253"/>
        <v>0</v>
      </c>
      <c r="BA509" s="282">
        <f t="shared" si="230"/>
        <v>0</v>
      </c>
      <c r="BB509">
        <v>1</v>
      </c>
      <c r="BC509">
        <f t="shared" si="254"/>
        <v>0</v>
      </c>
      <c r="BD509">
        <f t="shared" si="231"/>
        <v>0</v>
      </c>
      <c r="BE509">
        <f t="shared" si="232"/>
        <v>0</v>
      </c>
      <c r="BF509" s="281" t="e">
        <f t="shared" si="255"/>
        <v>#DIV/0!</v>
      </c>
      <c r="BG509" s="282"/>
      <c r="BH509" s="283"/>
    </row>
    <row r="510" spans="4:60" x14ac:dyDescent="0.3">
      <c r="D510" s="14"/>
      <c r="E510" s="7"/>
      <c r="F510" s="7"/>
      <c r="G510" s="66"/>
      <c r="H510" s="59"/>
      <c r="I510" s="59"/>
      <c r="J510" s="47">
        <f t="shared" si="244"/>
        <v>0</v>
      </c>
      <c r="K510" s="8">
        <f t="shared" si="245"/>
        <v>0</v>
      </c>
      <c r="L510" s="96"/>
      <c r="M510" s="81"/>
      <c r="N510" s="8">
        <v>153</v>
      </c>
      <c r="O510" s="8">
        <v>60</v>
      </c>
      <c r="P510" s="96" t="str">
        <f t="shared" si="243"/>
        <v/>
      </c>
      <c r="Q510" s="59">
        <f t="shared" si="246"/>
        <v>0</v>
      </c>
      <c r="R510" s="252">
        <f t="shared" si="225"/>
        <v>0</v>
      </c>
      <c r="S510" s="263"/>
      <c r="T510" s="263"/>
      <c r="U510" s="263"/>
      <c r="V510" s="263"/>
      <c r="W510" s="263"/>
      <c r="X510" s="263"/>
      <c r="Y510" s="263"/>
      <c r="Z510" s="263"/>
      <c r="AA510" s="263"/>
      <c r="AB510" s="263"/>
      <c r="AC510" s="263"/>
      <c r="AD510" s="263"/>
      <c r="AE510" s="263"/>
      <c r="AF510" s="263"/>
      <c r="AG510" s="263"/>
      <c r="AH510" s="263"/>
      <c r="AI510" s="263"/>
      <c r="AJ510" s="259"/>
      <c r="AK510" s="263">
        <f t="shared" si="247"/>
        <v>0</v>
      </c>
      <c r="AL510" s="265">
        <f t="shared" si="226"/>
        <v>52</v>
      </c>
      <c r="AM510" s="6">
        <f t="shared" si="248"/>
        <v>0</v>
      </c>
      <c r="AN510" s="255" t="str">
        <f t="shared" si="227"/>
        <v/>
      </c>
      <c r="AO510" s="256" t="str">
        <f t="shared" si="228"/>
        <v/>
      </c>
      <c r="AP510" s="257" t="str">
        <f t="shared" si="229"/>
        <v/>
      </c>
      <c r="AQ510" s="263">
        <f t="shared" si="249"/>
        <v>0</v>
      </c>
      <c r="AR510" s="263">
        <f t="shared" si="250"/>
        <v>0</v>
      </c>
      <c r="AS510" s="263">
        <f t="shared" si="251"/>
        <v>0</v>
      </c>
      <c r="AT510" s="263">
        <f t="shared" si="252"/>
        <v>0</v>
      </c>
      <c r="AU510" s="263"/>
      <c r="AV510" s="263"/>
      <c r="AW510" s="263"/>
      <c r="AX510" s="263">
        <f t="shared" si="253"/>
        <v>0</v>
      </c>
      <c r="BA510" s="282">
        <f t="shared" si="230"/>
        <v>0</v>
      </c>
      <c r="BB510">
        <v>1</v>
      </c>
      <c r="BC510">
        <f t="shared" si="254"/>
        <v>0</v>
      </c>
      <c r="BD510">
        <f t="shared" si="231"/>
        <v>0</v>
      </c>
      <c r="BE510">
        <f t="shared" si="232"/>
        <v>0</v>
      </c>
      <c r="BF510" s="281" t="e">
        <f t="shared" si="255"/>
        <v>#DIV/0!</v>
      </c>
      <c r="BG510" s="282"/>
      <c r="BH510" s="283"/>
    </row>
    <row r="511" spans="4:60" x14ac:dyDescent="0.3">
      <c r="D511" s="14"/>
      <c r="E511" s="7"/>
      <c r="F511" s="7"/>
      <c r="G511" s="66"/>
      <c r="H511" s="59"/>
      <c r="I511" s="59"/>
      <c r="J511" s="47">
        <f t="shared" si="244"/>
        <v>0</v>
      </c>
      <c r="K511" s="8">
        <f t="shared" si="245"/>
        <v>0</v>
      </c>
      <c r="L511" s="96"/>
      <c r="M511" s="81"/>
      <c r="N511" s="8">
        <v>153</v>
      </c>
      <c r="O511" s="8">
        <v>60</v>
      </c>
      <c r="P511" s="96" t="str">
        <f t="shared" si="243"/>
        <v/>
      </c>
      <c r="Q511" s="59">
        <f t="shared" si="246"/>
        <v>0</v>
      </c>
      <c r="R511" s="252">
        <f t="shared" si="225"/>
        <v>0</v>
      </c>
      <c r="S511" s="263"/>
      <c r="T511" s="263"/>
      <c r="U511" s="263"/>
      <c r="V511" s="263"/>
      <c r="W511" s="263"/>
      <c r="X511" s="263"/>
      <c r="Y511" s="263"/>
      <c r="Z511" s="263"/>
      <c r="AA511" s="263"/>
      <c r="AB511" s="263"/>
      <c r="AC511" s="263"/>
      <c r="AD511" s="263"/>
      <c r="AE511" s="263"/>
      <c r="AF511" s="263"/>
      <c r="AG511" s="263"/>
      <c r="AH511" s="263"/>
      <c r="AI511" s="263"/>
      <c r="AJ511" s="259"/>
      <c r="AK511" s="263">
        <f t="shared" si="247"/>
        <v>0</v>
      </c>
      <c r="AL511" s="265">
        <f t="shared" si="226"/>
        <v>52</v>
      </c>
      <c r="AM511" s="6">
        <f t="shared" si="248"/>
        <v>0</v>
      </c>
      <c r="AN511" s="255" t="str">
        <f t="shared" si="227"/>
        <v/>
      </c>
      <c r="AO511" s="256" t="str">
        <f t="shared" si="228"/>
        <v/>
      </c>
      <c r="AP511" s="257" t="str">
        <f t="shared" si="229"/>
        <v/>
      </c>
      <c r="AQ511" s="263">
        <f t="shared" si="249"/>
        <v>0</v>
      </c>
      <c r="AR511" s="263">
        <f t="shared" si="250"/>
        <v>0</v>
      </c>
      <c r="AS511" s="263">
        <f t="shared" si="251"/>
        <v>0</v>
      </c>
      <c r="AT511" s="263">
        <f t="shared" si="252"/>
        <v>0</v>
      </c>
      <c r="AU511" s="263"/>
      <c r="AV511" s="263"/>
      <c r="AW511" s="263"/>
      <c r="AX511" s="263">
        <f t="shared" si="253"/>
        <v>0</v>
      </c>
      <c r="BA511" s="282">
        <f t="shared" si="230"/>
        <v>0</v>
      </c>
      <c r="BB511">
        <v>1</v>
      </c>
      <c r="BC511">
        <f t="shared" si="254"/>
        <v>0</v>
      </c>
      <c r="BD511">
        <f t="shared" si="231"/>
        <v>0</v>
      </c>
      <c r="BE511">
        <f t="shared" si="232"/>
        <v>0</v>
      </c>
      <c r="BF511" s="281" t="e">
        <f t="shared" si="255"/>
        <v>#DIV/0!</v>
      </c>
      <c r="BG511" s="282"/>
      <c r="BH511" s="283"/>
    </row>
    <row r="512" spans="4:60" x14ac:dyDescent="0.3">
      <c r="D512" s="14"/>
      <c r="E512" s="7"/>
      <c r="F512" s="7"/>
      <c r="G512" s="66"/>
      <c r="H512" s="59"/>
      <c r="I512" s="59"/>
      <c r="J512" s="47">
        <f t="shared" si="244"/>
        <v>0</v>
      </c>
      <c r="K512" s="8">
        <f t="shared" si="245"/>
        <v>0</v>
      </c>
      <c r="L512" s="96"/>
      <c r="M512" s="81"/>
      <c r="N512" s="8">
        <v>153</v>
      </c>
      <c r="O512" s="8">
        <v>60</v>
      </c>
      <c r="P512" s="96" t="str">
        <f t="shared" si="243"/>
        <v/>
      </c>
      <c r="Q512" s="59">
        <f t="shared" si="246"/>
        <v>0</v>
      </c>
      <c r="R512" s="252">
        <f t="shared" ref="R512:R554" si="256">+Q512+AB512+AC512+AD512</f>
        <v>0</v>
      </c>
      <c r="S512" s="263"/>
      <c r="T512" s="263"/>
      <c r="U512" s="263"/>
      <c r="V512" s="263"/>
      <c r="W512" s="263"/>
      <c r="X512" s="263"/>
      <c r="Y512" s="263"/>
      <c r="Z512" s="263"/>
      <c r="AA512" s="263"/>
      <c r="AB512" s="263"/>
      <c r="AC512" s="263"/>
      <c r="AD512" s="263"/>
      <c r="AE512" s="263"/>
      <c r="AF512" s="263"/>
      <c r="AG512" s="263"/>
      <c r="AH512" s="263"/>
      <c r="AI512" s="263"/>
      <c r="AJ512" s="259"/>
      <c r="AK512" s="263">
        <f t="shared" si="247"/>
        <v>0</v>
      </c>
      <c r="AL512" s="265">
        <f t="shared" si="226"/>
        <v>52</v>
      </c>
      <c r="AM512" s="6">
        <f t="shared" si="248"/>
        <v>0</v>
      </c>
      <c r="AN512" s="255" t="str">
        <f t="shared" si="227"/>
        <v/>
      </c>
      <c r="AO512" s="256" t="str">
        <f t="shared" si="228"/>
        <v/>
      </c>
      <c r="AP512" s="257" t="str">
        <f t="shared" si="229"/>
        <v/>
      </c>
      <c r="AQ512" s="263">
        <f t="shared" si="249"/>
        <v>0</v>
      </c>
      <c r="AR512" s="263">
        <f t="shared" si="250"/>
        <v>0</v>
      </c>
      <c r="AS512" s="263">
        <f t="shared" si="251"/>
        <v>0</v>
      </c>
      <c r="AT512" s="263">
        <f t="shared" si="252"/>
        <v>0</v>
      </c>
      <c r="AU512" s="263"/>
      <c r="AV512" s="263"/>
      <c r="AW512" s="263"/>
      <c r="AX512" s="263">
        <f t="shared" si="253"/>
        <v>0</v>
      </c>
      <c r="BA512" s="282">
        <f t="shared" si="230"/>
        <v>0</v>
      </c>
      <c r="BB512">
        <v>1</v>
      </c>
      <c r="BC512">
        <f t="shared" si="254"/>
        <v>0</v>
      </c>
      <c r="BD512">
        <f t="shared" si="231"/>
        <v>0</v>
      </c>
      <c r="BE512">
        <f t="shared" si="232"/>
        <v>0</v>
      </c>
      <c r="BF512" s="281" t="e">
        <f t="shared" si="255"/>
        <v>#DIV/0!</v>
      </c>
      <c r="BG512" s="282"/>
      <c r="BH512" s="283"/>
    </row>
    <row r="513" spans="4:60" x14ac:dyDescent="0.3">
      <c r="D513" s="14"/>
      <c r="E513" s="7"/>
      <c r="F513" s="7"/>
      <c r="G513" s="66"/>
      <c r="H513" s="59"/>
      <c r="I513" s="59"/>
      <c r="J513" s="47">
        <f t="shared" si="244"/>
        <v>0</v>
      </c>
      <c r="K513" s="8">
        <f t="shared" si="245"/>
        <v>0</v>
      </c>
      <c r="L513" s="96"/>
      <c r="M513" s="81"/>
      <c r="N513" s="8">
        <v>153</v>
      </c>
      <c r="O513" s="8">
        <v>60</v>
      </c>
      <c r="P513" s="96" t="str">
        <f t="shared" si="243"/>
        <v/>
      </c>
      <c r="Q513" s="59">
        <f t="shared" si="246"/>
        <v>0</v>
      </c>
      <c r="R513" s="252">
        <f t="shared" si="256"/>
        <v>0</v>
      </c>
      <c r="S513" s="263"/>
      <c r="T513" s="263"/>
      <c r="U513" s="263"/>
      <c r="V513" s="263"/>
      <c r="W513" s="263"/>
      <c r="X513" s="263"/>
      <c r="Y513" s="263"/>
      <c r="Z513" s="263"/>
      <c r="AA513" s="263"/>
      <c r="AB513" s="263"/>
      <c r="AC513" s="263"/>
      <c r="AD513" s="263"/>
      <c r="AE513" s="263"/>
      <c r="AF513" s="263"/>
      <c r="AG513" s="263"/>
      <c r="AH513" s="263"/>
      <c r="AI513" s="263"/>
      <c r="AJ513" s="259"/>
      <c r="AK513" s="263">
        <f t="shared" si="247"/>
        <v>0</v>
      </c>
      <c r="AL513" s="265">
        <f t="shared" si="226"/>
        <v>52</v>
      </c>
      <c r="AM513" s="6">
        <f t="shared" si="248"/>
        <v>0</v>
      </c>
      <c r="AN513" s="255" t="str">
        <f t="shared" si="227"/>
        <v/>
      </c>
      <c r="AO513" s="256" t="str">
        <f t="shared" si="228"/>
        <v/>
      </c>
      <c r="AP513" s="257" t="str">
        <f t="shared" si="229"/>
        <v/>
      </c>
      <c r="AQ513" s="263">
        <f t="shared" si="249"/>
        <v>0</v>
      </c>
      <c r="AR513" s="263">
        <f t="shared" si="250"/>
        <v>0</v>
      </c>
      <c r="AS513" s="263">
        <f t="shared" si="251"/>
        <v>0</v>
      </c>
      <c r="AT513" s="263">
        <f t="shared" si="252"/>
        <v>0</v>
      </c>
      <c r="AU513" s="263"/>
      <c r="AV513" s="263"/>
      <c r="AW513" s="263"/>
      <c r="AX513" s="263">
        <f t="shared" si="253"/>
        <v>0</v>
      </c>
      <c r="BA513" s="282">
        <f t="shared" si="230"/>
        <v>0</v>
      </c>
      <c r="BB513">
        <v>1</v>
      </c>
      <c r="BC513">
        <f t="shared" si="254"/>
        <v>0</v>
      </c>
      <c r="BD513">
        <f t="shared" si="231"/>
        <v>0</v>
      </c>
      <c r="BE513">
        <f t="shared" si="232"/>
        <v>0</v>
      </c>
      <c r="BF513" s="281" t="e">
        <f t="shared" si="255"/>
        <v>#DIV/0!</v>
      </c>
      <c r="BG513" s="282"/>
      <c r="BH513" s="283"/>
    </row>
    <row r="514" spans="4:60" x14ac:dyDescent="0.3">
      <c r="D514" s="14"/>
      <c r="E514" s="7"/>
      <c r="F514" s="7"/>
      <c r="G514" s="66"/>
      <c r="H514" s="59"/>
      <c r="I514" s="59"/>
      <c r="J514" s="47">
        <f t="shared" si="244"/>
        <v>0</v>
      </c>
      <c r="K514" s="8">
        <f t="shared" si="245"/>
        <v>0</v>
      </c>
      <c r="L514" s="96"/>
      <c r="M514" s="81"/>
      <c r="N514" s="8">
        <v>153</v>
      </c>
      <c r="O514" s="8">
        <v>60</v>
      </c>
      <c r="P514" s="96" t="str">
        <f t="shared" si="243"/>
        <v/>
      </c>
      <c r="Q514" s="59">
        <f t="shared" si="246"/>
        <v>0</v>
      </c>
      <c r="R514" s="252">
        <f t="shared" si="256"/>
        <v>0</v>
      </c>
      <c r="S514" s="263"/>
      <c r="T514" s="263"/>
      <c r="U514" s="263"/>
      <c r="V514" s="263"/>
      <c r="W514" s="263"/>
      <c r="X514" s="263"/>
      <c r="Y514" s="263"/>
      <c r="Z514" s="263"/>
      <c r="AA514" s="263"/>
      <c r="AB514" s="263"/>
      <c r="AC514" s="263"/>
      <c r="AD514" s="263"/>
      <c r="AE514" s="263"/>
      <c r="AF514" s="263"/>
      <c r="AG514" s="263"/>
      <c r="AH514" s="263"/>
      <c r="AI514" s="263"/>
      <c r="AJ514" s="259"/>
      <c r="AK514" s="263">
        <f t="shared" si="247"/>
        <v>0</v>
      </c>
      <c r="AL514" s="265">
        <f t="shared" si="226"/>
        <v>52</v>
      </c>
      <c r="AM514" s="6">
        <f t="shared" si="248"/>
        <v>0</v>
      </c>
      <c r="AN514" s="255" t="str">
        <f t="shared" si="227"/>
        <v/>
      </c>
      <c r="AO514" s="256" t="str">
        <f t="shared" si="228"/>
        <v/>
      </c>
      <c r="AP514" s="257" t="str">
        <f t="shared" si="229"/>
        <v/>
      </c>
      <c r="AQ514" s="263">
        <f t="shared" si="249"/>
        <v>0</v>
      </c>
      <c r="AR514" s="263">
        <f t="shared" si="250"/>
        <v>0</v>
      </c>
      <c r="AS514" s="263">
        <f t="shared" si="251"/>
        <v>0</v>
      </c>
      <c r="AT514" s="263">
        <f t="shared" si="252"/>
        <v>0</v>
      </c>
      <c r="AU514" s="263"/>
      <c r="AV514" s="263"/>
      <c r="AW514" s="263"/>
      <c r="AX514" s="263">
        <f t="shared" si="253"/>
        <v>0</v>
      </c>
      <c r="BA514" s="282">
        <f t="shared" si="230"/>
        <v>0</v>
      </c>
      <c r="BB514">
        <v>1</v>
      </c>
      <c r="BC514">
        <f t="shared" si="254"/>
        <v>0</v>
      </c>
      <c r="BD514">
        <f t="shared" si="231"/>
        <v>0</v>
      </c>
      <c r="BE514">
        <f t="shared" si="232"/>
        <v>0</v>
      </c>
      <c r="BF514" s="281" t="e">
        <f t="shared" si="255"/>
        <v>#DIV/0!</v>
      </c>
      <c r="BG514" s="282"/>
      <c r="BH514" s="283"/>
    </row>
    <row r="515" spans="4:60" x14ac:dyDescent="0.3">
      <c r="D515" s="14"/>
      <c r="E515" s="7"/>
      <c r="F515" s="7"/>
      <c r="G515" s="66"/>
      <c r="H515" s="59"/>
      <c r="I515" s="59"/>
      <c r="J515" s="47">
        <f t="shared" si="244"/>
        <v>0</v>
      </c>
      <c r="K515" s="8">
        <f t="shared" si="245"/>
        <v>0</v>
      </c>
      <c r="L515" s="96"/>
      <c r="M515" s="81"/>
      <c r="N515" s="8">
        <v>153</v>
      </c>
      <c r="O515" s="8">
        <v>60</v>
      </c>
      <c r="P515" s="96" t="str">
        <f t="shared" si="243"/>
        <v/>
      </c>
      <c r="Q515" s="59">
        <f t="shared" si="246"/>
        <v>0</v>
      </c>
      <c r="R515" s="252">
        <f t="shared" si="256"/>
        <v>0</v>
      </c>
      <c r="S515" s="263"/>
      <c r="T515" s="263"/>
      <c r="U515" s="263"/>
      <c r="V515" s="263"/>
      <c r="W515" s="263"/>
      <c r="X515" s="263"/>
      <c r="Y515" s="263"/>
      <c r="Z515" s="263"/>
      <c r="AA515" s="263"/>
      <c r="AB515" s="263"/>
      <c r="AC515" s="263"/>
      <c r="AD515" s="263"/>
      <c r="AE515" s="263"/>
      <c r="AF515" s="263"/>
      <c r="AG515" s="263"/>
      <c r="AH515" s="263"/>
      <c r="AI515" s="263"/>
      <c r="AJ515" s="259"/>
      <c r="AK515" s="263">
        <f t="shared" si="247"/>
        <v>0</v>
      </c>
      <c r="AL515" s="265">
        <f t="shared" ref="AL515:AL554" si="257">WEEKNUM(D515,21)</f>
        <v>52</v>
      </c>
      <c r="AM515" s="6">
        <f t="shared" si="248"/>
        <v>0</v>
      </c>
      <c r="AN515" s="255" t="str">
        <f t="shared" ref="AN515:AN554" si="258">IFERROR(Q515/R515,"")</f>
        <v/>
      </c>
      <c r="AO515" s="256" t="str">
        <f t="shared" ref="AO515:AO554" si="259">IFERROR(AN515*P515*L515,"")</f>
        <v/>
      </c>
      <c r="AP515" s="257" t="str">
        <f t="shared" ref="AP515:AP554" si="260">IFERROR(AM515/R515*1000000,"")</f>
        <v/>
      </c>
      <c r="AQ515" s="263">
        <f t="shared" si="249"/>
        <v>0</v>
      </c>
      <c r="AR515" s="263">
        <f t="shared" si="250"/>
        <v>0</v>
      </c>
      <c r="AS515" s="263">
        <f t="shared" si="251"/>
        <v>0</v>
      </c>
      <c r="AT515" s="263">
        <f t="shared" si="252"/>
        <v>0</v>
      </c>
      <c r="AU515" s="263"/>
      <c r="AV515" s="263"/>
      <c r="AW515" s="263"/>
      <c r="AX515" s="263">
        <f t="shared" si="253"/>
        <v>0</v>
      </c>
      <c r="BA515" s="282">
        <f t="shared" ref="BA515:BA554" si="261">IFERROR(M515/N515*60,"")</f>
        <v>0</v>
      </c>
      <c r="BB515">
        <v>1</v>
      </c>
      <c r="BC515">
        <f t="shared" si="254"/>
        <v>0</v>
      </c>
      <c r="BD515">
        <f t="shared" ref="BD515:BD554" si="262">IFERROR(BB515*K515,"")</f>
        <v>0</v>
      </c>
      <c r="BE515">
        <f t="shared" ref="BE515:BE554" si="263">J515*BB515</f>
        <v>0</v>
      </c>
      <c r="BF515" s="281" t="e">
        <f t="shared" si="255"/>
        <v>#DIV/0!</v>
      </c>
      <c r="BG515" s="282"/>
      <c r="BH515" s="283"/>
    </row>
    <row r="516" spans="4:60" x14ac:dyDescent="0.3">
      <c r="D516" s="14"/>
      <c r="E516" s="7"/>
      <c r="F516" s="7"/>
      <c r="G516" s="66"/>
      <c r="H516" s="59"/>
      <c r="I516" s="59"/>
      <c r="J516" s="47">
        <f t="shared" si="244"/>
        <v>0</v>
      </c>
      <c r="K516" s="8">
        <f t="shared" si="245"/>
        <v>0</v>
      </c>
      <c r="L516" s="96"/>
      <c r="M516" s="81"/>
      <c r="N516" s="8">
        <v>153</v>
      </c>
      <c r="O516" s="8">
        <v>60</v>
      </c>
      <c r="P516" s="96" t="str">
        <f t="shared" si="243"/>
        <v/>
      </c>
      <c r="Q516" s="59">
        <f t="shared" si="246"/>
        <v>0</v>
      </c>
      <c r="R516" s="252">
        <f t="shared" si="256"/>
        <v>0</v>
      </c>
      <c r="S516" s="263"/>
      <c r="T516" s="263"/>
      <c r="U516" s="263"/>
      <c r="V516" s="263"/>
      <c r="W516" s="263"/>
      <c r="X516" s="263"/>
      <c r="Y516" s="263"/>
      <c r="Z516" s="263"/>
      <c r="AA516" s="263"/>
      <c r="AB516" s="263"/>
      <c r="AC516" s="263"/>
      <c r="AD516" s="263"/>
      <c r="AE516" s="263"/>
      <c r="AF516" s="263"/>
      <c r="AG516" s="263"/>
      <c r="AH516" s="263"/>
      <c r="AI516" s="263"/>
      <c r="AJ516" s="259"/>
      <c r="AK516" s="263">
        <f t="shared" si="247"/>
        <v>0</v>
      </c>
      <c r="AL516" s="265">
        <f t="shared" si="257"/>
        <v>52</v>
      </c>
      <c r="AM516" s="6">
        <f t="shared" si="248"/>
        <v>0</v>
      </c>
      <c r="AN516" s="255" t="str">
        <f t="shared" si="258"/>
        <v/>
      </c>
      <c r="AO516" s="256" t="str">
        <f t="shared" si="259"/>
        <v/>
      </c>
      <c r="AP516" s="257" t="str">
        <f t="shared" si="260"/>
        <v/>
      </c>
      <c r="AQ516" s="263">
        <f t="shared" si="249"/>
        <v>0</v>
      </c>
      <c r="AR516" s="263">
        <f t="shared" si="250"/>
        <v>0</v>
      </c>
      <c r="AS516" s="263">
        <f t="shared" si="251"/>
        <v>0</v>
      </c>
      <c r="AT516" s="263">
        <f t="shared" si="252"/>
        <v>0</v>
      </c>
      <c r="AU516" s="263"/>
      <c r="AV516" s="263"/>
      <c r="AW516" s="263"/>
      <c r="AX516" s="263">
        <f t="shared" si="253"/>
        <v>0</v>
      </c>
      <c r="BA516" s="282">
        <f t="shared" si="261"/>
        <v>0</v>
      </c>
      <c r="BB516">
        <v>1</v>
      </c>
      <c r="BC516">
        <f t="shared" si="254"/>
        <v>0</v>
      </c>
      <c r="BD516">
        <f t="shared" si="262"/>
        <v>0</v>
      </c>
      <c r="BE516">
        <f t="shared" si="263"/>
        <v>0</v>
      </c>
      <c r="BF516" s="281" t="e">
        <f t="shared" si="255"/>
        <v>#DIV/0!</v>
      </c>
      <c r="BG516" s="282"/>
      <c r="BH516" s="283"/>
    </row>
    <row r="517" spans="4:60" x14ac:dyDescent="0.3">
      <c r="D517" s="14"/>
      <c r="E517" s="7"/>
      <c r="F517" s="7"/>
      <c r="G517" s="66"/>
      <c r="H517" s="59"/>
      <c r="I517" s="59"/>
      <c r="J517" s="47">
        <f t="shared" si="244"/>
        <v>0</v>
      </c>
      <c r="K517" s="8">
        <f t="shared" si="245"/>
        <v>0</v>
      </c>
      <c r="L517" s="96"/>
      <c r="M517" s="81"/>
      <c r="N517" s="8">
        <v>153</v>
      </c>
      <c r="O517" s="8">
        <v>60</v>
      </c>
      <c r="P517" s="96" t="str">
        <f t="shared" si="243"/>
        <v/>
      </c>
      <c r="Q517" s="59">
        <f t="shared" si="246"/>
        <v>0</v>
      </c>
      <c r="R517" s="252">
        <f t="shared" si="256"/>
        <v>0</v>
      </c>
      <c r="S517" s="263"/>
      <c r="T517" s="263"/>
      <c r="U517" s="263"/>
      <c r="V517" s="263"/>
      <c r="W517" s="263"/>
      <c r="X517" s="263"/>
      <c r="Y517" s="263"/>
      <c r="Z517" s="263"/>
      <c r="AA517" s="263"/>
      <c r="AB517" s="263"/>
      <c r="AC517" s="263"/>
      <c r="AD517" s="263"/>
      <c r="AE517" s="263"/>
      <c r="AF517" s="263"/>
      <c r="AG517" s="263"/>
      <c r="AH517" s="263"/>
      <c r="AI517" s="263"/>
      <c r="AJ517" s="259"/>
      <c r="AK517" s="263">
        <f t="shared" si="247"/>
        <v>0</v>
      </c>
      <c r="AL517" s="265">
        <f t="shared" si="257"/>
        <v>52</v>
      </c>
      <c r="AM517" s="6">
        <f t="shared" si="248"/>
        <v>0</v>
      </c>
      <c r="AN517" s="255" t="str">
        <f t="shared" si="258"/>
        <v/>
      </c>
      <c r="AO517" s="256" t="str">
        <f t="shared" si="259"/>
        <v/>
      </c>
      <c r="AP517" s="257" t="str">
        <f t="shared" si="260"/>
        <v/>
      </c>
      <c r="AQ517" s="263">
        <f t="shared" si="249"/>
        <v>0</v>
      </c>
      <c r="AR517" s="263">
        <f t="shared" si="250"/>
        <v>0</v>
      </c>
      <c r="AS517" s="263">
        <f t="shared" si="251"/>
        <v>0</v>
      </c>
      <c r="AT517" s="263">
        <f t="shared" si="252"/>
        <v>0</v>
      </c>
      <c r="AU517" s="263"/>
      <c r="AV517" s="263"/>
      <c r="AW517" s="263"/>
      <c r="AX517" s="263">
        <f t="shared" si="253"/>
        <v>0</v>
      </c>
      <c r="BA517" s="282">
        <f t="shared" si="261"/>
        <v>0</v>
      </c>
      <c r="BB517">
        <v>1</v>
      </c>
      <c r="BC517">
        <f t="shared" si="254"/>
        <v>0</v>
      </c>
      <c r="BD517">
        <f t="shared" si="262"/>
        <v>0</v>
      </c>
      <c r="BE517">
        <f t="shared" si="263"/>
        <v>0</v>
      </c>
      <c r="BF517" s="281" t="e">
        <f t="shared" si="255"/>
        <v>#DIV/0!</v>
      </c>
      <c r="BG517" s="282"/>
      <c r="BH517" s="283"/>
    </row>
    <row r="518" spans="4:60" x14ac:dyDescent="0.3">
      <c r="D518" s="14"/>
      <c r="E518" s="7"/>
      <c r="F518" s="7"/>
      <c r="G518" s="66"/>
      <c r="H518" s="59"/>
      <c r="I518" s="59"/>
      <c r="J518" s="47">
        <f t="shared" si="244"/>
        <v>0</v>
      </c>
      <c r="K518" s="8">
        <f t="shared" si="245"/>
        <v>0</v>
      </c>
      <c r="L518" s="96"/>
      <c r="M518" s="81"/>
      <c r="N518" s="8">
        <v>153</v>
      </c>
      <c r="O518" s="8">
        <v>60</v>
      </c>
      <c r="P518" s="96" t="str">
        <f t="shared" si="243"/>
        <v/>
      </c>
      <c r="Q518" s="59">
        <f t="shared" si="246"/>
        <v>0</v>
      </c>
      <c r="R518" s="252">
        <f t="shared" si="256"/>
        <v>0</v>
      </c>
      <c r="S518" s="263"/>
      <c r="T518" s="263"/>
      <c r="U518" s="263"/>
      <c r="V518" s="263"/>
      <c r="W518" s="263"/>
      <c r="X518" s="263"/>
      <c r="Y518" s="263"/>
      <c r="Z518" s="263"/>
      <c r="AA518" s="263"/>
      <c r="AB518" s="263"/>
      <c r="AC518" s="263"/>
      <c r="AD518" s="263"/>
      <c r="AE518" s="263"/>
      <c r="AF518" s="263"/>
      <c r="AG518" s="263"/>
      <c r="AH518" s="263"/>
      <c r="AI518" s="263"/>
      <c r="AJ518" s="259"/>
      <c r="AK518" s="263">
        <f t="shared" si="247"/>
        <v>0</v>
      </c>
      <c r="AL518" s="265">
        <f t="shared" si="257"/>
        <v>52</v>
      </c>
      <c r="AM518" s="6">
        <f t="shared" si="248"/>
        <v>0</v>
      </c>
      <c r="AN518" s="255" t="str">
        <f t="shared" si="258"/>
        <v/>
      </c>
      <c r="AO518" s="256" t="str">
        <f t="shared" si="259"/>
        <v/>
      </c>
      <c r="AP518" s="257" t="str">
        <f t="shared" si="260"/>
        <v/>
      </c>
      <c r="AQ518" s="263">
        <f t="shared" si="249"/>
        <v>0</v>
      </c>
      <c r="AR518" s="263">
        <f t="shared" si="250"/>
        <v>0</v>
      </c>
      <c r="AS518" s="263">
        <f t="shared" si="251"/>
        <v>0</v>
      </c>
      <c r="AT518" s="263">
        <f t="shared" si="252"/>
        <v>0</v>
      </c>
      <c r="AU518" s="263"/>
      <c r="AV518" s="263"/>
      <c r="AW518" s="263"/>
      <c r="AX518" s="263">
        <f t="shared" si="253"/>
        <v>0</v>
      </c>
      <c r="BA518" s="282">
        <f t="shared" si="261"/>
        <v>0</v>
      </c>
      <c r="BB518">
        <v>1</v>
      </c>
      <c r="BC518">
        <f t="shared" si="254"/>
        <v>0</v>
      </c>
      <c r="BD518">
        <f t="shared" si="262"/>
        <v>0</v>
      </c>
      <c r="BE518">
        <f t="shared" si="263"/>
        <v>0</v>
      </c>
      <c r="BF518" s="281" t="e">
        <f t="shared" si="255"/>
        <v>#DIV/0!</v>
      </c>
      <c r="BG518" s="282"/>
      <c r="BH518" s="283"/>
    </row>
    <row r="519" spans="4:60" x14ac:dyDescent="0.3">
      <c r="D519" s="14"/>
      <c r="E519" s="7"/>
      <c r="F519" s="7"/>
      <c r="G519" s="66"/>
      <c r="H519" s="59"/>
      <c r="I519" s="59"/>
      <c r="J519" s="47">
        <f t="shared" si="244"/>
        <v>0</v>
      </c>
      <c r="K519" s="8">
        <f t="shared" si="245"/>
        <v>0</v>
      </c>
      <c r="L519" s="96"/>
      <c r="M519" s="81"/>
      <c r="N519" s="8">
        <v>153</v>
      </c>
      <c r="O519" s="8">
        <v>60</v>
      </c>
      <c r="P519" s="96" t="str">
        <f t="shared" si="243"/>
        <v/>
      </c>
      <c r="Q519" s="59">
        <f t="shared" si="246"/>
        <v>0</v>
      </c>
      <c r="R519" s="252">
        <f t="shared" si="256"/>
        <v>0</v>
      </c>
      <c r="S519" s="263"/>
      <c r="T519" s="263"/>
      <c r="U519" s="263"/>
      <c r="V519" s="263"/>
      <c r="W519" s="263"/>
      <c r="X519" s="263"/>
      <c r="Y519" s="263"/>
      <c r="Z519" s="263"/>
      <c r="AA519" s="263"/>
      <c r="AB519" s="263"/>
      <c r="AC519" s="263"/>
      <c r="AD519" s="263"/>
      <c r="AE519" s="263"/>
      <c r="AF519" s="263"/>
      <c r="AG519" s="263"/>
      <c r="AH519" s="263"/>
      <c r="AI519" s="263"/>
      <c r="AJ519" s="259"/>
      <c r="AK519" s="263">
        <f t="shared" si="247"/>
        <v>0</v>
      </c>
      <c r="AL519" s="265">
        <f t="shared" si="257"/>
        <v>52</v>
      </c>
      <c r="AM519" s="6">
        <f t="shared" si="248"/>
        <v>0</v>
      </c>
      <c r="AN519" s="255" t="str">
        <f t="shared" si="258"/>
        <v/>
      </c>
      <c r="AO519" s="256" t="str">
        <f t="shared" si="259"/>
        <v/>
      </c>
      <c r="AP519" s="257" t="str">
        <f t="shared" si="260"/>
        <v/>
      </c>
      <c r="AQ519" s="263">
        <f t="shared" si="249"/>
        <v>0</v>
      </c>
      <c r="AR519" s="263">
        <f t="shared" si="250"/>
        <v>0</v>
      </c>
      <c r="AS519" s="263">
        <f t="shared" si="251"/>
        <v>0</v>
      </c>
      <c r="AT519" s="263">
        <f t="shared" si="252"/>
        <v>0</v>
      </c>
      <c r="AU519" s="263"/>
      <c r="AV519" s="263"/>
      <c r="AW519" s="263"/>
      <c r="AX519" s="263">
        <f t="shared" si="253"/>
        <v>0</v>
      </c>
      <c r="BA519" s="282">
        <f t="shared" si="261"/>
        <v>0</v>
      </c>
      <c r="BB519">
        <v>1</v>
      </c>
      <c r="BC519">
        <f t="shared" si="254"/>
        <v>0</v>
      </c>
      <c r="BD519">
        <f t="shared" si="262"/>
        <v>0</v>
      </c>
      <c r="BE519">
        <f t="shared" si="263"/>
        <v>0</v>
      </c>
      <c r="BF519" s="281" t="e">
        <f t="shared" si="255"/>
        <v>#DIV/0!</v>
      </c>
      <c r="BG519" s="282"/>
      <c r="BH519" s="283"/>
    </row>
    <row r="520" spans="4:60" x14ac:dyDescent="0.3">
      <c r="D520" s="14"/>
      <c r="E520" s="7"/>
      <c r="F520" s="7"/>
      <c r="G520" s="66"/>
      <c r="H520" s="59"/>
      <c r="I520" s="59"/>
      <c r="J520" s="47">
        <f t="shared" si="244"/>
        <v>0</v>
      </c>
      <c r="K520" s="8">
        <f t="shared" si="245"/>
        <v>0</v>
      </c>
      <c r="L520" s="96"/>
      <c r="M520" s="81"/>
      <c r="N520" s="8">
        <v>153</v>
      </c>
      <c r="O520" s="8">
        <v>60</v>
      </c>
      <c r="P520" s="96" t="str">
        <f t="shared" si="243"/>
        <v/>
      </c>
      <c r="Q520" s="59">
        <f t="shared" si="246"/>
        <v>0</v>
      </c>
      <c r="R520" s="252">
        <f t="shared" si="256"/>
        <v>0</v>
      </c>
      <c r="S520" s="263"/>
      <c r="T520" s="263"/>
      <c r="U520" s="263"/>
      <c r="V520" s="263"/>
      <c r="W520" s="263"/>
      <c r="X520" s="263"/>
      <c r="Y520" s="263"/>
      <c r="Z520" s="263"/>
      <c r="AA520" s="263"/>
      <c r="AB520" s="263"/>
      <c r="AC520" s="263"/>
      <c r="AD520" s="263"/>
      <c r="AE520" s="263"/>
      <c r="AF520" s="263"/>
      <c r="AG520" s="263"/>
      <c r="AH520" s="263"/>
      <c r="AI520" s="263"/>
      <c r="AJ520" s="259"/>
      <c r="AK520" s="263">
        <f t="shared" si="247"/>
        <v>0</v>
      </c>
      <c r="AL520" s="265">
        <f t="shared" si="257"/>
        <v>52</v>
      </c>
      <c r="AM520" s="6">
        <f t="shared" si="248"/>
        <v>0</v>
      </c>
      <c r="AN520" s="255" t="str">
        <f t="shared" si="258"/>
        <v/>
      </c>
      <c r="AO520" s="256" t="str">
        <f t="shared" si="259"/>
        <v/>
      </c>
      <c r="AP520" s="257" t="str">
        <f t="shared" si="260"/>
        <v/>
      </c>
      <c r="AQ520" s="263">
        <f t="shared" si="249"/>
        <v>0</v>
      </c>
      <c r="AR520" s="263">
        <f t="shared" si="250"/>
        <v>0</v>
      </c>
      <c r="AS520" s="263">
        <f t="shared" si="251"/>
        <v>0</v>
      </c>
      <c r="AT520" s="263">
        <f t="shared" si="252"/>
        <v>0</v>
      </c>
      <c r="AU520" s="263"/>
      <c r="AV520" s="263"/>
      <c r="AW520" s="263"/>
      <c r="AX520" s="263">
        <f t="shared" si="253"/>
        <v>0</v>
      </c>
      <c r="BA520" s="282">
        <f t="shared" si="261"/>
        <v>0</v>
      </c>
      <c r="BB520">
        <v>1</v>
      </c>
      <c r="BC520">
        <f t="shared" si="254"/>
        <v>0</v>
      </c>
      <c r="BD520">
        <f t="shared" si="262"/>
        <v>0</v>
      </c>
      <c r="BE520">
        <f t="shared" si="263"/>
        <v>0</v>
      </c>
      <c r="BF520" s="281" t="e">
        <f t="shared" si="255"/>
        <v>#DIV/0!</v>
      </c>
      <c r="BG520" s="282"/>
      <c r="BH520" s="283"/>
    </row>
    <row r="521" spans="4:60" x14ac:dyDescent="0.3">
      <c r="D521" s="14"/>
      <c r="E521" s="7"/>
      <c r="F521" s="7"/>
      <c r="G521" s="66"/>
      <c r="H521" s="59"/>
      <c r="I521" s="59"/>
      <c r="J521" s="47">
        <f t="shared" si="244"/>
        <v>0</v>
      </c>
      <c r="K521" s="8">
        <f t="shared" si="245"/>
        <v>0</v>
      </c>
      <c r="L521" s="96"/>
      <c r="M521" s="81"/>
      <c r="N521" s="8">
        <v>153</v>
      </c>
      <c r="O521" s="8">
        <v>60</v>
      </c>
      <c r="P521" s="96" t="str">
        <f t="shared" si="243"/>
        <v/>
      </c>
      <c r="Q521" s="59">
        <f t="shared" si="246"/>
        <v>0</v>
      </c>
      <c r="R521" s="252">
        <f t="shared" si="256"/>
        <v>0</v>
      </c>
      <c r="S521" s="263"/>
      <c r="T521" s="263"/>
      <c r="U521" s="263"/>
      <c r="V521" s="263"/>
      <c r="W521" s="263"/>
      <c r="X521" s="263"/>
      <c r="Y521" s="263"/>
      <c r="Z521" s="263"/>
      <c r="AA521" s="263"/>
      <c r="AB521" s="263"/>
      <c r="AC521" s="263"/>
      <c r="AD521" s="263"/>
      <c r="AE521" s="263"/>
      <c r="AF521" s="263"/>
      <c r="AG521" s="263"/>
      <c r="AH521" s="263"/>
      <c r="AI521" s="263"/>
      <c r="AJ521" s="259"/>
      <c r="AK521" s="263">
        <f t="shared" si="247"/>
        <v>0</v>
      </c>
      <c r="AL521" s="265">
        <f t="shared" si="257"/>
        <v>52</v>
      </c>
      <c r="AM521" s="6">
        <f t="shared" si="248"/>
        <v>0</v>
      </c>
      <c r="AN521" s="255" t="str">
        <f t="shared" si="258"/>
        <v/>
      </c>
      <c r="AO521" s="256" t="str">
        <f t="shared" si="259"/>
        <v/>
      </c>
      <c r="AP521" s="257" t="str">
        <f t="shared" si="260"/>
        <v/>
      </c>
      <c r="AQ521" s="263">
        <f t="shared" si="249"/>
        <v>0</v>
      </c>
      <c r="AR521" s="263">
        <f t="shared" si="250"/>
        <v>0</v>
      </c>
      <c r="AS521" s="263">
        <f t="shared" si="251"/>
        <v>0</v>
      </c>
      <c r="AT521" s="263">
        <f t="shared" si="252"/>
        <v>0</v>
      </c>
      <c r="AU521" s="263"/>
      <c r="AV521" s="263"/>
      <c r="AW521" s="263"/>
      <c r="AX521" s="263">
        <f t="shared" si="253"/>
        <v>0</v>
      </c>
      <c r="BA521" s="282">
        <f t="shared" si="261"/>
        <v>0</v>
      </c>
      <c r="BB521">
        <v>1</v>
      </c>
      <c r="BC521">
        <f t="shared" si="254"/>
        <v>0</v>
      </c>
      <c r="BD521">
        <f t="shared" si="262"/>
        <v>0</v>
      </c>
      <c r="BE521">
        <f t="shared" si="263"/>
        <v>0</v>
      </c>
      <c r="BF521" s="281" t="e">
        <f t="shared" si="255"/>
        <v>#DIV/0!</v>
      </c>
      <c r="BG521" s="282"/>
      <c r="BH521" s="283"/>
    </row>
    <row r="522" spans="4:60" x14ac:dyDescent="0.3">
      <c r="D522" s="14"/>
      <c r="E522" s="7"/>
      <c r="F522" s="7"/>
      <c r="G522" s="66"/>
      <c r="H522" s="59"/>
      <c r="I522" s="59"/>
      <c r="J522" s="47">
        <f t="shared" si="244"/>
        <v>0</v>
      </c>
      <c r="K522" s="8">
        <f t="shared" si="245"/>
        <v>0</v>
      </c>
      <c r="L522" s="96"/>
      <c r="M522" s="81"/>
      <c r="N522" s="8">
        <v>153</v>
      </c>
      <c r="O522" s="8">
        <v>60</v>
      </c>
      <c r="P522" s="96" t="str">
        <f t="shared" si="243"/>
        <v/>
      </c>
      <c r="Q522" s="59">
        <f t="shared" si="246"/>
        <v>0</v>
      </c>
      <c r="R522" s="252">
        <f t="shared" si="256"/>
        <v>0</v>
      </c>
      <c r="S522" s="263"/>
      <c r="T522" s="263"/>
      <c r="U522" s="263"/>
      <c r="V522" s="263"/>
      <c r="W522" s="263"/>
      <c r="X522" s="263"/>
      <c r="Y522" s="263"/>
      <c r="Z522" s="263"/>
      <c r="AA522" s="263"/>
      <c r="AB522" s="263"/>
      <c r="AC522" s="263"/>
      <c r="AD522" s="263"/>
      <c r="AE522" s="263"/>
      <c r="AF522" s="263"/>
      <c r="AG522" s="263"/>
      <c r="AH522" s="263"/>
      <c r="AI522" s="263"/>
      <c r="AJ522" s="259"/>
      <c r="AK522" s="263">
        <f t="shared" si="247"/>
        <v>0</v>
      </c>
      <c r="AL522" s="265">
        <f t="shared" si="257"/>
        <v>52</v>
      </c>
      <c r="AM522" s="6">
        <f t="shared" si="248"/>
        <v>0</v>
      </c>
      <c r="AN522" s="255" t="str">
        <f t="shared" si="258"/>
        <v/>
      </c>
      <c r="AO522" s="256" t="str">
        <f t="shared" si="259"/>
        <v/>
      </c>
      <c r="AP522" s="257" t="str">
        <f t="shared" si="260"/>
        <v/>
      </c>
      <c r="AQ522" s="263">
        <f t="shared" si="249"/>
        <v>0</v>
      </c>
      <c r="AR522" s="263">
        <f t="shared" si="250"/>
        <v>0</v>
      </c>
      <c r="AS522" s="263">
        <f t="shared" si="251"/>
        <v>0</v>
      </c>
      <c r="AT522" s="263">
        <f t="shared" si="252"/>
        <v>0</v>
      </c>
      <c r="AU522" s="263"/>
      <c r="AV522" s="263"/>
      <c r="AW522" s="263"/>
      <c r="AX522" s="263">
        <f t="shared" si="253"/>
        <v>0</v>
      </c>
      <c r="BA522" s="282">
        <f t="shared" si="261"/>
        <v>0</v>
      </c>
      <c r="BB522">
        <v>1</v>
      </c>
      <c r="BC522">
        <f t="shared" si="254"/>
        <v>0</v>
      </c>
      <c r="BD522">
        <f t="shared" si="262"/>
        <v>0</v>
      </c>
      <c r="BE522">
        <f t="shared" si="263"/>
        <v>0</v>
      </c>
      <c r="BF522" s="281" t="e">
        <f t="shared" si="255"/>
        <v>#DIV/0!</v>
      </c>
      <c r="BG522" s="282"/>
      <c r="BH522" s="283"/>
    </row>
    <row r="523" spans="4:60" x14ac:dyDescent="0.3">
      <c r="D523" s="14"/>
      <c r="E523" s="7"/>
      <c r="F523" s="7"/>
      <c r="G523" s="66"/>
      <c r="H523" s="59"/>
      <c r="I523" s="59"/>
      <c r="J523" s="47">
        <f t="shared" si="244"/>
        <v>0</v>
      </c>
      <c r="K523" s="8">
        <f t="shared" si="245"/>
        <v>0</v>
      </c>
      <c r="L523" s="96"/>
      <c r="M523" s="81"/>
      <c r="N523" s="8">
        <v>153</v>
      </c>
      <c r="O523" s="8">
        <v>60</v>
      </c>
      <c r="P523" s="96" t="str">
        <f t="shared" si="243"/>
        <v/>
      </c>
      <c r="Q523" s="59">
        <f t="shared" si="246"/>
        <v>0</v>
      </c>
      <c r="R523" s="252">
        <f t="shared" si="256"/>
        <v>0</v>
      </c>
      <c r="S523" s="263"/>
      <c r="T523" s="263"/>
      <c r="U523" s="263"/>
      <c r="V523" s="263"/>
      <c r="W523" s="263"/>
      <c r="X523" s="263"/>
      <c r="Y523" s="263"/>
      <c r="Z523" s="263"/>
      <c r="AA523" s="263"/>
      <c r="AB523" s="263"/>
      <c r="AC523" s="263"/>
      <c r="AD523" s="263"/>
      <c r="AE523" s="263"/>
      <c r="AF523" s="263"/>
      <c r="AG523" s="263"/>
      <c r="AH523" s="263"/>
      <c r="AI523" s="263"/>
      <c r="AJ523" s="259"/>
      <c r="AK523" s="263">
        <f t="shared" si="247"/>
        <v>0</v>
      </c>
      <c r="AL523" s="265">
        <f t="shared" si="257"/>
        <v>52</v>
      </c>
      <c r="AM523" s="6">
        <f t="shared" si="248"/>
        <v>0</v>
      </c>
      <c r="AN523" s="255" t="str">
        <f t="shared" si="258"/>
        <v/>
      </c>
      <c r="AO523" s="256" t="str">
        <f t="shared" si="259"/>
        <v/>
      </c>
      <c r="AP523" s="257" t="str">
        <f t="shared" si="260"/>
        <v/>
      </c>
      <c r="AQ523" s="263">
        <f t="shared" si="249"/>
        <v>0</v>
      </c>
      <c r="AR523" s="263">
        <f t="shared" si="250"/>
        <v>0</v>
      </c>
      <c r="AS523" s="263">
        <f t="shared" si="251"/>
        <v>0</v>
      </c>
      <c r="AT523" s="263">
        <f t="shared" si="252"/>
        <v>0</v>
      </c>
      <c r="AU523" s="263"/>
      <c r="AV523" s="263"/>
      <c r="AW523" s="263"/>
      <c r="AX523" s="263">
        <f t="shared" si="253"/>
        <v>0</v>
      </c>
      <c r="BA523" s="282">
        <f t="shared" si="261"/>
        <v>0</v>
      </c>
      <c r="BB523">
        <v>1</v>
      </c>
      <c r="BC523">
        <f t="shared" si="254"/>
        <v>0</v>
      </c>
      <c r="BD523">
        <f t="shared" si="262"/>
        <v>0</v>
      </c>
      <c r="BE523">
        <f t="shared" si="263"/>
        <v>0</v>
      </c>
      <c r="BF523" s="281" t="e">
        <f t="shared" si="255"/>
        <v>#DIV/0!</v>
      </c>
      <c r="BG523" s="282"/>
      <c r="BH523" s="283"/>
    </row>
    <row r="524" spans="4:60" x14ac:dyDescent="0.3">
      <c r="D524" s="14"/>
      <c r="E524" s="7"/>
      <c r="F524" s="7"/>
      <c r="G524" s="66"/>
      <c r="H524" s="59"/>
      <c r="I524" s="59"/>
      <c r="J524" s="47">
        <f t="shared" si="244"/>
        <v>0</v>
      </c>
      <c r="K524" s="8">
        <f t="shared" si="245"/>
        <v>0</v>
      </c>
      <c r="L524" s="96"/>
      <c r="M524" s="81"/>
      <c r="N524" s="8">
        <v>153</v>
      </c>
      <c r="O524" s="8">
        <v>60</v>
      </c>
      <c r="P524" s="96" t="str">
        <f t="shared" si="243"/>
        <v/>
      </c>
      <c r="Q524" s="59">
        <f t="shared" si="246"/>
        <v>0</v>
      </c>
      <c r="R524" s="252">
        <f t="shared" si="256"/>
        <v>0</v>
      </c>
      <c r="S524" s="263"/>
      <c r="T524" s="263"/>
      <c r="U524" s="263"/>
      <c r="V524" s="263"/>
      <c r="W524" s="263"/>
      <c r="X524" s="263"/>
      <c r="Y524" s="263"/>
      <c r="Z524" s="263"/>
      <c r="AA524" s="263"/>
      <c r="AB524" s="263"/>
      <c r="AC524" s="263"/>
      <c r="AD524" s="263"/>
      <c r="AE524" s="263"/>
      <c r="AF524" s="263"/>
      <c r="AG524" s="263"/>
      <c r="AH524" s="263"/>
      <c r="AI524" s="263"/>
      <c r="AJ524" s="259"/>
      <c r="AK524" s="263">
        <f t="shared" si="247"/>
        <v>0</v>
      </c>
      <c r="AL524" s="265">
        <f t="shared" si="257"/>
        <v>52</v>
      </c>
      <c r="AM524" s="6">
        <f t="shared" si="248"/>
        <v>0</v>
      </c>
      <c r="AN524" s="255" t="str">
        <f t="shared" si="258"/>
        <v/>
      </c>
      <c r="AO524" s="256" t="str">
        <f t="shared" si="259"/>
        <v/>
      </c>
      <c r="AP524" s="257" t="str">
        <f t="shared" si="260"/>
        <v/>
      </c>
      <c r="AQ524" s="263">
        <f t="shared" si="249"/>
        <v>0</v>
      </c>
      <c r="AR524" s="263">
        <f t="shared" si="250"/>
        <v>0</v>
      </c>
      <c r="AS524" s="263">
        <f t="shared" si="251"/>
        <v>0</v>
      </c>
      <c r="AT524" s="263">
        <f t="shared" si="252"/>
        <v>0</v>
      </c>
      <c r="AU524" s="263"/>
      <c r="AV524" s="263"/>
      <c r="AW524" s="263"/>
      <c r="AX524" s="263">
        <f t="shared" si="253"/>
        <v>0</v>
      </c>
      <c r="BA524" s="282">
        <f t="shared" si="261"/>
        <v>0</v>
      </c>
      <c r="BB524">
        <v>1</v>
      </c>
      <c r="BC524">
        <f t="shared" si="254"/>
        <v>0</v>
      </c>
      <c r="BD524">
        <f t="shared" si="262"/>
        <v>0</v>
      </c>
      <c r="BE524">
        <f t="shared" si="263"/>
        <v>0</v>
      </c>
      <c r="BF524" s="281" t="e">
        <f t="shared" si="255"/>
        <v>#DIV/0!</v>
      </c>
      <c r="BG524" s="282"/>
      <c r="BH524" s="283"/>
    </row>
    <row r="525" spans="4:60" x14ac:dyDescent="0.3">
      <c r="D525" s="14"/>
      <c r="E525" s="7"/>
      <c r="F525" s="7"/>
      <c r="G525" s="66"/>
      <c r="H525" s="59"/>
      <c r="I525" s="59"/>
      <c r="J525" s="47">
        <f t="shared" si="244"/>
        <v>0</v>
      </c>
      <c r="K525" s="8">
        <f t="shared" si="245"/>
        <v>0</v>
      </c>
      <c r="L525" s="96"/>
      <c r="M525" s="81"/>
      <c r="N525" s="8">
        <v>153</v>
      </c>
      <c r="O525" s="8">
        <v>60</v>
      </c>
      <c r="P525" s="96" t="str">
        <f t="shared" si="243"/>
        <v/>
      </c>
      <c r="Q525" s="59">
        <f t="shared" si="246"/>
        <v>0</v>
      </c>
      <c r="R525" s="252">
        <f t="shared" si="256"/>
        <v>0</v>
      </c>
      <c r="S525" s="263"/>
      <c r="T525" s="263"/>
      <c r="U525" s="263"/>
      <c r="V525" s="263"/>
      <c r="W525" s="263"/>
      <c r="X525" s="263"/>
      <c r="Y525" s="263"/>
      <c r="Z525" s="263"/>
      <c r="AA525" s="263"/>
      <c r="AB525" s="263"/>
      <c r="AC525" s="263"/>
      <c r="AD525" s="263"/>
      <c r="AE525" s="263"/>
      <c r="AF525" s="263"/>
      <c r="AG525" s="263"/>
      <c r="AH525" s="263"/>
      <c r="AI525" s="263"/>
      <c r="AJ525" s="259"/>
      <c r="AK525" s="263">
        <f t="shared" si="247"/>
        <v>0</v>
      </c>
      <c r="AL525" s="265">
        <f t="shared" si="257"/>
        <v>52</v>
      </c>
      <c r="AM525" s="6">
        <f t="shared" si="248"/>
        <v>0</v>
      </c>
      <c r="AN525" s="255" t="str">
        <f t="shared" si="258"/>
        <v/>
      </c>
      <c r="AO525" s="256" t="str">
        <f t="shared" si="259"/>
        <v/>
      </c>
      <c r="AP525" s="257" t="str">
        <f t="shared" si="260"/>
        <v/>
      </c>
      <c r="AQ525" s="263">
        <f t="shared" si="249"/>
        <v>0</v>
      </c>
      <c r="AR525" s="263">
        <f t="shared" si="250"/>
        <v>0</v>
      </c>
      <c r="AS525" s="263">
        <f t="shared" si="251"/>
        <v>0</v>
      </c>
      <c r="AT525" s="263">
        <f t="shared" si="252"/>
        <v>0</v>
      </c>
      <c r="AU525" s="263"/>
      <c r="AV525" s="263"/>
      <c r="AW525" s="263"/>
      <c r="AX525" s="263">
        <f t="shared" si="253"/>
        <v>0</v>
      </c>
      <c r="BA525" s="282">
        <f t="shared" si="261"/>
        <v>0</v>
      </c>
      <c r="BB525">
        <v>1</v>
      </c>
      <c r="BC525">
        <f t="shared" si="254"/>
        <v>0</v>
      </c>
      <c r="BD525">
        <f t="shared" si="262"/>
        <v>0</v>
      </c>
      <c r="BE525">
        <f t="shared" si="263"/>
        <v>0</v>
      </c>
      <c r="BF525" s="281" t="e">
        <f t="shared" si="255"/>
        <v>#DIV/0!</v>
      </c>
      <c r="BG525" s="282"/>
      <c r="BH525" s="283"/>
    </row>
    <row r="526" spans="4:60" x14ac:dyDescent="0.3">
      <c r="D526" s="14"/>
      <c r="E526" s="7"/>
      <c r="F526" s="7"/>
      <c r="G526" s="66"/>
      <c r="H526" s="59"/>
      <c r="I526" s="59"/>
      <c r="J526" s="47">
        <f t="shared" si="244"/>
        <v>0</v>
      </c>
      <c r="K526" s="8">
        <f t="shared" si="245"/>
        <v>0</v>
      </c>
      <c r="L526" s="96"/>
      <c r="M526" s="81"/>
      <c r="N526" s="8">
        <v>153</v>
      </c>
      <c r="O526" s="8">
        <v>60</v>
      </c>
      <c r="P526" s="96" t="str">
        <f t="shared" ref="P526:P554" si="264">IFERROR((M526/N526*O526)/K526,"")</f>
        <v/>
      </c>
      <c r="Q526" s="59">
        <f t="shared" si="246"/>
        <v>0</v>
      </c>
      <c r="R526" s="252">
        <f t="shared" si="256"/>
        <v>0</v>
      </c>
      <c r="S526" s="263"/>
      <c r="T526" s="263"/>
      <c r="U526" s="263"/>
      <c r="V526" s="263"/>
      <c r="W526" s="263"/>
      <c r="X526" s="263"/>
      <c r="Y526" s="263"/>
      <c r="Z526" s="263"/>
      <c r="AA526" s="263"/>
      <c r="AB526" s="263"/>
      <c r="AC526" s="263"/>
      <c r="AD526" s="263"/>
      <c r="AE526" s="263"/>
      <c r="AF526" s="263"/>
      <c r="AG526" s="263"/>
      <c r="AH526" s="263"/>
      <c r="AI526" s="263"/>
      <c r="AJ526" s="259"/>
      <c r="AK526" s="263">
        <f t="shared" si="247"/>
        <v>0</v>
      </c>
      <c r="AL526" s="265">
        <f t="shared" si="257"/>
        <v>52</v>
      </c>
      <c r="AM526" s="6">
        <f t="shared" si="248"/>
        <v>0</v>
      </c>
      <c r="AN526" s="255" t="str">
        <f t="shared" si="258"/>
        <v/>
      </c>
      <c r="AO526" s="256" t="str">
        <f t="shared" si="259"/>
        <v/>
      </c>
      <c r="AP526" s="257" t="str">
        <f t="shared" si="260"/>
        <v/>
      </c>
      <c r="AQ526" s="263">
        <f t="shared" si="249"/>
        <v>0</v>
      </c>
      <c r="AR526" s="263">
        <f t="shared" si="250"/>
        <v>0</v>
      </c>
      <c r="AS526" s="263">
        <f t="shared" si="251"/>
        <v>0</v>
      </c>
      <c r="AT526" s="263">
        <f t="shared" si="252"/>
        <v>0</v>
      </c>
      <c r="AU526" s="263"/>
      <c r="AV526" s="263"/>
      <c r="AW526" s="263"/>
      <c r="AX526" s="263">
        <f t="shared" si="253"/>
        <v>0</v>
      </c>
      <c r="BA526" s="282">
        <f t="shared" si="261"/>
        <v>0</v>
      </c>
      <c r="BB526">
        <v>1</v>
      </c>
      <c r="BC526">
        <f t="shared" si="254"/>
        <v>0</v>
      </c>
      <c r="BD526">
        <f t="shared" si="262"/>
        <v>0</v>
      </c>
      <c r="BE526">
        <f t="shared" si="263"/>
        <v>0</v>
      </c>
      <c r="BF526" s="281" t="e">
        <f t="shared" si="255"/>
        <v>#DIV/0!</v>
      </c>
      <c r="BG526" s="282"/>
      <c r="BH526" s="283"/>
    </row>
    <row r="527" spans="4:60" x14ac:dyDescent="0.3">
      <c r="D527" s="14"/>
      <c r="E527" s="7"/>
      <c r="F527" s="7"/>
      <c r="G527" s="66"/>
      <c r="H527" s="59"/>
      <c r="I527" s="59"/>
      <c r="J527" s="47">
        <f t="shared" si="244"/>
        <v>0</v>
      </c>
      <c r="K527" s="8">
        <f t="shared" si="245"/>
        <v>0</v>
      </c>
      <c r="L527" s="96"/>
      <c r="M527" s="81"/>
      <c r="N527" s="8">
        <v>153</v>
      </c>
      <c r="O527" s="8">
        <v>60</v>
      </c>
      <c r="P527" s="96" t="str">
        <f t="shared" si="264"/>
        <v/>
      </c>
      <c r="Q527" s="59">
        <f t="shared" si="246"/>
        <v>0</v>
      </c>
      <c r="R527" s="252">
        <f t="shared" si="256"/>
        <v>0</v>
      </c>
      <c r="S527" s="263"/>
      <c r="T527" s="263"/>
      <c r="U527" s="263"/>
      <c r="V527" s="263"/>
      <c r="W527" s="263"/>
      <c r="X527" s="263"/>
      <c r="Y527" s="263"/>
      <c r="Z527" s="263"/>
      <c r="AA527" s="263"/>
      <c r="AB527" s="263"/>
      <c r="AC527" s="263"/>
      <c r="AD527" s="263"/>
      <c r="AE527" s="263"/>
      <c r="AF527" s="263"/>
      <c r="AG527" s="263"/>
      <c r="AH527" s="263"/>
      <c r="AI527" s="263"/>
      <c r="AJ527" s="259"/>
      <c r="AK527" s="263">
        <f t="shared" si="247"/>
        <v>0</v>
      </c>
      <c r="AL527" s="265">
        <f t="shared" si="257"/>
        <v>52</v>
      </c>
      <c r="AM527" s="6">
        <f t="shared" si="248"/>
        <v>0</v>
      </c>
      <c r="AN527" s="255" t="str">
        <f t="shared" si="258"/>
        <v/>
      </c>
      <c r="AO527" s="256" t="str">
        <f t="shared" si="259"/>
        <v/>
      </c>
      <c r="AP527" s="257" t="str">
        <f t="shared" si="260"/>
        <v/>
      </c>
      <c r="AQ527" s="263">
        <f t="shared" si="249"/>
        <v>0</v>
      </c>
      <c r="AR527" s="263">
        <f t="shared" si="250"/>
        <v>0</v>
      </c>
      <c r="AS527" s="263">
        <f t="shared" si="251"/>
        <v>0</v>
      </c>
      <c r="AT527" s="263">
        <f t="shared" si="252"/>
        <v>0</v>
      </c>
      <c r="AU527" s="263"/>
      <c r="AV527" s="263"/>
      <c r="AW527" s="263"/>
      <c r="AX527" s="263">
        <f t="shared" si="253"/>
        <v>0</v>
      </c>
      <c r="BA527" s="282">
        <f t="shared" si="261"/>
        <v>0</v>
      </c>
      <c r="BB527">
        <v>1</v>
      </c>
      <c r="BC527">
        <f t="shared" si="254"/>
        <v>0</v>
      </c>
      <c r="BD527">
        <f t="shared" si="262"/>
        <v>0</v>
      </c>
      <c r="BE527">
        <f t="shared" si="263"/>
        <v>0</v>
      </c>
      <c r="BF527" s="281" t="e">
        <f t="shared" si="255"/>
        <v>#DIV/0!</v>
      </c>
      <c r="BG527" s="282"/>
      <c r="BH527" s="283"/>
    </row>
    <row r="528" spans="4:60" x14ac:dyDescent="0.3">
      <c r="D528" s="14"/>
      <c r="E528" s="7"/>
      <c r="F528" s="7"/>
      <c r="G528" s="66"/>
      <c r="H528" s="59"/>
      <c r="I528" s="59"/>
      <c r="J528" s="47">
        <f t="shared" si="244"/>
        <v>0</v>
      </c>
      <c r="K528" s="8">
        <f t="shared" si="245"/>
        <v>0</v>
      </c>
      <c r="L528" s="96"/>
      <c r="M528" s="81"/>
      <c r="N528" s="8">
        <v>153</v>
      </c>
      <c r="O528" s="8">
        <v>60</v>
      </c>
      <c r="P528" s="96" t="str">
        <f t="shared" si="264"/>
        <v/>
      </c>
      <c r="Q528" s="59">
        <f t="shared" si="246"/>
        <v>0</v>
      </c>
      <c r="R528" s="252">
        <f t="shared" si="256"/>
        <v>0</v>
      </c>
      <c r="S528" s="263"/>
      <c r="T528" s="263"/>
      <c r="U528" s="263"/>
      <c r="V528" s="263"/>
      <c r="W528" s="263"/>
      <c r="X528" s="263"/>
      <c r="Y528" s="263"/>
      <c r="Z528" s="263"/>
      <c r="AA528" s="263"/>
      <c r="AB528" s="263"/>
      <c r="AC528" s="263"/>
      <c r="AD528" s="263"/>
      <c r="AE528" s="263"/>
      <c r="AF528" s="263"/>
      <c r="AG528" s="263"/>
      <c r="AH528" s="263"/>
      <c r="AI528" s="263"/>
      <c r="AJ528" s="259"/>
      <c r="AK528" s="263">
        <f t="shared" si="247"/>
        <v>0</v>
      </c>
      <c r="AL528" s="265">
        <f t="shared" si="257"/>
        <v>52</v>
      </c>
      <c r="AM528" s="6">
        <f t="shared" si="248"/>
        <v>0</v>
      </c>
      <c r="AN528" s="255" t="str">
        <f t="shared" si="258"/>
        <v/>
      </c>
      <c r="AO528" s="256" t="str">
        <f t="shared" si="259"/>
        <v/>
      </c>
      <c r="AP528" s="257" t="str">
        <f t="shared" si="260"/>
        <v/>
      </c>
      <c r="AQ528" s="263">
        <f t="shared" si="249"/>
        <v>0</v>
      </c>
      <c r="AR528" s="263">
        <f t="shared" si="250"/>
        <v>0</v>
      </c>
      <c r="AS528" s="263">
        <f t="shared" si="251"/>
        <v>0</v>
      </c>
      <c r="AT528" s="263">
        <f t="shared" si="252"/>
        <v>0</v>
      </c>
      <c r="AU528" s="263"/>
      <c r="AV528" s="263"/>
      <c r="AW528" s="263"/>
      <c r="AX528" s="263">
        <f t="shared" si="253"/>
        <v>0</v>
      </c>
      <c r="BA528" s="282">
        <f t="shared" si="261"/>
        <v>0</v>
      </c>
      <c r="BB528">
        <v>1</v>
      </c>
      <c r="BC528">
        <f t="shared" si="254"/>
        <v>0</v>
      </c>
      <c r="BD528">
        <f t="shared" si="262"/>
        <v>0</v>
      </c>
      <c r="BE528">
        <f t="shared" si="263"/>
        <v>0</v>
      </c>
      <c r="BF528" s="281" t="e">
        <f t="shared" si="255"/>
        <v>#DIV/0!</v>
      </c>
      <c r="BG528" s="282"/>
      <c r="BH528" s="283"/>
    </row>
    <row r="529" spans="4:60" x14ac:dyDescent="0.3">
      <c r="D529" s="14"/>
      <c r="E529" s="7"/>
      <c r="F529" s="7"/>
      <c r="G529" s="66"/>
      <c r="H529" s="59"/>
      <c r="I529" s="59"/>
      <c r="J529" s="47">
        <f t="shared" si="244"/>
        <v>0</v>
      </c>
      <c r="K529" s="8">
        <f t="shared" si="245"/>
        <v>0</v>
      </c>
      <c r="L529" s="96"/>
      <c r="M529" s="81"/>
      <c r="N529" s="8">
        <v>153</v>
      </c>
      <c r="O529" s="8">
        <v>60</v>
      </c>
      <c r="P529" s="96" t="str">
        <f t="shared" si="264"/>
        <v/>
      </c>
      <c r="Q529" s="59">
        <f t="shared" si="246"/>
        <v>0</v>
      </c>
      <c r="R529" s="252">
        <f t="shared" si="256"/>
        <v>0</v>
      </c>
      <c r="S529" s="263"/>
      <c r="T529" s="263"/>
      <c r="U529" s="263"/>
      <c r="V529" s="263"/>
      <c r="W529" s="263"/>
      <c r="X529" s="263"/>
      <c r="Y529" s="263"/>
      <c r="Z529" s="263"/>
      <c r="AA529" s="263"/>
      <c r="AB529" s="263"/>
      <c r="AC529" s="263"/>
      <c r="AD529" s="263"/>
      <c r="AE529" s="263"/>
      <c r="AF529" s="263"/>
      <c r="AG529" s="263"/>
      <c r="AH529" s="263"/>
      <c r="AI529" s="263"/>
      <c r="AJ529" s="259"/>
      <c r="AK529" s="263">
        <f t="shared" si="247"/>
        <v>0</v>
      </c>
      <c r="AL529" s="265">
        <f t="shared" si="257"/>
        <v>52</v>
      </c>
      <c r="AM529" s="6">
        <f t="shared" si="248"/>
        <v>0</v>
      </c>
      <c r="AN529" s="255" t="str">
        <f t="shared" si="258"/>
        <v/>
      </c>
      <c r="AO529" s="256" t="str">
        <f t="shared" si="259"/>
        <v/>
      </c>
      <c r="AP529" s="257" t="str">
        <f t="shared" si="260"/>
        <v/>
      </c>
      <c r="AQ529" s="263">
        <f t="shared" si="249"/>
        <v>0</v>
      </c>
      <c r="AR529" s="263">
        <f t="shared" si="250"/>
        <v>0</v>
      </c>
      <c r="AS529" s="263">
        <f t="shared" si="251"/>
        <v>0</v>
      </c>
      <c r="AT529" s="263">
        <f t="shared" si="252"/>
        <v>0</v>
      </c>
      <c r="AU529" s="263"/>
      <c r="AV529" s="263"/>
      <c r="AW529" s="263"/>
      <c r="AX529" s="263">
        <f t="shared" si="253"/>
        <v>0</v>
      </c>
      <c r="BA529" s="282">
        <f t="shared" si="261"/>
        <v>0</v>
      </c>
      <c r="BB529">
        <v>1</v>
      </c>
      <c r="BC529">
        <f t="shared" si="254"/>
        <v>0</v>
      </c>
      <c r="BD529">
        <f t="shared" si="262"/>
        <v>0</v>
      </c>
      <c r="BE529">
        <f t="shared" si="263"/>
        <v>0</v>
      </c>
      <c r="BF529" s="281" t="e">
        <f t="shared" si="255"/>
        <v>#DIV/0!</v>
      </c>
      <c r="BG529" s="282"/>
      <c r="BH529" s="283"/>
    </row>
    <row r="530" spans="4:60" x14ac:dyDescent="0.3">
      <c r="D530" s="14"/>
      <c r="E530" s="7"/>
      <c r="F530" s="7"/>
      <c r="G530" s="66"/>
      <c r="H530" s="59"/>
      <c r="I530" s="59"/>
      <c r="J530" s="47">
        <f t="shared" si="244"/>
        <v>0</v>
      </c>
      <c r="K530" s="8">
        <f t="shared" si="245"/>
        <v>0</v>
      </c>
      <c r="L530" s="96"/>
      <c r="M530" s="81"/>
      <c r="N530" s="8">
        <v>153</v>
      </c>
      <c r="O530" s="8">
        <v>60</v>
      </c>
      <c r="P530" s="96" t="str">
        <f t="shared" si="264"/>
        <v/>
      </c>
      <c r="Q530" s="59">
        <f t="shared" si="246"/>
        <v>0</v>
      </c>
      <c r="R530" s="252">
        <f t="shared" si="256"/>
        <v>0</v>
      </c>
      <c r="S530" s="263"/>
      <c r="T530" s="263"/>
      <c r="U530" s="263"/>
      <c r="V530" s="263"/>
      <c r="W530" s="263"/>
      <c r="X530" s="263"/>
      <c r="Y530" s="263"/>
      <c r="Z530" s="263"/>
      <c r="AA530" s="263"/>
      <c r="AB530" s="263"/>
      <c r="AC530" s="263"/>
      <c r="AD530" s="263"/>
      <c r="AE530" s="263"/>
      <c r="AF530" s="263"/>
      <c r="AG530" s="263"/>
      <c r="AH530" s="263"/>
      <c r="AI530" s="263"/>
      <c r="AJ530" s="259"/>
      <c r="AK530" s="263">
        <f t="shared" si="247"/>
        <v>0</v>
      </c>
      <c r="AL530" s="265">
        <f t="shared" si="257"/>
        <v>52</v>
      </c>
      <c r="AM530" s="6">
        <f t="shared" si="248"/>
        <v>0</v>
      </c>
      <c r="AN530" s="255" t="str">
        <f t="shared" si="258"/>
        <v/>
      </c>
      <c r="AO530" s="256" t="str">
        <f t="shared" si="259"/>
        <v/>
      </c>
      <c r="AP530" s="257" t="str">
        <f t="shared" si="260"/>
        <v/>
      </c>
      <c r="AQ530" s="263">
        <f t="shared" si="249"/>
        <v>0</v>
      </c>
      <c r="AR530" s="263">
        <f t="shared" si="250"/>
        <v>0</v>
      </c>
      <c r="AS530" s="263">
        <f t="shared" si="251"/>
        <v>0</v>
      </c>
      <c r="AT530" s="263">
        <f t="shared" si="252"/>
        <v>0</v>
      </c>
      <c r="AU530" s="263"/>
      <c r="AV530" s="263"/>
      <c r="AW530" s="263"/>
      <c r="AX530" s="263">
        <f t="shared" si="253"/>
        <v>0</v>
      </c>
      <c r="BA530" s="282">
        <f t="shared" si="261"/>
        <v>0</v>
      </c>
      <c r="BB530">
        <v>1</v>
      </c>
      <c r="BC530">
        <f t="shared" si="254"/>
        <v>0</v>
      </c>
      <c r="BD530">
        <f t="shared" si="262"/>
        <v>0</v>
      </c>
      <c r="BE530">
        <f t="shared" si="263"/>
        <v>0</v>
      </c>
      <c r="BF530" s="281" t="e">
        <f t="shared" si="255"/>
        <v>#DIV/0!</v>
      </c>
      <c r="BG530" s="282"/>
      <c r="BH530" s="283"/>
    </row>
    <row r="531" spans="4:60" x14ac:dyDescent="0.3">
      <c r="D531" s="14"/>
      <c r="E531" s="7"/>
      <c r="F531" s="7"/>
      <c r="G531" s="66"/>
      <c r="H531" s="59"/>
      <c r="I531" s="59"/>
      <c r="J531" s="47">
        <f t="shared" si="244"/>
        <v>0</v>
      </c>
      <c r="K531" s="8">
        <f t="shared" si="245"/>
        <v>0</v>
      </c>
      <c r="L531" s="96"/>
      <c r="M531" s="81"/>
      <c r="N531" s="8">
        <v>153</v>
      </c>
      <c r="O531" s="8">
        <v>60</v>
      </c>
      <c r="P531" s="96" t="str">
        <f t="shared" si="264"/>
        <v/>
      </c>
      <c r="Q531" s="59">
        <f t="shared" si="246"/>
        <v>0</v>
      </c>
      <c r="R531" s="252">
        <f t="shared" si="256"/>
        <v>0</v>
      </c>
      <c r="S531" s="263"/>
      <c r="T531" s="263"/>
      <c r="U531" s="263"/>
      <c r="V531" s="263"/>
      <c r="W531" s="263"/>
      <c r="X531" s="263"/>
      <c r="Y531" s="263"/>
      <c r="Z531" s="263"/>
      <c r="AA531" s="263"/>
      <c r="AB531" s="263"/>
      <c r="AC531" s="263"/>
      <c r="AD531" s="263"/>
      <c r="AE531" s="263"/>
      <c r="AF531" s="263"/>
      <c r="AG531" s="263"/>
      <c r="AH531" s="263"/>
      <c r="AI531" s="263"/>
      <c r="AJ531" s="259"/>
      <c r="AK531" s="263">
        <f t="shared" si="247"/>
        <v>0</v>
      </c>
      <c r="AL531" s="265">
        <f t="shared" si="257"/>
        <v>52</v>
      </c>
      <c r="AM531" s="6">
        <f t="shared" si="248"/>
        <v>0</v>
      </c>
      <c r="AN531" s="255" t="str">
        <f t="shared" si="258"/>
        <v/>
      </c>
      <c r="AO531" s="256" t="str">
        <f t="shared" si="259"/>
        <v/>
      </c>
      <c r="AP531" s="257" t="str">
        <f t="shared" si="260"/>
        <v/>
      </c>
      <c r="AQ531" s="263">
        <f t="shared" si="249"/>
        <v>0</v>
      </c>
      <c r="AR531" s="263">
        <f t="shared" si="250"/>
        <v>0</v>
      </c>
      <c r="AS531" s="263">
        <f t="shared" si="251"/>
        <v>0</v>
      </c>
      <c r="AT531" s="263">
        <f t="shared" si="252"/>
        <v>0</v>
      </c>
      <c r="AU531" s="263"/>
      <c r="AV531" s="263"/>
      <c r="AW531" s="263"/>
      <c r="AX531" s="263">
        <f t="shared" si="253"/>
        <v>0</v>
      </c>
      <c r="BA531" s="282">
        <f t="shared" si="261"/>
        <v>0</v>
      </c>
      <c r="BB531">
        <v>1</v>
      </c>
      <c r="BC531">
        <f t="shared" si="254"/>
        <v>0</v>
      </c>
      <c r="BD531">
        <f t="shared" si="262"/>
        <v>0</v>
      </c>
      <c r="BE531">
        <f t="shared" si="263"/>
        <v>0</v>
      </c>
      <c r="BF531" s="281" t="e">
        <f t="shared" si="255"/>
        <v>#DIV/0!</v>
      </c>
      <c r="BG531" s="282"/>
      <c r="BH531" s="283"/>
    </row>
    <row r="532" spans="4:60" x14ac:dyDescent="0.3">
      <c r="D532" s="14"/>
      <c r="E532" s="7"/>
      <c r="F532" s="7"/>
      <c r="G532" s="66"/>
      <c r="H532" s="59"/>
      <c r="I532" s="59"/>
      <c r="J532" s="47">
        <f t="shared" si="244"/>
        <v>0</v>
      </c>
      <c r="K532" s="8">
        <f t="shared" si="245"/>
        <v>0</v>
      </c>
      <c r="L532" s="96"/>
      <c r="M532" s="81"/>
      <c r="N532" s="8">
        <v>153</v>
      </c>
      <c r="O532" s="8">
        <v>60</v>
      </c>
      <c r="P532" s="96" t="str">
        <f t="shared" si="264"/>
        <v/>
      </c>
      <c r="Q532" s="59">
        <f t="shared" si="246"/>
        <v>0</v>
      </c>
      <c r="R532" s="252">
        <f t="shared" si="256"/>
        <v>0</v>
      </c>
      <c r="S532" s="263"/>
      <c r="T532" s="263"/>
      <c r="U532" s="263"/>
      <c r="V532" s="263"/>
      <c r="W532" s="263"/>
      <c r="X532" s="263"/>
      <c r="Y532" s="263"/>
      <c r="Z532" s="263"/>
      <c r="AA532" s="263"/>
      <c r="AB532" s="263"/>
      <c r="AC532" s="263"/>
      <c r="AD532" s="263"/>
      <c r="AE532" s="263"/>
      <c r="AF532" s="263"/>
      <c r="AG532" s="263"/>
      <c r="AH532" s="263"/>
      <c r="AI532" s="263"/>
      <c r="AJ532" s="259"/>
      <c r="AK532" s="263">
        <f t="shared" si="247"/>
        <v>0</v>
      </c>
      <c r="AL532" s="265">
        <f t="shared" si="257"/>
        <v>52</v>
      </c>
      <c r="AM532" s="6">
        <f t="shared" si="248"/>
        <v>0</v>
      </c>
      <c r="AN532" s="255" t="str">
        <f t="shared" si="258"/>
        <v/>
      </c>
      <c r="AO532" s="256" t="str">
        <f t="shared" si="259"/>
        <v/>
      </c>
      <c r="AP532" s="257" t="str">
        <f t="shared" si="260"/>
        <v/>
      </c>
      <c r="AQ532" s="263">
        <f t="shared" si="249"/>
        <v>0</v>
      </c>
      <c r="AR532" s="263">
        <f t="shared" si="250"/>
        <v>0</v>
      </c>
      <c r="AS532" s="263">
        <f t="shared" si="251"/>
        <v>0</v>
      </c>
      <c r="AT532" s="263">
        <f t="shared" si="252"/>
        <v>0</v>
      </c>
      <c r="AU532" s="263"/>
      <c r="AV532" s="263"/>
      <c r="AW532" s="263"/>
      <c r="AX532" s="263">
        <f t="shared" si="253"/>
        <v>0</v>
      </c>
      <c r="BA532" s="282">
        <f t="shared" si="261"/>
        <v>0</v>
      </c>
      <c r="BB532">
        <v>1</v>
      </c>
      <c r="BC532">
        <f t="shared" si="254"/>
        <v>0</v>
      </c>
      <c r="BD532">
        <f t="shared" si="262"/>
        <v>0</v>
      </c>
      <c r="BE532">
        <f t="shared" si="263"/>
        <v>0</v>
      </c>
      <c r="BF532" s="281" t="e">
        <f t="shared" si="255"/>
        <v>#DIV/0!</v>
      </c>
      <c r="BG532" s="282"/>
      <c r="BH532" s="283"/>
    </row>
    <row r="533" spans="4:60" x14ac:dyDescent="0.3">
      <c r="D533" s="14"/>
      <c r="E533" s="7"/>
      <c r="F533" s="7"/>
      <c r="G533" s="66"/>
      <c r="H533" s="59"/>
      <c r="I533" s="59"/>
      <c r="J533" s="47">
        <f t="shared" si="244"/>
        <v>0</v>
      </c>
      <c r="K533" s="8">
        <f t="shared" si="245"/>
        <v>0</v>
      </c>
      <c r="L533" s="96"/>
      <c r="M533" s="81"/>
      <c r="N533" s="8">
        <v>153</v>
      </c>
      <c r="O533" s="8">
        <v>60</v>
      </c>
      <c r="P533" s="96" t="str">
        <f t="shared" si="264"/>
        <v/>
      </c>
      <c r="Q533" s="59">
        <f t="shared" si="246"/>
        <v>0</v>
      </c>
      <c r="R533" s="252">
        <f t="shared" si="256"/>
        <v>0</v>
      </c>
      <c r="S533" s="263"/>
      <c r="T533" s="263"/>
      <c r="U533" s="263"/>
      <c r="V533" s="263"/>
      <c r="W533" s="263"/>
      <c r="X533" s="263"/>
      <c r="Y533" s="263"/>
      <c r="Z533" s="263"/>
      <c r="AA533" s="263"/>
      <c r="AB533" s="263"/>
      <c r="AC533" s="263"/>
      <c r="AD533" s="263"/>
      <c r="AE533" s="263"/>
      <c r="AF533" s="263"/>
      <c r="AG533" s="263"/>
      <c r="AH533" s="263"/>
      <c r="AI533" s="263"/>
      <c r="AJ533" s="259"/>
      <c r="AK533" s="263">
        <f t="shared" si="247"/>
        <v>0</v>
      </c>
      <c r="AL533" s="265">
        <f t="shared" si="257"/>
        <v>52</v>
      </c>
      <c r="AM533" s="6">
        <f t="shared" si="248"/>
        <v>0</v>
      </c>
      <c r="AN533" s="255" t="str">
        <f t="shared" si="258"/>
        <v/>
      </c>
      <c r="AO533" s="256" t="str">
        <f t="shared" si="259"/>
        <v/>
      </c>
      <c r="AP533" s="257" t="str">
        <f t="shared" si="260"/>
        <v/>
      </c>
      <c r="AQ533" s="263">
        <f t="shared" si="249"/>
        <v>0</v>
      </c>
      <c r="AR533" s="263">
        <f t="shared" si="250"/>
        <v>0</v>
      </c>
      <c r="AS533" s="263">
        <f t="shared" si="251"/>
        <v>0</v>
      </c>
      <c r="AT533" s="263">
        <f t="shared" si="252"/>
        <v>0</v>
      </c>
      <c r="AU533" s="263"/>
      <c r="AV533" s="263"/>
      <c r="AW533" s="263"/>
      <c r="AX533" s="263">
        <f t="shared" si="253"/>
        <v>0</v>
      </c>
      <c r="BA533" s="282">
        <f t="shared" si="261"/>
        <v>0</v>
      </c>
      <c r="BB533">
        <v>1</v>
      </c>
      <c r="BC533">
        <f t="shared" si="254"/>
        <v>0</v>
      </c>
      <c r="BD533">
        <f t="shared" si="262"/>
        <v>0</v>
      </c>
      <c r="BE533">
        <f t="shared" si="263"/>
        <v>0</v>
      </c>
      <c r="BF533" s="281" t="e">
        <f t="shared" si="255"/>
        <v>#DIV/0!</v>
      </c>
      <c r="BG533" s="282"/>
      <c r="BH533" s="283"/>
    </row>
    <row r="534" spans="4:60" x14ac:dyDescent="0.3">
      <c r="D534" s="14"/>
      <c r="E534" s="7"/>
      <c r="F534" s="7"/>
      <c r="G534" s="66"/>
      <c r="H534" s="59"/>
      <c r="I534" s="59"/>
      <c r="J534" s="47">
        <f t="shared" si="244"/>
        <v>0</v>
      </c>
      <c r="K534" s="8">
        <f t="shared" si="245"/>
        <v>0</v>
      </c>
      <c r="L534" s="96"/>
      <c r="M534" s="81"/>
      <c r="N534" s="8">
        <v>153</v>
      </c>
      <c r="O534" s="8">
        <v>60</v>
      </c>
      <c r="P534" s="96" t="str">
        <f t="shared" si="264"/>
        <v/>
      </c>
      <c r="Q534" s="59">
        <f t="shared" si="246"/>
        <v>0</v>
      </c>
      <c r="R534" s="252">
        <f t="shared" si="256"/>
        <v>0</v>
      </c>
      <c r="S534" s="263"/>
      <c r="T534" s="263"/>
      <c r="U534" s="263"/>
      <c r="V534" s="263"/>
      <c r="W534" s="263"/>
      <c r="X534" s="263"/>
      <c r="Y534" s="263"/>
      <c r="Z534" s="263"/>
      <c r="AA534" s="263"/>
      <c r="AB534" s="263"/>
      <c r="AC534" s="263"/>
      <c r="AD534" s="263"/>
      <c r="AE534" s="263"/>
      <c r="AF534" s="263"/>
      <c r="AG534" s="263"/>
      <c r="AH534" s="263"/>
      <c r="AI534" s="263"/>
      <c r="AJ534" s="259"/>
      <c r="AK534" s="263">
        <f t="shared" si="247"/>
        <v>0</v>
      </c>
      <c r="AL534" s="265">
        <f t="shared" si="257"/>
        <v>52</v>
      </c>
      <c r="AM534" s="6">
        <f t="shared" si="248"/>
        <v>0</v>
      </c>
      <c r="AN534" s="255" t="str">
        <f t="shared" si="258"/>
        <v/>
      </c>
      <c r="AO534" s="256" t="str">
        <f t="shared" si="259"/>
        <v/>
      </c>
      <c r="AP534" s="257" t="str">
        <f t="shared" si="260"/>
        <v/>
      </c>
      <c r="AQ534" s="263">
        <f t="shared" si="249"/>
        <v>0</v>
      </c>
      <c r="AR534" s="263">
        <f t="shared" si="250"/>
        <v>0</v>
      </c>
      <c r="AS534" s="263">
        <f t="shared" si="251"/>
        <v>0</v>
      </c>
      <c r="AT534" s="263">
        <f t="shared" si="252"/>
        <v>0</v>
      </c>
      <c r="AU534" s="263"/>
      <c r="AV534" s="263"/>
      <c r="AW534" s="263"/>
      <c r="AX534" s="263">
        <f t="shared" si="253"/>
        <v>0</v>
      </c>
      <c r="BA534" s="282">
        <f t="shared" si="261"/>
        <v>0</v>
      </c>
      <c r="BB534">
        <v>1</v>
      </c>
      <c r="BC534">
        <f t="shared" si="254"/>
        <v>0</v>
      </c>
      <c r="BD534">
        <f t="shared" si="262"/>
        <v>0</v>
      </c>
      <c r="BE534">
        <f t="shared" si="263"/>
        <v>0</v>
      </c>
      <c r="BF534" s="281" t="e">
        <f t="shared" si="255"/>
        <v>#DIV/0!</v>
      </c>
      <c r="BG534" s="282"/>
      <c r="BH534" s="283"/>
    </row>
    <row r="535" spans="4:60" x14ac:dyDescent="0.3">
      <c r="D535" s="14"/>
      <c r="E535" s="7"/>
      <c r="F535" s="7"/>
      <c r="G535" s="66"/>
      <c r="H535" s="59"/>
      <c r="I535" s="59"/>
      <c r="J535" s="47">
        <f t="shared" si="244"/>
        <v>0</v>
      </c>
      <c r="K535" s="8">
        <f t="shared" si="245"/>
        <v>0</v>
      </c>
      <c r="L535" s="96"/>
      <c r="M535" s="81"/>
      <c r="N535" s="8">
        <v>153</v>
      </c>
      <c r="O535" s="8">
        <v>60</v>
      </c>
      <c r="P535" s="96" t="str">
        <f t="shared" si="264"/>
        <v/>
      </c>
      <c r="Q535" s="59">
        <f t="shared" si="246"/>
        <v>0</v>
      </c>
      <c r="R535" s="252">
        <f t="shared" si="256"/>
        <v>0</v>
      </c>
      <c r="S535" s="263"/>
      <c r="T535" s="263"/>
      <c r="U535" s="263"/>
      <c r="V535" s="263"/>
      <c r="W535" s="263"/>
      <c r="X535" s="263"/>
      <c r="Y535" s="263"/>
      <c r="Z535" s="263"/>
      <c r="AA535" s="263"/>
      <c r="AB535" s="263"/>
      <c r="AC535" s="263"/>
      <c r="AD535" s="263"/>
      <c r="AE535" s="263"/>
      <c r="AF535" s="263"/>
      <c r="AG535" s="263"/>
      <c r="AH535" s="263"/>
      <c r="AI535" s="263"/>
      <c r="AJ535" s="259"/>
      <c r="AK535" s="263">
        <f t="shared" si="247"/>
        <v>0</v>
      </c>
      <c r="AL535" s="265">
        <f t="shared" si="257"/>
        <v>52</v>
      </c>
      <c r="AM535" s="6">
        <f t="shared" si="248"/>
        <v>0</v>
      </c>
      <c r="AN535" s="255" t="str">
        <f t="shared" si="258"/>
        <v/>
      </c>
      <c r="AO535" s="256" t="str">
        <f t="shared" si="259"/>
        <v/>
      </c>
      <c r="AP535" s="257" t="str">
        <f t="shared" si="260"/>
        <v/>
      </c>
      <c r="AQ535" s="263">
        <f t="shared" si="249"/>
        <v>0</v>
      </c>
      <c r="AR535" s="263">
        <f t="shared" si="250"/>
        <v>0</v>
      </c>
      <c r="AS535" s="263">
        <f t="shared" si="251"/>
        <v>0</v>
      </c>
      <c r="AT535" s="263">
        <f t="shared" si="252"/>
        <v>0</v>
      </c>
      <c r="AU535" s="263"/>
      <c r="AV535" s="263"/>
      <c r="AW535" s="263"/>
      <c r="AX535" s="263">
        <f t="shared" si="253"/>
        <v>0</v>
      </c>
      <c r="BA535" s="282">
        <f t="shared" si="261"/>
        <v>0</v>
      </c>
      <c r="BB535">
        <v>1</v>
      </c>
      <c r="BC535">
        <f t="shared" si="254"/>
        <v>0</v>
      </c>
      <c r="BD535">
        <f t="shared" si="262"/>
        <v>0</v>
      </c>
      <c r="BE535">
        <f t="shared" si="263"/>
        <v>0</v>
      </c>
      <c r="BF535" s="281" t="e">
        <f t="shared" si="255"/>
        <v>#DIV/0!</v>
      </c>
      <c r="BG535" s="282"/>
      <c r="BH535" s="283"/>
    </row>
    <row r="536" spans="4:60" x14ac:dyDescent="0.3">
      <c r="D536" s="14"/>
      <c r="E536" s="7"/>
      <c r="F536" s="7"/>
      <c r="G536" s="66"/>
      <c r="H536" s="59"/>
      <c r="I536" s="59"/>
      <c r="J536" s="47">
        <f t="shared" si="244"/>
        <v>0</v>
      </c>
      <c r="K536" s="8">
        <f t="shared" si="245"/>
        <v>0</v>
      </c>
      <c r="L536" s="96"/>
      <c r="M536" s="81"/>
      <c r="N536" s="8">
        <v>153</v>
      </c>
      <c r="O536" s="8">
        <v>60</v>
      </c>
      <c r="P536" s="96" t="str">
        <f t="shared" si="264"/>
        <v/>
      </c>
      <c r="Q536" s="59">
        <f t="shared" si="246"/>
        <v>0</v>
      </c>
      <c r="R536" s="252">
        <f t="shared" si="256"/>
        <v>0</v>
      </c>
      <c r="S536" s="263"/>
      <c r="T536" s="263"/>
      <c r="U536" s="263"/>
      <c r="V536" s="263"/>
      <c r="W536" s="263"/>
      <c r="X536" s="263"/>
      <c r="Y536" s="263"/>
      <c r="Z536" s="263"/>
      <c r="AA536" s="263"/>
      <c r="AB536" s="263"/>
      <c r="AC536" s="263"/>
      <c r="AD536" s="263"/>
      <c r="AE536" s="263"/>
      <c r="AF536" s="263"/>
      <c r="AG536" s="263"/>
      <c r="AH536" s="263"/>
      <c r="AI536" s="263"/>
      <c r="AJ536" s="259"/>
      <c r="AK536" s="263">
        <f t="shared" si="247"/>
        <v>0</v>
      </c>
      <c r="AL536" s="265">
        <f t="shared" si="257"/>
        <v>52</v>
      </c>
      <c r="AM536" s="6">
        <f t="shared" si="248"/>
        <v>0</v>
      </c>
      <c r="AN536" s="255" t="str">
        <f t="shared" si="258"/>
        <v/>
      </c>
      <c r="AO536" s="256" t="str">
        <f t="shared" si="259"/>
        <v/>
      </c>
      <c r="AP536" s="257" t="str">
        <f t="shared" si="260"/>
        <v/>
      </c>
      <c r="AQ536" s="263">
        <f t="shared" si="249"/>
        <v>0</v>
      </c>
      <c r="AR536" s="263">
        <f t="shared" si="250"/>
        <v>0</v>
      </c>
      <c r="AS536" s="263">
        <f t="shared" si="251"/>
        <v>0</v>
      </c>
      <c r="AT536" s="263">
        <f t="shared" si="252"/>
        <v>0</v>
      </c>
      <c r="AU536" s="263"/>
      <c r="AV536" s="263"/>
      <c r="AW536" s="263"/>
      <c r="AX536" s="263">
        <f t="shared" si="253"/>
        <v>0</v>
      </c>
      <c r="BA536" s="282">
        <f t="shared" si="261"/>
        <v>0</v>
      </c>
      <c r="BB536">
        <v>1</v>
      </c>
      <c r="BC536">
        <f t="shared" si="254"/>
        <v>0</v>
      </c>
      <c r="BD536">
        <f t="shared" si="262"/>
        <v>0</v>
      </c>
      <c r="BE536">
        <f t="shared" si="263"/>
        <v>0</v>
      </c>
      <c r="BF536" s="281" t="e">
        <f t="shared" si="255"/>
        <v>#DIV/0!</v>
      </c>
      <c r="BG536" s="282"/>
      <c r="BH536" s="283"/>
    </row>
    <row r="537" spans="4:60" x14ac:dyDescent="0.3">
      <c r="D537" s="14"/>
      <c r="E537" s="7"/>
      <c r="F537" s="7"/>
      <c r="G537" s="66"/>
      <c r="H537" s="59"/>
      <c r="I537" s="59"/>
      <c r="J537" s="47">
        <f t="shared" si="244"/>
        <v>0</v>
      </c>
      <c r="K537" s="8">
        <f t="shared" si="245"/>
        <v>0</v>
      </c>
      <c r="L537" s="96"/>
      <c r="M537" s="81"/>
      <c r="N537" s="8">
        <v>153</v>
      </c>
      <c r="O537" s="8">
        <v>60</v>
      </c>
      <c r="P537" s="96" t="str">
        <f t="shared" si="264"/>
        <v/>
      </c>
      <c r="Q537" s="59">
        <f t="shared" si="246"/>
        <v>0</v>
      </c>
      <c r="R537" s="252">
        <f t="shared" si="256"/>
        <v>0</v>
      </c>
      <c r="S537" s="263"/>
      <c r="T537" s="263"/>
      <c r="U537" s="263"/>
      <c r="V537" s="263"/>
      <c r="W537" s="263"/>
      <c r="X537" s="263"/>
      <c r="Y537" s="263"/>
      <c r="Z537" s="263"/>
      <c r="AA537" s="263"/>
      <c r="AB537" s="263"/>
      <c r="AC537" s="263"/>
      <c r="AD537" s="263"/>
      <c r="AE537" s="263"/>
      <c r="AF537" s="263"/>
      <c r="AG537" s="263"/>
      <c r="AH537" s="263"/>
      <c r="AI537" s="263"/>
      <c r="AJ537" s="259"/>
      <c r="AK537" s="263">
        <f t="shared" si="247"/>
        <v>0</v>
      </c>
      <c r="AL537" s="265">
        <f t="shared" si="257"/>
        <v>52</v>
      </c>
      <c r="AM537" s="6">
        <f t="shared" si="248"/>
        <v>0</v>
      </c>
      <c r="AN537" s="255" t="str">
        <f t="shared" si="258"/>
        <v/>
      </c>
      <c r="AO537" s="256" t="str">
        <f t="shared" si="259"/>
        <v/>
      </c>
      <c r="AP537" s="257" t="str">
        <f t="shared" si="260"/>
        <v/>
      </c>
      <c r="AQ537" s="263">
        <f t="shared" si="249"/>
        <v>0</v>
      </c>
      <c r="AR537" s="263">
        <f t="shared" si="250"/>
        <v>0</v>
      </c>
      <c r="AS537" s="263">
        <f t="shared" si="251"/>
        <v>0</v>
      </c>
      <c r="AT537" s="263">
        <f t="shared" si="252"/>
        <v>0</v>
      </c>
      <c r="AU537" s="263"/>
      <c r="AV537" s="263"/>
      <c r="AW537" s="263"/>
      <c r="AX537" s="263">
        <f t="shared" si="253"/>
        <v>0</v>
      </c>
      <c r="BA537" s="282">
        <f t="shared" si="261"/>
        <v>0</v>
      </c>
      <c r="BB537">
        <v>1</v>
      </c>
      <c r="BC537">
        <f t="shared" si="254"/>
        <v>0</v>
      </c>
      <c r="BD537">
        <f t="shared" si="262"/>
        <v>0</v>
      </c>
      <c r="BE537">
        <f t="shared" si="263"/>
        <v>0</v>
      </c>
      <c r="BF537" s="281" t="e">
        <f t="shared" si="255"/>
        <v>#DIV/0!</v>
      </c>
      <c r="BG537" s="282"/>
      <c r="BH537" s="283"/>
    </row>
    <row r="538" spans="4:60" x14ac:dyDescent="0.3">
      <c r="D538" s="14"/>
      <c r="E538" s="7"/>
      <c r="F538" s="7"/>
      <c r="G538" s="66"/>
      <c r="H538" s="59"/>
      <c r="I538" s="59"/>
      <c r="J538" s="47">
        <f t="shared" si="244"/>
        <v>0</v>
      </c>
      <c r="K538" s="8">
        <f t="shared" si="245"/>
        <v>0</v>
      </c>
      <c r="L538" s="96"/>
      <c r="M538" s="81"/>
      <c r="N538" s="8">
        <v>153</v>
      </c>
      <c r="O538" s="8">
        <v>60</v>
      </c>
      <c r="P538" s="96" t="str">
        <f t="shared" si="264"/>
        <v/>
      </c>
      <c r="Q538" s="59">
        <f t="shared" si="246"/>
        <v>0</v>
      </c>
      <c r="R538" s="252">
        <f t="shared" si="256"/>
        <v>0</v>
      </c>
      <c r="S538" s="263"/>
      <c r="T538" s="263"/>
      <c r="U538" s="263"/>
      <c r="V538" s="263"/>
      <c r="W538" s="263"/>
      <c r="X538" s="263"/>
      <c r="Y538" s="263"/>
      <c r="Z538" s="263"/>
      <c r="AA538" s="263"/>
      <c r="AB538" s="263"/>
      <c r="AC538" s="263"/>
      <c r="AD538" s="263"/>
      <c r="AE538" s="263"/>
      <c r="AF538" s="263"/>
      <c r="AG538" s="263"/>
      <c r="AH538" s="263"/>
      <c r="AI538" s="263"/>
      <c r="AJ538" s="259"/>
      <c r="AK538" s="263">
        <f t="shared" si="247"/>
        <v>0</v>
      </c>
      <c r="AL538" s="265">
        <f t="shared" si="257"/>
        <v>52</v>
      </c>
      <c r="AM538" s="6">
        <f t="shared" si="248"/>
        <v>0</v>
      </c>
      <c r="AN538" s="255" t="str">
        <f t="shared" si="258"/>
        <v/>
      </c>
      <c r="AO538" s="256" t="str">
        <f t="shared" si="259"/>
        <v/>
      </c>
      <c r="AP538" s="257" t="str">
        <f t="shared" si="260"/>
        <v/>
      </c>
      <c r="AQ538" s="263">
        <f t="shared" si="249"/>
        <v>0</v>
      </c>
      <c r="AR538" s="263">
        <f t="shared" si="250"/>
        <v>0</v>
      </c>
      <c r="AS538" s="263">
        <f t="shared" si="251"/>
        <v>0</v>
      </c>
      <c r="AT538" s="263">
        <f t="shared" si="252"/>
        <v>0</v>
      </c>
      <c r="AU538" s="263"/>
      <c r="AV538" s="263"/>
      <c r="AW538" s="263"/>
      <c r="AX538" s="263">
        <f t="shared" si="253"/>
        <v>0</v>
      </c>
      <c r="BA538" s="282">
        <f t="shared" si="261"/>
        <v>0</v>
      </c>
      <c r="BB538">
        <v>1</v>
      </c>
      <c r="BC538">
        <f t="shared" si="254"/>
        <v>0</v>
      </c>
      <c r="BD538">
        <f t="shared" si="262"/>
        <v>0</v>
      </c>
      <c r="BE538">
        <f t="shared" si="263"/>
        <v>0</v>
      </c>
      <c r="BF538" s="281" t="e">
        <f t="shared" si="255"/>
        <v>#DIV/0!</v>
      </c>
      <c r="BG538" s="282"/>
      <c r="BH538" s="283"/>
    </row>
    <row r="539" spans="4:60" x14ac:dyDescent="0.3">
      <c r="D539" s="14"/>
      <c r="E539" s="7"/>
      <c r="F539" s="7"/>
      <c r="G539" s="66"/>
      <c r="H539" s="59"/>
      <c r="I539" s="59"/>
      <c r="J539" s="47">
        <f t="shared" ref="J539:J547" si="265">I539+H539</f>
        <v>0</v>
      </c>
      <c r="K539" s="8">
        <f t="shared" ref="K539:K547" si="266">IFERROR(J539-E539-F539-G539,"")</f>
        <v>0</v>
      </c>
      <c r="L539" s="96"/>
      <c r="M539" s="81"/>
      <c r="N539" s="8">
        <v>153</v>
      </c>
      <c r="O539" s="8">
        <v>60</v>
      </c>
      <c r="P539" s="96" t="str">
        <f t="shared" si="264"/>
        <v/>
      </c>
      <c r="Q539" s="59">
        <f t="shared" ref="Q539:Q547" si="267">M539</f>
        <v>0</v>
      </c>
      <c r="R539" s="252">
        <f t="shared" si="256"/>
        <v>0</v>
      </c>
      <c r="S539" s="263"/>
      <c r="T539" s="263"/>
      <c r="U539" s="263"/>
      <c r="V539" s="263"/>
      <c r="W539" s="263"/>
      <c r="X539" s="263"/>
      <c r="Y539" s="263"/>
      <c r="Z539" s="263"/>
      <c r="AA539" s="263"/>
      <c r="AB539" s="263"/>
      <c r="AC539" s="263"/>
      <c r="AD539" s="263"/>
      <c r="AE539" s="263"/>
      <c r="AF539" s="263"/>
      <c r="AG539" s="263"/>
      <c r="AH539" s="263"/>
      <c r="AI539" s="263"/>
      <c r="AJ539" s="259"/>
      <c r="AK539" s="263">
        <f t="shared" ref="AK539:AK553" si="268">+AD539+AE539+AF539+AG539+AH539+AI539</f>
        <v>0</v>
      </c>
      <c r="AL539" s="265">
        <f t="shared" si="257"/>
        <v>52</v>
      </c>
      <c r="AM539" s="6">
        <f t="shared" ref="AM539:AM553" si="269">AK539</f>
        <v>0</v>
      </c>
      <c r="AN539" s="255" t="str">
        <f t="shared" si="258"/>
        <v/>
      </c>
      <c r="AO539" s="256" t="str">
        <f t="shared" si="259"/>
        <v/>
      </c>
      <c r="AP539" s="257" t="str">
        <f t="shared" si="260"/>
        <v/>
      </c>
      <c r="AQ539" s="263">
        <f t="shared" ref="AQ539:AQ546" si="270">+AB539*0.2</f>
        <v>0</v>
      </c>
      <c r="AR539" s="263">
        <f t="shared" ref="AR539:AR546" si="271">+AC539*0.2</f>
        <v>0</v>
      </c>
      <c r="AS539" s="263">
        <f t="shared" ref="AS539:AS546" si="272">+AD539*0.1</f>
        <v>0</v>
      </c>
      <c r="AT539" s="263">
        <f t="shared" ref="AT539:AT546" si="273">SUM(AQ539:AS539)</f>
        <v>0</v>
      </c>
      <c r="AU539" s="263"/>
      <c r="AV539" s="263"/>
      <c r="AW539" s="263"/>
      <c r="AX539" s="263">
        <f t="shared" ref="AX539:AX546" si="274">+AW539+AU539+AT539+AV539</f>
        <v>0</v>
      </c>
      <c r="BA539" s="282">
        <f t="shared" si="261"/>
        <v>0</v>
      </c>
      <c r="BB539">
        <v>1</v>
      </c>
      <c r="BC539">
        <f t="shared" ref="BC539:BC554" si="275">IFERROR(BA539*BB539,"")</f>
        <v>0</v>
      </c>
      <c r="BD539">
        <f t="shared" si="262"/>
        <v>0</v>
      </c>
      <c r="BE539">
        <f t="shared" si="263"/>
        <v>0</v>
      </c>
      <c r="BF539" s="281" t="e">
        <f t="shared" ref="BF539:BF554" si="276">BC539/BE539</f>
        <v>#DIV/0!</v>
      </c>
      <c r="BG539" s="282"/>
      <c r="BH539" s="283"/>
    </row>
    <row r="540" spans="4:60" x14ac:dyDescent="0.3">
      <c r="D540" s="14"/>
      <c r="E540" s="7"/>
      <c r="F540" s="7"/>
      <c r="G540" s="66"/>
      <c r="H540" s="59"/>
      <c r="I540" s="59"/>
      <c r="J540" s="47">
        <f t="shared" si="265"/>
        <v>0</v>
      </c>
      <c r="K540" s="8">
        <f t="shared" si="266"/>
        <v>0</v>
      </c>
      <c r="L540" s="96"/>
      <c r="M540" s="81"/>
      <c r="N540" s="8">
        <v>153</v>
      </c>
      <c r="O540" s="8">
        <v>60</v>
      </c>
      <c r="P540" s="96" t="str">
        <f t="shared" si="264"/>
        <v/>
      </c>
      <c r="Q540" s="59">
        <f t="shared" si="267"/>
        <v>0</v>
      </c>
      <c r="R540" s="252">
        <f t="shared" si="256"/>
        <v>0</v>
      </c>
      <c r="S540" s="263"/>
      <c r="T540" s="263"/>
      <c r="U540" s="263"/>
      <c r="V540" s="263"/>
      <c r="W540" s="263"/>
      <c r="X540" s="263"/>
      <c r="Y540" s="263"/>
      <c r="Z540" s="263"/>
      <c r="AA540" s="263"/>
      <c r="AB540" s="263"/>
      <c r="AC540" s="263"/>
      <c r="AD540" s="263"/>
      <c r="AE540" s="263"/>
      <c r="AF540" s="263"/>
      <c r="AG540" s="263"/>
      <c r="AH540" s="263"/>
      <c r="AI540" s="263"/>
      <c r="AJ540" s="259"/>
      <c r="AK540" s="263">
        <f t="shared" si="268"/>
        <v>0</v>
      </c>
      <c r="AL540" s="265">
        <f t="shared" si="257"/>
        <v>52</v>
      </c>
      <c r="AM540" s="6">
        <f t="shared" si="269"/>
        <v>0</v>
      </c>
      <c r="AN540" s="255" t="str">
        <f t="shared" si="258"/>
        <v/>
      </c>
      <c r="AO540" s="256" t="str">
        <f t="shared" si="259"/>
        <v/>
      </c>
      <c r="AP540" s="257" t="str">
        <f t="shared" si="260"/>
        <v/>
      </c>
      <c r="AQ540" s="263">
        <f t="shared" si="270"/>
        <v>0</v>
      </c>
      <c r="AR540" s="263">
        <f t="shared" si="271"/>
        <v>0</v>
      </c>
      <c r="AS540" s="263">
        <f t="shared" si="272"/>
        <v>0</v>
      </c>
      <c r="AT540" s="263">
        <f t="shared" si="273"/>
        <v>0</v>
      </c>
      <c r="AU540" s="263"/>
      <c r="AV540" s="263"/>
      <c r="AW540" s="263"/>
      <c r="AX540" s="263">
        <f t="shared" si="274"/>
        <v>0</v>
      </c>
      <c r="BA540" s="282">
        <f t="shared" si="261"/>
        <v>0</v>
      </c>
      <c r="BB540">
        <v>1</v>
      </c>
      <c r="BC540">
        <f t="shared" si="275"/>
        <v>0</v>
      </c>
      <c r="BD540">
        <f t="shared" si="262"/>
        <v>0</v>
      </c>
      <c r="BE540">
        <f t="shared" si="263"/>
        <v>0</v>
      </c>
      <c r="BF540" s="281" t="e">
        <f t="shared" si="276"/>
        <v>#DIV/0!</v>
      </c>
      <c r="BG540" s="282"/>
      <c r="BH540" s="283"/>
    </row>
    <row r="541" spans="4:60" x14ac:dyDescent="0.3">
      <c r="D541" s="14"/>
      <c r="E541" s="7"/>
      <c r="F541" s="7"/>
      <c r="G541" s="66"/>
      <c r="H541" s="59"/>
      <c r="I541" s="59"/>
      <c r="J541" s="47">
        <f t="shared" si="265"/>
        <v>0</v>
      </c>
      <c r="K541" s="8">
        <f t="shared" si="266"/>
        <v>0</v>
      </c>
      <c r="L541" s="96"/>
      <c r="M541" s="81"/>
      <c r="N541" s="8">
        <v>153</v>
      </c>
      <c r="O541" s="8">
        <v>60</v>
      </c>
      <c r="P541" s="96" t="str">
        <f t="shared" si="264"/>
        <v/>
      </c>
      <c r="Q541" s="59">
        <f t="shared" si="267"/>
        <v>0</v>
      </c>
      <c r="R541" s="252">
        <f t="shared" si="256"/>
        <v>0</v>
      </c>
      <c r="S541" s="263"/>
      <c r="T541" s="263"/>
      <c r="U541" s="263"/>
      <c r="V541" s="263"/>
      <c r="W541" s="263"/>
      <c r="X541" s="263"/>
      <c r="Y541" s="263"/>
      <c r="Z541" s="263"/>
      <c r="AA541" s="263"/>
      <c r="AB541" s="263"/>
      <c r="AC541" s="263"/>
      <c r="AD541" s="263"/>
      <c r="AE541" s="263"/>
      <c r="AF541" s="263"/>
      <c r="AG541" s="263"/>
      <c r="AH541" s="263"/>
      <c r="AI541" s="263"/>
      <c r="AJ541" s="259"/>
      <c r="AK541" s="263">
        <f t="shared" si="268"/>
        <v>0</v>
      </c>
      <c r="AL541" s="265">
        <f t="shared" si="257"/>
        <v>52</v>
      </c>
      <c r="AM541" s="6">
        <f t="shared" si="269"/>
        <v>0</v>
      </c>
      <c r="AN541" s="255" t="str">
        <f t="shared" si="258"/>
        <v/>
      </c>
      <c r="AO541" s="256" t="str">
        <f t="shared" si="259"/>
        <v/>
      </c>
      <c r="AP541" s="257" t="str">
        <f t="shared" si="260"/>
        <v/>
      </c>
      <c r="AQ541" s="263">
        <f t="shared" si="270"/>
        <v>0</v>
      </c>
      <c r="AR541" s="263">
        <f t="shared" si="271"/>
        <v>0</v>
      </c>
      <c r="AS541" s="263">
        <f t="shared" si="272"/>
        <v>0</v>
      </c>
      <c r="AT541" s="263">
        <f t="shared" si="273"/>
        <v>0</v>
      </c>
      <c r="AU541" s="263"/>
      <c r="AV541" s="263"/>
      <c r="AW541" s="263"/>
      <c r="AX541" s="263">
        <f t="shared" si="274"/>
        <v>0</v>
      </c>
      <c r="BA541" s="282">
        <f t="shared" si="261"/>
        <v>0</v>
      </c>
      <c r="BB541">
        <v>1</v>
      </c>
      <c r="BC541">
        <f t="shared" si="275"/>
        <v>0</v>
      </c>
      <c r="BD541">
        <f t="shared" si="262"/>
        <v>0</v>
      </c>
      <c r="BE541">
        <f t="shared" si="263"/>
        <v>0</v>
      </c>
      <c r="BF541" s="281" t="e">
        <f t="shared" si="276"/>
        <v>#DIV/0!</v>
      </c>
      <c r="BG541" s="282"/>
      <c r="BH541" s="283"/>
    </row>
    <row r="542" spans="4:60" x14ac:dyDescent="0.3">
      <c r="D542" s="14"/>
      <c r="E542" s="7"/>
      <c r="F542" s="7"/>
      <c r="G542" s="66"/>
      <c r="H542" s="59"/>
      <c r="I542" s="59"/>
      <c r="J542" s="47">
        <f t="shared" si="265"/>
        <v>0</v>
      </c>
      <c r="K542" s="8">
        <f t="shared" si="266"/>
        <v>0</v>
      </c>
      <c r="L542" s="96"/>
      <c r="M542" s="81"/>
      <c r="N542" s="8">
        <v>153</v>
      </c>
      <c r="O542" s="8">
        <v>60</v>
      </c>
      <c r="P542" s="96" t="str">
        <f t="shared" si="264"/>
        <v/>
      </c>
      <c r="Q542" s="59">
        <f t="shared" si="267"/>
        <v>0</v>
      </c>
      <c r="R542" s="252">
        <f t="shared" si="256"/>
        <v>0</v>
      </c>
      <c r="S542" s="263"/>
      <c r="T542" s="263"/>
      <c r="U542" s="263"/>
      <c r="V542" s="263"/>
      <c r="W542" s="263"/>
      <c r="X542" s="263"/>
      <c r="Y542" s="263"/>
      <c r="Z542" s="263"/>
      <c r="AA542" s="263"/>
      <c r="AB542" s="263"/>
      <c r="AC542" s="263"/>
      <c r="AD542" s="263"/>
      <c r="AE542" s="263"/>
      <c r="AF542" s="263"/>
      <c r="AG542" s="263"/>
      <c r="AH542" s="263"/>
      <c r="AI542" s="263"/>
      <c r="AJ542" s="259"/>
      <c r="AK542" s="263">
        <f t="shared" si="268"/>
        <v>0</v>
      </c>
      <c r="AL542" s="265">
        <f t="shared" si="257"/>
        <v>52</v>
      </c>
      <c r="AM542" s="6">
        <f t="shared" si="269"/>
        <v>0</v>
      </c>
      <c r="AN542" s="255" t="str">
        <f t="shared" si="258"/>
        <v/>
      </c>
      <c r="AO542" s="256" t="str">
        <f t="shared" si="259"/>
        <v/>
      </c>
      <c r="AP542" s="257" t="str">
        <f t="shared" si="260"/>
        <v/>
      </c>
      <c r="AQ542" s="263">
        <f t="shared" si="270"/>
        <v>0</v>
      </c>
      <c r="AR542" s="263">
        <f t="shared" si="271"/>
        <v>0</v>
      </c>
      <c r="AS542" s="263">
        <f t="shared" si="272"/>
        <v>0</v>
      </c>
      <c r="AT542" s="263">
        <f t="shared" si="273"/>
        <v>0</v>
      </c>
      <c r="AU542" s="263"/>
      <c r="AV542" s="263"/>
      <c r="AW542" s="263"/>
      <c r="AX542" s="263">
        <f t="shared" si="274"/>
        <v>0</v>
      </c>
      <c r="BA542" s="282">
        <f t="shared" si="261"/>
        <v>0</v>
      </c>
      <c r="BB542">
        <v>1</v>
      </c>
      <c r="BC542">
        <f t="shared" si="275"/>
        <v>0</v>
      </c>
      <c r="BD542">
        <f t="shared" si="262"/>
        <v>0</v>
      </c>
      <c r="BE542">
        <f t="shared" si="263"/>
        <v>0</v>
      </c>
      <c r="BF542" s="281" t="e">
        <f t="shared" si="276"/>
        <v>#DIV/0!</v>
      </c>
      <c r="BG542" s="282"/>
      <c r="BH542" s="283"/>
    </row>
    <row r="543" spans="4:60" x14ac:dyDescent="0.3">
      <c r="D543" s="14"/>
      <c r="E543" s="7"/>
      <c r="F543" s="7"/>
      <c r="G543" s="66"/>
      <c r="H543" s="59"/>
      <c r="I543" s="59"/>
      <c r="J543" s="47">
        <f t="shared" si="265"/>
        <v>0</v>
      </c>
      <c r="K543" s="8">
        <f t="shared" si="266"/>
        <v>0</v>
      </c>
      <c r="L543" s="96"/>
      <c r="M543" s="81"/>
      <c r="N543" s="8">
        <v>153</v>
      </c>
      <c r="O543" s="8">
        <v>60</v>
      </c>
      <c r="P543" s="96" t="str">
        <f t="shared" si="264"/>
        <v/>
      </c>
      <c r="Q543" s="59">
        <f t="shared" si="267"/>
        <v>0</v>
      </c>
      <c r="R543" s="252">
        <f t="shared" si="256"/>
        <v>0</v>
      </c>
      <c r="S543" s="263"/>
      <c r="T543" s="263"/>
      <c r="U543" s="263"/>
      <c r="V543" s="263"/>
      <c r="W543" s="263"/>
      <c r="X543" s="263"/>
      <c r="Y543" s="263"/>
      <c r="Z543" s="263"/>
      <c r="AA543" s="263"/>
      <c r="AB543" s="263"/>
      <c r="AC543" s="263"/>
      <c r="AD543" s="263"/>
      <c r="AE543" s="263"/>
      <c r="AF543" s="263"/>
      <c r="AG543" s="263"/>
      <c r="AH543" s="263"/>
      <c r="AI543" s="263"/>
      <c r="AJ543" s="259"/>
      <c r="AK543" s="263">
        <f t="shared" si="268"/>
        <v>0</v>
      </c>
      <c r="AL543" s="265">
        <f t="shared" si="257"/>
        <v>52</v>
      </c>
      <c r="AM543" s="6">
        <f t="shared" si="269"/>
        <v>0</v>
      </c>
      <c r="AN543" s="255" t="str">
        <f t="shared" si="258"/>
        <v/>
      </c>
      <c r="AO543" s="256" t="str">
        <f t="shared" si="259"/>
        <v/>
      </c>
      <c r="AP543" s="257" t="str">
        <f t="shared" si="260"/>
        <v/>
      </c>
      <c r="AQ543" s="263">
        <f t="shared" si="270"/>
        <v>0</v>
      </c>
      <c r="AR543" s="263">
        <f t="shared" si="271"/>
        <v>0</v>
      </c>
      <c r="AS543" s="263">
        <f t="shared" si="272"/>
        <v>0</v>
      </c>
      <c r="AT543" s="263">
        <f t="shared" si="273"/>
        <v>0</v>
      </c>
      <c r="AU543" s="263"/>
      <c r="AV543" s="263"/>
      <c r="AW543" s="263"/>
      <c r="AX543" s="263">
        <f t="shared" si="274"/>
        <v>0</v>
      </c>
      <c r="BA543" s="282">
        <f t="shared" si="261"/>
        <v>0</v>
      </c>
      <c r="BB543">
        <v>1</v>
      </c>
      <c r="BC543">
        <f t="shared" si="275"/>
        <v>0</v>
      </c>
      <c r="BD543">
        <f t="shared" si="262"/>
        <v>0</v>
      </c>
      <c r="BE543">
        <f t="shared" si="263"/>
        <v>0</v>
      </c>
      <c r="BF543" s="281" t="e">
        <f t="shared" si="276"/>
        <v>#DIV/0!</v>
      </c>
      <c r="BG543" s="282"/>
      <c r="BH543" s="283"/>
    </row>
    <row r="544" spans="4:60" x14ac:dyDescent="0.3">
      <c r="D544" s="14"/>
      <c r="E544" s="7"/>
      <c r="F544" s="7"/>
      <c r="G544" s="66"/>
      <c r="H544" s="59"/>
      <c r="I544" s="59"/>
      <c r="J544" s="47">
        <f t="shared" si="265"/>
        <v>0</v>
      </c>
      <c r="K544" s="8">
        <f t="shared" si="266"/>
        <v>0</v>
      </c>
      <c r="L544" s="96"/>
      <c r="M544" s="81"/>
      <c r="N544" s="8">
        <v>153</v>
      </c>
      <c r="O544" s="8">
        <v>60</v>
      </c>
      <c r="P544" s="96" t="str">
        <f t="shared" si="264"/>
        <v/>
      </c>
      <c r="Q544" s="59">
        <f t="shared" si="267"/>
        <v>0</v>
      </c>
      <c r="R544" s="252">
        <f t="shared" si="256"/>
        <v>0</v>
      </c>
      <c r="S544" s="263"/>
      <c r="T544" s="263"/>
      <c r="U544" s="263"/>
      <c r="V544" s="263"/>
      <c r="W544" s="263"/>
      <c r="X544" s="263"/>
      <c r="Y544" s="263"/>
      <c r="Z544" s="263"/>
      <c r="AA544" s="263"/>
      <c r="AB544" s="263"/>
      <c r="AC544" s="263"/>
      <c r="AD544" s="263"/>
      <c r="AE544" s="263"/>
      <c r="AF544" s="263"/>
      <c r="AG544" s="263"/>
      <c r="AH544" s="263"/>
      <c r="AI544" s="263"/>
      <c r="AJ544" s="259"/>
      <c r="AK544" s="263">
        <f t="shared" si="268"/>
        <v>0</v>
      </c>
      <c r="AL544" s="265">
        <f t="shared" si="257"/>
        <v>52</v>
      </c>
      <c r="AM544" s="6">
        <f t="shared" si="269"/>
        <v>0</v>
      </c>
      <c r="AN544" s="255" t="str">
        <f t="shared" si="258"/>
        <v/>
      </c>
      <c r="AO544" s="256" t="str">
        <f t="shared" si="259"/>
        <v/>
      </c>
      <c r="AP544" s="257" t="str">
        <f t="shared" si="260"/>
        <v/>
      </c>
      <c r="AQ544" s="263">
        <f t="shared" si="270"/>
        <v>0</v>
      </c>
      <c r="AR544" s="263">
        <f t="shared" si="271"/>
        <v>0</v>
      </c>
      <c r="AS544" s="263">
        <f t="shared" si="272"/>
        <v>0</v>
      </c>
      <c r="AT544" s="263">
        <f t="shared" si="273"/>
        <v>0</v>
      </c>
      <c r="AU544" s="263"/>
      <c r="AV544" s="263"/>
      <c r="AW544" s="263"/>
      <c r="AX544" s="263">
        <f t="shared" si="274"/>
        <v>0</v>
      </c>
      <c r="BA544" s="282">
        <f t="shared" si="261"/>
        <v>0</v>
      </c>
      <c r="BB544">
        <v>1</v>
      </c>
      <c r="BC544">
        <f t="shared" si="275"/>
        <v>0</v>
      </c>
      <c r="BD544">
        <f t="shared" si="262"/>
        <v>0</v>
      </c>
      <c r="BE544">
        <f t="shared" si="263"/>
        <v>0</v>
      </c>
      <c r="BF544" s="281" t="e">
        <f t="shared" si="276"/>
        <v>#DIV/0!</v>
      </c>
      <c r="BG544" s="282"/>
      <c r="BH544" s="283"/>
    </row>
    <row r="545" spans="1:60" x14ac:dyDescent="0.3">
      <c r="D545" s="14"/>
      <c r="E545" s="7"/>
      <c r="F545" s="7"/>
      <c r="G545" s="66"/>
      <c r="H545" s="59"/>
      <c r="I545" s="59"/>
      <c r="J545" s="47">
        <f t="shared" si="265"/>
        <v>0</v>
      </c>
      <c r="K545" s="8">
        <f t="shared" si="266"/>
        <v>0</v>
      </c>
      <c r="L545" s="96"/>
      <c r="M545" s="81"/>
      <c r="N545" s="8">
        <v>153</v>
      </c>
      <c r="O545" s="8">
        <v>60</v>
      </c>
      <c r="P545" s="96" t="str">
        <f t="shared" si="264"/>
        <v/>
      </c>
      <c r="Q545" s="59">
        <f t="shared" si="267"/>
        <v>0</v>
      </c>
      <c r="R545" s="252">
        <f t="shared" si="256"/>
        <v>0</v>
      </c>
      <c r="S545" s="263"/>
      <c r="T545" s="263"/>
      <c r="U545" s="263"/>
      <c r="V545" s="263"/>
      <c r="W545" s="263"/>
      <c r="X545" s="263"/>
      <c r="Y545" s="263"/>
      <c r="Z545" s="263"/>
      <c r="AA545" s="263"/>
      <c r="AB545" s="263"/>
      <c r="AC545" s="263"/>
      <c r="AD545" s="263"/>
      <c r="AE545" s="263"/>
      <c r="AF545" s="263"/>
      <c r="AG545" s="263"/>
      <c r="AH545" s="263"/>
      <c r="AI545" s="263"/>
      <c r="AJ545" s="259"/>
      <c r="AK545" s="263">
        <f t="shared" si="268"/>
        <v>0</v>
      </c>
      <c r="AL545" s="265">
        <f t="shared" si="257"/>
        <v>52</v>
      </c>
      <c r="AM545" s="6">
        <f t="shared" si="269"/>
        <v>0</v>
      </c>
      <c r="AN545" s="255" t="str">
        <f t="shared" si="258"/>
        <v/>
      </c>
      <c r="AO545" s="256" t="str">
        <f t="shared" si="259"/>
        <v/>
      </c>
      <c r="AP545" s="257" t="str">
        <f t="shared" si="260"/>
        <v/>
      </c>
      <c r="AQ545" s="263">
        <f t="shared" si="270"/>
        <v>0</v>
      </c>
      <c r="AR545" s="263">
        <f t="shared" si="271"/>
        <v>0</v>
      </c>
      <c r="AS545" s="263">
        <f t="shared" si="272"/>
        <v>0</v>
      </c>
      <c r="AT545" s="263">
        <f t="shared" si="273"/>
        <v>0</v>
      </c>
      <c r="AU545" s="263"/>
      <c r="AV545" s="263"/>
      <c r="AW545" s="263"/>
      <c r="AX545" s="263">
        <f t="shared" si="274"/>
        <v>0</v>
      </c>
      <c r="BA545" s="282">
        <f t="shared" si="261"/>
        <v>0</v>
      </c>
      <c r="BB545">
        <v>1</v>
      </c>
      <c r="BC545">
        <f t="shared" si="275"/>
        <v>0</v>
      </c>
      <c r="BD545">
        <f t="shared" si="262"/>
        <v>0</v>
      </c>
      <c r="BE545">
        <f t="shared" si="263"/>
        <v>0</v>
      </c>
      <c r="BF545" s="281" t="e">
        <f t="shared" si="276"/>
        <v>#DIV/0!</v>
      </c>
      <c r="BG545" s="282"/>
      <c r="BH545" s="283"/>
    </row>
    <row r="546" spans="1:60" x14ac:dyDescent="0.3">
      <c r="D546" s="14"/>
      <c r="E546" s="7"/>
      <c r="F546" s="7"/>
      <c r="G546" s="66"/>
      <c r="H546" s="59"/>
      <c r="I546" s="59"/>
      <c r="J546" s="47">
        <f t="shared" si="265"/>
        <v>0</v>
      </c>
      <c r="K546" s="8">
        <f t="shared" si="266"/>
        <v>0</v>
      </c>
      <c r="L546" s="96"/>
      <c r="M546" s="81"/>
      <c r="N546" s="8">
        <v>153</v>
      </c>
      <c r="O546" s="8">
        <v>60</v>
      </c>
      <c r="P546" s="96" t="str">
        <f t="shared" si="264"/>
        <v/>
      </c>
      <c r="Q546" s="59">
        <f t="shared" si="267"/>
        <v>0</v>
      </c>
      <c r="R546" s="252">
        <f t="shared" si="256"/>
        <v>0</v>
      </c>
      <c r="S546" s="263"/>
      <c r="T546" s="263"/>
      <c r="U546" s="263"/>
      <c r="V546" s="263"/>
      <c r="W546" s="263"/>
      <c r="X546" s="263"/>
      <c r="Y546" s="263"/>
      <c r="Z546" s="263"/>
      <c r="AA546" s="263"/>
      <c r="AB546" s="263"/>
      <c r="AC546" s="263"/>
      <c r="AD546" s="263"/>
      <c r="AE546" s="263"/>
      <c r="AF546" s="263"/>
      <c r="AG546" s="263"/>
      <c r="AH546" s="263"/>
      <c r="AI546" s="263"/>
      <c r="AJ546" s="259"/>
      <c r="AK546" s="263">
        <f t="shared" si="268"/>
        <v>0</v>
      </c>
      <c r="AL546" s="265">
        <f t="shared" si="257"/>
        <v>52</v>
      </c>
      <c r="AM546" s="6">
        <f t="shared" si="269"/>
        <v>0</v>
      </c>
      <c r="AN546" s="255" t="str">
        <f t="shared" si="258"/>
        <v/>
      </c>
      <c r="AO546" s="256" t="str">
        <f t="shared" si="259"/>
        <v/>
      </c>
      <c r="AP546" s="257" t="str">
        <f t="shared" si="260"/>
        <v/>
      </c>
      <c r="AQ546" s="263">
        <f t="shared" si="270"/>
        <v>0</v>
      </c>
      <c r="AR546" s="263">
        <f t="shared" si="271"/>
        <v>0</v>
      </c>
      <c r="AS546" s="263">
        <f t="shared" si="272"/>
        <v>0</v>
      </c>
      <c r="AT546" s="263">
        <f t="shared" si="273"/>
        <v>0</v>
      </c>
      <c r="AU546" s="263"/>
      <c r="AV546" s="263"/>
      <c r="AW546" s="263"/>
      <c r="AX546" s="263">
        <f t="shared" si="274"/>
        <v>0</v>
      </c>
      <c r="BA546" s="282">
        <f t="shared" si="261"/>
        <v>0</v>
      </c>
      <c r="BB546">
        <v>1</v>
      </c>
      <c r="BC546">
        <f t="shared" si="275"/>
        <v>0</v>
      </c>
      <c r="BD546">
        <f t="shared" si="262"/>
        <v>0</v>
      </c>
      <c r="BE546">
        <f t="shared" si="263"/>
        <v>0</v>
      </c>
      <c r="BF546" s="281" t="e">
        <f t="shared" si="276"/>
        <v>#DIV/0!</v>
      </c>
      <c r="BG546" s="282"/>
      <c r="BH546" s="283"/>
    </row>
    <row r="547" spans="1:60" x14ac:dyDescent="0.3">
      <c r="A547">
        <f>+A390+1</f>
        <v>388</v>
      </c>
      <c r="D547" s="14"/>
      <c r="E547" s="7"/>
      <c r="F547" s="7"/>
      <c r="G547" s="66"/>
      <c r="H547" s="59"/>
      <c r="I547" s="59"/>
      <c r="J547" s="47">
        <f t="shared" si="265"/>
        <v>0</v>
      </c>
      <c r="K547" s="8">
        <f t="shared" si="266"/>
        <v>0</v>
      </c>
      <c r="L547" s="96" t="str">
        <f t="shared" si="195"/>
        <v/>
      </c>
      <c r="M547" s="81"/>
      <c r="N547" s="8">
        <v>153</v>
      </c>
      <c r="O547" s="8">
        <v>60</v>
      </c>
      <c r="P547" s="96" t="str">
        <f t="shared" si="264"/>
        <v/>
      </c>
      <c r="Q547" s="59">
        <f t="shared" si="267"/>
        <v>0</v>
      </c>
      <c r="R547" s="252">
        <f t="shared" si="256"/>
        <v>0</v>
      </c>
      <c r="S547" s="263"/>
      <c r="T547" s="263"/>
      <c r="U547" s="263"/>
      <c r="V547" s="263"/>
      <c r="W547" s="263"/>
      <c r="X547" s="263"/>
      <c r="Y547" s="263"/>
      <c r="Z547" s="263"/>
      <c r="AA547" s="263"/>
      <c r="AB547" s="263"/>
      <c r="AC547" s="263"/>
      <c r="AD547" s="263"/>
      <c r="AE547" s="263"/>
      <c r="AF547" s="263"/>
      <c r="AG547" s="263"/>
      <c r="AH547" s="263"/>
      <c r="AI547" s="263"/>
      <c r="AJ547" s="259"/>
      <c r="AK547" s="263">
        <f t="shared" si="268"/>
        <v>0</v>
      </c>
      <c r="AL547" s="265">
        <f t="shared" si="257"/>
        <v>52</v>
      </c>
      <c r="AM547" s="6">
        <f t="shared" si="269"/>
        <v>0</v>
      </c>
      <c r="AN547" s="255" t="str">
        <f t="shared" si="258"/>
        <v/>
      </c>
      <c r="AO547" s="256" t="str">
        <f t="shared" si="259"/>
        <v/>
      </c>
      <c r="AP547" s="257" t="str">
        <f t="shared" si="260"/>
        <v/>
      </c>
      <c r="AQ547" s="263">
        <f t="shared" ref="AQ547:AR554" si="277">+AB547*0.2</f>
        <v>0</v>
      </c>
      <c r="AR547" s="263">
        <f t="shared" si="277"/>
        <v>0</v>
      </c>
      <c r="AS547" s="263">
        <f t="shared" si="238"/>
        <v>0</v>
      </c>
      <c r="AT547" s="263">
        <f t="shared" si="239"/>
        <v>0</v>
      </c>
      <c r="AU547" s="263"/>
      <c r="AV547" s="263"/>
      <c r="AW547" s="263"/>
      <c r="AX547" s="263">
        <f t="shared" si="202"/>
        <v>0</v>
      </c>
      <c r="BA547" s="282">
        <f t="shared" si="261"/>
        <v>0</v>
      </c>
      <c r="BB547">
        <v>1</v>
      </c>
      <c r="BC547">
        <f t="shared" si="275"/>
        <v>0</v>
      </c>
      <c r="BD547">
        <f t="shared" si="262"/>
        <v>0</v>
      </c>
      <c r="BE547">
        <f t="shared" si="263"/>
        <v>0</v>
      </c>
      <c r="BF547" s="281" t="e">
        <f t="shared" si="276"/>
        <v>#DIV/0!</v>
      </c>
      <c r="BG547" s="282"/>
      <c r="BH547" s="283"/>
    </row>
    <row r="548" spans="1:60" x14ac:dyDescent="0.3">
      <c r="A548">
        <f t="shared" si="136"/>
        <v>389</v>
      </c>
      <c r="D548" s="14"/>
      <c r="E548" s="7"/>
      <c r="F548" s="7"/>
      <c r="G548" s="66"/>
      <c r="H548" s="59"/>
      <c r="I548" s="59"/>
      <c r="J548" s="47">
        <f t="shared" si="193"/>
        <v>0</v>
      </c>
      <c r="K548" s="8">
        <f t="shared" si="194"/>
        <v>0</v>
      </c>
      <c r="L548" s="96" t="str">
        <f t="shared" si="195"/>
        <v/>
      </c>
      <c r="M548" s="81"/>
      <c r="N548" s="8">
        <v>153</v>
      </c>
      <c r="O548" s="8">
        <v>60</v>
      </c>
      <c r="P548" s="96" t="str">
        <f t="shared" si="264"/>
        <v/>
      </c>
      <c r="Q548" s="59">
        <f t="shared" si="149"/>
        <v>0</v>
      </c>
      <c r="R548" s="252">
        <f t="shared" si="256"/>
        <v>0</v>
      </c>
      <c r="S548" s="263"/>
      <c r="T548" s="263"/>
      <c r="U548" s="263"/>
      <c r="V548" s="263"/>
      <c r="W548" s="263"/>
      <c r="X548" s="263"/>
      <c r="Y548" s="263"/>
      <c r="Z548" s="263"/>
      <c r="AA548" s="263"/>
      <c r="AB548" s="263"/>
      <c r="AC548" s="263"/>
      <c r="AD548" s="263"/>
      <c r="AE548" s="263"/>
      <c r="AF548" s="263"/>
      <c r="AG548" s="263"/>
      <c r="AH548" s="263"/>
      <c r="AI548" s="263"/>
      <c r="AJ548" s="259"/>
      <c r="AK548" s="263">
        <f t="shared" si="268"/>
        <v>0</v>
      </c>
      <c r="AL548" s="265">
        <f t="shared" si="257"/>
        <v>52</v>
      </c>
      <c r="AM548" s="6">
        <f t="shared" si="269"/>
        <v>0</v>
      </c>
      <c r="AN548" s="255" t="str">
        <f t="shared" si="258"/>
        <v/>
      </c>
      <c r="AO548" s="256" t="str">
        <f t="shared" si="259"/>
        <v/>
      </c>
      <c r="AP548" s="257" t="str">
        <f t="shared" si="260"/>
        <v/>
      </c>
      <c r="AQ548" s="263">
        <f t="shared" si="277"/>
        <v>0</v>
      </c>
      <c r="AR548" s="263">
        <f t="shared" si="277"/>
        <v>0</v>
      </c>
      <c r="AS548" s="263">
        <f t="shared" si="238"/>
        <v>0</v>
      </c>
      <c r="AT548" s="263">
        <f t="shared" si="239"/>
        <v>0</v>
      </c>
      <c r="AU548" s="263"/>
      <c r="AV548" s="263"/>
      <c r="AW548" s="263"/>
      <c r="AX548" s="263">
        <f t="shared" si="202"/>
        <v>0</v>
      </c>
      <c r="BA548" s="282">
        <f t="shared" si="261"/>
        <v>0</v>
      </c>
      <c r="BB548">
        <v>1</v>
      </c>
      <c r="BC548">
        <f t="shared" si="275"/>
        <v>0</v>
      </c>
      <c r="BD548">
        <f t="shared" si="262"/>
        <v>0</v>
      </c>
      <c r="BE548">
        <f t="shared" si="263"/>
        <v>0</v>
      </c>
      <c r="BF548" s="281" t="e">
        <f t="shared" si="276"/>
        <v>#DIV/0!</v>
      </c>
      <c r="BG548" s="282"/>
      <c r="BH548" s="283"/>
    </row>
    <row r="549" spans="1:60" x14ac:dyDescent="0.3">
      <c r="A549">
        <f t="shared" si="136"/>
        <v>390</v>
      </c>
      <c r="D549" s="14"/>
      <c r="E549" s="7"/>
      <c r="F549" s="7"/>
      <c r="G549" s="66"/>
      <c r="H549" s="59"/>
      <c r="I549" s="59"/>
      <c r="J549" s="47">
        <f t="shared" si="193"/>
        <v>0</v>
      </c>
      <c r="K549" s="8">
        <f t="shared" si="194"/>
        <v>0</v>
      </c>
      <c r="L549" s="96" t="str">
        <f t="shared" si="195"/>
        <v/>
      </c>
      <c r="M549" s="81"/>
      <c r="N549" s="8">
        <v>153</v>
      </c>
      <c r="O549" s="8">
        <v>60</v>
      </c>
      <c r="P549" s="96" t="str">
        <f t="shared" si="264"/>
        <v/>
      </c>
      <c r="Q549" s="59">
        <f t="shared" si="149"/>
        <v>0</v>
      </c>
      <c r="R549" s="252">
        <f t="shared" si="256"/>
        <v>0</v>
      </c>
      <c r="S549" s="263"/>
      <c r="T549" s="263"/>
      <c r="U549" s="263"/>
      <c r="V549" s="263"/>
      <c r="W549" s="263"/>
      <c r="X549" s="263"/>
      <c r="Y549" s="263"/>
      <c r="Z549" s="263"/>
      <c r="AA549" s="263"/>
      <c r="AB549" s="263"/>
      <c r="AC549" s="263"/>
      <c r="AD549" s="263"/>
      <c r="AE549" s="263"/>
      <c r="AF549" s="263"/>
      <c r="AG549" s="263"/>
      <c r="AH549" s="263"/>
      <c r="AI549" s="263"/>
      <c r="AJ549" s="259"/>
      <c r="AK549" s="263">
        <f t="shared" si="268"/>
        <v>0</v>
      </c>
      <c r="AL549" s="265">
        <f t="shared" si="257"/>
        <v>52</v>
      </c>
      <c r="AM549" s="6">
        <f t="shared" si="269"/>
        <v>0</v>
      </c>
      <c r="AN549" s="255" t="str">
        <f t="shared" si="258"/>
        <v/>
      </c>
      <c r="AO549" s="256" t="str">
        <f t="shared" si="259"/>
        <v/>
      </c>
      <c r="AP549" s="257" t="str">
        <f t="shared" si="260"/>
        <v/>
      </c>
      <c r="AQ549" s="263">
        <f t="shared" si="277"/>
        <v>0</v>
      </c>
      <c r="AR549" s="263">
        <f t="shared" si="277"/>
        <v>0</v>
      </c>
      <c r="AS549" s="263">
        <f t="shared" si="238"/>
        <v>0</v>
      </c>
      <c r="AT549" s="263">
        <f t="shared" si="239"/>
        <v>0</v>
      </c>
      <c r="AU549" s="263"/>
      <c r="AV549" s="263"/>
      <c r="AW549" s="263"/>
      <c r="AX549" s="263">
        <f t="shared" si="202"/>
        <v>0</v>
      </c>
      <c r="BA549" s="282">
        <f t="shared" si="261"/>
        <v>0</v>
      </c>
      <c r="BB549">
        <v>1</v>
      </c>
      <c r="BC549">
        <f t="shared" si="275"/>
        <v>0</v>
      </c>
      <c r="BD549">
        <f t="shared" si="262"/>
        <v>0</v>
      </c>
      <c r="BE549">
        <f t="shared" si="263"/>
        <v>0</v>
      </c>
      <c r="BF549" s="281" t="e">
        <f t="shared" si="276"/>
        <v>#DIV/0!</v>
      </c>
      <c r="BG549" s="282"/>
      <c r="BH549" s="283"/>
    </row>
    <row r="550" spans="1:60" x14ac:dyDescent="0.3">
      <c r="A550">
        <f t="shared" si="136"/>
        <v>391</v>
      </c>
      <c r="D550" s="14"/>
      <c r="E550" s="7"/>
      <c r="F550" s="7"/>
      <c r="G550" s="66"/>
      <c r="H550" s="59"/>
      <c r="I550" s="59"/>
      <c r="J550" s="47">
        <f t="shared" si="193"/>
        <v>0</v>
      </c>
      <c r="K550" s="8">
        <f t="shared" si="194"/>
        <v>0</v>
      </c>
      <c r="L550" s="96" t="str">
        <f t="shared" si="195"/>
        <v/>
      </c>
      <c r="M550" s="81"/>
      <c r="N550" s="8">
        <v>153</v>
      </c>
      <c r="O550" s="8">
        <v>60</v>
      </c>
      <c r="P550" s="96" t="str">
        <f t="shared" si="264"/>
        <v/>
      </c>
      <c r="Q550" s="59">
        <f t="shared" si="149"/>
        <v>0</v>
      </c>
      <c r="R550" s="252">
        <f t="shared" si="256"/>
        <v>0</v>
      </c>
      <c r="S550" s="263"/>
      <c r="T550" s="263"/>
      <c r="U550" s="263"/>
      <c r="V550" s="263"/>
      <c r="W550" s="263"/>
      <c r="X550" s="263"/>
      <c r="Y550" s="263"/>
      <c r="Z550" s="263"/>
      <c r="AA550" s="263"/>
      <c r="AB550" s="263"/>
      <c r="AC550" s="263"/>
      <c r="AD550" s="263"/>
      <c r="AE550" s="263"/>
      <c r="AF550" s="263"/>
      <c r="AG550" s="263"/>
      <c r="AH550" s="263"/>
      <c r="AI550" s="263"/>
      <c r="AJ550" s="259"/>
      <c r="AK550" s="263">
        <f t="shared" si="268"/>
        <v>0</v>
      </c>
      <c r="AL550" s="265">
        <f t="shared" si="257"/>
        <v>52</v>
      </c>
      <c r="AM550" s="6">
        <f t="shared" si="269"/>
        <v>0</v>
      </c>
      <c r="AN550" s="255" t="str">
        <f t="shared" si="258"/>
        <v/>
      </c>
      <c r="AO550" s="256" t="str">
        <f t="shared" si="259"/>
        <v/>
      </c>
      <c r="AP550" s="257" t="str">
        <f t="shared" si="260"/>
        <v/>
      </c>
      <c r="AQ550" s="263">
        <f t="shared" si="277"/>
        <v>0</v>
      </c>
      <c r="AR550" s="263">
        <f t="shared" si="277"/>
        <v>0</v>
      </c>
      <c r="AS550" s="263">
        <f t="shared" si="238"/>
        <v>0</v>
      </c>
      <c r="AT550" s="263">
        <f t="shared" si="239"/>
        <v>0</v>
      </c>
      <c r="AU550" s="263"/>
      <c r="AV550" s="263"/>
      <c r="AW550" s="263"/>
      <c r="AX550" s="263">
        <f t="shared" si="202"/>
        <v>0</v>
      </c>
      <c r="BA550" s="282">
        <f t="shared" si="261"/>
        <v>0</v>
      </c>
      <c r="BB550">
        <v>1</v>
      </c>
      <c r="BC550">
        <f t="shared" si="275"/>
        <v>0</v>
      </c>
      <c r="BD550">
        <f t="shared" si="262"/>
        <v>0</v>
      </c>
      <c r="BE550">
        <f t="shared" si="263"/>
        <v>0</v>
      </c>
      <c r="BF550" s="281" t="e">
        <f t="shared" si="276"/>
        <v>#DIV/0!</v>
      </c>
      <c r="BG550" s="282"/>
      <c r="BH550" s="283"/>
    </row>
    <row r="551" spans="1:60" x14ac:dyDescent="0.3">
      <c r="A551">
        <f t="shared" si="136"/>
        <v>392</v>
      </c>
      <c r="D551" s="14"/>
      <c r="E551" s="7"/>
      <c r="F551" s="7"/>
      <c r="G551" s="66"/>
      <c r="H551" s="59"/>
      <c r="I551" s="59"/>
      <c r="J551" s="47">
        <f t="shared" si="193"/>
        <v>0</v>
      </c>
      <c r="K551" s="8">
        <f t="shared" si="194"/>
        <v>0</v>
      </c>
      <c r="L551" s="96" t="str">
        <f t="shared" si="195"/>
        <v/>
      </c>
      <c r="M551" s="81"/>
      <c r="N551" s="8">
        <v>153</v>
      </c>
      <c r="O551" s="8">
        <v>60</v>
      </c>
      <c r="P551" s="96" t="str">
        <f t="shared" si="264"/>
        <v/>
      </c>
      <c r="Q551" s="59">
        <f t="shared" ref="Q551:Q554" si="278">M551</f>
        <v>0</v>
      </c>
      <c r="R551" s="252">
        <f t="shared" si="256"/>
        <v>0</v>
      </c>
      <c r="S551" s="263"/>
      <c r="T551" s="263"/>
      <c r="U551" s="263"/>
      <c r="V551" s="263"/>
      <c r="W551" s="263"/>
      <c r="X551" s="263"/>
      <c r="Y551" s="263"/>
      <c r="Z551" s="263"/>
      <c r="AA551" s="263"/>
      <c r="AB551" s="263"/>
      <c r="AC551" s="263"/>
      <c r="AD551" s="263"/>
      <c r="AE551" s="263"/>
      <c r="AF551" s="263"/>
      <c r="AG551" s="263"/>
      <c r="AH551" s="263"/>
      <c r="AI551" s="263"/>
      <c r="AJ551" s="259"/>
      <c r="AK551" s="263">
        <f t="shared" si="268"/>
        <v>0</v>
      </c>
      <c r="AL551" s="265">
        <f t="shared" si="257"/>
        <v>52</v>
      </c>
      <c r="AM551" s="6">
        <f t="shared" si="269"/>
        <v>0</v>
      </c>
      <c r="AN551" s="255" t="str">
        <f t="shared" si="258"/>
        <v/>
      </c>
      <c r="AO551" s="256" t="str">
        <f t="shared" si="259"/>
        <v/>
      </c>
      <c r="AP551" s="257" t="str">
        <f t="shared" si="260"/>
        <v/>
      </c>
      <c r="AQ551" s="263">
        <f t="shared" si="277"/>
        <v>0</v>
      </c>
      <c r="AR551" s="263">
        <f t="shared" si="277"/>
        <v>0</v>
      </c>
      <c r="AS551" s="263">
        <f t="shared" si="238"/>
        <v>0</v>
      </c>
      <c r="AT551" s="263">
        <f t="shared" si="239"/>
        <v>0</v>
      </c>
      <c r="AU551" s="263"/>
      <c r="AV551" s="263"/>
      <c r="AW551" s="263"/>
      <c r="AX551" s="263">
        <f t="shared" si="202"/>
        <v>0</v>
      </c>
      <c r="BA551" s="282">
        <f t="shared" si="261"/>
        <v>0</v>
      </c>
      <c r="BB551">
        <v>1</v>
      </c>
      <c r="BC551">
        <f t="shared" si="275"/>
        <v>0</v>
      </c>
      <c r="BD551">
        <f t="shared" si="262"/>
        <v>0</v>
      </c>
      <c r="BE551">
        <f t="shared" si="263"/>
        <v>0</v>
      </c>
      <c r="BF551" s="281" t="e">
        <f t="shared" si="276"/>
        <v>#DIV/0!</v>
      </c>
      <c r="BG551" s="282"/>
      <c r="BH551" s="283"/>
    </row>
    <row r="552" spans="1:60" x14ac:dyDescent="0.3">
      <c r="A552">
        <f t="shared" si="136"/>
        <v>393</v>
      </c>
      <c r="D552" s="14"/>
      <c r="E552" s="7"/>
      <c r="F552" s="7"/>
      <c r="G552" s="66"/>
      <c r="H552" s="59"/>
      <c r="I552" s="59"/>
      <c r="J552" s="47">
        <f t="shared" si="193"/>
        <v>0</v>
      </c>
      <c r="K552" s="8">
        <f t="shared" si="194"/>
        <v>0</v>
      </c>
      <c r="L552" s="96" t="str">
        <f t="shared" si="195"/>
        <v/>
      </c>
      <c r="M552" s="81"/>
      <c r="N552" s="8">
        <v>153</v>
      </c>
      <c r="O552" s="8">
        <v>60</v>
      </c>
      <c r="P552" s="96" t="str">
        <f t="shared" si="264"/>
        <v/>
      </c>
      <c r="Q552" s="59">
        <f t="shared" si="278"/>
        <v>0</v>
      </c>
      <c r="R552" s="252">
        <f t="shared" si="256"/>
        <v>0</v>
      </c>
      <c r="S552" s="263"/>
      <c r="T552" s="263"/>
      <c r="U552" s="263"/>
      <c r="V552" s="263"/>
      <c r="W552" s="263"/>
      <c r="X552" s="263"/>
      <c r="Y552" s="263"/>
      <c r="Z552" s="263"/>
      <c r="AA552" s="263"/>
      <c r="AB552" s="263"/>
      <c r="AC552" s="263"/>
      <c r="AD552" s="263"/>
      <c r="AE552" s="263"/>
      <c r="AF552" s="263"/>
      <c r="AG552" s="263"/>
      <c r="AH552" s="263"/>
      <c r="AI552" s="263"/>
      <c r="AJ552" s="259"/>
      <c r="AK552" s="263">
        <f t="shared" si="268"/>
        <v>0</v>
      </c>
      <c r="AL552" s="265">
        <f t="shared" si="257"/>
        <v>52</v>
      </c>
      <c r="AM552" s="6">
        <f t="shared" si="269"/>
        <v>0</v>
      </c>
      <c r="AN552" s="255" t="str">
        <f t="shared" si="258"/>
        <v/>
      </c>
      <c r="AO552" s="256" t="str">
        <f t="shared" si="259"/>
        <v/>
      </c>
      <c r="AP552" s="257" t="str">
        <f t="shared" si="260"/>
        <v/>
      </c>
      <c r="AQ552" s="263">
        <f t="shared" si="277"/>
        <v>0</v>
      </c>
      <c r="AR552" s="263">
        <f t="shared" si="277"/>
        <v>0</v>
      </c>
      <c r="AS552" s="263">
        <f t="shared" si="238"/>
        <v>0</v>
      </c>
      <c r="AT552" s="263">
        <f t="shared" si="239"/>
        <v>0</v>
      </c>
      <c r="AU552" s="263"/>
      <c r="AV552" s="263"/>
      <c r="AW552" s="263"/>
      <c r="AX552" s="263">
        <f t="shared" si="202"/>
        <v>0</v>
      </c>
      <c r="BA552" s="282">
        <f t="shared" si="261"/>
        <v>0</v>
      </c>
      <c r="BB552">
        <v>1</v>
      </c>
      <c r="BC552">
        <f t="shared" si="275"/>
        <v>0</v>
      </c>
      <c r="BD552">
        <f t="shared" si="262"/>
        <v>0</v>
      </c>
      <c r="BE552">
        <f t="shared" si="263"/>
        <v>0</v>
      </c>
      <c r="BF552" s="281" t="e">
        <f t="shared" si="276"/>
        <v>#DIV/0!</v>
      </c>
      <c r="BG552" s="282"/>
      <c r="BH552" s="283"/>
    </row>
    <row r="553" spans="1:60" x14ac:dyDescent="0.3">
      <c r="A553">
        <f t="shared" si="136"/>
        <v>394</v>
      </c>
      <c r="D553" s="14"/>
      <c r="E553" s="7"/>
      <c r="F553" s="7"/>
      <c r="G553" s="66"/>
      <c r="H553" s="59"/>
      <c r="I553" s="59"/>
      <c r="J553" s="47">
        <f t="shared" si="193"/>
        <v>0</v>
      </c>
      <c r="K553" s="8">
        <f t="shared" si="194"/>
        <v>0</v>
      </c>
      <c r="L553" s="96" t="str">
        <f t="shared" si="195"/>
        <v/>
      </c>
      <c r="M553" s="81"/>
      <c r="N553" s="8">
        <v>153</v>
      </c>
      <c r="O553" s="8">
        <v>60</v>
      </c>
      <c r="P553" s="96" t="str">
        <f t="shared" si="264"/>
        <v/>
      </c>
      <c r="Q553" s="59">
        <f t="shared" si="278"/>
        <v>0</v>
      </c>
      <c r="R553" s="252">
        <f t="shared" si="256"/>
        <v>0</v>
      </c>
      <c r="S553" s="263"/>
      <c r="T553" s="263"/>
      <c r="U553" s="263"/>
      <c r="V553" s="263"/>
      <c r="W553" s="263"/>
      <c r="X553" s="263"/>
      <c r="Y553" s="263"/>
      <c r="Z553" s="263"/>
      <c r="AA553" s="263"/>
      <c r="AB553" s="263"/>
      <c r="AC553" s="263"/>
      <c r="AD553" s="263"/>
      <c r="AE553" s="263"/>
      <c r="AF553" s="263"/>
      <c r="AG553" s="263"/>
      <c r="AH553" s="263"/>
      <c r="AI553" s="263"/>
      <c r="AJ553" s="259"/>
      <c r="AK553" s="263">
        <f t="shared" si="268"/>
        <v>0</v>
      </c>
      <c r="AL553" s="265">
        <f t="shared" si="257"/>
        <v>52</v>
      </c>
      <c r="AM553" s="6">
        <f t="shared" si="269"/>
        <v>0</v>
      </c>
      <c r="AN553" s="255" t="str">
        <f t="shared" si="258"/>
        <v/>
      </c>
      <c r="AO553" s="256" t="str">
        <f t="shared" si="259"/>
        <v/>
      </c>
      <c r="AP553" s="257" t="str">
        <f t="shared" si="260"/>
        <v/>
      </c>
      <c r="AQ553" s="263">
        <f t="shared" si="277"/>
        <v>0</v>
      </c>
      <c r="AR553" s="263">
        <f t="shared" si="277"/>
        <v>0</v>
      </c>
      <c r="AS553" s="263">
        <f t="shared" si="238"/>
        <v>0</v>
      </c>
      <c r="AT553" s="263">
        <f t="shared" si="239"/>
        <v>0</v>
      </c>
      <c r="AU553" s="263"/>
      <c r="AV553" s="263"/>
      <c r="AW553" s="263"/>
      <c r="AX553" s="263">
        <f t="shared" si="202"/>
        <v>0</v>
      </c>
      <c r="BA553" s="282">
        <f t="shared" si="261"/>
        <v>0</v>
      </c>
      <c r="BB553">
        <v>1</v>
      </c>
      <c r="BC553">
        <f t="shared" si="275"/>
        <v>0</v>
      </c>
      <c r="BD553">
        <f t="shared" si="262"/>
        <v>0</v>
      </c>
      <c r="BE553">
        <f t="shared" si="263"/>
        <v>0</v>
      </c>
      <c r="BF553" s="281" t="e">
        <f t="shared" si="276"/>
        <v>#DIV/0!</v>
      </c>
      <c r="BG553" s="282"/>
      <c r="BH553" s="283"/>
    </row>
    <row r="554" spans="1:60" x14ac:dyDescent="0.3">
      <c r="A554">
        <f t="shared" si="136"/>
        <v>395</v>
      </c>
      <c r="D554" s="284"/>
      <c r="E554" s="285"/>
      <c r="F554" s="285"/>
      <c r="G554" s="285"/>
      <c r="H554" s="286"/>
      <c r="I554" s="59"/>
      <c r="J554" s="47">
        <f t="shared" si="193"/>
        <v>0</v>
      </c>
      <c r="K554" s="8">
        <f t="shared" si="194"/>
        <v>0</v>
      </c>
      <c r="L554" s="96" t="str">
        <f t="shared" si="195"/>
        <v/>
      </c>
      <c r="M554" s="81"/>
      <c r="N554" s="8">
        <v>153</v>
      </c>
      <c r="O554" s="8">
        <v>60</v>
      </c>
      <c r="P554" s="96" t="str">
        <f t="shared" si="264"/>
        <v/>
      </c>
      <c r="Q554" s="59">
        <f t="shared" si="278"/>
        <v>0</v>
      </c>
      <c r="R554" s="252">
        <f t="shared" si="256"/>
        <v>0</v>
      </c>
      <c r="S554" s="263"/>
      <c r="T554" s="263"/>
      <c r="U554" s="263"/>
      <c r="V554" s="263"/>
      <c r="W554" s="263"/>
      <c r="X554" s="263"/>
      <c r="Y554" s="263"/>
      <c r="Z554" s="263"/>
      <c r="AA554" s="263"/>
      <c r="AB554" s="263"/>
      <c r="AC554" s="263"/>
      <c r="AD554" s="263"/>
      <c r="AE554" s="263"/>
      <c r="AF554" s="263"/>
      <c r="AG554" s="263"/>
      <c r="AH554" s="263"/>
      <c r="AI554" s="263"/>
      <c r="AJ554" s="259"/>
      <c r="AK554" s="263">
        <f>+AD554+AE554+AF554+AG554+AH554+AI554</f>
        <v>0</v>
      </c>
      <c r="AL554" s="265">
        <f t="shared" si="257"/>
        <v>52</v>
      </c>
      <c r="AM554" s="6">
        <f t="shared" si="197"/>
        <v>0</v>
      </c>
      <c r="AN554" s="255" t="str">
        <f t="shared" si="258"/>
        <v/>
      </c>
      <c r="AO554" s="256" t="str">
        <f t="shared" si="259"/>
        <v/>
      </c>
      <c r="AP554" s="257" t="str">
        <f t="shared" si="260"/>
        <v/>
      </c>
      <c r="AQ554" s="263">
        <f t="shared" si="277"/>
        <v>0</v>
      </c>
      <c r="AR554" s="263">
        <f t="shared" si="277"/>
        <v>0</v>
      </c>
      <c r="AS554" s="263">
        <f t="shared" si="238"/>
        <v>0</v>
      </c>
      <c r="AT554" s="263">
        <f t="shared" si="239"/>
        <v>0</v>
      </c>
      <c r="AU554" s="263"/>
      <c r="AV554" s="263"/>
      <c r="AW554" s="263"/>
      <c r="AX554" s="263">
        <f t="shared" si="202"/>
        <v>0</v>
      </c>
      <c r="BA554" s="282">
        <f t="shared" si="261"/>
        <v>0</v>
      </c>
      <c r="BB554">
        <v>1</v>
      </c>
      <c r="BC554">
        <f t="shared" si="275"/>
        <v>0</v>
      </c>
      <c r="BD554">
        <f t="shared" si="262"/>
        <v>0</v>
      </c>
      <c r="BE554">
        <f t="shared" si="263"/>
        <v>0</v>
      </c>
      <c r="BF554" s="281" t="e">
        <f t="shared" si="276"/>
        <v>#DIV/0!</v>
      </c>
      <c r="BG554" s="282"/>
      <c r="BH554" s="283"/>
    </row>
    <row r="555" spans="1:60" x14ac:dyDescent="0.3">
      <c r="A555">
        <f t="shared" si="136"/>
        <v>396</v>
      </c>
    </row>
    <row r="556" spans="1:60" x14ac:dyDescent="0.3">
      <c r="A556">
        <f t="shared" si="136"/>
        <v>397</v>
      </c>
    </row>
    <row r="557" spans="1:60" x14ac:dyDescent="0.3">
      <c r="A557">
        <f t="shared" si="136"/>
        <v>398</v>
      </c>
    </row>
    <row r="558" spans="1:60" x14ac:dyDescent="0.3">
      <c r="A558">
        <f t="shared" si="136"/>
        <v>399</v>
      </c>
      <c r="S558" s="264">
        <f t="shared" ref="S558:AD558" si="279">SUBTOTAL(9,S3:S557)</f>
        <v>8280</v>
      </c>
      <c r="T558" s="264">
        <f t="shared" si="279"/>
        <v>772</v>
      </c>
      <c r="U558" s="264">
        <f t="shared" si="279"/>
        <v>1065</v>
      </c>
      <c r="V558" s="264">
        <f t="shared" si="279"/>
        <v>583</v>
      </c>
      <c r="W558" s="264">
        <f t="shared" si="279"/>
        <v>1445</v>
      </c>
      <c r="X558" s="264">
        <f t="shared" si="279"/>
        <v>2025</v>
      </c>
      <c r="Y558" s="264">
        <f t="shared" si="279"/>
        <v>315</v>
      </c>
      <c r="Z558" s="264">
        <f t="shared" si="279"/>
        <v>1871</v>
      </c>
      <c r="AA558" s="264">
        <f t="shared" si="279"/>
        <v>527</v>
      </c>
      <c r="AB558" s="264">
        <f t="shared" si="279"/>
        <v>8691</v>
      </c>
      <c r="AC558" s="264">
        <f t="shared" si="279"/>
        <v>1779</v>
      </c>
      <c r="AD558" s="264">
        <f t="shared" si="279"/>
        <v>3086</v>
      </c>
    </row>
    <row r="559" spans="1:60" x14ac:dyDescent="0.3">
      <c r="A559">
        <f t="shared" si="136"/>
        <v>400</v>
      </c>
    </row>
    <row r="560" spans="1:60" x14ac:dyDescent="0.3">
      <c r="A560">
        <f t="shared" si="136"/>
        <v>401</v>
      </c>
    </row>
    <row r="561" spans="1:57" x14ac:dyDescent="0.3">
      <c r="A561">
        <f t="shared" ref="A561:A562" si="280">+A560+1</f>
        <v>402</v>
      </c>
    </row>
    <row r="562" spans="1:57" x14ac:dyDescent="0.3">
      <c r="A562">
        <f t="shared" si="280"/>
        <v>403</v>
      </c>
      <c r="BC562">
        <f>SUBTOTAL(9,BC3:BC561)/60</f>
        <v>2518.3202614379102</v>
      </c>
      <c r="BD562">
        <f t="shared" ref="BD562:BE562" si="281">SUBTOTAL(9,BD2:BD556)/60</f>
        <v>3281.0666666666666</v>
      </c>
      <c r="BE562">
        <f t="shared" si="281"/>
        <v>3616.7833333333333</v>
      </c>
    </row>
  </sheetData>
  <sheetProtection formatCells="0" formatColumns="0" formatRows="0" insertColumns="0" insertRows="0" insertHyperlinks="0" deleteColumns="0" deleteRows="0" selectLockedCells="1" sort="0" autoFilter="0" pivotTables="0"/>
  <autoFilter ref="A2:BH562" xr:uid="{00000000-0001-0000-0D00-000000000000}"/>
  <dataConsolidate/>
  <mergeCells count="6">
    <mergeCell ref="BA1:BH1"/>
    <mergeCell ref="A1:D1"/>
    <mergeCell ref="Q1:AN1"/>
    <mergeCell ref="E1:G1"/>
    <mergeCell ref="H1:L1"/>
    <mergeCell ref="M1:P1"/>
  </mergeCells>
  <phoneticPr fontId="68" type="noConversion"/>
  <pageMargins left="0.70866141732283472" right="0.70866141732283472" top="0.74803149606299213" bottom="0.74803149606299213" header="0.31496062992125984" footer="0.31496062992125984"/>
  <pageSetup paperSize="9" orientation="landscape" blackAndWhite="1" r:id="rId1"/>
  <ignoredErrors>
    <ignoredError sqref="E54" unlockedFormula="1"/>
  </ignoredErrors>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BF6E4-C7FB-429F-BEA4-C53E255AF52D}">
  <sheetPr>
    <tabColor rgb="FF0066FF"/>
    <pageSetUpPr fitToPage="1"/>
  </sheetPr>
  <dimension ref="A1:GX58"/>
  <sheetViews>
    <sheetView showGridLines="0" zoomScaleNormal="100" workbookViewId="0">
      <pane xSplit="1" topLeftCell="FB1" activePane="topRight" state="frozen"/>
      <selection pane="topRight" activeCell="FO19" sqref="FO19"/>
    </sheetView>
  </sheetViews>
  <sheetFormatPr baseColWidth="10" defaultColWidth="9.140625" defaultRowHeight="15" customHeight="1" outlineLevelCol="1" x14ac:dyDescent="0.25"/>
  <cols>
    <col min="1" max="1" width="31.42578125" bestFit="1" customWidth="1"/>
    <col min="2" max="5" width="15.7109375" hidden="1" customWidth="1" outlineLevel="1"/>
    <col min="6" max="7" width="13.140625" hidden="1" customWidth="1" outlineLevel="1"/>
    <col min="8" max="8" width="11.5703125" hidden="1" customWidth="1" outlineLevel="1"/>
    <col min="9" max="9" width="12.28515625" hidden="1" customWidth="1" outlineLevel="1"/>
    <col min="10" max="10" width="9.28515625" hidden="1" customWidth="1" outlineLevel="1"/>
    <col min="11" max="11" width="12.42578125" hidden="1" customWidth="1" outlineLevel="1"/>
    <col min="12" max="63" width="13.42578125" hidden="1" customWidth="1" outlineLevel="1"/>
    <col min="64" max="64" width="13.42578125" hidden="1" customWidth="1" collapsed="1"/>
    <col min="65" max="69" width="13.42578125" hidden="1" customWidth="1"/>
    <col min="70" max="193" width="13.42578125" customWidth="1"/>
    <col min="194" max="194" width="10.5703125" bestFit="1" customWidth="1"/>
    <col min="195" max="195" width="15.7109375" customWidth="1"/>
    <col min="196" max="196" width="6.28515625" customWidth="1"/>
    <col min="197" max="197" width="22.7109375" bestFit="1" customWidth="1"/>
    <col min="198" max="198" width="11" customWidth="1"/>
    <col min="199" max="201" width="10.7109375" customWidth="1"/>
    <col min="202" max="202" width="3.85546875" customWidth="1"/>
  </cols>
  <sheetData>
    <row r="1" spans="1:202" ht="15" customHeight="1" x14ac:dyDescent="0.3">
      <c r="GO1" s="375"/>
      <c r="GP1" s="375"/>
      <c r="GQ1" s="375"/>
      <c r="GR1" s="375"/>
      <c r="GS1" s="375"/>
      <c r="GT1" s="375"/>
    </row>
    <row r="2" spans="1:202" ht="15" customHeight="1" x14ac:dyDescent="0.3">
      <c r="GO2" s="139"/>
      <c r="GP2" s="375"/>
      <c r="GQ2" s="375"/>
      <c r="GR2" s="375"/>
      <c r="GS2" s="375"/>
      <c r="GT2" s="375"/>
    </row>
    <row r="3" spans="1:202" ht="15" customHeight="1" x14ac:dyDescent="0.3">
      <c r="A3" s="21"/>
      <c r="B3" s="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2"/>
      <c r="AP3" s="132"/>
      <c r="AQ3" s="132"/>
      <c r="AR3" s="132"/>
      <c r="AS3" s="132"/>
      <c r="AT3" s="132"/>
      <c r="AU3" s="132"/>
      <c r="AV3" s="132"/>
      <c r="AW3" s="132"/>
      <c r="AX3" s="132"/>
      <c r="AY3" s="132"/>
      <c r="AZ3" s="132"/>
      <c r="BA3" s="132"/>
      <c r="BB3" s="132"/>
      <c r="BC3" s="132"/>
      <c r="BD3" s="132"/>
      <c r="BE3" s="132"/>
      <c r="BF3" s="132"/>
      <c r="BG3" s="132"/>
      <c r="BH3" s="132"/>
      <c r="BI3" s="132"/>
      <c r="BJ3" s="132"/>
      <c r="BK3" s="132"/>
      <c r="BL3" s="132"/>
      <c r="BM3" s="132"/>
      <c r="BN3" s="132"/>
      <c r="BO3" s="132"/>
      <c r="BP3" s="132"/>
      <c r="BQ3" s="132"/>
      <c r="BR3" s="132"/>
      <c r="BS3" s="132"/>
      <c r="BT3" s="132"/>
      <c r="BU3" s="132"/>
      <c r="BV3" s="132"/>
      <c r="BW3" s="132"/>
      <c r="BX3" s="132"/>
      <c r="BY3" s="132"/>
      <c r="BZ3" s="132"/>
      <c r="CA3" s="132"/>
      <c r="CB3" s="132"/>
      <c r="CC3" s="132"/>
      <c r="CD3" s="132"/>
      <c r="CE3" s="132"/>
      <c r="CF3" s="132"/>
      <c r="CG3" s="132"/>
      <c r="CH3" s="132"/>
      <c r="CI3" s="132"/>
      <c r="CJ3" s="132"/>
      <c r="CK3" s="132"/>
      <c r="CL3" s="132"/>
      <c r="CM3" s="132"/>
      <c r="CN3" s="132"/>
      <c r="CO3" s="132"/>
      <c r="CP3" s="132"/>
      <c r="CQ3" s="132"/>
      <c r="CR3" s="132"/>
      <c r="CS3" s="132"/>
      <c r="CT3" s="132"/>
      <c r="CU3" s="132"/>
      <c r="CV3" s="132"/>
      <c r="CW3" s="132"/>
      <c r="CX3" s="132"/>
      <c r="CY3" s="132"/>
      <c r="CZ3" s="132"/>
      <c r="DA3" s="132"/>
      <c r="DB3" s="132"/>
      <c r="DC3" s="132"/>
      <c r="DD3" s="132"/>
      <c r="DE3" s="132"/>
      <c r="DF3" s="132"/>
      <c r="DG3" s="132"/>
      <c r="DH3" s="132"/>
      <c r="DI3" s="132"/>
      <c r="DJ3" s="132"/>
      <c r="DK3" s="132"/>
      <c r="DL3" s="132"/>
      <c r="DM3" s="132"/>
      <c r="DN3" s="132"/>
      <c r="DO3" s="132"/>
      <c r="DP3" s="132"/>
      <c r="DQ3" s="132"/>
      <c r="DR3" s="132"/>
      <c r="DS3" s="132"/>
      <c r="DT3" s="132"/>
      <c r="DU3" s="132"/>
      <c r="DV3" s="132"/>
      <c r="DW3" s="132"/>
      <c r="DX3" s="132"/>
      <c r="DY3" s="132"/>
      <c r="DZ3" s="132"/>
      <c r="EA3" s="132"/>
      <c r="EB3" s="132"/>
      <c r="EC3" s="132"/>
      <c r="ED3" s="132"/>
      <c r="EE3" s="132"/>
      <c r="EF3" s="132"/>
      <c r="EG3" s="132"/>
      <c r="EH3" s="132"/>
      <c r="EI3" s="132"/>
      <c r="EJ3" s="132"/>
      <c r="EK3" s="132"/>
      <c r="EL3" s="132"/>
      <c r="EM3" s="132"/>
      <c r="EN3" s="132"/>
      <c r="EO3" s="132"/>
      <c r="EP3" s="132"/>
      <c r="EQ3" s="132"/>
      <c r="ER3" s="132"/>
      <c r="ES3" s="132"/>
      <c r="ET3" s="132"/>
      <c r="EU3" s="132"/>
      <c r="EV3" s="132"/>
      <c r="EW3" s="132"/>
      <c r="EX3" s="132"/>
      <c r="EY3" s="132"/>
      <c r="EZ3" s="132"/>
      <c r="FA3" s="132"/>
      <c r="FB3" s="132"/>
      <c r="FC3" s="132"/>
      <c r="FD3" s="132"/>
      <c r="FE3" s="132"/>
      <c r="FF3" s="132"/>
      <c r="FG3" s="132"/>
      <c r="FH3" s="132"/>
      <c r="FI3" s="132"/>
      <c r="FJ3" s="132"/>
      <c r="FK3" s="132"/>
      <c r="FL3" s="132"/>
      <c r="FM3" s="132"/>
      <c r="FN3" s="132"/>
      <c r="FO3" s="132"/>
      <c r="FP3" s="132"/>
      <c r="FQ3" s="132"/>
      <c r="FR3" s="132"/>
      <c r="FS3" s="132"/>
      <c r="FT3" s="132"/>
      <c r="FU3" s="132"/>
      <c r="FV3" s="132"/>
      <c r="FW3" s="132"/>
      <c r="FX3" s="132"/>
      <c r="FY3" s="132"/>
      <c r="FZ3" s="132"/>
      <c r="GA3" s="132"/>
      <c r="GB3" s="132"/>
      <c r="GC3" s="132"/>
      <c r="GD3" s="132"/>
      <c r="GE3" s="132"/>
      <c r="GF3" s="132"/>
      <c r="GG3" s="132"/>
      <c r="GH3" s="132"/>
      <c r="GI3" s="132"/>
      <c r="GJ3" s="132"/>
      <c r="GK3" s="132"/>
      <c r="GL3" s="132"/>
      <c r="GO3" s="139"/>
      <c r="GP3" s="375"/>
      <c r="GQ3" s="375"/>
      <c r="GR3" s="375"/>
      <c r="GS3" s="375"/>
      <c r="GT3" s="375"/>
    </row>
    <row r="4" spans="1:202" ht="15" customHeight="1" thickBot="1" x14ac:dyDescent="0.35">
      <c r="A4" s="2"/>
      <c r="B4" s="2"/>
      <c r="H4" s="132"/>
      <c r="I4" s="132"/>
      <c r="J4" s="132"/>
      <c r="K4" s="132"/>
      <c r="L4" s="132"/>
      <c r="M4" s="132"/>
      <c r="N4" s="132"/>
      <c r="O4" s="132"/>
      <c r="P4" s="132"/>
      <c r="Q4" s="132"/>
      <c r="R4" s="132"/>
      <c r="S4" s="132"/>
      <c r="T4" s="132"/>
      <c r="U4" s="132"/>
      <c r="V4" s="132"/>
      <c r="W4" s="132"/>
      <c r="X4" s="132"/>
      <c r="Y4" s="132"/>
      <c r="Z4" s="132"/>
      <c r="AA4" s="132"/>
      <c r="AB4" s="132"/>
      <c r="AC4" s="132"/>
      <c r="AD4" s="132"/>
      <c r="AE4" s="132"/>
      <c r="AF4" s="132"/>
      <c r="AG4" s="132"/>
      <c r="AH4" s="132"/>
      <c r="AI4" s="132"/>
      <c r="AJ4" s="132"/>
      <c r="AK4" s="132"/>
      <c r="AL4" s="132"/>
      <c r="AM4" s="132"/>
      <c r="AN4" s="132"/>
      <c r="AO4" s="132"/>
      <c r="AP4" s="132"/>
      <c r="AQ4" s="132"/>
      <c r="AR4" s="132"/>
      <c r="AS4" s="132"/>
      <c r="AT4" s="132"/>
      <c r="AU4" s="132"/>
      <c r="AV4" s="132"/>
      <c r="AW4" s="132"/>
      <c r="AX4" s="132"/>
      <c r="AY4" s="132"/>
      <c r="AZ4" s="132"/>
      <c r="BA4" s="132"/>
      <c r="BB4" s="132"/>
      <c r="BC4" s="132"/>
      <c r="BD4" s="132"/>
      <c r="BE4" s="132"/>
      <c r="BF4" s="132"/>
      <c r="BG4" s="132"/>
      <c r="BH4" s="132"/>
      <c r="BI4" s="132"/>
      <c r="BJ4" s="132"/>
      <c r="BK4" s="132"/>
      <c r="BL4" s="132"/>
      <c r="BM4" s="132"/>
      <c r="BN4" s="132"/>
      <c r="BO4" s="132"/>
      <c r="BP4" s="132"/>
      <c r="BQ4" s="132"/>
      <c r="BR4" s="132"/>
      <c r="BS4" s="132"/>
      <c r="BT4" s="132"/>
      <c r="BU4" s="132"/>
      <c r="BV4" s="132"/>
      <c r="BW4" s="132"/>
      <c r="BX4" s="132"/>
      <c r="BY4" s="132"/>
      <c r="BZ4" s="132"/>
      <c r="CA4" s="132"/>
      <c r="CB4" s="132"/>
      <c r="CC4" s="132"/>
      <c r="CD4" s="132"/>
      <c r="CE4" s="132"/>
      <c r="CF4" s="132"/>
      <c r="CG4" s="132"/>
      <c r="CH4" s="132"/>
      <c r="CI4" s="132"/>
      <c r="CJ4" s="132"/>
      <c r="CK4" s="132"/>
      <c r="CL4" s="132"/>
      <c r="CM4" s="132"/>
      <c r="CN4" s="132"/>
      <c r="CO4" s="132"/>
      <c r="CP4" s="132"/>
      <c r="CQ4" s="132"/>
      <c r="CR4" s="132"/>
      <c r="CS4" s="132"/>
      <c r="CT4" s="132"/>
      <c r="CU4" s="132"/>
      <c r="CV4" s="132"/>
      <c r="CW4" s="132"/>
      <c r="CX4" s="132"/>
      <c r="CY4" s="132"/>
      <c r="CZ4" s="132"/>
      <c r="DA4" s="132"/>
      <c r="DB4" s="132"/>
      <c r="DC4" s="132"/>
      <c r="DD4" s="132"/>
      <c r="DE4" s="132"/>
      <c r="DF4" s="132"/>
      <c r="DG4" s="132"/>
      <c r="DH4" s="132"/>
      <c r="DI4" s="132"/>
      <c r="DJ4" s="132"/>
      <c r="DK4" s="132"/>
      <c r="DL4" s="132"/>
      <c r="DM4" s="132"/>
      <c r="DN4" s="132"/>
      <c r="DO4" s="132"/>
      <c r="DP4" s="132"/>
      <c r="DQ4" s="132"/>
      <c r="DR4" s="132"/>
      <c r="DS4" s="132"/>
      <c r="DT4" s="132"/>
      <c r="DU4" s="132"/>
      <c r="DV4" s="132"/>
      <c r="DW4" s="132"/>
      <c r="DX4" s="132"/>
      <c r="DY4" s="132"/>
      <c r="DZ4" s="132"/>
      <c r="EA4" s="132"/>
      <c r="EB4" s="132"/>
      <c r="EC4" s="132"/>
      <c r="ED4" s="132"/>
      <c r="EE4" s="132"/>
      <c r="EF4" s="132"/>
      <c r="EG4" s="132"/>
      <c r="EH4" s="132"/>
      <c r="EI4" s="132"/>
      <c r="EJ4" s="132"/>
      <c r="EK4" s="132"/>
      <c r="EL4" s="132"/>
      <c r="EM4" s="132"/>
      <c r="EN4" s="132"/>
      <c r="EO4" s="132"/>
      <c r="EP4" s="132"/>
      <c r="EQ4" s="132"/>
      <c r="ER4" s="132"/>
      <c r="ES4" s="132"/>
      <c r="ET4" s="132"/>
      <c r="EU4" s="132"/>
      <c r="EV4" s="132"/>
      <c r="EW4" s="132"/>
      <c r="EX4" s="132"/>
      <c r="EY4" s="132"/>
      <c r="EZ4" s="132"/>
      <c r="FA4" s="132"/>
      <c r="FB4" s="132"/>
      <c r="FC4" s="132"/>
      <c r="FD4" s="132"/>
      <c r="FE4" s="132"/>
      <c r="FF4" s="132"/>
      <c r="FG4" s="132"/>
      <c r="FH4" s="132"/>
      <c r="FI4" s="132"/>
      <c r="FJ4" s="132"/>
      <c r="FK4" s="132"/>
      <c r="FL4" s="132"/>
      <c r="FM4" s="132"/>
      <c r="FN4" s="132"/>
      <c r="FO4" s="132"/>
      <c r="FP4" s="132"/>
      <c r="FQ4" s="132"/>
      <c r="FR4" s="132"/>
      <c r="FS4" s="132"/>
      <c r="FT4" s="132"/>
      <c r="FU4" s="132"/>
      <c r="FV4" s="132"/>
      <c r="FW4" s="132"/>
      <c r="FX4" s="132"/>
      <c r="FY4" s="132"/>
      <c r="FZ4" s="132"/>
      <c r="GA4" s="132"/>
      <c r="GB4" s="132"/>
      <c r="GC4" s="132"/>
      <c r="GD4" s="132"/>
      <c r="GE4" s="132"/>
      <c r="GF4" s="132"/>
      <c r="GG4" s="132"/>
      <c r="GH4" s="132"/>
      <c r="GI4" s="132"/>
      <c r="GJ4" s="132"/>
      <c r="GK4" s="132"/>
      <c r="GL4" s="132"/>
      <c r="GO4" s="139"/>
      <c r="GP4" s="375"/>
      <c r="GQ4" s="375"/>
      <c r="GR4" s="375"/>
      <c r="GS4" s="375"/>
      <c r="GT4" s="375"/>
    </row>
    <row r="5" spans="1:202" ht="15.95" customHeight="1" x14ac:dyDescent="0.3">
      <c r="A5" s="178" t="s">
        <v>1677</v>
      </c>
      <c r="B5" s="289">
        <v>45663</v>
      </c>
      <c r="C5" s="289">
        <v>45664</v>
      </c>
      <c r="D5" s="289">
        <v>45665</v>
      </c>
      <c r="E5" s="289">
        <v>45666</v>
      </c>
      <c r="F5" s="289">
        <v>45667</v>
      </c>
      <c r="G5" s="289">
        <f>F5+3</f>
        <v>45670</v>
      </c>
      <c r="H5" s="289">
        <f>G5+1</f>
        <v>45671</v>
      </c>
      <c r="I5" s="289">
        <f t="shared" ref="I5:K5" si="0">H5+1</f>
        <v>45672</v>
      </c>
      <c r="J5" s="289">
        <f t="shared" si="0"/>
        <v>45673</v>
      </c>
      <c r="K5" s="289">
        <f t="shared" si="0"/>
        <v>45674</v>
      </c>
      <c r="L5" s="289">
        <f>K5+3</f>
        <v>45677</v>
      </c>
      <c r="M5" s="289">
        <f t="shared" ref="M5" si="1">L5+1</f>
        <v>45678</v>
      </c>
      <c r="N5" s="289">
        <f t="shared" ref="N5" si="2">M5+1</f>
        <v>45679</v>
      </c>
      <c r="O5" s="289">
        <f t="shared" ref="O5" si="3">N5+1</f>
        <v>45680</v>
      </c>
      <c r="P5" s="289">
        <f t="shared" ref="P5" si="4">O5+1</f>
        <v>45681</v>
      </c>
      <c r="Q5" s="289">
        <f t="shared" ref="Q5" si="5">P5+1</f>
        <v>45682</v>
      </c>
      <c r="R5" s="289">
        <f>Q5+2</f>
        <v>45684</v>
      </c>
      <c r="S5" s="289">
        <f>R5+1</f>
        <v>45685</v>
      </c>
      <c r="T5" s="289">
        <f t="shared" ref="T5:V5" si="6">S5+1</f>
        <v>45686</v>
      </c>
      <c r="U5" s="289">
        <f t="shared" si="6"/>
        <v>45687</v>
      </c>
      <c r="V5" s="289">
        <f t="shared" si="6"/>
        <v>45688</v>
      </c>
      <c r="W5" s="289">
        <f>V5+4</f>
        <v>45692</v>
      </c>
      <c r="X5" s="289">
        <f>W5+1</f>
        <v>45693</v>
      </c>
      <c r="Y5" s="289">
        <f t="shared" ref="Y5:Z5" si="7">X5+1</f>
        <v>45694</v>
      </c>
      <c r="Z5" s="289">
        <f t="shared" si="7"/>
        <v>45695</v>
      </c>
      <c r="AA5" s="289">
        <f>Z5+3</f>
        <v>45698</v>
      </c>
      <c r="AB5" s="289">
        <f>AA5+1</f>
        <v>45699</v>
      </c>
      <c r="AC5" s="289">
        <f t="shared" ref="AC5:AF5" si="8">AB5+1</f>
        <v>45700</v>
      </c>
      <c r="AD5" s="289">
        <f t="shared" si="8"/>
        <v>45701</v>
      </c>
      <c r="AE5" s="289">
        <f t="shared" si="8"/>
        <v>45702</v>
      </c>
      <c r="AF5" s="289">
        <f t="shared" si="8"/>
        <v>45703</v>
      </c>
      <c r="AG5" s="289">
        <f>AF5+2</f>
        <v>45705</v>
      </c>
      <c r="AH5" s="289">
        <f>AG5+1</f>
        <v>45706</v>
      </c>
      <c r="AI5" s="289">
        <f>AH5+1</f>
        <v>45707</v>
      </c>
      <c r="AJ5" s="289">
        <f t="shared" ref="AJ5:AL5" si="9">AI5+1</f>
        <v>45708</v>
      </c>
      <c r="AK5" s="289">
        <f t="shared" si="9"/>
        <v>45709</v>
      </c>
      <c r="AL5" s="289">
        <f t="shared" si="9"/>
        <v>45710</v>
      </c>
      <c r="AM5" s="289">
        <f>AL5+2</f>
        <v>45712</v>
      </c>
      <c r="AN5" s="289">
        <f>AM5+1</f>
        <v>45713</v>
      </c>
      <c r="AO5" s="289">
        <f t="shared" ref="AO5:AR5" si="10">AN5+1</f>
        <v>45714</v>
      </c>
      <c r="AP5" s="289">
        <f t="shared" si="10"/>
        <v>45715</v>
      </c>
      <c r="AQ5" s="289">
        <f t="shared" si="10"/>
        <v>45716</v>
      </c>
      <c r="AR5" s="289">
        <f t="shared" si="10"/>
        <v>45717</v>
      </c>
      <c r="AS5" s="289">
        <f>AR5+2</f>
        <v>45719</v>
      </c>
      <c r="AT5" s="289">
        <f>AS5+1</f>
        <v>45720</v>
      </c>
      <c r="AU5" s="289">
        <f t="shared" ref="AU5:AX5" si="11">AT5+1</f>
        <v>45721</v>
      </c>
      <c r="AV5" s="289">
        <f t="shared" si="11"/>
        <v>45722</v>
      </c>
      <c r="AW5" s="289">
        <f t="shared" si="11"/>
        <v>45723</v>
      </c>
      <c r="AX5" s="289">
        <f t="shared" si="11"/>
        <v>45724</v>
      </c>
      <c r="AY5" s="289">
        <f>AX5+2</f>
        <v>45726</v>
      </c>
      <c r="AZ5" s="289">
        <f>AY5+1</f>
        <v>45727</v>
      </c>
      <c r="BA5" s="289">
        <f t="shared" ref="BA5:BD5" si="12">AZ5+1</f>
        <v>45728</v>
      </c>
      <c r="BB5" s="289">
        <f t="shared" si="12"/>
        <v>45729</v>
      </c>
      <c r="BC5" s="289">
        <f t="shared" si="12"/>
        <v>45730</v>
      </c>
      <c r="BD5" s="289">
        <f t="shared" si="12"/>
        <v>45731</v>
      </c>
      <c r="BE5" s="289">
        <f>BD5+2</f>
        <v>45733</v>
      </c>
      <c r="BF5" s="289">
        <f>BE5+1</f>
        <v>45734</v>
      </c>
      <c r="BG5" s="289">
        <f>BF5+1</f>
        <v>45735</v>
      </c>
      <c r="BH5" s="289">
        <f>BG5+1</f>
        <v>45736</v>
      </c>
      <c r="BI5" s="289">
        <f>BH5+1</f>
        <v>45737</v>
      </c>
      <c r="BJ5" s="289">
        <f>BI5+1</f>
        <v>45738</v>
      </c>
      <c r="BK5" s="289">
        <f>BJ5+2</f>
        <v>45740</v>
      </c>
      <c r="BL5" s="289">
        <f>BK5+1</f>
        <v>45741</v>
      </c>
      <c r="BM5" s="289">
        <f t="shared" ref="BM5:BP5" si="13">BL5+1</f>
        <v>45742</v>
      </c>
      <c r="BN5" s="289">
        <f t="shared" si="13"/>
        <v>45743</v>
      </c>
      <c r="BO5" s="289">
        <f t="shared" si="13"/>
        <v>45744</v>
      </c>
      <c r="BP5" s="289">
        <f t="shared" si="13"/>
        <v>45745</v>
      </c>
      <c r="BQ5" s="289">
        <f>BP5+2</f>
        <v>45747</v>
      </c>
      <c r="BR5" s="289">
        <f>BQ5+1</f>
        <v>45748</v>
      </c>
      <c r="BS5" s="289">
        <f t="shared" ref="BS5:BU5" si="14">BR5+1</f>
        <v>45749</v>
      </c>
      <c r="BT5" s="289">
        <f t="shared" si="14"/>
        <v>45750</v>
      </c>
      <c r="BU5" s="289">
        <f t="shared" si="14"/>
        <v>45751</v>
      </c>
      <c r="BV5" s="289">
        <f>BU5+3</f>
        <v>45754</v>
      </c>
      <c r="BW5" s="289">
        <f>BV5+1</f>
        <v>45755</v>
      </c>
      <c r="BX5" s="289">
        <f>BW5+1</f>
        <v>45756</v>
      </c>
      <c r="BY5" s="289">
        <f>BX5+1</f>
        <v>45757</v>
      </c>
      <c r="BZ5" s="289">
        <f t="shared" ref="BZ5" si="15">BY5+1</f>
        <v>45758</v>
      </c>
      <c r="CA5" s="289">
        <f>BZ5+1</f>
        <v>45759</v>
      </c>
      <c r="CB5" s="289">
        <f>CA5+2</f>
        <v>45761</v>
      </c>
      <c r="CC5" s="289">
        <f t="shared" ref="CC5:CE5" si="16">CB5+1</f>
        <v>45762</v>
      </c>
      <c r="CD5" s="289">
        <f t="shared" si="16"/>
        <v>45763</v>
      </c>
      <c r="CE5" s="289">
        <f t="shared" si="16"/>
        <v>45764</v>
      </c>
      <c r="CF5" s="289">
        <f>CE5+4</f>
        <v>45768</v>
      </c>
      <c r="CG5" s="289">
        <f>CF5+1</f>
        <v>45769</v>
      </c>
      <c r="CH5" s="289">
        <f t="shared" ref="CH5:CO5" si="17">CG5+1</f>
        <v>45770</v>
      </c>
      <c r="CI5" s="289">
        <f t="shared" si="17"/>
        <v>45771</v>
      </c>
      <c r="CJ5" s="289">
        <f t="shared" si="17"/>
        <v>45772</v>
      </c>
      <c r="CK5" s="289">
        <f t="shared" si="17"/>
        <v>45773</v>
      </c>
      <c r="CL5" s="289">
        <f t="shared" si="17"/>
        <v>45774</v>
      </c>
      <c r="CM5" s="289">
        <f t="shared" si="17"/>
        <v>45775</v>
      </c>
      <c r="CN5" s="289">
        <f t="shared" si="17"/>
        <v>45776</v>
      </c>
      <c r="CO5" s="289">
        <f t="shared" si="17"/>
        <v>45777</v>
      </c>
      <c r="CP5" s="289">
        <f>CO5+1</f>
        <v>45778</v>
      </c>
      <c r="CQ5" s="289">
        <f>CP5+2</f>
        <v>45780</v>
      </c>
      <c r="CR5" s="289">
        <f>CQ5+1</f>
        <v>45781</v>
      </c>
      <c r="CS5" s="289">
        <f>CR5+1</f>
        <v>45782</v>
      </c>
      <c r="CT5" s="289">
        <f>CS5+1</f>
        <v>45783</v>
      </c>
      <c r="CU5" s="289">
        <f t="shared" ref="CU5:CW5" si="18">CT5+1</f>
        <v>45784</v>
      </c>
      <c r="CV5" s="289">
        <f t="shared" si="18"/>
        <v>45785</v>
      </c>
      <c r="CW5" s="289">
        <f t="shared" si="18"/>
        <v>45786</v>
      </c>
      <c r="CX5" s="289">
        <f>CW5+1</f>
        <v>45787</v>
      </c>
      <c r="CY5" s="289">
        <f>CX5+2</f>
        <v>45789</v>
      </c>
      <c r="CZ5" s="289">
        <f>CY5+1</f>
        <v>45790</v>
      </c>
      <c r="DA5" s="289">
        <f t="shared" ref="DA5:DC5" si="19">CZ5+1</f>
        <v>45791</v>
      </c>
      <c r="DB5" s="289">
        <f t="shared" si="19"/>
        <v>45792</v>
      </c>
      <c r="DC5" s="289">
        <f t="shared" si="19"/>
        <v>45793</v>
      </c>
      <c r="DD5" s="289">
        <f t="shared" ref="DD5" si="20">DC5+1</f>
        <v>45794</v>
      </c>
      <c r="DE5" s="289">
        <f t="shared" ref="DE5:DI5" si="21">DD5+1</f>
        <v>45795</v>
      </c>
      <c r="DF5" s="289">
        <f t="shared" si="21"/>
        <v>45796</v>
      </c>
      <c r="DG5" s="289">
        <f t="shared" si="21"/>
        <v>45797</v>
      </c>
      <c r="DH5" s="289">
        <f t="shared" si="21"/>
        <v>45798</v>
      </c>
      <c r="DI5" s="289">
        <f t="shared" si="21"/>
        <v>45799</v>
      </c>
      <c r="DJ5" s="289">
        <f t="shared" ref="DJ5" si="22">DI5+1</f>
        <v>45800</v>
      </c>
      <c r="DK5" s="289">
        <f t="shared" ref="DK5" si="23">DJ5+1</f>
        <v>45801</v>
      </c>
      <c r="DL5" s="289">
        <f>DK5+2</f>
        <v>45803</v>
      </c>
      <c r="DM5" s="289">
        <f t="shared" ref="DM5" si="24">DL5+1</f>
        <v>45804</v>
      </c>
      <c r="DN5" s="289">
        <f t="shared" ref="DN5" si="25">DM5+1</f>
        <v>45805</v>
      </c>
      <c r="DO5" s="289">
        <f t="shared" ref="DO5" si="26">DN5+1</f>
        <v>45806</v>
      </c>
      <c r="DP5" s="289">
        <f t="shared" ref="DP5" si="27">DO5+1</f>
        <v>45807</v>
      </c>
      <c r="DQ5" s="289">
        <f t="shared" ref="DQ5" si="28">DP5+1</f>
        <v>45808</v>
      </c>
      <c r="DR5" s="289">
        <f>DQ5+2</f>
        <v>45810</v>
      </c>
      <c r="DS5" s="289">
        <f>DR5+1</f>
        <v>45811</v>
      </c>
      <c r="DT5" s="289">
        <f>DS5+1</f>
        <v>45812</v>
      </c>
      <c r="DU5" s="289">
        <f>DT5+1</f>
        <v>45813</v>
      </c>
      <c r="DV5" s="289">
        <f>DU5+1</f>
        <v>45814</v>
      </c>
      <c r="DW5" s="289">
        <f>DV5+1</f>
        <v>45815</v>
      </c>
      <c r="DX5" s="289">
        <f>DW5+2</f>
        <v>45817</v>
      </c>
      <c r="DY5" s="289">
        <f>DX5+2</f>
        <v>45819</v>
      </c>
      <c r="DZ5" s="289">
        <f t="shared" ref="DZ5:ED5" si="29">DY5+1</f>
        <v>45820</v>
      </c>
      <c r="EA5" s="289">
        <f t="shared" si="29"/>
        <v>45821</v>
      </c>
      <c r="EB5" s="289">
        <f t="shared" si="29"/>
        <v>45822</v>
      </c>
      <c r="EC5" s="289">
        <f>EB5+2</f>
        <v>45824</v>
      </c>
      <c r="ED5" s="289">
        <f t="shared" si="29"/>
        <v>45825</v>
      </c>
      <c r="EE5" s="289">
        <f t="shared" ref="EE5" si="30">ED5+1</f>
        <v>45826</v>
      </c>
      <c r="EF5" s="289">
        <f t="shared" ref="EF5" si="31">EE5+1</f>
        <v>45827</v>
      </c>
      <c r="EG5" s="289">
        <f t="shared" ref="EG5:EH5" si="32">EF5+1</f>
        <v>45828</v>
      </c>
      <c r="EH5" s="289">
        <f t="shared" si="32"/>
        <v>45829</v>
      </c>
      <c r="EI5" s="289">
        <f>EH5+2</f>
        <v>45831</v>
      </c>
      <c r="EJ5" s="289">
        <f>EI5+1</f>
        <v>45832</v>
      </c>
      <c r="EK5" s="289">
        <f>EJ5+1</f>
        <v>45833</v>
      </c>
      <c r="EL5" s="289">
        <f t="shared" ref="EL5:EN5" si="33">EK5+1</f>
        <v>45834</v>
      </c>
      <c r="EM5" s="289">
        <f t="shared" si="33"/>
        <v>45835</v>
      </c>
      <c r="EN5" s="289">
        <f t="shared" si="33"/>
        <v>45836</v>
      </c>
      <c r="EO5" s="289">
        <f>EN5+2</f>
        <v>45838</v>
      </c>
      <c r="EP5" s="289">
        <f>EO5+1</f>
        <v>45839</v>
      </c>
      <c r="EQ5" s="289">
        <f>EP5+1</f>
        <v>45840</v>
      </c>
      <c r="ER5" s="289">
        <f t="shared" ref="ER5:ET5" si="34">EQ5+1</f>
        <v>45841</v>
      </c>
      <c r="ES5" s="289">
        <f t="shared" si="34"/>
        <v>45842</v>
      </c>
      <c r="ET5" s="289">
        <f t="shared" si="34"/>
        <v>45843</v>
      </c>
      <c r="EU5" s="289">
        <f>ET5+2</f>
        <v>45845</v>
      </c>
      <c r="EV5" s="289">
        <f t="shared" ref="EV5" si="35">EU5+1</f>
        <v>45846</v>
      </c>
      <c r="EW5" s="289">
        <f t="shared" ref="EW5" si="36">EV5+1</f>
        <v>45847</v>
      </c>
      <c r="EX5" s="289">
        <f t="shared" ref="EX5" si="37">EW5+1</f>
        <v>45848</v>
      </c>
      <c r="EY5" s="289">
        <f t="shared" ref="EY5:EZ5" si="38">EX5+1</f>
        <v>45849</v>
      </c>
      <c r="EZ5" s="289">
        <f t="shared" si="38"/>
        <v>45850</v>
      </c>
      <c r="FA5" s="289">
        <f>EZ5+2</f>
        <v>45852</v>
      </c>
      <c r="FB5" s="289">
        <f>FA5+1</f>
        <v>45853</v>
      </c>
      <c r="FC5" s="289">
        <f t="shared" ref="FC5:FF5" si="39">FB5+1</f>
        <v>45854</v>
      </c>
      <c r="FD5" s="289">
        <f t="shared" si="39"/>
        <v>45855</v>
      </c>
      <c r="FE5" s="289">
        <f t="shared" si="39"/>
        <v>45856</v>
      </c>
      <c r="FF5" s="289">
        <f t="shared" si="39"/>
        <v>45857</v>
      </c>
      <c r="FG5" s="289">
        <f>FF5+2</f>
        <v>45859</v>
      </c>
      <c r="FH5" s="289">
        <f>FG5+1</f>
        <v>45860</v>
      </c>
      <c r="FI5" s="289">
        <f t="shared" ref="FI5:FL5" si="40">FH5+1</f>
        <v>45861</v>
      </c>
      <c r="FJ5" s="289">
        <f t="shared" si="40"/>
        <v>45862</v>
      </c>
      <c r="FK5" s="289">
        <f>FJ5+1</f>
        <v>45863</v>
      </c>
      <c r="FL5" s="289">
        <f t="shared" si="40"/>
        <v>45864</v>
      </c>
      <c r="FM5" s="289">
        <f>FL5+2</f>
        <v>45866</v>
      </c>
      <c r="FN5" s="289">
        <f t="shared" ref="FN5" si="41">FM5+1</f>
        <v>45867</v>
      </c>
      <c r="FO5" s="289">
        <f t="shared" ref="FO5:FP5" si="42">FN5+1</f>
        <v>45868</v>
      </c>
      <c r="FP5" s="289">
        <f t="shared" si="42"/>
        <v>45869</v>
      </c>
      <c r="FQ5" s="289"/>
      <c r="FR5" s="289"/>
      <c r="FS5" s="289"/>
      <c r="FT5" s="289"/>
      <c r="FU5" s="289"/>
      <c r="FV5" s="289"/>
      <c r="FW5" s="289"/>
      <c r="FX5" s="289"/>
      <c r="FY5" s="289"/>
      <c r="FZ5" s="289"/>
      <c r="GA5" s="289"/>
      <c r="GB5" s="289"/>
      <c r="GC5" s="289"/>
      <c r="GD5" s="289"/>
      <c r="GE5" s="289"/>
      <c r="GF5" s="289"/>
      <c r="GG5" s="289"/>
      <c r="GH5" s="289"/>
      <c r="GI5" s="289"/>
      <c r="GJ5" s="289"/>
      <c r="GK5" s="289"/>
      <c r="GL5" s="296"/>
      <c r="GM5" s="308">
        <v>2025</v>
      </c>
    </row>
    <row r="6" spans="1:202" ht="15.95" customHeight="1" x14ac:dyDescent="0.3">
      <c r="A6" s="167" t="s">
        <v>47</v>
      </c>
      <c r="B6" s="150">
        <f>SUM('OEE REA'!$M3:$M5)</f>
        <v>433</v>
      </c>
      <c r="C6" s="150">
        <f>SUM('OEE REA'!$M6:$M7)</f>
        <v>1119</v>
      </c>
      <c r="D6" s="150">
        <f>SUM('OEE REA'!$M8:$M9)</f>
        <v>2228</v>
      </c>
      <c r="E6" s="150">
        <f>SUM('OEE REA'!$M10:$M12)</f>
        <v>2138</v>
      </c>
      <c r="F6" s="150">
        <f>SUM('OEE REA'!$M13:$M15)</f>
        <v>1165</v>
      </c>
      <c r="G6" s="150">
        <f>SUM('OEE REA'!$M16:$M17)</f>
        <v>1616</v>
      </c>
      <c r="H6" s="150">
        <f>SUM('OEE REA'!$M18:$M19)</f>
        <v>1835</v>
      </c>
      <c r="I6" s="150">
        <f>SUM('OEE REA'!$M20:$M21)</f>
        <v>1200</v>
      </c>
      <c r="J6" s="150">
        <f>SUM('OEE REA'!$M22:$M23)</f>
        <v>1819</v>
      </c>
      <c r="K6" s="150">
        <f>SUM('OEE REA'!$M24:$M25)</f>
        <v>1045</v>
      </c>
      <c r="L6" s="150">
        <f>SUM('OEE REA'!$M26:$M27)</f>
        <v>2414</v>
      </c>
      <c r="M6" s="150">
        <f>SUM('OEE REA'!$M28:$M29)</f>
        <v>2447</v>
      </c>
      <c r="N6" s="150">
        <f>SUM('OEE REA'!$M30:$M31)</f>
        <v>2131</v>
      </c>
      <c r="O6" s="150">
        <f>SUM('OEE REA'!$M32:$M33)</f>
        <v>1716</v>
      </c>
      <c r="P6" s="150">
        <f>SUM('OEE REA'!$M34:$M35)</f>
        <v>2120</v>
      </c>
      <c r="Q6" s="150">
        <f>SUM('OEE REA'!$M36:$M37)</f>
        <v>2039</v>
      </c>
      <c r="R6" s="150">
        <f>SUM('OEE REA'!$M38:$M39)</f>
        <v>2078</v>
      </c>
      <c r="S6" s="150">
        <f>SUM('OEE REA'!$M40:$M41)</f>
        <v>2520</v>
      </c>
      <c r="T6" s="150">
        <f>SUM('OEE REA'!$M42:$M43)</f>
        <v>2181</v>
      </c>
      <c r="U6" s="150">
        <f>SUM('OEE REA'!$M44:$M45)</f>
        <v>1898</v>
      </c>
      <c r="V6" s="150">
        <f>SUM('OEE REA'!$M46:$M47)</f>
        <v>2244</v>
      </c>
      <c r="W6" s="150">
        <f>SUM('OEE REA'!$M48:$M49)</f>
        <v>2211</v>
      </c>
      <c r="X6" s="150">
        <f>SUM('OEE REA'!$M50:$M51)</f>
        <v>2194</v>
      </c>
      <c r="Y6" s="150">
        <f>SUM('OEE REA'!$M52:$M53)</f>
        <v>2521</v>
      </c>
      <c r="Z6" s="150">
        <f>SUM('OEE REA'!$M54:$M55)</f>
        <v>1278</v>
      </c>
      <c r="AA6" s="150">
        <f>SUM('OEE REA'!$M59:$M61)</f>
        <v>2942</v>
      </c>
      <c r="AB6" s="150">
        <f>SUM('OEE REA'!$M62:$M64)</f>
        <v>2425</v>
      </c>
      <c r="AC6" s="150">
        <f>SUM('OEE REA'!$M65:$M67)</f>
        <v>1535</v>
      </c>
      <c r="AD6" s="150">
        <f>SUM('OEE REA'!$M68:$M70)</f>
        <v>2744</v>
      </c>
      <c r="AE6" s="150">
        <f>SUM('OEE REA'!$M71:$M74)</f>
        <v>2260</v>
      </c>
      <c r="AF6" s="150">
        <f>SUM('OEE REA'!$M75:$M76)</f>
        <v>1770</v>
      </c>
      <c r="AG6" s="150">
        <f>SUM('OEE REA'!$M77:$M79)</f>
        <v>1876</v>
      </c>
      <c r="AH6" s="150">
        <f>SUM('OEE REA'!$M80:$M82)</f>
        <v>2851</v>
      </c>
      <c r="AI6" s="150">
        <f>SUM('OEE REA'!$M83:$M85)</f>
        <v>2630</v>
      </c>
      <c r="AJ6" s="150">
        <f>SUM('OEE REA'!$M86:$M88)</f>
        <v>3203</v>
      </c>
      <c r="AK6" s="150">
        <f>SUM('OEE REA'!$M89:$M91)</f>
        <v>3191</v>
      </c>
      <c r="AL6" s="150">
        <f>SUM('OEE REA'!$M92:$M94)</f>
        <v>1826</v>
      </c>
      <c r="AM6" s="150">
        <f>SUM('OEE REA'!$M95:$M97)</f>
        <v>1616</v>
      </c>
      <c r="AN6" s="150">
        <f>SUM('OEE REA'!$M98:$M100)</f>
        <v>2633</v>
      </c>
      <c r="AO6" s="150">
        <f>SUM('OEE REA'!$M101:$M103)</f>
        <v>3064</v>
      </c>
      <c r="AP6" s="150">
        <f>SUM('OEE REA'!$M104:$M106)</f>
        <v>3225</v>
      </c>
      <c r="AQ6" s="150">
        <f>SUM('OEE REA'!$M107:$M109)</f>
        <v>2681</v>
      </c>
      <c r="AR6" s="150">
        <f>SUM('OEE REA'!$M110:$M111)</f>
        <v>1299</v>
      </c>
      <c r="AS6" s="150">
        <f>SUM('OEE REA'!$M112:$M114)</f>
        <v>2754</v>
      </c>
      <c r="AT6" s="150">
        <f>SUM('OEE REA'!$M115:$M117)</f>
        <v>2396</v>
      </c>
      <c r="AU6" s="150">
        <f>SUM('OEE REA'!$M118:$M120)</f>
        <v>1797</v>
      </c>
      <c r="AV6" s="150">
        <f>SUM('OEE REA'!$M121:$M123)</f>
        <v>2750</v>
      </c>
      <c r="AW6" s="150">
        <f>SUM('OEE REA'!$M124:$M126)</f>
        <v>3140</v>
      </c>
      <c r="AX6" s="150">
        <f>SUM('OEE REA'!$M127:$M128)</f>
        <v>1833</v>
      </c>
      <c r="AY6" s="150">
        <f>SUM('OEE REA'!$M129:$M131)</f>
        <v>2792</v>
      </c>
      <c r="AZ6" s="150">
        <f>SUM('OEE REA'!$M132:$M134)</f>
        <v>1536</v>
      </c>
      <c r="BA6" s="150">
        <f>SUM('OEE REA'!$M135:$M137)</f>
        <v>1444</v>
      </c>
      <c r="BB6" s="150">
        <f>SUM('OEE REA'!$M138:$M140)</f>
        <v>2195</v>
      </c>
      <c r="BC6" s="150">
        <f>SUM('OEE REA'!$M141:$M143)</f>
        <v>1260</v>
      </c>
      <c r="BD6" s="150">
        <f>SUM('OEE REA'!$M144:$M145)</f>
        <v>1461</v>
      </c>
      <c r="BE6" s="150">
        <f>SUM('OEE REA'!$M146:$M146)</f>
        <v>400</v>
      </c>
      <c r="BF6" s="150">
        <f>SUM('OEE REA'!$M147:$M149)</f>
        <v>1811</v>
      </c>
      <c r="BG6" s="150">
        <f>SUM('OEE REA'!$M150:$M152)</f>
        <v>2900</v>
      </c>
      <c r="BH6" s="150">
        <f>SUM('OEE REA'!$M153:$M155)</f>
        <v>2819</v>
      </c>
      <c r="BI6" s="150">
        <f>SUM('OEE REA'!$M156:$M158)</f>
        <v>3097</v>
      </c>
      <c r="BJ6" s="150">
        <f>SUM('OEE REA'!$M159:$M160)</f>
        <v>1674</v>
      </c>
      <c r="BK6" s="150">
        <f>SUM('OEE REA'!$M161:$M163)</f>
        <v>2708</v>
      </c>
      <c r="BL6" s="150">
        <f>SUM('OEE REA'!$M164:$M166)</f>
        <v>2755</v>
      </c>
      <c r="BM6" s="150">
        <f>SUM('OEE REA'!$M167:$M169)</f>
        <v>2559</v>
      </c>
      <c r="BN6" s="150">
        <f>SUM('OEE REA'!$M170:$M172)</f>
        <v>2494</v>
      </c>
      <c r="BO6" s="150">
        <f>SUM('OEE REA'!$M173:$M175)</f>
        <v>2391</v>
      </c>
      <c r="BP6" s="150">
        <f>SUM('OEE REA'!$M176:$M177)</f>
        <v>1628</v>
      </c>
      <c r="BQ6" s="150">
        <f>SUM('OEE REA'!$M178:$M180)</f>
        <v>1869</v>
      </c>
      <c r="BR6" s="150">
        <f>SUM('OEE REA'!$M181:$M183)</f>
        <v>2346</v>
      </c>
      <c r="BS6" s="150">
        <f>SUM('OEE REA'!$M184:$M184)</f>
        <v>384</v>
      </c>
      <c r="BT6" s="150">
        <f>SUM('OEE REA'!$M188:$M189)</f>
        <v>1256</v>
      </c>
      <c r="BU6" s="150">
        <f>SUM('OEE REA'!$M190:$M190)</f>
        <v>718</v>
      </c>
      <c r="BV6" s="150">
        <f>SUM('OEE REA'!$M195:$M197)</f>
        <v>1405</v>
      </c>
      <c r="BW6" s="150">
        <f>SUM('OEE REA'!$M198:$M200)</f>
        <v>1376</v>
      </c>
      <c r="BX6" s="150">
        <f>SUM('OEE REA'!$M201:$M203)</f>
        <v>2816</v>
      </c>
      <c r="BY6" s="150">
        <f>SUM('OEE REA'!$M204:$M206)</f>
        <v>2599</v>
      </c>
      <c r="BZ6" s="150">
        <f>SUM('OEE REA'!$M207:$M209)</f>
        <v>2498</v>
      </c>
      <c r="CA6" s="150">
        <f>SUM('OEE REA'!$M210:$M211)</f>
        <v>1760</v>
      </c>
      <c r="CB6" s="150">
        <f>SUM('OEE REA'!$M212:$M214)</f>
        <v>3158</v>
      </c>
      <c r="CC6" s="150">
        <f>SUM('OEE REA'!$M215:$M217)</f>
        <v>2941</v>
      </c>
      <c r="CD6" s="150">
        <f>SUM('OEE REA'!$M218:$M220)</f>
        <v>3374</v>
      </c>
      <c r="CE6" s="150">
        <f>SUM('OEE REA'!$M221:$M222)</f>
        <v>1273</v>
      </c>
      <c r="CF6" s="150">
        <f>SUM('OEE REA'!$M223:$M225)</f>
        <v>2473</v>
      </c>
      <c r="CG6" s="150">
        <f>SUM('OEE REA'!$M226:$M228)</f>
        <v>1390</v>
      </c>
      <c r="CH6" s="150">
        <f>SUM('OEE REA'!$M229:$M231)</f>
        <v>2533</v>
      </c>
      <c r="CI6" s="150">
        <f>SUM('OEE REA'!$M232:$M234)</f>
        <v>1658</v>
      </c>
      <c r="CJ6" s="150">
        <f>SUM('OEE REA'!$M235:$M237)</f>
        <v>1804</v>
      </c>
      <c r="CK6" s="150">
        <f>SUM('OEE REA'!$M238:$M239)</f>
        <v>1825</v>
      </c>
      <c r="CL6" s="150">
        <f>SUM('OEE REA'!$M240:$M240)</f>
        <v>1321</v>
      </c>
      <c r="CM6" s="150">
        <f>SUM('OEE REA'!$M241:$M243)</f>
        <v>2285</v>
      </c>
      <c r="CN6" s="150">
        <f>SUM('OEE REA'!$M244:$M246)</f>
        <v>2250</v>
      </c>
      <c r="CO6" s="150">
        <f>SUM('OEE REA'!$M247:$M249)</f>
        <v>2527</v>
      </c>
      <c r="CP6" s="150">
        <f>SUM('OEE REA'!$M250:$M252)</f>
        <v>1296</v>
      </c>
      <c r="CQ6" s="150">
        <f>SUM('OEE REA'!$M253:$M254)</f>
        <v>1342</v>
      </c>
      <c r="CR6" s="150">
        <f>SUM('OEE REA'!$M255:$M255)</f>
        <v>1057</v>
      </c>
      <c r="CS6" s="150">
        <f>SUM('OEE REA'!$M256:$M258)</f>
        <v>2661</v>
      </c>
      <c r="CT6" s="150">
        <f>SUM('OEE REA'!$M259:$M261)</f>
        <v>2773</v>
      </c>
      <c r="CU6" s="150">
        <f>SUM('OEE REA'!$M262:$M264)</f>
        <v>3096</v>
      </c>
      <c r="CV6" s="150">
        <f>SUM('OEE REA'!$M265:$M267)</f>
        <v>0</v>
      </c>
      <c r="CW6" s="150">
        <f>SUM('OEE REA'!$M269:$M270)</f>
        <v>508</v>
      </c>
      <c r="CX6" s="150">
        <f>SUM('OEE REA'!$M271:$M271)</f>
        <v>1125</v>
      </c>
      <c r="CY6" s="150">
        <f>SUM('OEE REA'!$M272:$M274)</f>
        <v>3077</v>
      </c>
      <c r="CZ6" s="150">
        <f>SUM('OEE REA'!$M275:$M277)</f>
        <v>3309</v>
      </c>
      <c r="DA6" s="150">
        <f>SUM('OEE REA'!$M278:$M280)</f>
        <v>3099</v>
      </c>
      <c r="DB6" s="150">
        <f>SUM('OEE REA'!$M281:$M283)</f>
        <v>3546</v>
      </c>
      <c r="DC6" s="150">
        <f>SUM('OEE REA'!$M284:$M286)</f>
        <v>3531</v>
      </c>
      <c r="DD6" s="150">
        <f>SUM('OEE REA'!$M287:$M288)</f>
        <v>2006</v>
      </c>
      <c r="DE6" s="150">
        <f>SUM('OEE REA'!$M289:$M289)</f>
        <v>1017</v>
      </c>
      <c r="DF6" s="150">
        <f>SUM('OEE REA'!$M290:$M292)</f>
        <v>2610</v>
      </c>
      <c r="DG6" s="150">
        <f>SUM('OEE REA'!$M293:$M295)</f>
        <v>3221</v>
      </c>
      <c r="DH6" s="150">
        <f>SUM('OEE REA'!$M296:$M298)</f>
        <v>2442</v>
      </c>
      <c r="DI6" s="150">
        <f>SUM('OEE REA'!$M299:$M301)</f>
        <v>1985</v>
      </c>
      <c r="DJ6" s="150">
        <f>SUM('OEE REA'!$M302:$M304)</f>
        <v>3004</v>
      </c>
      <c r="DK6" s="150">
        <f>SUM('OEE REA'!$M305:$M306)</f>
        <v>1162</v>
      </c>
      <c r="DL6" s="150">
        <f>SUM('OEE REA'!$M307:$M309)</f>
        <v>2081</v>
      </c>
      <c r="DM6" s="150">
        <f>SUM('OEE REA'!$M310:$M312)</f>
        <v>3324</v>
      </c>
      <c r="DN6" s="150">
        <f>SUM('OEE REA'!$M313:$M315)</f>
        <v>3334</v>
      </c>
      <c r="DO6" s="150">
        <f>SUM('OEE REA'!$M316:$M318)</f>
        <v>3527</v>
      </c>
      <c r="DP6" s="150">
        <f>SUM('OEE REA'!$M319:$M321)</f>
        <v>2923</v>
      </c>
      <c r="DQ6" s="150">
        <f>SUM('OEE REA'!$M322:$M323)</f>
        <v>2042</v>
      </c>
      <c r="DR6" s="150">
        <f>SUM('OEE REA'!$M324:$M327)</f>
        <v>1468</v>
      </c>
      <c r="DS6" s="150">
        <f>SUM('OEE REA'!$M328:$M330)</f>
        <v>3264</v>
      </c>
      <c r="DT6" s="150">
        <f>SUM('OEE REA'!$M331:$M333)</f>
        <v>3426</v>
      </c>
      <c r="DU6" s="150">
        <f>SUM('OEE REA'!$M334:$M336)</f>
        <v>3505</v>
      </c>
      <c r="DV6" s="150">
        <f>SUM('OEE REA'!$M337:$M339)</f>
        <v>2248</v>
      </c>
      <c r="DW6" s="150">
        <f>SUM('OEE REA'!$M340:$M341)</f>
        <v>2265</v>
      </c>
      <c r="DX6" s="150">
        <f>SUM('OEE REA'!$M342:$M344)</f>
        <v>1159</v>
      </c>
      <c r="DY6" s="150">
        <f>SUM('OEE REA'!$M345:$M347)</f>
        <v>993</v>
      </c>
      <c r="DZ6" s="150">
        <f>SUM('OEE REA'!$M348:$M350)</f>
        <v>3255</v>
      </c>
      <c r="EA6" s="150">
        <f>SUM('OEE REA'!$M351:$M353)</f>
        <v>3240</v>
      </c>
      <c r="EB6" s="150">
        <f>SUM('OEE REA'!$M354:$M355)</f>
        <v>2107</v>
      </c>
      <c r="EC6" s="150">
        <f>SUM('OEE REA'!$M356:$M358)</f>
        <v>3386</v>
      </c>
      <c r="ED6" s="150">
        <f>SUM('OEE REA'!$M359:$M361)</f>
        <v>2676</v>
      </c>
      <c r="EE6" s="150">
        <f>SUM('OEE REA'!$M362:$M364)</f>
        <v>1658</v>
      </c>
      <c r="EF6" s="150">
        <f>SUM('OEE REA'!$M365:$M367)</f>
        <v>2098</v>
      </c>
      <c r="EG6" s="150">
        <f>SUM('OEE REA'!$M370:$M372)</f>
        <v>2388</v>
      </c>
      <c r="EH6" s="150">
        <f>SUM('OEE REA'!$M373:$M374)</f>
        <v>2013</v>
      </c>
      <c r="EI6" s="150">
        <f>SUM('OEE REA'!$M375:$M377)</f>
        <v>3134</v>
      </c>
      <c r="EJ6" s="150">
        <f>SUM('OEE REA'!$M378:$M380)</f>
        <v>3016</v>
      </c>
      <c r="EK6" s="150">
        <f>SUM('OEE REA'!$M381:$M383)</f>
        <v>3326</v>
      </c>
      <c r="EL6" s="150">
        <f>SUM('OEE REA'!$M384:$M386)</f>
        <v>1586</v>
      </c>
      <c r="EM6" s="150">
        <f>SUM('OEE REA'!$M387:$M389)</f>
        <v>2188</v>
      </c>
      <c r="EN6" s="150">
        <f>SUM('OEE REA'!$M390:$M391)</f>
        <v>1751</v>
      </c>
      <c r="EO6" s="150">
        <f>SUM('OEE REA'!$M392:$M394)</f>
        <v>1252</v>
      </c>
      <c r="EP6" s="150">
        <f>SUM('OEE REA'!$M395:$M397)</f>
        <v>2562</v>
      </c>
      <c r="EQ6" s="150">
        <f>SUM('OEE REA'!$M398:$M400)</f>
        <v>3443</v>
      </c>
      <c r="ER6" s="150">
        <f>SUM('OEE REA'!$M401:$M403)</f>
        <v>3406</v>
      </c>
      <c r="ES6" s="150">
        <f>SUM('OEE REA'!$M404:$M406)</f>
        <v>3391</v>
      </c>
      <c r="ET6" s="150">
        <f>SUM('OEE REA'!$M407:$M408)</f>
        <v>2216</v>
      </c>
      <c r="EU6" s="150">
        <f>SUM('OEE REA'!$M409:$M411)</f>
        <v>3233</v>
      </c>
      <c r="EV6" s="150">
        <f>SUM('OEE REA'!$M412:$M414)</f>
        <v>3316</v>
      </c>
      <c r="EW6" s="150">
        <f>SUM('OEE REA'!$M415:$M417)</f>
        <v>2892</v>
      </c>
      <c r="EX6" s="150">
        <f>SUM('OEE REA'!$M418:$M420)</f>
        <v>1830</v>
      </c>
      <c r="EY6" s="150">
        <f>SUM('OEE REA'!$M421:$M423)</f>
        <v>1766</v>
      </c>
      <c r="EZ6" s="150">
        <f>SUM('OEE REA'!$M424:$M425)</f>
        <v>1877</v>
      </c>
      <c r="FA6" s="150">
        <f>SUM('OEE REA'!$M426:$M428)</f>
        <v>1654</v>
      </c>
      <c r="FB6" s="150">
        <f>SUM('OEE REA'!$M429:$M431)</f>
        <v>2463</v>
      </c>
      <c r="FC6" s="150">
        <f>SUM('OEE REA'!$M432:$M434)</f>
        <v>3314</v>
      </c>
      <c r="FD6" s="150">
        <f>SUM('OEE REA'!$M435:$M437)</f>
        <v>3379</v>
      </c>
      <c r="FE6" s="150">
        <f>SUM('OEE REA'!$M438:$M440)</f>
        <v>3253</v>
      </c>
      <c r="FF6" s="150">
        <f>SUM('OEE REA'!$M441:$M442)</f>
        <v>2116</v>
      </c>
      <c r="FG6" s="150">
        <f>SUM('OEE REA'!$M443:$M445)</f>
        <v>0</v>
      </c>
      <c r="FH6" s="150">
        <f>SUM('OEE REA'!$M446:$M448)</f>
        <v>728</v>
      </c>
      <c r="FI6" s="150">
        <f>SUM('OEE REA'!$M449:$M451)</f>
        <v>735</v>
      </c>
      <c r="FJ6" s="150">
        <f>SUM('OEE REA'!$M452:$M454)</f>
        <v>1821</v>
      </c>
      <c r="FK6" s="150">
        <f>SUM('OEE REA'!$M455:$M457)</f>
        <v>2400</v>
      </c>
      <c r="FL6" s="150">
        <f>SUM('OEE REA'!$M458:$M459)</f>
        <v>962</v>
      </c>
      <c r="FM6" s="150">
        <f>SUM('OEE REA'!$M460:$M462)</f>
        <v>2977</v>
      </c>
      <c r="FN6" s="150">
        <f>SUM('OEE REA'!$M463:$M465)</f>
        <v>3575</v>
      </c>
      <c r="FO6" s="150">
        <f>SUM('OEE REA'!$M466:$M468)</f>
        <v>3410</v>
      </c>
      <c r="FP6" s="150">
        <f>SUM('OEE REA'!$M469:$M471)</f>
        <v>3050</v>
      </c>
      <c r="FQ6" s="150"/>
      <c r="FR6" s="150"/>
      <c r="FS6" s="150"/>
      <c r="FT6" s="150"/>
      <c r="FU6" s="150"/>
      <c r="FV6" s="150"/>
      <c r="FW6" s="150"/>
      <c r="FX6" s="150"/>
      <c r="FY6" s="150"/>
      <c r="FZ6" s="150"/>
      <c r="GA6" s="150"/>
      <c r="GB6" s="150"/>
      <c r="GC6" s="150"/>
      <c r="GD6" s="150"/>
      <c r="GE6" s="150"/>
      <c r="GF6" s="150"/>
      <c r="GG6" s="150"/>
      <c r="GH6" s="150"/>
      <c r="GI6" s="150"/>
      <c r="GJ6" s="150"/>
      <c r="GK6" s="150"/>
      <c r="GL6" s="297"/>
      <c r="GM6" s="309">
        <f t="shared" ref="GM6:GM11" si="43">SUM(B6:GL6)</f>
        <v>381063</v>
      </c>
    </row>
    <row r="7" spans="1:202" ht="15.95" customHeight="1" x14ac:dyDescent="0.3">
      <c r="A7" s="168" t="s">
        <v>48</v>
      </c>
      <c r="B7" s="151">
        <f>SUM('OEE REA'!$AK3:$AK5)</f>
        <v>1</v>
      </c>
      <c r="C7" s="151">
        <f>SUM('OEE REA'!$AK6:$AK7)</f>
        <v>6</v>
      </c>
      <c r="D7" s="151">
        <f>SUM('OEE REA'!$AK8:$AK9)</f>
        <v>4</v>
      </c>
      <c r="E7" s="151">
        <f>SUM('OEE REA'!$AK10:$AK12)</f>
        <v>6</v>
      </c>
      <c r="F7" s="151">
        <f>SUM('OEE REA'!$AK13:$AK15)</f>
        <v>7</v>
      </c>
      <c r="G7" s="151">
        <f>SUM('OEE REA'!$AK16:$AK17)</f>
        <v>2</v>
      </c>
      <c r="H7" s="151">
        <f>SUM('OEE REA'!$AK18:$AK19)</f>
        <v>16</v>
      </c>
      <c r="I7" s="151">
        <f>SUM('OEE REA'!$AK20:$AK21)</f>
        <v>17</v>
      </c>
      <c r="J7" s="151">
        <f>SUM('OEE REA'!$AK22:$AK23)</f>
        <v>18</v>
      </c>
      <c r="K7" s="151">
        <f>SUM('OEE REA'!$AK24:$AK25)</f>
        <v>22</v>
      </c>
      <c r="L7" s="151">
        <f>SUM('OEE REA'!$AK26:$AK27)</f>
        <v>12</v>
      </c>
      <c r="M7" s="151">
        <f>SUM('OEE REA'!$AK28:$AK29)</f>
        <v>0</v>
      </c>
      <c r="N7" s="151">
        <f>SUM('OEE REA'!$AK30:$AK31)</f>
        <v>6</v>
      </c>
      <c r="O7" s="151">
        <f>SUM('OEE REA'!$AK33:$AK35)</f>
        <v>8</v>
      </c>
      <c r="P7" s="151">
        <f>SUM('OEE REA'!$AK34:$AK35)</f>
        <v>8</v>
      </c>
      <c r="Q7" s="151">
        <f>SUM('OEE REA'!$AK36:$AK37)</f>
        <v>8</v>
      </c>
      <c r="R7" s="151">
        <f>SUM('OEE REA'!$AK38:$AK39)</f>
        <v>7</v>
      </c>
      <c r="S7" s="151">
        <f>SUM('OEE REA'!$AK40:$AK41)</f>
        <v>11</v>
      </c>
      <c r="T7" s="151">
        <f>SUM('OEE REA'!$AK42:$AK43)</f>
        <v>7</v>
      </c>
      <c r="U7" s="151">
        <f>SUM('OEE REA'!$AK44:$AK45)</f>
        <v>10</v>
      </c>
      <c r="V7" s="151">
        <f>SUM('OEE REA'!$AK46:$AK47)</f>
        <v>64</v>
      </c>
      <c r="W7" s="151">
        <f>SUM('OEE REA'!$AK48:$AK49)</f>
        <v>41</v>
      </c>
      <c r="X7" s="151">
        <f>SUM('OEE REA'!$AK50:$AK51)</f>
        <v>58</v>
      </c>
      <c r="Y7" s="151">
        <f>SUM('OEE REA'!$AK52:$AK53)</f>
        <v>25</v>
      </c>
      <c r="Z7" s="151">
        <f>SUM('OEE REA'!$AK54:$AK55)</f>
        <v>18</v>
      </c>
      <c r="AA7" s="151">
        <f>SUM('OEE REA'!$AK59:$AK61)</f>
        <v>17</v>
      </c>
      <c r="AB7" s="151">
        <f>SUM('OEE REA'!$AK62:$AK64)</f>
        <v>15</v>
      </c>
      <c r="AC7" s="151">
        <f>SUM('OEE REA'!$AK67:$AK1063)</f>
        <v>2620</v>
      </c>
      <c r="AD7" s="151">
        <f>SUM('OEE REA'!$AK68:$AK1108)</f>
        <v>2619</v>
      </c>
      <c r="AE7" s="151">
        <f>SUM('OEE REA'!$AK71:$AK74)</f>
        <v>28</v>
      </c>
      <c r="AF7" s="151">
        <f>SUM('OEE REA'!$AK75:$AK76)</f>
        <v>30</v>
      </c>
      <c r="AG7" s="151">
        <f>SUM('OEE REA'!$AK77:$AK79)</f>
        <v>21</v>
      </c>
      <c r="AH7" s="151">
        <f>SUM('OEE REA'!$AK80:$AK82)</f>
        <v>21</v>
      </c>
      <c r="AI7" s="151">
        <f>SUM('OEE REA'!$AK83:$AK85)</f>
        <v>15</v>
      </c>
      <c r="AJ7" s="151">
        <f>SUM('OEE REA'!$AK86:$AK88)</f>
        <v>17</v>
      </c>
      <c r="AK7" s="151">
        <f>SUM('OEE REA'!$AK89:$AK91)</f>
        <v>7</v>
      </c>
      <c r="AL7" s="151">
        <f>SUM('OEE REA'!$AK92:$AK94)</f>
        <v>8</v>
      </c>
      <c r="AM7" s="151">
        <f>SUM('OEE REA'!$AK95:$AK97)</f>
        <v>7</v>
      </c>
      <c r="AN7" s="151">
        <f>SUM('OEE REA'!$AK98:$AK100)</f>
        <v>4</v>
      </c>
      <c r="AO7" s="151">
        <f>SUM('OEE REA'!$AK101:$AK103)</f>
        <v>21</v>
      </c>
      <c r="AP7" s="151">
        <f>SUM('OEE REA'!$AK104:$AK106)</f>
        <v>2</v>
      </c>
      <c r="AQ7" s="151">
        <f>SUM('OEE REA'!$AK107:$AK109)</f>
        <v>4</v>
      </c>
      <c r="AR7" s="151">
        <f>SUM('OEE REA'!$AK110:$AK111)</f>
        <v>4</v>
      </c>
      <c r="AS7" s="151">
        <f>SUM('OEE REA'!$AK112:$AK114)</f>
        <v>4</v>
      </c>
      <c r="AT7" s="151">
        <f>SUM('OEE REA'!$AK115:$AK117)</f>
        <v>4</v>
      </c>
      <c r="AU7" s="151">
        <f>SUM('OEE REA'!$AK118:$AK120)</f>
        <v>2</v>
      </c>
      <c r="AV7" s="151">
        <f>SUM('OEE REA'!$AK121:$AK123)</f>
        <v>2</v>
      </c>
      <c r="AW7" s="151">
        <f>SUM('OEE REA'!$AK124:$AK126)</f>
        <v>6</v>
      </c>
      <c r="AX7" s="151">
        <f>SUM('OEE REA'!$AK127:$AK128)</f>
        <v>1</v>
      </c>
      <c r="AY7" s="151">
        <f>SUM('OEE REA'!$AK129:$AK131)</f>
        <v>9</v>
      </c>
      <c r="AZ7" s="151">
        <f>SUM('OEE REA'!$AK132:$AK134)</f>
        <v>33</v>
      </c>
      <c r="BA7" s="151">
        <f>SUM('OEE REA'!$AK135:$AK137)</f>
        <v>32</v>
      </c>
      <c r="BB7" s="151">
        <f>SUM('OEE REA'!$AK138:$AK140)</f>
        <v>56</v>
      </c>
      <c r="BC7" s="151">
        <f>SUM('OEE REA'!$AK141:$AK143)</f>
        <v>24</v>
      </c>
      <c r="BD7" s="151">
        <f>SUM('OEE REA'!$AK144:$AK145)</f>
        <v>12</v>
      </c>
      <c r="BE7" s="151">
        <f>SUM('OEE REA'!$AK146:$AK146)</f>
        <v>28</v>
      </c>
      <c r="BF7" s="151">
        <f>SUM('OEE REA'!$AK147:$AK149)</f>
        <v>38</v>
      </c>
      <c r="BG7" s="151">
        <f>SUM('OEE REA'!$AK150:$AK152)</f>
        <v>24</v>
      </c>
      <c r="BH7" s="151">
        <f>SUM('OEE REA'!$AK153:$AK155)</f>
        <v>19</v>
      </c>
      <c r="BI7" s="151">
        <f>SUM('OEE REA'!$AK156:$AK158)</f>
        <v>14</v>
      </c>
      <c r="BJ7" s="151">
        <f>SUM('OEE REA'!$AK159:$AK160)</f>
        <v>5</v>
      </c>
      <c r="BK7" s="151">
        <f>SUM('OEE REA'!$AK161:$AK163)</f>
        <v>9</v>
      </c>
      <c r="BL7" s="151">
        <f>SUM('OEE REA'!$AK164:$AK166)</f>
        <v>12</v>
      </c>
      <c r="BM7" s="151">
        <f>SUM('OEE REA'!$AK167:$AK169)</f>
        <v>52</v>
      </c>
      <c r="BN7" s="151">
        <f>SUM('OEE REA'!$AK170:$AK172)</f>
        <v>22</v>
      </c>
      <c r="BO7" s="151">
        <f>SUM('OEE REA'!$AK173:$AK175)</f>
        <v>11</v>
      </c>
      <c r="BP7" s="151">
        <f>SUM('OEE REA'!$AK176:$AK177)</f>
        <v>7</v>
      </c>
      <c r="BQ7" s="151">
        <f>SUM('OEE REA'!$AK178:$AK180)</f>
        <v>43</v>
      </c>
      <c r="BR7" s="151">
        <f>SUM('OEE REA'!$AK181:$AK183)</f>
        <v>2</v>
      </c>
      <c r="BS7" s="151">
        <f>SUM('OEE REA'!$AK184:$AK184)</f>
        <v>0</v>
      </c>
      <c r="BT7" s="151">
        <f>SUM('OEE REA'!$AK188:$AK189)</f>
        <v>68</v>
      </c>
      <c r="BU7" s="151">
        <f>SUM('OEE REA'!$AK190:$AK190)</f>
        <v>22</v>
      </c>
      <c r="BV7" s="151">
        <f>SUM('OEE REA'!$AK195:$AK197)</f>
        <v>51</v>
      </c>
      <c r="BW7" s="151">
        <f>SUM('OEE REA'!$AK198:$AK200)</f>
        <v>11</v>
      </c>
      <c r="BX7" s="151">
        <f>SUM('OEE REA'!$AK201:$AK203)</f>
        <v>11</v>
      </c>
      <c r="BY7" s="151">
        <f>SUM('OEE REA'!$AK204:$AK206)</f>
        <v>2</v>
      </c>
      <c r="BZ7" s="151">
        <f>SUM('OEE REA'!$AK207:$AK209)</f>
        <v>7</v>
      </c>
      <c r="CA7" s="151">
        <f>SUM('OEE REA'!$AK210:$AK211)</f>
        <v>10</v>
      </c>
      <c r="CB7" s="151">
        <f>SUM('OEE REA'!$AK212:$AK214)</f>
        <v>9</v>
      </c>
      <c r="CC7" s="151">
        <f>SUM('OEE REA'!$AK215:$AK217)</f>
        <v>4</v>
      </c>
      <c r="CD7" s="151">
        <f>SUM('OEE REA'!$AK218:$AK220)</f>
        <v>9</v>
      </c>
      <c r="CE7" s="151">
        <f>SUM('OEE REA'!$AK221:$AK222)</f>
        <v>83</v>
      </c>
      <c r="CF7" s="151">
        <f>SUM('OEE REA'!$AK223:$AK225)</f>
        <v>39</v>
      </c>
      <c r="CG7" s="151">
        <f>SUM('OEE REA'!$AK226:$AK228)</f>
        <v>13</v>
      </c>
      <c r="CH7" s="151">
        <f>SUM('OEE REA'!$AK229:$AK231)</f>
        <v>16</v>
      </c>
      <c r="CI7" s="151">
        <f>SUM('OEE REA'!$AK232:$AK234)</f>
        <v>2</v>
      </c>
      <c r="CJ7" s="151">
        <f>SUM('OEE REA'!$AK235:$AK237)</f>
        <v>4</v>
      </c>
      <c r="CK7" s="151">
        <f>SUM('OEE REA'!$AK238:$AK239)</f>
        <v>3</v>
      </c>
      <c r="CL7" s="151">
        <f>SUM('OEE REA'!$AK240:$AK240)</f>
        <v>1</v>
      </c>
      <c r="CM7" s="151">
        <f>SUM('OEE REA'!$AK241:$AK243)</f>
        <v>9</v>
      </c>
      <c r="CN7" s="151">
        <f>SUM('OEE REA'!$AK244:$AK246)</f>
        <v>6</v>
      </c>
      <c r="CO7" s="151">
        <f>SUM('OEE REA'!$AK247:$AK249)</f>
        <v>9</v>
      </c>
      <c r="CP7" s="151">
        <f>SUM('OEE REA'!$AK250:$AK252)</f>
        <v>320</v>
      </c>
      <c r="CQ7" s="151">
        <f>SUM('OEE REA'!$AK253:$AK254)</f>
        <v>12</v>
      </c>
      <c r="CR7" s="151">
        <f>SUM('OEE REA'!$AK255:$AK255)</f>
        <v>2</v>
      </c>
      <c r="CS7" s="151">
        <f>SUM('OEE REA'!$AK256:$AK258)</f>
        <v>19</v>
      </c>
      <c r="CT7" s="151">
        <f>SUM('OEE REA'!$AK259:$AK261)</f>
        <v>18</v>
      </c>
      <c r="CU7" s="151">
        <f>SUM('OEE REA'!$AK262:$AK264)</f>
        <v>17</v>
      </c>
      <c r="CV7" s="151">
        <f>SUM('OEE REA'!$AK265:$AK267)</f>
        <v>0</v>
      </c>
      <c r="CW7" s="151">
        <f>SUM('OEE REA'!$AK269:$AK270)</f>
        <v>2</v>
      </c>
      <c r="CX7" s="151">
        <f>SUM('OEE REA'!$AK271:$AK271)</f>
        <v>1</v>
      </c>
      <c r="CY7" s="151">
        <f>SUM('OEE REA'!$AK272:$AK274)</f>
        <v>4</v>
      </c>
      <c r="CZ7" s="151">
        <f>SUM('OEE REA'!$AK275:$AK277)</f>
        <v>3</v>
      </c>
      <c r="DA7" s="151">
        <f>SUM('OEE REA'!$AK278:$AK280)</f>
        <v>4</v>
      </c>
      <c r="DB7" s="151">
        <f>SUM('OEE REA'!$AK281:$AK283)</f>
        <v>3</v>
      </c>
      <c r="DC7" s="151">
        <f>SUM('OEE REA'!$AK284:$AK286)</f>
        <v>8</v>
      </c>
      <c r="DD7" s="151">
        <f>SUM('OEE REA'!$AK287:$AK288)</f>
        <v>0</v>
      </c>
      <c r="DE7" s="151">
        <f>SUM('OEE REA'!$AK289:$AK289)</f>
        <v>0</v>
      </c>
      <c r="DF7" s="151">
        <f>SUM('OEE REA'!$AK290:$AK292)</f>
        <v>4</v>
      </c>
      <c r="DG7" s="151">
        <f>SUM('OEE REA'!$AK293:$AK295)</f>
        <v>4</v>
      </c>
      <c r="DH7" s="151">
        <f>SUM('OEE REA'!$AK296:$AK298)</f>
        <v>1</v>
      </c>
      <c r="DI7" s="151">
        <f>SUM('OEE REA'!$AK299:$AK301)</f>
        <v>27</v>
      </c>
      <c r="DJ7" s="151">
        <f>SUM('OEE REA'!$AK302:$AK304)</f>
        <v>32</v>
      </c>
      <c r="DK7" s="151">
        <f>SUM('OEE REA'!$AK305:$AK306)</f>
        <v>2</v>
      </c>
      <c r="DL7" s="151">
        <f>SUM('OEE REA'!$AK307:$AK309)</f>
        <v>28</v>
      </c>
      <c r="DM7" s="151">
        <f>SUM('OEE REA'!$AK310:$AK312)</f>
        <v>45</v>
      </c>
      <c r="DN7" s="151">
        <f>SUM('OEE REA'!$AK313:$AK315)</f>
        <v>36</v>
      </c>
      <c r="DO7" s="151">
        <f>SUM('OEE REA'!$AK316:$AK318)</f>
        <v>9</v>
      </c>
      <c r="DP7" s="151">
        <f>SUM('OEE REA'!$AK319:$AK321)</f>
        <v>11</v>
      </c>
      <c r="DQ7" s="151">
        <f>SUM('OEE REA'!$AK322:$AK323)</f>
        <v>3</v>
      </c>
      <c r="DR7" s="151">
        <f>SUM('OEE REA'!$AK324:$AK327)</f>
        <v>0</v>
      </c>
      <c r="DS7" s="151">
        <f>SUM('OEE REA'!$AK328:$AK330)</f>
        <v>2</v>
      </c>
      <c r="DT7" s="151">
        <f>SUM('OEE REA'!$AK331:$AK333)</f>
        <v>8</v>
      </c>
      <c r="DU7" s="151">
        <f>SUM('OEE REA'!$AK334:$AK336)</f>
        <v>5</v>
      </c>
      <c r="DV7" s="151">
        <f>SUM('OEE REA'!$AK337:$AK339)</f>
        <v>6</v>
      </c>
      <c r="DW7" s="151">
        <f>SUM('OEE REA'!$AK340:$AK341)</f>
        <v>3</v>
      </c>
      <c r="DX7" s="151">
        <f>SUM('OEE REA'!$AK342:$AK344)</f>
        <v>3</v>
      </c>
      <c r="DY7" s="151">
        <f>SUM('OEE REA'!$AK345:$AK347)</f>
        <v>4</v>
      </c>
      <c r="DZ7" s="151">
        <f>SUM('OEE REA'!$AK348:$AK350)</f>
        <v>2</v>
      </c>
      <c r="EA7" s="151">
        <f>SUM('OEE REA'!$AK351:$AK353)</f>
        <v>3</v>
      </c>
      <c r="EB7" s="151">
        <f>SUM('OEE REA'!$AK354:$AK355)</f>
        <v>6</v>
      </c>
      <c r="EC7" s="151">
        <f>SUM('OEE REA'!$AK356:$AK358)</f>
        <v>4</v>
      </c>
      <c r="ED7" s="151">
        <f>SUM('OEE REA'!$AK359:$AK361)</f>
        <v>3</v>
      </c>
      <c r="EE7" s="151">
        <f>SUM('OEE REA'!$AK362:$AK364)</f>
        <v>46</v>
      </c>
      <c r="EF7" s="151">
        <f>SUM('OEE REA'!$AK365:$AK367)</f>
        <v>16</v>
      </c>
      <c r="EG7" s="151">
        <f>SUM('OEE REA'!$AK370:$AK372)</f>
        <v>20</v>
      </c>
      <c r="EH7" s="151">
        <f>SUM('OEE REA'!$AK373:$AK374)</f>
        <v>4</v>
      </c>
      <c r="EI7" s="151">
        <f>SUM('OEE REA'!$AK375:$AK377)</f>
        <v>3</v>
      </c>
      <c r="EJ7" s="151">
        <f>SUM('OEE REA'!$AK378:$AK380)</f>
        <v>7</v>
      </c>
      <c r="EK7" s="151">
        <f>SUM('OEE REA'!$AK381:$AK383)</f>
        <v>3</v>
      </c>
      <c r="EL7" s="151">
        <f>SUM('OEE REA'!$AK384:$AK386)</f>
        <v>3</v>
      </c>
      <c r="EM7" s="151">
        <f>SUM('OEE REA'!$AK387:$AK389)</f>
        <v>59</v>
      </c>
      <c r="EN7" s="151">
        <f>SUM('OEE REA'!$AK390:$AK391)</f>
        <v>50</v>
      </c>
      <c r="EO7" s="151">
        <f>SUM('OEE REA'!$AK392:$AK394)</f>
        <v>23</v>
      </c>
      <c r="EP7" s="151">
        <f>SUM('OEE REA'!$AK395:$AK397)</f>
        <v>41</v>
      </c>
      <c r="EQ7" s="151">
        <f>SUM('OEE REA'!$AK398:$AK400)</f>
        <v>9</v>
      </c>
      <c r="ER7" s="151">
        <f>SUM('OEE REA'!$AK401:$AK403)</f>
        <v>11</v>
      </c>
      <c r="ES7" s="151">
        <f>SUM('OEE REA'!$AK404:$AK406)</f>
        <v>8</v>
      </c>
      <c r="ET7" s="151">
        <f>SUM('OEE REA'!$AK407:$AK408)</f>
        <v>5</v>
      </c>
      <c r="EU7" s="151">
        <f>SUM('OEE REA'!$AK409:$AK411)</f>
        <v>6</v>
      </c>
      <c r="EV7" s="151">
        <f>SUM('OEE REA'!$AK412:$AK414)</f>
        <v>13</v>
      </c>
      <c r="EW7" s="151">
        <f>SUM('OEE REA'!$AK415:$AK417)</f>
        <v>14</v>
      </c>
      <c r="EX7" s="151">
        <f>SUM('OEE REA'!$AK418:$AK420)</f>
        <v>14</v>
      </c>
      <c r="EY7" s="151">
        <f>SUM('OEE REA'!$AK421:$AK423)</f>
        <v>13</v>
      </c>
      <c r="EZ7" s="151">
        <f>SUM('OEE REA'!$AK424:$AK425)</f>
        <v>4</v>
      </c>
      <c r="FA7" s="151">
        <f>SUM('OEE REA'!$AK426:$AK428)</f>
        <v>42</v>
      </c>
      <c r="FB7" s="151">
        <f>SUM('OEE REA'!$AK429:$AK431)</f>
        <v>4</v>
      </c>
      <c r="FC7" s="151">
        <f>SUM('OEE REA'!$AK432:$AK434)</f>
        <v>2</v>
      </c>
      <c r="FD7" s="151">
        <f>SUM('OEE REA'!$AK435:$AK437)</f>
        <v>0</v>
      </c>
      <c r="FE7" s="151">
        <f>SUM('OEE REA'!$AK438:$AK440)</f>
        <v>2</v>
      </c>
      <c r="FF7" s="151">
        <f>SUM('OEE REA'!$AK441:$AK442)</f>
        <v>2</v>
      </c>
      <c r="FG7" s="151">
        <f>SUM('OEE REA'!$AK443:$AK445)</f>
        <v>0</v>
      </c>
      <c r="FH7" s="151">
        <f>SUM('OEE REA'!$AK446:$AK448)</f>
        <v>5</v>
      </c>
      <c r="FI7" s="151">
        <f>SUM('OEE REA'!$AK449:$AK451)</f>
        <v>2</v>
      </c>
      <c r="FJ7" s="151">
        <f>SUM('OEE REA'!$AK452:$AK454)</f>
        <v>41</v>
      </c>
      <c r="FK7" s="151">
        <f>SUM('OEE REA'!$AK455:$AK457)</f>
        <v>46</v>
      </c>
      <c r="FL7" s="151">
        <f>SUM('OEE REA'!$AK458:$AK459)</f>
        <v>38</v>
      </c>
      <c r="FM7" s="151">
        <f>SUM('OEE REA'!$AK460:$AK462)</f>
        <v>16</v>
      </c>
      <c r="FN7" s="151">
        <f>SUM('OEE REA'!$AK463:$AK465)</f>
        <v>11</v>
      </c>
      <c r="FO7" s="151">
        <f>SUM('OEE REA'!$AK466:$AK468)</f>
        <v>8</v>
      </c>
      <c r="FP7" s="151">
        <f>SUM('OEE REA'!$AK469:$AK471)</f>
        <v>29</v>
      </c>
      <c r="FQ7" s="151"/>
      <c r="FR7" s="151"/>
      <c r="FS7" s="151"/>
      <c r="FT7" s="151"/>
      <c r="FU7" s="151"/>
      <c r="FV7" s="151"/>
      <c r="FW7" s="151"/>
      <c r="FX7" s="151"/>
      <c r="FY7" s="151"/>
      <c r="FZ7" s="151"/>
      <c r="GA7" s="151"/>
      <c r="GB7" s="151"/>
      <c r="GC7" s="151"/>
      <c r="GD7" s="151"/>
      <c r="GE7" s="151"/>
      <c r="GF7" s="151"/>
      <c r="GG7" s="151"/>
      <c r="GH7" s="151"/>
      <c r="GI7" s="151"/>
      <c r="GJ7" s="151"/>
      <c r="GK7" s="151"/>
      <c r="GL7" s="298"/>
      <c r="GM7" s="310">
        <f t="shared" si="43"/>
        <v>7986</v>
      </c>
    </row>
    <row r="8" spans="1:202" ht="15.95" customHeight="1" x14ac:dyDescent="0.3">
      <c r="A8" s="169" t="s">
        <v>49</v>
      </c>
      <c r="B8" s="152">
        <f t="shared" ref="B8:H8" si="44">B6-B7</f>
        <v>432</v>
      </c>
      <c r="C8" s="152">
        <f t="shared" si="44"/>
        <v>1113</v>
      </c>
      <c r="D8" s="152">
        <f t="shared" si="44"/>
        <v>2224</v>
      </c>
      <c r="E8" s="152">
        <f t="shared" si="44"/>
        <v>2132</v>
      </c>
      <c r="F8" s="152">
        <f t="shared" si="44"/>
        <v>1158</v>
      </c>
      <c r="G8" s="152">
        <f t="shared" si="44"/>
        <v>1614</v>
      </c>
      <c r="H8" s="152">
        <f t="shared" si="44"/>
        <v>1819</v>
      </c>
      <c r="I8" s="152">
        <f t="shared" ref="I8:J8" si="45">I6-I7</f>
        <v>1183</v>
      </c>
      <c r="J8" s="152">
        <f t="shared" si="45"/>
        <v>1801</v>
      </c>
      <c r="K8" s="152">
        <f t="shared" ref="K8:L8" si="46">K6-K7</f>
        <v>1023</v>
      </c>
      <c r="L8" s="152">
        <f t="shared" si="46"/>
        <v>2402</v>
      </c>
      <c r="M8" s="152">
        <f t="shared" ref="M8:N8" si="47">M6-M7</f>
        <v>2447</v>
      </c>
      <c r="N8" s="152">
        <f t="shared" si="47"/>
        <v>2125</v>
      </c>
      <c r="O8" s="152">
        <f t="shared" ref="O8:P8" si="48">O6-O7</f>
        <v>1708</v>
      </c>
      <c r="P8" s="152">
        <f t="shared" si="48"/>
        <v>2112</v>
      </c>
      <c r="Q8" s="152">
        <f t="shared" ref="Q8:R8" si="49">Q6-Q7</f>
        <v>2031</v>
      </c>
      <c r="R8" s="152">
        <f t="shared" si="49"/>
        <v>2071</v>
      </c>
      <c r="S8" s="152">
        <f t="shared" ref="S8:T8" si="50">S6-S7</f>
        <v>2509</v>
      </c>
      <c r="T8" s="152">
        <f t="shared" si="50"/>
        <v>2174</v>
      </c>
      <c r="U8" s="152">
        <f t="shared" ref="U8:V8" si="51">U6-U7</f>
        <v>1888</v>
      </c>
      <c r="V8" s="152">
        <f t="shared" si="51"/>
        <v>2180</v>
      </c>
      <c r="W8" s="152">
        <f t="shared" ref="W8:X8" si="52">W6-W7</f>
        <v>2170</v>
      </c>
      <c r="X8" s="152">
        <f t="shared" si="52"/>
        <v>2136</v>
      </c>
      <c r="Y8" s="152">
        <f t="shared" ref="Y8:Z8" si="53">Y6-Y7</f>
        <v>2496</v>
      </c>
      <c r="Z8" s="152">
        <f t="shared" si="53"/>
        <v>1260</v>
      </c>
      <c r="AA8" s="152">
        <f t="shared" ref="AA8:AB8" si="54">AA6-AA7</f>
        <v>2925</v>
      </c>
      <c r="AB8" s="152">
        <f t="shared" si="54"/>
        <v>2410</v>
      </c>
      <c r="AC8" s="152">
        <f t="shared" ref="AC8:AD8" si="55">AC6-AC7</f>
        <v>-1085</v>
      </c>
      <c r="AD8" s="152">
        <f t="shared" si="55"/>
        <v>125</v>
      </c>
      <c r="AE8" s="152">
        <f t="shared" ref="AE8:AF8" si="56">AE6-AE7</f>
        <v>2232</v>
      </c>
      <c r="AF8" s="152">
        <f t="shared" si="56"/>
        <v>1740</v>
      </c>
      <c r="AG8" s="152">
        <f t="shared" ref="AG8:AH8" si="57">AG6-AG7</f>
        <v>1855</v>
      </c>
      <c r="AH8" s="152">
        <f t="shared" si="57"/>
        <v>2830</v>
      </c>
      <c r="AI8" s="152">
        <f t="shared" ref="AI8:AJ8" si="58">AI6-AI7</f>
        <v>2615</v>
      </c>
      <c r="AJ8" s="152">
        <f t="shared" si="58"/>
        <v>3186</v>
      </c>
      <c r="AK8" s="152">
        <f t="shared" ref="AK8:AL8" si="59">AK6-AK7</f>
        <v>3184</v>
      </c>
      <c r="AL8" s="152">
        <f t="shared" si="59"/>
        <v>1818</v>
      </c>
      <c r="AM8" s="152">
        <f t="shared" ref="AM8:AN8" si="60">AM6-AM7</f>
        <v>1609</v>
      </c>
      <c r="AN8" s="152">
        <f t="shared" si="60"/>
        <v>2629</v>
      </c>
      <c r="AO8" s="152">
        <f t="shared" ref="AO8:AP8" si="61">AO6-AO7</f>
        <v>3043</v>
      </c>
      <c r="AP8" s="152">
        <f t="shared" si="61"/>
        <v>3223</v>
      </c>
      <c r="AQ8" s="152">
        <f t="shared" ref="AQ8:AR8" si="62">AQ6-AQ7</f>
        <v>2677</v>
      </c>
      <c r="AR8" s="152">
        <f t="shared" si="62"/>
        <v>1295</v>
      </c>
      <c r="AS8" s="152">
        <f t="shared" ref="AS8:AT8" si="63">AS6-AS7</f>
        <v>2750</v>
      </c>
      <c r="AT8" s="152">
        <f t="shared" si="63"/>
        <v>2392</v>
      </c>
      <c r="AU8" s="152">
        <f t="shared" ref="AU8:AV8" si="64">AU6-AU7</f>
        <v>1795</v>
      </c>
      <c r="AV8" s="152">
        <f t="shared" si="64"/>
        <v>2748</v>
      </c>
      <c r="AW8" s="152">
        <f t="shared" ref="AW8:AX8" si="65">AW6-AW7</f>
        <v>3134</v>
      </c>
      <c r="AX8" s="152">
        <f t="shared" si="65"/>
        <v>1832</v>
      </c>
      <c r="AY8" s="152">
        <f t="shared" ref="AY8:AZ8" si="66">AY6-AY7</f>
        <v>2783</v>
      </c>
      <c r="AZ8" s="152">
        <f t="shared" si="66"/>
        <v>1503</v>
      </c>
      <c r="BA8" s="152">
        <f t="shared" ref="BA8:BB8" si="67">BA6-BA7</f>
        <v>1412</v>
      </c>
      <c r="BB8" s="152">
        <f t="shared" si="67"/>
        <v>2139</v>
      </c>
      <c r="BC8" s="152">
        <f t="shared" ref="BC8:BD8" si="68">BC6-BC7</f>
        <v>1236</v>
      </c>
      <c r="BD8" s="152">
        <f t="shared" si="68"/>
        <v>1449</v>
      </c>
      <c r="BE8" s="152">
        <f t="shared" ref="BE8:BF8" si="69">BE6-BE7</f>
        <v>372</v>
      </c>
      <c r="BF8" s="152">
        <f t="shared" si="69"/>
        <v>1773</v>
      </c>
      <c r="BG8" s="152">
        <f t="shared" ref="BG8:BH8" si="70">BG6-BG7</f>
        <v>2876</v>
      </c>
      <c r="BH8" s="152">
        <f t="shared" si="70"/>
        <v>2800</v>
      </c>
      <c r="BI8" s="152">
        <f t="shared" ref="BI8:BJ8" si="71">BI6-BI7</f>
        <v>3083</v>
      </c>
      <c r="BJ8" s="152">
        <f t="shared" si="71"/>
        <v>1669</v>
      </c>
      <c r="BK8" s="152">
        <f t="shared" ref="BK8:BL8" si="72">BK6-BK7</f>
        <v>2699</v>
      </c>
      <c r="BL8" s="152">
        <f t="shared" si="72"/>
        <v>2743</v>
      </c>
      <c r="BM8" s="152">
        <f t="shared" ref="BM8:BN8" si="73">BM6-BM7</f>
        <v>2507</v>
      </c>
      <c r="BN8" s="152">
        <f t="shared" si="73"/>
        <v>2472</v>
      </c>
      <c r="BO8" s="152">
        <f t="shared" ref="BO8:BP8" si="74">BO6-BO7</f>
        <v>2380</v>
      </c>
      <c r="BP8" s="152">
        <f t="shared" si="74"/>
        <v>1621</v>
      </c>
      <c r="BQ8" s="152">
        <f t="shared" ref="BQ8:BR8" si="75">BQ6-BQ7</f>
        <v>1826</v>
      </c>
      <c r="BR8" s="152">
        <f t="shared" si="75"/>
        <v>2344</v>
      </c>
      <c r="BS8" s="152">
        <f t="shared" ref="BS8:BT8" si="76">BS6-BS7</f>
        <v>384</v>
      </c>
      <c r="BT8" s="152">
        <f t="shared" si="76"/>
        <v>1188</v>
      </c>
      <c r="BU8" s="152">
        <f t="shared" ref="BU8:BV8" si="77">BU6-BU7</f>
        <v>696</v>
      </c>
      <c r="BV8" s="152">
        <f t="shared" si="77"/>
        <v>1354</v>
      </c>
      <c r="BW8" s="152">
        <f t="shared" ref="BW8:BX8" si="78">BW6-BW7</f>
        <v>1365</v>
      </c>
      <c r="BX8" s="152">
        <f t="shared" si="78"/>
        <v>2805</v>
      </c>
      <c r="BY8" s="152">
        <f t="shared" ref="BY8:BZ8" si="79">BY6-BY7</f>
        <v>2597</v>
      </c>
      <c r="BZ8" s="152">
        <f t="shared" si="79"/>
        <v>2491</v>
      </c>
      <c r="CA8" s="152">
        <f t="shared" ref="CA8:CB8" si="80">CA6-CA7</f>
        <v>1750</v>
      </c>
      <c r="CB8" s="152">
        <f t="shared" si="80"/>
        <v>3149</v>
      </c>
      <c r="CC8" s="152">
        <f t="shared" ref="CC8:CD8" si="81">CC6-CC7</f>
        <v>2937</v>
      </c>
      <c r="CD8" s="152">
        <f t="shared" si="81"/>
        <v>3365</v>
      </c>
      <c r="CE8" s="152">
        <f t="shared" ref="CE8:CF8" si="82">CE6-CE7</f>
        <v>1190</v>
      </c>
      <c r="CF8" s="152">
        <f t="shared" si="82"/>
        <v>2434</v>
      </c>
      <c r="CG8" s="152">
        <f t="shared" ref="CG8:CH8" si="83">CG6-CG7</f>
        <v>1377</v>
      </c>
      <c r="CH8" s="152">
        <f t="shared" si="83"/>
        <v>2517</v>
      </c>
      <c r="CI8" s="152">
        <f t="shared" ref="CI8:CJ8" si="84">CI6-CI7</f>
        <v>1656</v>
      </c>
      <c r="CJ8" s="152">
        <f t="shared" si="84"/>
        <v>1800</v>
      </c>
      <c r="CK8" s="152">
        <f t="shared" ref="CK8:CL8" si="85">CK6-CK7</f>
        <v>1822</v>
      </c>
      <c r="CL8" s="152">
        <f t="shared" si="85"/>
        <v>1320</v>
      </c>
      <c r="CM8" s="152">
        <f t="shared" ref="CM8:CN8" si="86">CM6-CM7</f>
        <v>2276</v>
      </c>
      <c r="CN8" s="152">
        <f t="shared" si="86"/>
        <v>2244</v>
      </c>
      <c r="CO8" s="152">
        <f t="shared" ref="CO8:CP8" si="87">CO6-CO7</f>
        <v>2518</v>
      </c>
      <c r="CP8" s="152">
        <f t="shared" si="87"/>
        <v>976</v>
      </c>
      <c r="CQ8" s="152">
        <f t="shared" ref="CQ8:CR8" si="88">CQ6-CQ7</f>
        <v>1330</v>
      </c>
      <c r="CR8" s="152">
        <f t="shared" si="88"/>
        <v>1055</v>
      </c>
      <c r="CS8" s="152">
        <f t="shared" ref="CS8:CT8" si="89">CS6-CS7</f>
        <v>2642</v>
      </c>
      <c r="CT8" s="152">
        <f t="shared" si="89"/>
        <v>2755</v>
      </c>
      <c r="CU8" s="152">
        <f t="shared" ref="CU8:CV8" si="90">CU6-CU7</f>
        <v>3079</v>
      </c>
      <c r="CV8" s="152">
        <f t="shared" si="90"/>
        <v>0</v>
      </c>
      <c r="CW8" s="152">
        <f t="shared" ref="CW8:CX8" si="91">CW6-CW7</f>
        <v>506</v>
      </c>
      <c r="CX8" s="152">
        <f t="shared" si="91"/>
        <v>1124</v>
      </c>
      <c r="CY8" s="152">
        <f t="shared" ref="CY8:CZ8" si="92">CY6-CY7</f>
        <v>3073</v>
      </c>
      <c r="CZ8" s="152">
        <f t="shared" si="92"/>
        <v>3306</v>
      </c>
      <c r="DA8" s="152">
        <f t="shared" ref="DA8:DB8" si="93">DA6-DA7</f>
        <v>3095</v>
      </c>
      <c r="DB8" s="152">
        <f t="shared" si="93"/>
        <v>3543</v>
      </c>
      <c r="DC8" s="152">
        <f t="shared" ref="DC8:DD8" si="94">DC6-DC7</f>
        <v>3523</v>
      </c>
      <c r="DD8" s="152">
        <f t="shared" si="94"/>
        <v>2006</v>
      </c>
      <c r="DE8" s="152">
        <f t="shared" ref="DE8:DF8" si="95">DE6-DE7</f>
        <v>1017</v>
      </c>
      <c r="DF8" s="152">
        <f t="shared" si="95"/>
        <v>2606</v>
      </c>
      <c r="DG8" s="152">
        <f t="shared" ref="DG8:DH8" si="96">DG6-DG7</f>
        <v>3217</v>
      </c>
      <c r="DH8" s="152">
        <f t="shared" si="96"/>
        <v>2441</v>
      </c>
      <c r="DI8" s="152">
        <f t="shared" ref="DI8:DJ8" si="97">DI6-DI7</f>
        <v>1958</v>
      </c>
      <c r="DJ8" s="152">
        <f t="shared" si="97"/>
        <v>2972</v>
      </c>
      <c r="DK8" s="152">
        <f t="shared" ref="DK8:DL8" si="98">DK6-DK7</f>
        <v>1160</v>
      </c>
      <c r="DL8" s="152">
        <f t="shared" si="98"/>
        <v>2053</v>
      </c>
      <c r="DM8" s="152">
        <f t="shared" ref="DM8:DN8" si="99">DM6-DM7</f>
        <v>3279</v>
      </c>
      <c r="DN8" s="152">
        <f t="shared" si="99"/>
        <v>3298</v>
      </c>
      <c r="DO8" s="152">
        <f t="shared" ref="DO8:DP8" si="100">DO6-DO7</f>
        <v>3518</v>
      </c>
      <c r="DP8" s="152">
        <f t="shared" si="100"/>
        <v>2912</v>
      </c>
      <c r="DQ8" s="152">
        <f t="shared" ref="DQ8:DR8" si="101">DQ6-DQ7</f>
        <v>2039</v>
      </c>
      <c r="DR8" s="152">
        <f t="shared" si="101"/>
        <v>1468</v>
      </c>
      <c r="DS8" s="152">
        <f t="shared" ref="DS8:DT8" si="102">DS6-DS7</f>
        <v>3262</v>
      </c>
      <c r="DT8" s="152">
        <f t="shared" si="102"/>
        <v>3418</v>
      </c>
      <c r="DU8" s="152">
        <f t="shared" ref="DU8" si="103">DU6-DU7</f>
        <v>3500</v>
      </c>
      <c r="DV8" s="152">
        <f t="shared" ref="DV8:DW8" si="104">DV6-DV7</f>
        <v>2242</v>
      </c>
      <c r="DW8" s="152">
        <f t="shared" si="104"/>
        <v>2262</v>
      </c>
      <c r="DX8" s="152">
        <f t="shared" ref="DX8:DY8" si="105">DX6-DX7</f>
        <v>1156</v>
      </c>
      <c r="DY8" s="152">
        <f t="shared" si="105"/>
        <v>989</v>
      </c>
      <c r="DZ8" s="152">
        <f t="shared" ref="DZ8:EA8" si="106">DZ6-DZ7</f>
        <v>3253</v>
      </c>
      <c r="EA8" s="152">
        <f t="shared" si="106"/>
        <v>3237</v>
      </c>
      <c r="EB8" s="152">
        <f t="shared" ref="EB8:EC8" si="107">EB6-EB7</f>
        <v>2101</v>
      </c>
      <c r="EC8" s="152">
        <f t="shared" si="107"/>
        <v>3382</v>
      </c>
      <c r="ED8" s="152">
        <f t="shared" ref="ED8:EE8" si="108">ED6-ED7</f>
        <v>2673</v>
      </c>
      <c r="EE8" s="152">
        <f t="shared" si="108"/>
        <v>1612</v>
      </c>
      <c r="EF8" s="152">
        <f t="shared" ref="EF8:EG8" si="109">EF6-EF7</f>
        <v>2082</v>
      </c>
      <c r="EG8" s="152">
        <f t="shared" si="109"/>
        <v>2368</v>
      </c>
      <c r="EH8" s="152">
        <f t="shared" ref="EH8:EI8" si="110">EH6-EH7</f>
        <v>2009</v>
      </c>
      <c r="EI8" s="152">
        <f t="shared" si="110"/>
        <v>3131</v>
      </c>
      <c r="EJ8" s="152">
        <f t="shared" ref="EJ8:EK8" si="111">EJ6-EJ7</f>
        <v>3009</v>
      </c>
      <c r="EK8" s="152">
        <f t="shared" si="111"/>
        <v>3323</v>
      </c>
      <c r="EL8" s="152">
        <f t="shared" ref="EL8:EM8" si="112">EL6-EL7</f>
        <v>1583</v>
      </c>
      <c r="EM8" s="152">
        <f t="shared" si="112"/>
        <v>2129</v>
      </c>
      <c r="EN8" s="152">
        <f t="shared" ref="EN8:EO8" si="113">EN6-EN7</f>
        <v>1701</v>
      </c>
      <c r="EO8" s="152">
        <f t="shared" si="113"/>
        <v>1229</v>
      </c>
      <c r="EP8" s="152">
        <f t="shared" ref="EP8:EQ8" si="114">EP6-EP7</f>
        <v>2521</v>
      </c>
      <c r="EQ8" s="152">
        <f t="shared" si="114"/>
        <v>3434</v>
      </c>
      <c r="ER8" s="152">
        <f t="shared" ref="ER8:ES8" si="115">ER6-ER7</f>
        <v>3395</v>
      </c>
      <c r="ES8" s="152">
        <f t="shared" si="115"/>
        <v>3383</v>
      </c>
      <c r="ET8" s="152">
        <f t="shared" ref="ET8:EU8" si="116">ET6-ET7</f>
        <v>2211</v>
      </c>
      <c r="EU8" s="152">
        <f t="shared" si="116"/>
        <v>3227</v>
      </c>
      <c r="EV8" s="152">
        <f t="shared" ref="EV8:EW8" si="117">EV6-EV7</f>
        <v>3303</v>
      </c>
      <c r="EW8" s="152">
        <f t="shared" si="117"/>
        <v>2878</v>
      </c>
      <c r="EX8" s="152">
        <f t="shared" ref="EX8:EY8" si="118">EX6-EX7</f>
        <v>1816</v>
      </c>
      <c r="EY8" s="152">
        <f t="shared" si="118"/>
        <v>1753</v>
      </c>
      <c r="EZ8" s="152">
        <f t="shared" ref="EZ8:FA8" si="119">EZ6-EZ7</f>
        <v>1873</v>
      </c>
      <c r="FA8" s="152">
        <f t="shared" si="119"/>
        <v>1612</v>
      </c>
      <c r="FB8" s="152">
        <f t="shared" ref="FB8:FC8" si="120">FB6-FB7</f>
        <v>2459</v>
      </c>
      <c r="FC8" s="152">
        <f t="shared" si="120"/>
        <v>3312</v>
      </c>
      <c r="FD8" s="152">
        <f t="shared" ref="FD8:FE8" si="121">FD6-FD7</f>
        <v>3379</v>
      </c>
      <c r="FE8" s="152">
        <f t="shared" si="121"/>
        <v>3251</v>
      </c>
      <c r="FF8" s="152">
        <f t="shared" ref="FF8:FG8" si="122">FF6-FF7</f>
        <v>2114</v>
      </c>
      <c r="FG8" s="152">
        <f t="shared" si="122"/>
        <v>0</v>
      </c>
      <c r="FH8" s="152">
        <f t="shared" ref="FH8:FI8" si="123">FH6-FH7</f>
        <v>723</v>
      </c>
      <c r="FI8" s="152">
        <f t="shared" si="123"/>
        <v>733</v>
      </c>
      <c r="FJ8" s="152">
        <f t="shared" ref="FJ8:FK8" si="124">FJ6-FJ7</f>
        <v>1780</v>
      </c>
      <c r="FK8" s="152">
        <f t="shared" si="124"/>
        <v>2354</v>
      </c>
      <c r="FL8" s="152">
        <f t="shared" ref="FL8" si="125">FL6-FL7</f>
        <v>924</v>
      </c>
      <c r="FM8" s="152">
        <f t="shared" ref="FM8:FN8" si="126">FM6-FM7</f>
        <v>2961</v>
      </c>
      <c r="FN8" s="152">
        <f t="shared" si="126"/>
        <v>3564</v>
      </c>
      <c r="FO8" s="152">
        <f t="shared" ref="FO8:FP8" si="127">FO6-FO7</f>
        <v>3402</v>
      </c>
      <c r="FP8" s="152">
        <f t="shared" si="127"/>
        <v>3021</v>
      </c>
      <c r="FQ8" s="152"/>
      <c r="FR8" s="152"/>
      <c r="FS8" s="152"/>
      <c r="FT8" s="152"/>
      <c r="FU8" s="152"/>
      <c r="FV8" s="152"/>
      <c r="FW8" s="152"/>
      <c r="FX8" s="152"/>
      <c r="FY8" s="152"/>
      <c r="FZ8" s="152"/>
      <c r="GA8" s="152"/>
      <c r="GB8" s="152"/>
      <c r="GC8" s="152"/>
      <c r="GD8" s="152"/>
      <c r="GE8" s="152"/>
      <c r="GF8" s="152"/>
      <c r="GG8" s="152"/>
      <c r="GH8" s="152"/>
      <c r="GI8" s="152"/>
      <c r="GJ8" s="152"/>
      <c r="GK8" s="152"/>
      <c r="GL8" s="299"/>
      <c r="GM8" s="311">
        <f t="shared" si="43"/>
        <v>373077</v>
      </c>
    </row>
    <row r="9" spans="1:202" ht="15.95" customHeight="1" x14ac:dyDescent="0.3">
      <c r="A9" s="170" t="s">
        <v>1676</v>
      </c>
      <c r="B9" s="155">
        <f>SUM('OEE REA'!$BC3:$BC5)/60</f>
        <v>2.8300653594771243</v>
      </c>
      <c r="C9" s="155">
        <f>SUM('OEE REA'!$BC6:$BC7)/60</f>
        <v>7.3137254901960782</v>
      </c>
      <c r="D9" s="155">
        <f>SUM('OEE REA'!$BC8:$BC9)/60</f>
        <v>14.562091503267974</v>
      </c>
      <c r="E9" s="155">
        <f>SUM('OEE REA'!$BC10:$BC12)/60</f>
        <v>13.973856209150329</v>
      </c>
      <c r="F9" s="155">
        <f>SUM('OEE REA'!$BC13:$BC15)/60</f>
        <v>7.6143790849673199</v>
      </c>
      <c r="G9" s="155">
        <f>SUM('OEE REA'!$BC16:$BC17)/60</f>
        <v>10.562091503267974</v>
      </c>
      <c r="H9" s="155">
        <f>SUM('OEE REA'!$BC18:$BC19)/60</f>
        <v>11.99346405228758</v>
      </c>
      <c r="I9" s="155">
        <f>SUM('OEE REA'!$BC20:$BC21)/60</f>
        <v>7.8431372549019613</v>
      </c>
      <c r="J9" s="155">
        <f>SUM('OEE REA'!$BC22:$BC23)/60</f>
        <v>11.888888888888889</v>
      </c>
      <c r="K9" s="155">
        <f>SUM('OEE REA'!$BC24:$BC25)/60</f>
        <v>6.830065359477123</v>
      </c>
      <c r="L9" s="155">
        <f>SUM('OEE REA'!$BC26:$BC27)/60</f>
        <v>15.777777777777777</v>
      </c>
      <c r="M9" s="155">
        <f>SUM('OEE REA'!$BC28:$BC29)/60</f>
        <v>15.99346405228758</v>
      </c>
      <c r="N9" s="155">
        <f>SUM('OEE REA'!$BC30:$BC31)/60</f>
        <v>13.928104575163397</v>
      </c>
      <c r="O9" s="155">
        <f>SUM('OEE REA'!$BC32:$BC33)/60</f>
        <v>11.215686274509805</v>
      </c>
      <c r="P9" s="155">
        <f>SUM('OEE REA'!$BC34:$BC35)/60</f>
        <v>13.856209150326796</v>
      </c>
      <c r="Q9" s="155">
        <f>SUM('OEE REA'!$BC36:$BC37)/60</f>
        <v>13.326797385620916</v>
      </c>
      <c r="R9" s="155">
        <f>SUM('OEE REA'!$BC38:$BC39)/60</f>
        <v>13.581699346405228</v>
      </c>
      <c r="S9" s="155">
        <f>SUM('OEE REA'!$BC40:$BC41)/60</f>
        <v>16.47058823529412</v>
      </c>
      <c r="T9" s="155">
        <f>SUM('OEE REA'!$BC42:$BC43)/60</f>
        <v>14.254901960784313</v>
      </c>
      <c r="U9" s="155">
        <f>SUM('OEE REA'!$BC44:$BC45)/60</f>
        <v>12.405228758169933</v>
      </c>
      <c r="V9" s="155">
        <f>SUM('OEE REA'!$BC46:$BC47)/60</f>
        <v>14.666666666666666</v>
      </c>
      <c r="W9" s="155">
        <f>SUM('OEE REA'!$BC48:$BC49)/60</f>
        <v>14.450980392156863</v>
      </c>
      <c r="X9" s="155">
        <f>SUM('OEE REA'!$BC50:$BC51)/60</f>
        <v>14.339869281045752</v>
      </c>
      <c r="Y9" s="155">
        <f>SUM('OEE REA'!$BC52:$BC53)/60</f>
        <v>16.477124183006534</v>
      </c>
      <c r="Z9" s="155">
        <f>SUM('OEE REA'!$BC54:$BC55)/60</f>
        <v>8.352941176470587</v>
      </c>
      <c r="AA9" s="155">
        <f>SUM('OEE REA'!$BC59:$BC61)/60</f>
        <v>19.22875816993464</v>
      </c>
      <c r="AB9" s="155">
        <f>SUM('OEE REA'!$BC62:$BC64)/60</f>
        <v>15.84967320261438</v>
      </c>
      <c r="AC9" s="155">
        <f>SUM('OEE REA'!$BC65:$BC67)/60</f>
        <v>10.032679738562091</v>
      </c>
      <c r="AD9" s="155">
        <f>SUM('OEE REA'!$BC68:$BC70)/60</f>
        <v>17.934640522875817</v>
      </c>
      <c r="AE9" s="155">
        <f>SUM('OEE REA'!$BC71:$BC74)/60</f>
        <v>12.549019607843139</v>
      </c>
      <c r="AF9" s="155">
        <f>SUM('OEE REA'!$BC75:$BC76)/60</f>
        <v>11.568627450980392</v>
      </c>
      <c r="AG9" s="155">
        <f>SUM('OEE REA'!$BC77:$BC79)/60</f>
        <v>12.261437908496733</v>
      </c>
      <c r="AH9" s="155">
        <f>SUM('OEE REA'!$BC80:$BC82)/60</f>
        <v>18.633986928104573</v>
      </c>
      <c r="AI9" s="155">
        <f>SUM('OEE REA'!$BC83:$BC85)/60</f>
        <v>17.189542483660134</v>
      </c>
      <c r="AJ9" s="155">
        <f>SUM('OEE REA'!$BC86:$BC88)/60</f>
        <v>20.934640522875817</v>
      </c>
      <c r="AK9" s="155">
        <f>SUM('OEE REA'!$BC89:$BC91)/60</f>
        <v>20.856209150326798</v>
      </c>
      <c r="AL9" s="155">
        <f>SUM('OEE REA'!$BC92:$BC94)/60</f>
        <v>11.934640522875815</v>
      </c>
      <c r="AM9" s="155">
        <f>SUM('OEE REA'!$BC95:$BC97)/60</f>
        <v>10.562091503267974</v>
      </c>
      <c r="AN9" s="155">
        <f>SUM('OEE REA'!$BC98:$BC100)/60</f>
        <v>17.209150326797385</v>
      </c>
      <c r="AO9" s="155">
        <f>SUM('OEE REA'!$BC101:$BC103)/60</f>
        <v>20.026143790849673</v>
      </c>
      <c r="AP9" s="155">
        <f>SUM('OEE REA'!$BC104:$BC106)/60</f>
        <v>21.078431372549019</v>
      </c>
      <c r="AQ9" s="155">
        <f>SUM('OEE REA'!$BC107:$BC109)/60</f>
        <v>17.522875816993466</v>
      </c>
      <c r="AR9" s="155">
        <f>SUM('OEE REA'!$BC110:$BC111)/60</f>
        <v>8.4901960784313726</v>
      </c>
      <c r="AS9" s="155">
        <f>SUM('OEE REA'!$BC112:$BC114)/60</f>
        <v>18</v>
      </c>
      <c r="AT9" s="155">
        <f>SUM('OEE REA'!$BC115:$BC117)/60</f>
        <v>15.660130718954248</v>
      </c>
      <c r="AU9" s="155">
        <f>SUM('OEE REA'!$BC118:$BC120)/60</f>
        <v>11.745098039215687</v>
      </c>
      <c r="AV9" s="155">
        <f>SUM('OEE REA'!$BC121:$BC123)/60</f>
        <v>17.973856209150327</v>
      </c>
      <c r="AW9" s="155">
        <f>SUM('OEE REA'!$BC124:$BC126)/60</f>
        <v>20.522875816993466</v>
      </c>
      <c r="AX9" s="155">
        <f>SUM('OEE REA'!$BC127:$BC128)/60</f>
        <v>11.980392156862743</v>
      </c>
      <c r="AY9" s="155">
        <f>SUM('OEE REA'!$BC129:$BC131)/60</f>
        <v>18.248366013071895</v>
      </c>
      <c r="AZ9" s="155">
        <f>SUM('OEE REA'!$BC132:$BC134)/60</f>
        <v>10.03921568627451</v>
      </c>
      <c r="BA9" s="155">
        <f>SUM('OEE REA'!$BC135:$BC137)/60</f>
        <v>9.4379084967320264</v>
      </c>
      <c r="BB9" s="155">
        <f>SUM('OEE REA'!$BC138:$BC140)/60</f>
        <v>14.34640522875817</v>
      </c>
      <c r="BC9" s="155">
        <f>SUM('OEE REA'!$BC141:$BC143)/60</f>
        <v>8.235294117647058</v>
      </c>
      <c r="BD9" s="155">
        <f>SUM('OEE REA'!$BC144:$BC145)/60</f>
        <v>9.5490196078431389</v>
      </c>
      <c r="BE9" s="155">
        <f>SUM('OEE REA'!$BC146:$BC146)/60</f>
        <v>2.6143790849673203</v>
      </c>
      <c r="BF9" s="155">
        <f>SUM('OEE REA'!$BC147:$BC149)/60</f>
        <v>11.836601307189543</v>
      </c>
      <c r="BG9" s="155">
        <f>SUM('OEE REA'!$BC150:$BC152)/60</f>
        <v>18.954248366013072</v>
      </c>
      <c r="BH9" s="155">
        <f>SUM('OEE REA'!$BC153:$BC155)/60</f>
        <v>18.424836601307188</v>
      </c>
      <c r="BI9" s="155">
        <f>SUM('OEE REA'!$BC156:$BC158)/60</f>
        <v>20.241830065359476</v>
      </c>
      <c r="BJ9" s="155">
        <f>SUM('OEE REA'!$BC159:$BC160)/60</f>
        <v>10.941176470588234</v>
      </c>
      <c r="BK9" s="155">
        <f>SUM('OEE REA'!$BC161:$BC163)/60</f>
        <v>17.699346405228759</v>
      </c>
      <c r="BL9" s="155">
        <f>SUM('OEE REA'!$BC164:$BC166)/60</f>
        <v>18.006535947712418</v>
      </c>
      <c r="BM9" s="155">
        <f>SUM('OEE REA'!$BC167:$BC169)/60</f>
        <v>16.725490196078432</v>
      </c>
      <c r="BN9" s="155">
        <f>SUM('OEE REA'!$BC170:$BC172)/60</f>
        <v>16.300653594771244</v>
      </c>
      <c r="BO9" s="155">
        <f>SUM('OEE REA'!$BC173:$BC175)/60</f>
        <v>15.627450980392156</v>
      </c>
      <c r="BP9" s="155">
        <f>SUM('OEE REA'!$BC176:$BC177)/60</f>
        <v>10.640522875816995</v>
      </c>
      <c r="BQ9" s="155">
        <f>SUM('OEE REA'!$BC178:$BC180)/60</f>
        <v>12.215686274509805</v>
      </c>
      <c r="BR9" s="155">
        <f>SUM('OEE REA'!$BC181:$BC183)/60</f>
        <v>15.333333333333334</v>
      </c>
      <c r="BS9" s="155">
        <f>SUM('OEE REA'!$BC184:$BC184)/60</f>
        <v>2.5098039215686274</v>
      </c>
      <c r="BT9" s="155">
        <f>SUM('OEE REA'!$BC188:$BC189)/60</f>
        <v>8.2091503267973849</v>
      </c>
      <c r="BU9" s="155">
        <f>SUM('OEE REA'!$BC190:$BC190)/60</f>
        <v>4.6928104575163401</v>
      </c>
      <c r="BV9" s="155">
        <f>SUM('OEE REA'!$BC195:$BC197)/60</f>
        <v>9.1830065359477135</v>
      </c>
      <c r="BW9" s="155">
        <f>SUM('OEE REA'!$BC198:$BC200)/60</f>
        <v>8.9934640522875799</v>
      </c>
      <c r="BX9" s="155">
        <f>SUM('OEE REA'!$BC201:$BC203)/60</f>
        <v>18.405228758169933</v>
      </c>
      <c r="BY9" s="155">
        <f>SUM('OEE REA'!$BC204:$BC206)/60</f>
        <v>16.986928104575163</v>
      </c>
      <c r="BZ9" s="155">
        <f>SUM('OEE REA'!$BC207:$BC209)/60</f>
        <v>16.326797385620914</v>
      </c>
      <c r="CA9" s="155">
        <f>SUM('OEE REA'!$BC210:$BC211)/60</f>
        <v>11.503267973856209</v>
      </c>
      <c r="CB9" s="155">
        <f>SUM('OEE REA'!$BC212:$BC214)/60</f>
        <v>20.640522875816995</v>
      </c>
      <c r="CC9" s="155">
        <f>SUM('OEE REA'!$BC215:$BC217)/60</f>
        <v>19.222222222222221</v>
      </c>
      <c r="CD9" s="155">
        <f>SUM('OEE REA'!$BC218:$BC220)/60</f>
        <v>22.052287581699343</v>
      </c>
      <c r="CE9" s="155">
        <f>SUM('OEE REA'!$BC221:$BC222)/60</f>
        <v>8.3202614379084974</v>
      </c>
      <c r="CF9" s="155">
        <f>SUM('OEE REA'!$BC223:$BC225)/60</f>
        <v>16.163398692810457</v>
      </c>
      <c r="CG9" s="155">
        <f>SUM('OEE REA'!$BC226:$BC228)/60</f>
        <v>9.0849673202614358</v>
      </c>
      <c r="CH9" s="155">
        <f>SUM('OEE REA'!$BC229:$BC231)/60</f>
        <v>16.555555555555557</v>
      </c>
      <c r="CI9" s="155">
        <f>SUM('OEE REA'!$BC232:$BC234)/60</f>
        <v>10.836601307189543</v>
      </c>
      <c r="CJ9" s="155">
        <f>SUM('OEE REA'!$BC235:$BC237)/60</f>
        <v>11.790849673202615</v>
      </c>
      <c r="CK9" s="155">
        <f>SUM('OEE REA'!$BC238:$BC239)/60</f>
        <v>11.928104575163397</v>
      </c>
      <c r="CL9" s="155">
        <f>SUM('OEE REA'!$BC240:$BC240)/60</f>
        <v>8.6339869281045747</v>
      </c>
      <c r="CM9" s="155">
        <f>SUM('OEE REA'!$BC241:$BC243)/60</f>
        <v>14.934640522875815</v>
      </c>
      <c r="CN9" s="155">
        <f>SUM('OEE REA'!$BC244:$BC246)/60</f>
        <v>14.705882352941178</v>
      </c>
      <c r="CO9" s="155">
        <f>SUM('OEE REA'!$BC247:$BC249)/60</f>
        <v>16.516339869281047</v>
      </c>
      <c r="CP9" s="155">
        <f>SUM('OEE REA'!$BC250:$BC252)/60</f>
        <v>8.4705882352941178</v>
      </c>
      <c r="CQ9" s="155">
        <f>SUM('OEE REA'!$BC253:$BC254)/60</f>
        <v>8.7712418300653585</v>
      </c>
      <c r="CR9" s="155">
        <f>SUM('OEE REA'!$BC255:$BC255)/60</f>
        <v>6.9084967320261432</v>
      </c>
      <c r="CS9" s="155">
        <f>SUM('OEE REA'!$BC256:$BC258)/60</f>
        <v>17.392156862745097</v>
      </c>
      <c r="CT9" s="155">
        <f>SUM('OEE REA'!$BC259:$BC261)/60</f>
        <v>18.124183006535947</v>
      </c>
      <c r="CU9" s="155">
        <f>SUM('OEE REA'!$BC262:$BC264)/60</f>
        <v>20.235294117647058</v>
      </c>
      <c r="CV9" s="155">
        <f>SUM('OEE REA'!$BC265:$BC267)/60</f>
        <v>0</v>
      </c>
      <c r="CW9" s="155">
        <f>SUM('OEE REA'!$BC269:$BC270)/60</f>
        <v>3.3202614379084969</v>
      </c>
      <c r="CX9" s="155">
        <f>SUM('OEE REA'!$BC271:$BC271)/60</f>
        <v>7.3529411764705879</v>
      </c>
      <c r="CY9" s="155">
        <f>SUM('OEE REA'!$BC272:$BC274)/60</f>
        <v>20.111111111111111</v>
      </c>
      <c r="CZ9" s="155">
        <f>SUM('OEE REA'!$BC275:$BC277)/60</f>
        <v>21.627450980392155</v>
      </c>
      <c r="DA9" s="155">
        <f>SUM('OEE REA'!$BC278:$BC280)/60</f>
        <v>20.254901960784313</v>
      </c>
      <c r="DB9" s="155">
        <f>SUM('OEE REA'!$BC281:$BC283)/60</f>
        <v>23.176470588235293</v>
      </c>
      <c r="DC9" s="155">
        <f>SUM('OEE REA'!$BC284:$BC286)/60</f>
        <v>23.078431372549016</v>
      </c>
      <c r="DD9" s="155">
        <f>SUM('OEE REA'!$BC287:$BC288)/60</f>
        <v>13.111111111111111</v>
      </c>
      <c r="DE9" s="155">
        <f>SUM('OEE REA'!$BC289:$BC289)/60</f>
        <v>6.6470588235294121</v>
      </c>
      <c r="DF9" s="155">
        <f>SUM('OEE REA'!$BC290:$BC292)/60</f>
        <v>17.058823529411764</v>
      </c>
      <c r="DG9" s="155">
        <f>SUM('OEE REA'!$BC293:$BC295)/60</f>
        <v>21.052287581699343</v>
      </c>
      <c r="DH9" s="155">
        <f>SUM('OEE REA'!$BC296:$BC298)/60</f>
        <v>15.960784313725492</v>
      </c>
      <c r="DI9" s="155">
        <f>SUM('OEE REA'!$BC299:$BC301)/60</f>
        <v>12.973856209150329</v>
      </c>
      <c r="DJ9" s="155">
        <f>SUM('OEE REA'!$BC302:$BC304)/60</f>
        <v>19.633986928104573</v>
      </c>
      <c r="DK9" s="155">
        <f>SUM('OEE REA'!$BC305:$BC306)/60</f>
        <v>7.5947712418300659</v>
      </c>
      <c r="DL9" s="155">
        <f>SUM('OEE REA'!$BC307:$BC309)/60</f>
        <v>13.601307189542485</v>
      </c>
      <c r="DM9" s="155">
        <f>SUM('OEE REA'!$BC310:$BC312)/60</f>
        <v>21.725490196078432</v>
      </c>
      <c r="DN9" s="155">
        <f>SUM('OEE REA'!$BC313:$BC315)/60</f>
        <v>21.790849673202615</v>
      </c>
      <c r="DO9" s="155">
        <f>SUM('OEE REA'!$BC316:$BC318)/60</f>
        <v>23.052287581699343</v>
      </c>
      <c r="DP9" s="155">
        <f>SUM('OEE REA'!$BC319:$BC321)/60</f>
        <v>19.104575163398692</v>
      </c>
      <c r="DQ9" s="155">
        <f>SUM('OEE REA'!$BC322:$BC323)/60</f>
        <v>13.346405228758169</v>
      </c>
      <c r="DR9" s="155">
        <f>SUM('OEE REA'!$BC324:$BC327)/60</f>
        <v>9.5947712418300668</v>
      </c>
      <c r="DS9" s="155">
        <f>SUM('OEE REA'!$BC328:$BC330)/60</f>
        <v>21.333333333333332</v>
      </c>
      <c r="DT9" s="155">
        <f>SUM('OEE REA'!$BC331:$BC333)/60</f>
        <v>22.392156862745097</v>
      </c>
      <c r="DU9" s="155">
        <f>SUM('OEE REA'!$BC331:$BC333)/60</f>
        <v>22.392156862745097</v>
      </c>
      <c r="DV9" s="155">
        <f>SUM('OEE REA'!$BC337:$BC339)/60</f>
        <v>14.692810457516339</v>
      </c>
      <c r="DW9" s="155">
        <f>SUM('OEE REA'!$BC340:$BC341)/60</f>
        <v>14.803921568627452</v>
      </c>
      <c r="DX9" s="155">
        <f>SUM('OEE REA'!$BC342:$BC344)/60</f>
        <v>7.5751633986928102</v>
      </c>
      <c r="DY9" s="155">
        <f>SUM('OEE REA'!$BC345:$BC347)/60</f>
        <v>6.4901960784313726</v>
      </c>
      <c r="DZ9" s="155">
        <f>SUM('OEE REA'!$BC348:$BC350)/60</f>
        <v>21.274509803921568</v>
      </c>
      <c r="EA9" s="155">
        <f>SUM('OEE REA'!$BC351:$BC353)/60</f>
        <v>21.176470588235293</v>
      </c>
      <c r="EB9" s="155">
        <f>SUM('OEE REA'!$BC354:$BC355)/60</f>
        <v>13.771241830065359</v>
      </c>
      <c r="EC9" s="155">
        <f>SUM('OEE REA'!$BC356:$BC358)/60</f>
        <v>22.130718954248366</v>
      </c>
      <c r="ED9" s="155">
        <f>SUM('OEE REA'!$BC359:$BC361)/60</f>
        <v>17.490196078431374</v>
      </c>
      <c r="EE9" s="155">
        <f>SUM('OEE REA'!$BC362:$BC364)/60</f>
        <v>10.836601307189541</v>
      </c>
      <c r="EF9" s="155">
        <f>SUM('OEE REA'!$BC365:$BC367)/60</f>
        <v>13.712418300653594</v>
      </c>
      <c r="EG9" s="155">
        <f>SUM('OEE REA'!$BC370:$BC372)/60</f>
        <v>15.607843137254902</v>
      </c>
      <c r="EH9" s="155">
        <f>SUM('OEE REA'!$BC373:$BC374)/60</f>
        <v>13.15686274509804</v>
      </c>
      <c r="EI9" s="155">
        <f>SUM('OEE REA'!$BC375:$BC377)/60</f>
        <v>20.483660130718953</v>
      </c>
      <c r="EJ9" s="155">
        <f>SUM('OEE REA'!$BC378:$BC380)/60</f>
        <v>19.712418300653599</v>
      </c>
      <c r="EK9" s="155">
        <f>SUM('OEE REA'!$BC381:$BC383)/60</f>
        <v>21.738562091503265</v>
      </c>
      <c r="EL9" s="155">
        <f>SUM('OEE REA'!$BC384:$BC386)/60</f>
        <v>10.366013071895425</v>
      </c>
      <c r="EM9" s="155">
        <f>SUM('OEE REA'!$BC387:$BC389)/60</f>
        <v>14.300653594771241</v>
      </c>
      <c r="EN9" s="155">
        <f>SUM('OEE REA'!$BC390:$BC391)/60</f>
        <v>11.444444444444445</v>
      </c>
      <c r="EO9" s="155">
        <f>SUM('OEE REA'!$BC392:$BC394)/60</f>
        <v>8.1830065359477135</v>
      </c>
      <c r="EP9" s="155">
        <f>SUM('OEE REA'!$BC395:$BC397)/60</f>
        <v>16.745098039215684</v>
      </c>
      <c r="EQ9" s="155">
        <f>SUM('OEE REA'!$BC398:$BC400)/60</f>
        <v>22.503267973856207</v>
      </c>
      <c r="ER9" s="155">
        <f>SUM('OEE REA'!$BC401:$BC403)/60</f>
        <v>22.261437908496735</v>
      </c>
      <c r="ES9" s="155">
        <f>SUM('OEE REA'!$BC404:$BC406)/60</f>
        <v>22.16339869281046</v>
      </c>
      <c r="ET9" s="155">
        <f>SUM('OEE REA'!$BC407:$BC408)/60</f>
        <v>14.483660130718954</v>
      </c>
      <c r="EU9" s="155">
        <f>SUM('OEE REA'!$BC409:$BC411)/60</f>
        <v>21.130718954248366</v>
      </c>
      <c r="EV9" s="155">
        <f>SUM('OEE REA'!$BC412:$BC414)/60</f>
        <v>21.673202614379086</v>
      </c>
      <c r="EW9" s="155">
        <f>SUM('OEE REA'!$BC415:$BC417)/60</f>
        <v>18.901960784313726</v>
      </c>
      <c r="EX9" s="155">
        <f>SUM('OEE REA'!$BC418:$BC420)/60</f>
        <v>11.96078431372549</v>
      </c>
      <c r="EY9" s="155">
        <f>SUM('OEE REA'!$BC421:$BC423)/60</f>
        <v>11.542483660130719</v>
      </c>
      <c r="EZ9" s="155">
        <f>SUM('OEE REA'!$BC424:$BC425)/60</f>
        <v>12.267973856209149</v>
      </c>
      <c r="FA9" s="155">
        <f>SUM('OEE REA'!$BC426:$BC428)/60</f>
        <v>10.81045751633987</v>
      </c>
      <c r="FB9" s="155">
        <f>SUM('OEE REA'!$BC429:$BC431)/60</f>
        <v>16.098039215686274</v>
      </c>
      <c r="FC9" s="155">
        <f>SUM('OEE REA'!$BC432:$BC434)/60</f>
        <v>21.660130718954246</v>
      </c>
      <c r="FD9" s="155">
        <f>SUM('OEE REA'!$BC435:$BC437)/60</f>
        <v>22.084967320261438</v>
      </c>
      <c r="FE9" s="155">
        <f>SUM('OEE REA'!$BC438:$BC440)/60</f>
        <v>21.261437908496735</v>
      </c>
      <c r="FF9" s="155">
        <f>SUM('OEE REA'!$BC441:$BC442)/60</f>
        <v>13.830065359477123</v>
      </c>
      <c r="FG9" s="155">
        <f>SUM('OEE REA'!$BC443:$BC445)/60</f>
        <v>0</v>
      </c>
      <c r="FH9" s="155">
        <f>SUM('OEE REA'!$BC446:$BC448)/60</f>
        <v>4.7581699346405228</v>
      </c>
      <c r="FI9" s="155">
        <f>SUM('OEE REA'!$BC449:$BC451)/60</f>
        <v>4.8039215686274508</v>
      </c>
      <c r="FJ9" s="155">
        <f>SUM('OEE REA'!$BC452:$BC454)/60</f>
        <v>11.901960784313726</v>
      </c>
      <c r="FK9" s="155">
        <f>SUM('OEE REA'!$BC455:$BC457)/60</f>
        <v>15.686274509803923</v>
      </c>
      <c r="FL9" s="155">
        <f>SUM('OEE REA'!$BC458:$BC459)/60</f>
        <v>6.2875816993464051</v>
      </c>
      <c r="FM9" s="155">
        <f>SUM('OEE REA'!$BC460:$BC462)/60</f>
        <v>19.457516339869283</v>
      </c>
      <c r="FN9" s="155">
        <f>SUM('OEE REA'!$BC463:$BC465)/60</f>
        <v>23.366013071895427</v>
      </c>
      <c r="FO9" s="155">
        <f>SUM('OEE REA'!$BC466:$BC468)/60</f>
        <v>22.287581699346408</v>
      </c>
      <c r="FP9" s="155">
        <f>SUM('OEE REA'!$BC469:$BC471)/60</f>
        <v>19.934640522875817</v>
      </c>
      <c r="FQ9" s="155"/>
      <c r="FR9" s="155"/>
      <c r="FS9" s="155"/>
      <c r="FT9" s="155"/>
      <c r="FU9" s="155"/>
      <c r="FV9" s="155"/>
      <c r="FW9" s="155"/>
      <c r="FX9" s="155"/>
      <c r="FY9" s="155"/>
      <c r="FZ9" s="155"/>
      <c r="GA9" s="155"/>
      <c r="GB9" s="155"/>
      <c r="GC9" s="155"/>
      <c r="GD9" s="155"/>
      <c r="GE9" s="155"/>
      <c r="GF9" s="155"/>
      <c r="GG9" s="155"/>
      <c r="GH9" s="155"/>
      <c r="GI9" s="155"/>
      <c r="GJ9" s="155"/>
      <c r="GK9" s="155"/>
      <c r="GL9" s="300"/>
      <c r="GM9" s="312">
        <f t="shared" si="43"/>
        <v>2487.8692810457524</v>
      </c>
    </row>
    <row r="10" spans="1:202" ht="15.95" customHeight="1" x14ac:dyDescent="0.3">
      <c r="A10" s="171" t="s">
        <v>1675</v>
      </c>
      <c r="B10" s="154">
        <f>SUM('OEE REA'!$BD3:$BD5)/60</f>
        <v>14.25</v>
      </c>
      <c r="C10" s="154">
        <f>SUM('OEE REA'!$BD6:$BD7)/60</f>
        <v>14.5</v>
      </c>
      <c r="D10" s="154">
        <f>SUM('OEE REA'!$BD8:$BD9)/60</f>
        <v>18.433333333333334</v>
      </c>
      <c r="E10" s="154">
        <f>SUM('OEE REA'!$BD10:$BD12)/60</f>
        <v>16.333333333333332</v>
      </c>
      <c r="F10" s="154">
        <f>SUM('OEE REA'!$BD13:$BD15)/60</f>
        <v>12.283333333333333</v>
      </c>
      <c r="G10" s="154">
        <f>SUM('OEE REA'!$BD16:$BD17)/60</f>
        <v>15.8</v>
      </c>
      <c r="H10" s="154">
        <f>SUM('OEE REA'!$BD18:$BD19)/60</f>
        <v>18.316666666666666</v>
      </c>
      <c r="I10" s="154">
        <f>SUM('OEE REA'!$BD20:$BD21)/60</f>
        <v>8.4</v>
      </c>
      <c r="J10" s="154">
        <f>SUM('OEE REA'!$BD22:$BD23)/60</f>
        <v>18.100000000000001</v>
      </c>
      <c r="K10" s="154">
        <f>SUM('OEE REA'!$BD24:$BD25)/60</f>
        <v>7.2833333333333332</v>
      </c>
      <c r="L10" s="154">
        <f>SUM('OEE REA'!$BD26:$BD27)/60</f>
        <v>18.25</v>
      </c>
      <c r="M10" s="154">
        <f>SUM('OEE REA'!$BD28:$BD29)/60</f>
        <v>18.25</v>
      </c>
      <c r="N10" s="154">
        <f>SUM('OEE REA'!$BD30:$BD31)/60</f>
        <v>15.65</v>
      </c>
      <c r="O10" s="154">
        <f>SUM('OEE REA'!$BD32:$BD33)/60</f>
        <v>14.75</v>
      </c>
      <c r="P10" s="154">
        <f>SUM('OEE REA'!$BD34:$BD35)/60</f>
        <v>18.25</v>
      </c>
      <c r="Q10" s="154">
        <f>SUM('OEE REA'!$BD36:$BD37)/60</f>
        <v>18.25</v>
      </c>
      <c r="R10" s="154">
        <f>SUM('OEE REA'!$BD38:$BD39)/60</f>
        <v>18.25</v>
      </c>
      <c r="S10" s="154">
        <f>SUM('OEE REA'!$BD40:$BD41)/60</f>
        <v>18.483333333333334</v>
      </c>
      <c r="T10" s="154">
        <f>SUM('OEE REA'!$BD42:$BD43)/60</f>
        <v>17.366666666666667</v>
      </c>
      <c r="U10" s="154">
        <f>SUM('OEE REA'!$BD44:$BD45)/60</f>
        <v>18.333333333333332</v>
      </c>
      <c r="V10" s="154">
        <f>SUM('OEE REA'!$BD46:$BD47)/60</f>
        <v>18.333333333333332</v>
      </c>
      <c r="W10" s="154">
        <f>SUM('OEE REA'!$BD48:$BD49)/60</f>
        <v>18.483333333333334</v>
      </c>
      <c r="X10" s="154">
        <f>SUM('OEE REA'!$BD50:$BD51)/60</f>
        <v>18.25</v>
      </c>
      <c r="Y10" s="154">
        <f>SUM('OEE REA'!$BD52:$BD53)/60</f>
        <v>18.25</v>
      </c>
      <c r="Z10" s="154">
        <f>SUM('OEE REA'!$BD54:$BD55)/60</f>
        <v>10</v>
      </c>
      <c r="AA10" s="154">
        <f>SUM('OEE REA'!$BD59:$BD61)/60</f>
        <v>21.25</v>
      </c>
      <c r="AB10" s="154">
        <f>SUM('OEE REA'!$BD62:$BD64)/60</f>
        <v>19.75</v>
      </c>
      <c r="AC10" s="154">
        <f>SUM('OEE REA'!$BD65:$BD67)/60</f>
        <v>12.833333333333334</v>
      </c>
      <c r="AD10" s="154">
        <f>SUM('OEE REA'!$BD68:$BD70)/60</f>
        <v>24</v>
      </c>
      <c r="AE10" s="154">
        <f>SUM('OEE REA'!$BD71:$BD74)/60</f>
        <v>15.75</v>
      </c>
      <c r="AF10" s="154">
        <f>SUM('OEE REA'!$BD75:$BD76)/60</f>
        <v>15.5</v>
      </c>
      <c r="AG10" s="154">
        <f>SUM('OEE REA'!$BD77:$BD79)/60</f>
        <v>17</v>
      </c>
      <c r="AH10" s="154">
        <f>SUM('OEE REA'!$BD80:$BD82)/60</f>
        <v>22.866666666666667</v>
      </c>
      <c r="AI10" s="154">
        <f>SUM('OEE REA'!$BD83:$BD85)/60</f>
        <v>23.333333333333332</v>
      </c>
      <c r="AJ10" s="154">
        <f>SUM('OEE REA'!$BD8:$BD86)/60</f>
        <v>568.41666666666663</v>
      </c>
      <c r="AK10" s="154">
        <f>SUM('OEE REA'!$BD89:$BD91)/60</f>
        <v>23.75</v>
      </c>
      <c r="AL10" s="154">
        <f>SUM('OEE REA'!$BD92:$BD94)/60</f>
        <v>14.5</v>
      </c>
      <c r="AM10" s="154">
        <f>SUM('OEE REA'!$BD95:$BD97)/60</f>
        <v>13.5</v>
      </c>
      <c r="AN10" s="154">
        <f>SUM('OEE REA'!$BD98:$BD100)/60</f>
        <v>19</v>
      </c>
      <c r="AO10" s="154">
        <f>SUM('OEE REA'!$BD101:$BD103)/60</f>
        <v>23</v>
      </c>
      <c r="AP10" s="154">
        <f>SUM('OEE REA'!$BD104:$BD106)/60</f>
        <v>24</v>
      </c>
      <c r="AQ10" s="154">
        <f>SUM('OEE REA'!$BD107:$BD109)/60</f>
        <v>24</v>
      </c>
      <c r="AR10" s="154">
        <f>SUM('OEE REA'!$BD110:$BD111)/60</f>
        <v>15.5</v>
      </c>
      <c r="AS10" s="154">
        <f>SUM('OEE REA'!$BD112:$BD114)/60</f>
        <v>23.75</v>
      </c>
      <c r="AT10" s="154">
        <f>SUM('OEE REA'!$BD115:$BD117)/60</f>
        <v>24</v>
      </c>
      <c r="AU10" s="154">
        <f>SUM('OEE REA'!$BD118:$BD120)/60</f>
        <v>17</v>
      </c>
      <c r="AV10" s="154">
        <f>SUM('OEE REA'!$BD121:$BD123)/60</f>
        <v>24</v>
      </c>
      <c r="AW10" s="154">
        <f>SUM('OEE REA'!$BD124:$BD126)/60</f>
        <v>24</v>
      </c>
      <c r="AX10" s="154">
        <f>SUM('OEE REA'!$BD127:$BD128)/60</f>
        <v>15.5</v>
      </c>
      <c r="AY10" s="154">
        <f>SUM('OEE REA'!$BD129:$BD131)/60</f>
        <v>23.5</v>
      </c>
      <c r="AZ10" s="154">
        <f>SUM('OEE REA'!$BD132:$BD134)/60</f>
        <v>17.5</v>
      </c>
      <c r="BA10" s="154">
        <f>SUM('OEE REA'!$BD135:$BD137)/60</f>
        <v>16.5</v>
      </c>
      <c r="BB10" s="154">
        <f>SUM('OEE REA'!$BD138:$BD140)/60</f>
        <v>16.5</v>
      </c>
      <c r="BC10" s="154">
        <f>SUM('OEE REA'!$BD141:$BD143)/60</f>
        <v>24</v>
      </c>
      <c r="BD10" s="154">
        <f>SUM('OEE REA'!$BD144:$BD145)/60</f>
        <v>14</v>
      </c>
      <c r="BE10" s="154">
        <f>SUM('OEE REA'!$BD146:$BD146)/60</f>
        <v>8</v>
      </c>
      <c r="BF10" s="154">
        <f>SUM('OEE REA'!$BD147:$BD149)/60</f>
        <v>18.5</v>
      </c>
      <c r="BG10" s="154">
        <f>SUM('OEE REA'!$BD150:$BD152)/60</f>
        <v>23.333333333333332</v>
      </c>
      <c r="BH10" s="154">
        <f>SUM('OEE REA'!$BD153:$BD155)/60</f>
        <v>23.333333333333332</v>
      </c>
      <c r="BI10" s="154">
        <f>SUM('OEE REA'!$BD156:$BD158)/60</f>
        <v>23.333333333333332</v>
      </c>
      <c r="BJ10" s="154">
        <f>SUM('OEE REA'!$BD159:$BD160)/60</f>
        <v>14.833333333333334</v>
      </c>
      <c r="BK10" s="154">
        <f>SUM('OEE REA'!$BD161:$BD163)/60</f>
        <v>22.8</v>
      </c>
      <c r="BL10" s="154">
        <f>SUM('OEE REA'!$BD164:$BD166)/60</f>
        <v>23</v>
      </c>
      <c r="BM10" s="154">
        <f>SUM('OEE REA'!$BD167:$BD169)/60</f>
        <v>23.333333333333332</v>
      </c>
      <c r="BN10" s="154">
        <f>SUM('OEE REA'!$BD170:$BD172)/60</f>
        <v>23.333333333333332</v>
      </c>
      <c r="BO10" s="154">
        <f>SUM('OEE REA'!$BD173:$BD175)/60</f>
        <v>21.333333333333332</v>
      </c>
      <c r="BP10" s="154">
        <f>SUM('OEE REA'!$BD176:$BD177)/60</f>
        <v>14.833333333333334</v>
      </c>
      <c r="BQ10" s="154">
        <f>SUM('OEE REA'!$BD178:$BD180)/60</f>
        <v>17.333333333333332</v>
      </c>
      <c r="BR10" s="154">
        <f>SUM('OEE REA'!$BD181:$BD183)/60</f>
        <v>23.5</v>
      </c>
      <c r="BS10" s="154">
        <f>SUM('OEE REA'!$BD181:$BD183)/60</f>
        <v>23.5</v>
      </c>
      <c r="BT10" s="154">
        <f>SUM('OEE REA'!$BD188:$BD189)/60</f>
        <v>16</v>
      </c>
      <c r="BU10" s="154">
        <f>SUM('OEE REA'!$BD190:$BD190)/60</f>
        <v>8</v>
      </c>
      <c r="BV10" s="154">
        <f>SUM('OEE REA'!$BD195:$BD197)/60</f>
        <v>24</v>
      </c>
      <c r="BW10" s="154">
        <f>SUM('OEE REA'!$BD198:$BD200)/60</f>
        <v>24</v>
      </c>
      <c r="BX10" s="154">
        <f>SUM('OEE REA'!$BD201:$BD203)/60</f>
        <v>22</v>
      </c>
      <c r="BY10" s="154">
        <f>SUM('OEE REA'!$BD204:$BD206)/60</f>
        <v>20</v>
      </c>
      <c r="BZ10" s="154">
        <f>SUM('OEE REA'!$BD207:$BD209)/60</f>
        <v>23.333333333333332</v>
      </c>
      <c r="CA10" s="154">
        <f>SUM('OEE REA'!$BD210:$BD211)/60</f>
        <v>14.833333333333334</v>
      </c>
      <c r="CB10" s="154">
        <f>SUM('OEE REA'!$BD212:$BD214)/60</f>
        <v>23.333333333333332</v>
      </c>
      <c r="CC10" s="154">
        <f>SUM('OEE REA'!$BD215:$BD217)/60</f>
        <v>23.333333333333332</v>
      </c>
      <c r="CD10" s="154">
        <f>SUM('OEE REA'!$BD218:$BD220)/60</f>
        <v>23.333333333333332</v>
      </c>
      <c r="CE10" s="154">
        <f>SUM('OEE REA'!$BD221:$BD222)/60</f>
        <v>14.833333333333334</v>
      </c>
      <c r="CF10" s="154">
        <f>SUM('OEE REA'!$BD223:$BD225)/60</f>
        <v>23.25</v>
      </c>
      <c r="CG10" s="154">
        <f>SUM('OEE REA'!$BD226:$BD228)/60</f>
        <v>13.283333333333333</v>
      </c>
      <c r="CH10" s="154">
        <f>SUM('OEE REA'!$BD229:$BD231)/60</f>
        <v>21.333333333333332</v>
      </c>
      <c r="CI10" s="154">
        <f>SUM('OEE REA'!$BD232:$BD234)/60</f>
        <v>15.5</v>
      </c>
      <c r="CJ10" s="154">
        <f>SUM('OEE REA'!$BD235:$BD237)/60</f>
        <v>14.333333333333334</v>
      </c>
      <c r="CK10" s="154">
        <f>SUM('OEE REA'!$BD238:$BD239)/60</f>
        <v>14.833333333333334</v>
      </c>
      <c r="CL10" s="154">
        <f>SUM('OEE REA'!$BD240:$BD240)/60</f>
        <v>7.833333333333333</v>
      </c>
      <c r="CM10" s="154">
        <f>SUM('OEE REA'!$BD241:$BD243)/60</f>
        <v>19.833333333333332</v>
      </c>
      <c r="CN10" s="154">
        <f>SUM('OEE REA'!$BD244:$BD244)/60</f>
        <v>7.333333333333333</v>
      </c>
      <c r="CO10" s="154">
        <f>SUM('OEE REA'!$BD247:$BD249)/60</f>
        <v>23.333333333333332</v>
      </c>
      <c r="CP10" s="154">
        <f>SUM('OEE REA'!$BD250:$BD252)/60</f>
        <v>18</v>
      </c>
      <c r="CQ10" s="154">
        <f>SUM('OEE REA'!$BD253:$BD254)/60</f>
        <v>12.5</v>
      </c>
      <c r="CR10" s="154">
        <f>SUM('OEE REA'!$BD255:$BD255)/60</f>
        <v>7.5</v>
      </c>
      <c r="CS10" s="154">
        <f>SUM('OEE REA'!$BD256:$BD258)/60</f>
        <v>23.45</v>
      </c>
      <c r="CT10" s="154">
        <f>SUM('OEE REA'!$BD259:$BD261)/60</f>
        <v>23.25</v>
      </c>
      <c r="CU10" s="154">
        <f>SUM('OEE REA'!$BD262:$BD264)/60</f>
        <v>23.333333333333332</v>
      </c>
      <c r="CV10" s="154">
        <f>SUM('OEE REA'!$BD265:$BD267)/60</f>
        <v>0</v>
      </c>
      <c r="CW10" s="154">
        <f>SUM('OEE REA'!$BD269:$BD270)/60</f>
        <v>10.833333333333334</v>
      </c>
      <c r="CX10" s="154">
        <f>SUM('OEE REA'!$BD271:$BD271)/60</f>
        <v>7.75</v>
      </c>
      <c r="CY10" s="154">
        <f>SUM('OEE REA'!$BD272:$BD274)/60</f>
        <v>23.25</v>
      </c>
      <c r="CZ10" s="154">
        <f>SUM('OEE REA'!$BD275:$BD277)/60</f>
        <v>23.25</v>
      </c>
      <c r="DA10" s="154">
        <f>SUM('OEE REA'!$BD278:$BD280)/60</f>
        <v>23.25</v>
      </c>
      <c r="DB10" s="154">
        <f>SUM('OEE REA'!$BD281:$BD283)/60</f>
        <v>23.333333333333332</v>
      </c>
      <c r="DC10" s="154">
        <f>SUM('OEE REA'!$BD284:$BD286)/60</f>
        <v>23.333333333333332</v>
      </c>
      <c r="DD10" s="154">
        <f>SUM('OEE REA'!$BD287:$BD288)/60</f>
        <v>14.3</v>
      </c>
      <c r="DE10" s="154">
        <f>SUM('OEE REA'!$BD289:$BD289)/60</f>
        <v>7.65</v>
      </c>
      <c r="DF10" s="154">
        <f>SUM('OEE REA'!$BD290:$BD292)/60</f>
        <v>24</v>
      </c>
      <c r="DG10" s="154">
        <f>SUM('OEE REA'!$BD293:$BD295)/60</f>
        <v>23.25</v>
      </c>
      <c r="DH10" s="154">
        <f>SUM('OEE REA'!$BD296:$BD298)/60</f>
        <v>23.25</v>
      </c>
      <c r="DI10" s="154">
        <f>SUM('OEE REA'!$BD299:$BD301)/60</f>
        <v>19</v>
      </c>
      <c r="DJ10" s="154">
        <f>SUM('OEE REA'!$BD302:$BD304)/60</f>
        <v>22.25</v>
      </c>
      <c r="DK10" s="154">
        <f>SUM('OEE REA'!$BD305:$BD306)/60</f>
        <v>11.5</v>
      </c>
      <c r="DL10" s="154">
        <f>SUM('OEE REA'!$BD307:$BD309)/60</f>
        <v>18</v>
      </c>
      <c r="DM10" s="154">
        <f>SUM('OEE REA'!$BD310:$BD312)/60</f>
        <v>23.25</v>
      </c>
      <c r="DN10" s="154">
        <f>SUM('OEE REA'!$BD313:$BD315)/60</f>
        <v>23.25</v>
      </c>
      <c r="DO10" s="154">
        <f>SUM('OEE REA'!$BD316:$BD318)/60</f>
        <v>23.25</v>
      </c>
      <c r="DP10" s="154">
        <f>SUM('OEE REA'!$BD319:$BD321)/60</f>
        <v>23.25</v>
      </c>
      <c r="DQ10" s="154">
        <f>SUM('OEE REA'!$BD322:$BD323)/60</f>
        <v>14.75</v>
      </c>
      <c r="DR10" s="154">
        <f>SUM('OEE REA'!$BD324:$BD327)/60</f>
        <v>23.5</v>
      </c>
      <c r="DS10" s="154">
        <f>SUM('OEE REA'!$BD328:$BD330)/60</f>
        <v>22.816666666666666</v>
      </c>
      <c r="DT10" s="154">
        <f>SUM('OEE REA'!$BD331:$BD333)/60</f>
        <v>22.966666666666665</v>
      </c>
      <c r="DU10" s="154">
        <f>SUM('OEE REA'!$BD334:$BD336)/60</f>
        <v>23.3</v>
      </c>
      <c r="DV10" s="154">
        <f>SUM('OEE REA'!$BD337:$BD339)/60</f>
        <v>23.1</v>
      </c>
      <c r="DW10" s="154">
        <f>SUM('OEE REA'!$BD340:$BD341)/60</f>
        <v>15.5</v>
      </c>
      <c r="DX10" s="154">
        <f>SUM('OEE REA'!$BD342:$BD344)/60</f>
        <v>7.75</v>
      </c>
      <c r="DY10" s="154">
        <f>SUM('OEE REA'!$BD345:$BD347)/60</f>
        <v>23.25</v>
      </c>
      <c r="DZ10" s="154">
        <f>SUM('OEE REA'!$BD348:$BD350)/60</f>
        <v>23.25</v>
      </c>
      <c r="EA10" s="154">
        <f>SUM('OEE REA'!$BD351:$BD353)/60</f>
        <v>23.25</v>
      </c>
      <c r="EB10" s="154">
        <f>SUM('OEE REA'!$BD354:$BD355)/60</f>
        <v>14.75</v>
      </c>
      <c r="EC10" s="154">
        <f>SUM('OEE REA'!$BD356:$BD358)/60</f>
        <v>24</v>
      </c>
      <c r="ED10" s="154">
        <f>SUM('OEE REA'!$BD359:$BD361)/60</f>
        <v>24</v>
      </c>
      <c r="EE10" s="154">
        <f>SUM('OEE REA'!$BD362:$BD364)/60</f>
        <v>15.5</v>
      </c>
      <c r="EF10" s="154">
        <f>SUM('OEE REA'!$BD365:$BD367)/60</f>
        <v>16.75</v>
      </c>
      <c r="EG10" s="154">
        <f>SUM('OEE REA'!$BD370:$BD372)/60</f>
        <v>18</v>
      </c>
      <c r="EH10" s="154">
        <f>SUM('OEE REA'!$BD373:$BD374)/60</f>
        <v>14.75</v>
      </c>
      <c r="EI10" s="154">
        <f>SUM('OEE REA'!$BD375:$BD377)/60</f>
        <v>23.25</v>
      </c>
      <c r="EJ10" s="154">
        <f>SUM('OEE REA'!$BD378:$BD380)/60</f>
        <v>24</v>
      </c>
      <c r="EK10" s="154">
        <f>SUM('OEE REA'!$BD381:$BD383)/60</f>
        <v>22.5</v>
      </c>
      <c r="EL10" s="154">
        <f>SUM('OEE REA'!$BD384:$BD386)/60</f>
        <v>11.25</v>
      </c>
      <c r="EM10" s="154">
        <f>SUM('OEE REA'!$BD387:$BD389)/60</f>
        <v>20</v>
      </c>
      <c r="EN10" s="154">
        <f>SUM('OEE REA'!$BD390:$BD391)/60</f>
        <v>14.75</v>
      </c>
      <c r="EO10" s="154">
        <f>SUM('OEE REA'!$BD392:$BD394)/60</f>
        <v>18</v>
      </c>
      <c r="EP10" s="154">
        <f>SUM('OEE REA'!$BD395:$BD397)/60</f>
        <v>21.25</v>
      </c>
      <c r="EQ10" s="154">
        <f>SUM('OEE REA'!$BD398:$BD400)/60</f>
        <v>23.25</v>
      </c>
      <c r="ER10" s="154">
        <f>SUM('OEE REA'!$BD401:$BD403)/60</f>
        <v>23.25</v>
      </c>
      <c r="ES10" s="154">
        <f>SUM('OEE REA'!$BD404:$BD406)/60</f>
        <v>23.25</v>
      </c>
      <c r="ET10" s="154">
        <f>SUM('OEE REA'!$BD407:$BD408)/60</f>
        <v>14.75</v>
      </c>
      <c r="EU10" s="154">
        <f>SUM('OEE REA'!$BD409:$BD411)/60</f>
        <v>23.25</v>
      </c>
      <c r="EV10" s="154">
        <f>SUM('OEE REA'!$BD412:$BD414)/60</f>
        <v>22.816666666666666</v>
      </c>
      <c r="EW10" s="154">
        <f>SUM('OEE REA'!$BD415:$BD417)/60</f>
        <v>23.25</v>
      </c>
      <c r="EX10" s="154">
        <f>SUM('OEE REA'!$BD418:$BD420)/60</f>
        <v>23.25</v>
      </c>
      <c r="EY10" s="154">
        <f>SUM('OEE REA'!$BD421:$BD423)/60</f>
        <v>14</v>
      </c>
      <c r="EZ10" s="154">
        <f>SUM('OEE REA'!$BD424:$BD425)/60</f>
        <v>13.5</v>
      </c>
      <c r="FA10" s="154">
        <f>SUM('OEE REA'!$BD426:$BD428)/60</f>
        <v>12.5</v>
      </c>
      <c r="FB10" s="154">
        <f>SUM('OEE REA'!$BD429:$BD431)/60</f>
        <v>19.5</v>
      </c>
      <c r="FC10" s="154">
        <f>SUM('OEE REA'!$BD432:$BD434)/60</f>
        <v>22.25</v>
      </c>
      <c r="FD10" s="154">
        <f>SUM('OEE REA'!$BD435:$BD437)/60</f>
        <v>23.25</v>
      </c>
      <c r="FE10" s="154">
        <f>SUM('OEE REA'!$BD438:$BD440)/60</f>
        <v>23.25</v>
      </c>
      <c r="FF10" s="154">
        <f>SUM('OEE REA'!$BD441:$BD442)/60</f>
        <v>14.75</v>
      </c>
      <c r="FG10" s="154">
        <f>SUM('OEE REA'!$BD443:$BD445)/60</f>
        <v>0</v>
      </c>
      <c r="FH10" s="154">
        <f>SUM('OEE REA'!$BD446:$BD448)/60</f>
        <v>24</v>
      </c>
      <c r="FI10" s="154">
        <f>SUM('OEE REA'!$BD449:$BD451)/60</f>
        <v>24</v>
      </c>
      <c r="FJ10" s="154">
        <f>SUM('OEE REA'!$BD452:$BD454)/60</f>
        <v>16</v>
      </c>
      <c r="FK10" s="154">
        <f>SUM('OEE REA'!$BD455:$BD457)/60</f>
        <v>23.25</v>
      </c>
      <c r="FL10" s="154">
        <f>SUM('OEE REA'!$BD458:$BD459)/60</f>
        <v>15.5</v>
      </c>
      <c r="FM10" s="154">
        <f>SUM('OEE REA'!$BD460:$BD462)/60</f>
        <v>23.25</v>
      </c>
      <c r="FN10" s="154">
        <f>SUM('OEE REA'!$BD463:$BD465)/60</f>
        <v>23.25</v>
      </c>
      <c r="FO10" s="154">
        <f>SUM('OEE REA'!$BD466:$BD468)/60</f>
        <v>23.25</v>
      </c>
      <c r="FP10" s="154">
        <f>SUM('OEE REA'!$BD469:$BD471)/60</f>
        <v>23.25</v>
      </c>
      <c r="FQ10" s="154"/>
      <c r="FR10" s="154"/>
      <c r="FS10" s="154"/>
      <c r="FT10" s="154"/>
      <c r="FU10" s="154"/>
      <c r="FV10" s="154"/>
      <c r="FW10" s="154"/>
      <c r="FX10" s="154"/>
      <c r="FY10" s="154"/>
      <c r="FZ10" s="154"/>
      <c r="GA10" s="154"/>
      <c r="GB10" s="154"/>
      <c r="GC10" s="154"/>
      <c r="GD10" s="154"/>
      <c r="GE10" s="154"/>
      <c r="GF10" s="154"/>
      <c r="GG10" s="154"/>
      <c r="GH10" s="154"/>
      <c r="GI10" s="154"/>
      <c r="GJ10" s="154"/>
      <c r="GK10" s="154"/>
      <c r="GL10" s="301"/>
      <c r="GM10" s="313">
        <f t="shared" si="43"/>
        <v>3764.4500000000012</v>
      </c>
    </row>
    <row r="11" spans="1:202" ht="15.95" customHeight="1" x14ac:dyDescent="0.3">
      <c r="A11" s="172" t="s">
        <v>1674</v>
      </c>
      <c r="B11" s="155">
        <f>SUM('OEE REA'!$BE3:$BE5)/60</f>
        <v>15</v>
      </c>
      <c r="C11" s="155">
        <f>SUM('OEE REA'!$BE6:$BE7)/60</f>
        <v>19</v>
      </c>
      <c r="D11" s="155">
        <f>SUM('OEE REA'!$BE8:$BE9)/60</f>
        <v>19</v>
      </c>
      <c r="E11" s="155">
        <f>SUM('OEE REA'!$BE10:$BE12)/60</f>
        <v>17.416666666666668</v>
      </c>
      <c r="F11" s="155">
        <f>SUM('OEE REA'!$BE13:$BE15)/60</f>
        <v>14</v>
      </c>
      <c r="G11" s="155">
        <f>SUM('OEE REA'!$BE16:$BE17)/60</f>
        <v>19</v>
      </c>
      <c r="H11" s="155">
        <f>SUM('OEE REA'!$BE18:$BE19)/60</f>
        <v>19</v>
      </c>
      <c r="I11" s="155">
        <f>SUM('OEE REA'!$BE20:$BE21)/60</f>
        <v>10.5</v>
      </c>
      <c r="J11" s="155">
        <f>SUM('OEE REA'!$BE22:$BE23)/60</f>
        <v>19</v>
      </c>
      <c r="K11" s="155">
        <f>SUM('OEE REA'!$BE24:$BE25)/60</f>
        <v>11</v>
      </c>
      <c r="L11" s="155">
        <f>SUM('OEE REA'!$BE26:$BE27)/60</f>
        <v>19</v>
      </c>
      <c r="M11" s="155">
        <f>SUM('OEE REA'!$BE28:$BE29)/60</f>
        <v>19</v>
      </c>
      <c r="N11" s="155">
        <f>SUM('OEE REA'!$BE30:$BE31)/60</f>
        <v>19</v>
      </c>
      <c r="O11" s="155">
        <f>SUM('OEE REA'!$BE32:$BE33)/60</f>
        <v>19</v>
      </c>
      <c r="P11" s="155">
        <f>SUM('OEE REA'!$BE34:$BE35)/60</f>
        <v>19</v>
      </c>
      <c r="Q11" s="155">
        <f>SUM('OEE REA'!$BE36:$BE37)/60</f>
        <v>19</v>
      </c>
      <c r="R11" s="155">
        <f>SUM('OEE REA'!$BE38:$BE39)/60</f>
        <v>19</v>
      </c>
      <c r="S11" s="155">
        <f>SUM('OEE REA'!$BE40:$BE41)/60</f>
        <v>19</v>
      </c>
      <c r="T11" s="155">
        <f>SUM('OEE REA'!$BE42:$BE43)/60</f>
        <v>19</v>
      </c>
      <c r="U11" s="155">
        <f>SUM('OEE REA'!$BE44:$BE45)/60</f>
        <v>19</v>
      </c>
      <c r="V11" s="155">
        <f>SUM('OEE REA'!$BE46:$BE47)/60</f>
        <v>19</v>
      </c>
      <c r="W11" s="155">
        <f>SUM('OEE REA'!$BE48:$BE49)/60</f>
        <v>19</v>
      </c>
      <c r="X11" s="155">
        <f>SUM('OEE REA'!$BE50:$BE51)/60</f>
        <v>19</v>
      </c>
      <c r="Y11" s="155">
        <f>SUM('OEE REA'!$BE52:$BE53)/60</f>
        <v>19</v>
      </c>
      <c r="Z11" s="155">
        <f>SUM('OEE REA'!$BE54:$BE55)/60</f>
        <v>19</v>
      </c>
      <c r="AA11" s="155">
        <f>SUM('OEE REA'!$BE59:$BE61)/60</f>
        <v>24</v>
      </c>
      <c r="AB11" s="155">
        <f>SUM('OEE REA'!$BE62:$BE64)/60</f>
        <v>24</v>
      </c>
      <c r="AC11" s="155">
        <f>SUM('OEE REA'!$BE65:$BE67)/60</f>
        <v>16</v>
      </c>
      <c r="AD11" s="155">
        <f>SUM('OEE REA'!$BE68:$BE70)/60</f>
        <v>24</v>
      </c>
      <c r="AE11" s="155">
        <f>SUM('OEE REA'!$BE71:$BE74)/60</f>
        <v>18</v>
      </c>
      <c r="AF11" s="155">
        <f>SUM('OEE REA'!$BE75:$BE76)/60</f>
        <v>15.5</v>
      </c>
      <c r="AG11" s="155">
        <f>SUM('OEE REA'!$BE77:$BE79)/60</f>
        <v>24</v>
      </c>
      <c r="AH11" s="155">
        <f>SUM('OEE REA'!$BE80:$BE82)/60</f>
        <v>24</v>
      </c>
      <c r="AI11" s="155">
        <f>SUM('OEE REA'!$BE83:$BE85)/60</f>
        <v>24</v>
      </c>
      <c r="AJ11" s="155">
        <f>SUM('OEE REA'!$BE86:$BE88)/60</f>
        <v>24</v>
      </c>
      <c r="AK11" s="155">
        <f>SUM('OEE REA'!$BE89:$BE91)/60</f>
        <v>24</v>
      </c>
      <c r="AL11" s="155">
        <f>SUM('OEE REA'!$BE92:$BE94)/60</f>
        <v>15.5</v>
      </c>
      <c r="AM11" s="155">
        <f>SUM('OEE REA'!$BE95:$BE97)/60</f>
        <v>24</v>
      </c>
      <c r="AN11" s="155">
        <f>SUM('OEE REA'!$BE98:$BE100)/60</f>
        <v>24</v>
      </c>
      <c r="AO11" s="155">
        <f>SUM('OEE REA'!$BE101:$BE103)/60</f>
        <v>24</v>
      </c>
      <c r="AP11" s="155">
        <f>SUM('OEE REA'!$BE104:$BE106)/60</f>
        <v>24</v>
      </c>
      <c r="AQ11" s="155">
        <f>SUM('OEE REA'!$BE107:$BE109)/60</f>
        <v>24</v>
      </c>
      <c r="AR11" s="155">
        <f>SUM('OEE REA'!$BE110:$BE111)/60</f>
        <v>15.5</v>
      </c>
      <c r="AS11" s="155">
        <f>SUM('OEE REA'!$BE112:$BE114)/60</f>
        <v>24</v>
      </c>
      <c r="AT11" s="155">
        <f>SUM('OEE REA'!$BE115:$BE117)/60</f>
        <v>24</v>
      </c>
      <c r="AU11" s="155">
        <f>SUM('OEE REA'!$BE118:$BE120)/60</f>
        <v>24</v>
      </c>
      <c r="AV11" s="155">
        <f>SUM('OEE REA'!$BE121:$BE123)/60</f>
        <v>24</v>
      </c>
      <c r="AW11" s="155">
        <f>SUM('OEE REA'!$BE124:$BE126)/60</f>
        <v>24</v>
      </c>
      <c r="AX11" s="155">
        <f>SUM('OEE REA'!$BE127:$BE128)/60</f>
        <v>15.5</v>
      </c>
      <c r="AY11" s="155">
        <f>SUM('OEE REA'!$BE129:$BE131)/60</f>
        <v>24</v>
      </c>
      <c r="AZ11" s="155">
        <f>SUM('OEE REA'!$BE132:$BE134)/60</f>
        <v>24</v>
      </c>
      <c r="BA11" s="155">
        <f>SUM('OEE REA'!$BE135:$BE137)/60</f>
        <v>24</v>
      </c>
      <c r="BB11" s="155">
        <f>SUM('OEE REA'!$BE138:$BE140)/60</f>
        <v>24</v>
      </c>
      <c r="BC11" s="155">
        <f>SUM('OEE REA'!$BE141:$BE143)/60</f>
        <v>24</v>
      </c>
      <c r="BD11" s="155">
        <f>SUM('OEE REA'!$BE144:$BE145)/60</f>
        <v>15.5</v>
      </c>
      <c r="BE11" s="155">
        <f>SUM('OEE REA'!$BE146:$BE146)/60</f>
        <v>8</v>
      </c>
      <c r="BF11" s="155">
        <f>SUM('OEE REA'!$BE147:$BE149)/60</f>
        <v>24</v>
      </c>
      <c r="BG11" s="155">
        <f>SUM('OEE REA'!$BE150:$BE152)/60</f>
        <v>24</v>
      </c>
      <c r="BH11" s="155">
        <f>SUM('OEE REA'!$BE153:$BE155)/60</f>
        <v>24</v>
      </c>
      <c r="BI11" s="155">
        <f>SUM('OEE REA'!$BE156:$BE158)/60</f>
        <v>24</v>
      </c>
      <c r="BJ11" s="155">
        <f>SUM('OEE REA'!$BE159:$BE160)/60</f>
        <v>15.5</v>
      </c>
      <c r="BK11" s="155">
        <f>SUM('OEE REA'!$BE161:$BE163)/60</f>
        <v>24</v>
      </c>
      <c r="BL11" s="155">
        <f>SUM('OEE REA'!$BE164:$BE166)/60</f>
        <v>24</v>
      </c>
      <c r="BM11" s="155">
        <f>SUM('OEE REA'!$BE167:$BE169)/60</f>
        <v>24</v>
      </c>
      <c r="BN11" s="155">
        <f>SUM('OEE REA'!$BE170:$BE172)/60</f>
        <v>24</v>
      </c>
      <c r="BO11" s="155">
        <f>SUM('OEE REA'!$BE173:$BE175)/60</f>
        <v>24</v>
      </c>
      <c r="BP11" s="155">
        <f>SUM('OEE REA'!$BE176:$BE177)/60</f>
        <v>15.5</v>
      </c>
      <c r="BQ11" s="155">
        <f>SUM('OEE REA'!$BE178:$BE180)/60</f>
        <v>24</v>
      </c>
      <c r="BR11" s="155">
        <f>SUM('OEE REA'!$BE181:$BE183)/60</f>
        <v>24</v>
      </c>
      <c r="BS11" s="155">
        <f>SUM('OEE REA'!$BE184:$BE184)/60</f>
        <v>8</v>
      </c>
      <c r="BT11" s="155">
        <f>SUM('OEE REA'!$BE188:$BE189)/60</f>
        <v>16</v>
      </c>
      <c r="BU11" s="155">
        <f>SUM('OEE REA'!$BE190:$BE190)/60</f>
        <v>8</v>
      </c>
      <c r="BV11" s="155">
        <f>SUM('OEE REA'!$BE195:$BE197)/60</f>
        <v>24</v>
      </c>
      <c r="BW11" s="155">
        <f>SUM('OEE REA'!$BE198:$BE200)/60</f>
        <v>24</v>
      </c>
      <c r="BX11" s="155">
        <f>SUM('OEE REA'!$BE201:$BE203)/60</f>
        <v>24</v>
      </c>
      <c r="BY11" s="155">
        <f>SUM('OEE REA'!$BE204:$BE206)/60</f>
        <v>24</v>
      </c>
      <c r="BZ11" s="155">
        <f>SUM('OEE REA'!$BE207:$BE209)/60</f>
        <v>24</v>
      </c>
      <c r="CA11" s="155">
        <f>SUM('OEE REA'!$BE210:$BE211)/60</f>
        <v>15.5</v>
      </c>
      <c r="CB11" s="155">
        <f>SUM('OEE REA'!$BE212:$BE214)/60</f>
        <v>24</v>
      </c>
      <c r="CC11" s="155">
        <f>SUM('OEE REA'!$BE215:$BE217)/60</f>
        <v>24</v>
      </c>
      <c r="CD11" s="155">
        <f>SUM('OEE REA'!$BE218:$BE220)/60</f>
        <v>24</v>
      </c>
      <c r="CE11" s="155">
        <f>SUM('OEE REA'!$BE221:$BE222)/60</f>
        <v>15.5</v>
      </c>
      <c r="CF11" s="155">
        <f>SUM('OEE REA'!$BE223:$BE225)/60</f>
        <v>24</v>
      </c>
      <c r="CG11" s="155">
        <f>SUM('OEE REA'!$BE226:$BE228)/60</f>
        <v>24</v>
      </c>
      <c r="CH11" s="155">
        <f>SUM('OEE REA'!$BE229:$BE231)/60</f>
        <v>24</v>
      </c>
      <c r="CI11" s="155">
        <f>SUM('OEE REA'!$BE232:$BE234)/60</f>
        <v>24</v>
      </c>
      <c r="CJ11" s="155">
        <f>SUM('OEE REA'!$BE235:$BE237)/60</f>
        <v>24</v>
      </c>
      <c r="CK11" s="155">
        <f>SUM('OEE REA'!$BE238:$BE239)/60</f>
        <v>15.5</v>
      </c>
      <c r="CL11" s="155">
        <f>SUM('OEE REA'!$BE240:$BE240)/60</f>
        <v>8.5</v>
      </c>
      <c r="CM11" s="155">
        <f>SUM('OEE REA'!$BE241:$BE243)/60</f>
        <v>24</v>
      </c>
      <c r="CN11" s="155">
        <f>SUM('OEE REA'!$BE244:$BE246)/60</f>
        <v>24</v>
      </c>
      <c r="CO11" s="155">
        <f>SUM('OEE REA'!$BE247:$BE249)/60</f>
        <v>24</v>
      </c>
      <c r="CP11" s="155">
        <f>SUM('OEE REA'!$BE250:$BE252)/60</f>
        <v>24</v>
      </c>
      <c r="CQ11" s="155">
        <f>SUM('OEE REA'!$BE253:$BE254)/60</f>
        <v>15.5</v>
      </c>
      <c r="CR11" s="155">
        <f>SUM('OEE REA'!$BE255:$BE255)/60</f>
        <v>8.5</v>
      </c>
      <c r="CS11" s="155">
        <f>SUM('OEE REA'!$BE256:$BE258)/60</f>
        <v>24</v>
      </c>
      <c r="CT11" s="155">
        <f>SUM('OEE REA'!$BE259:$BE261)/60</f>
        <v>24</v>
      </c>
      <c r="CU11" s="155">
        <f>SUM('OEE REA'!$BE262:$BE264)/60</f>
        <v>24</v>
      </c>
      <c r="CV11" s="155">
        <f>SUM('OEE REA'!$BE265:$BE267)/60</f>
        <v>0</v>
      </c>
      <c r="CW11" s="155">
        <f>SUM('OEE REA'!$BE269:$BE270)/60</f>
        <v>13.833333333333334</v>
      </c>
      <c r="CX11" s="155">
        <f>SUM('OEE REA'!$BE271:$BE271)/60</f>
        <v>8.5</v>
      </c>
      <c r="CY11" s="155">
        <f>SUM('OEE REA'!$BE272:$BE274)/60</f>
        <v>24</v>
      </c>
      <c r="CZ11" s="155">
        <f>SUM('OEE REA'!$BE275:$BE277)/60</f>
        <v>24</v>
      </c>
      <c r="DA11" s="155">
        <f>SUM('OEE REA'!$BE278:$BE280)/60</f>
        <v>24</v>
      </c>
      <c r="DB11" s="155">
        <f>SUM('OEE REA'!$BE281:$BE283)/60</f>
        <v>24</v>
      </c>
      <c r="DC11" s="155">
        <f>SUM('OEE REA'!$BE284:$BE286)/60</f>
        <v>24</v>
      </c>
      <c r="DD11" s="155">
        <f>SUM('OEE REA'!$BE287:$BE288)/60</f>
        <v>15.5</v>
      </c>
      <c r="DE11" s="155">
        <f>SUM('OEE REA'!$BE289:$BE289)/60</f>
        <v>8.5</v>
      </c>
      <c r="DF11" s="155">
        <f>SUM('OEE REA'!$BE290:$BE292)/60</f>
        <v>24</v>
      </c>
      <c r="DG11" s="155">
        <f>SUM('OEE REA'!$BE293:$BE295)/60</f>
        <v>24</v>
      </c>
      <c r="DH11" s="155">
        <f>SUM('OEE REA'!$BE296:$BE298)/60</f>
        <v>24</v>
      </c>
      <c r="DI11" s="155">
        <f>SUM('OEE REA'!$BE299:$BE301)/60</f>
        <v>24</v>
      </c>
      <c r="DJ11" s="155">
        <f>SUM('OEE REA'!$BE302:$BE304)/60</f>
        <v>24</v>
      </c>
      <c r="DK11" s="155">
        <f>SUM('OEE REA'!$BE305:$BE306)/60</f>
        <v>15.5</v>
      </c>
      <c r="DL11" s="155">
        <f>SUM('OEE REA'!$BE307:$BE309)/60</f>
        <v>24</v>
      </c>
      <c r="DM11" s="155">
        <f>SUM('OEE REA'!$BE310:$BE312)/60</f>
        <v>24</v>
      </c>
      <c r="DN11" s="155">
        <f>SUM('OEE REA'!$BE313:$BE315)/60</f>
        <v>24</v>
      </c>
      <c r="DO11" s="155">
        <f>SUM('OEE REA'!$BE316:$BE318)/60</f>
        <v>24</v>
      </c>
      <c r="DP11" s="155">
        <f>SUM('OEE REA'!$BE319:$BE321)/60</f>
        <v>24</v>
      </c>
      <c r="DQ11" s="155">
        <f>SUM('OEE REA'!$BE322:$BE323)/60</f>
        <v>15.5</v>
      </c>
      <c r="DR11" s="155">
        <f>SUM('OEE REA'!$BE324:$BE327)/60</f>
        <v>24</v>
      </c>
      <c r="DS11" s="155">
        <f>SUM('OEE REA'!$BE328:$BE330)/60</f>
        <v>24</v>
      </c>
      <c r="DT11" s="155">
        <f>SUM('OEE REA'!$BE331:$BE333)/60</f>
        <v>24</v>
      </c>
      <c r="DU11" s="155">
        <f>SUM('OEE REA'!$BE334:$BE336)/60</f>
        <v>24</v>
      </c>
      <c r="DV11" s="155">
        <f>SUM('OEE REA'!$BE337:$BE339)/60</f>
        <v>24</v>
      </c>
      <c r="DW11" s="155">
        <f>SUM('OEE REA'!$BE340:$BE341)/60</f>
        <v>15.5</v>
      </c>
      <c r="DX11" s="155">
        <f>SUM('OEE REA'!$BE342:$BE344)/60</f>
        <v>8.5</v>
      </c>
      <c r="DY11" s="155">
        <f>SUM('OEE REA'!$BE345:$BE347)/60</f>
        <v>24</v>
      </c>
      <c r="DZ11" s="155">
        <f>SUM('OEE REA'!$BE348:$BE350)/60</f>
        <v>24</v>
      </c>
      <c r="EA11" s="155">
        <f>SUM('OEE REA'!$BE351:$BE353)/60</f>
        <v>24</v>
      </c>
      <c r="EB11" s="155">
        <f>SUM('OEE REA'!$BE354:$BE355)/60</f>
        <v>15.5</v>
      </c>
      <c r="EC11" s="155">
        <f>SUM('OEE REA'!$BE356:$BE358)/60</f>
        <v>24</v>
      </c>
      <c r="ED11" s="155">
        <f>SUM('OEE REA'!$BE359:$BE361)/60</f>
        <v>24</v>
      </c>
      <c r="EE11" s="155">
        <f>SUM('OEE REA'!$BE362:$BE364)/60</f>
        <v>15.5</v>
      </c>
      <c r="EF11" s="155">
        <f>SUM('OEE REA'!$BE365:$BE367)/60</f>
        <v>17.5</v>
      </c>
      <c r="EG11" s="155">
        <f>SUM('OEE REA'!$BE370:$BE372)/60</f>
        <v>24</v>
      </c>
      <c r="EH11" s="155">
        <f>SUM('OEE REA'!$BE373:$BE374)/60</f>
        <v>15.5</v>
      </c>
      <c r="EI11" s="155">
        <f>SUM('OEE REA'!$BE375:$BE377)/60</f>
        <v>24</v>
      </c>
      <c r="EJ11" s="155">
        <f>SUM('OEE REA'!$BE378:$BE380)/60</f>
        <v>24</v>
      </c>
      <c r="EK11" s="155">
        <f>SUM('OEE REA'!$BE381:$BE383)/60</f>
        <v>24</v>
      </c>
      <c r="EL11" s="155">
        <f>SUM('OEE REA'!$BE384:$BE386)/60</f>
        <v>24</v>
      </c>
      <c r="EM11" s="155">
        <f>SUM('OEE REA'!$BE387:$BE389)/60</f>
        <v>24</v>
      </c>
      <c r="EN11" s="155">
        <f>SUM('OEE REA'!$BE390:$BE391)/60</f>
        <v>15.5</v>
      </c>
      <c r="EO11" s="155">
        <f>SUM('OEE REA'!$BE392:$BE394)/60</f>
        <v>24</v>
      </c>
      <c r="EP11" s="155">
        <f>SUM('OEE REA'!$BE395:$BE397)/60</f>
        <v>24</v>
      </c>
      <c r="EQ11" s="155">
        <f>SUM('OEE REA'!$BE398:$BE400)/60</f>
        <v>24</v>
      </c>
      <c r="ER11" s="155">
        <f>SUM('OEE REA'!$BE401:$BE403)/60</f>
        <v>24</v>
      </c>
      <c r="ES11" s="155">
        <f>SUM('OEE REA'!$BE404:$BE406)/60</f>
        <v>24</v>
      </c>
      <c r="ET11" s="155">
        <f>SUM('OEE REA'!$BE407:$BE408)/60</f>
        <v>15.5</v>
      </c>
      <c r="EU11" s="155">
        <f>SUM('OEE REA'!$BE409:$BE411)/60</f>
        <v>24</v>
      </c>
      <c r="EV11" s="155">
        <f>SUM('OEE REA'!$BE412:$BE414)/60</f>
        <v>24</v>
      </c>
      <c r="EW11" s="155">
        <f>SUM('OEE REA'!$BE415:$BE417)/60</f>
        <v>24</v>
      </c>
      <c r="EX11" s="155">
        <f>SUM('OEE REA'!$BE418:$BE420)/60</f>
        <v>24</v>
      </c>
      <c r="EY11" s="155">
        <f>SUM('OEE REA'!$BE421:$BE423)/60</f>
        <v>24</v>
      </c>
      <c r="EZ11" s="155">
        <f>SUM('OEE REA'!$BE424:$BE425)/60</f>
        <v>15.5</v>
      </c>
      <c r="FA11" s="155">
        <f>SUM('OEE REA'!$BE426:$BE428)/60</f>
        <v>24</v>
      </c>
      <c r="FB11" s="155">
        <f>SUM('OEE REA'!$BE429:$BE431)/60</f>
        <v>24</v>
      </c>
      <c r="FC11" s="155">
        <f>SUM('OEE REA'!$BE432:$BE434)/60</f>
        <v>24</v>
      </c>
      <c r="FD11" s="155">
        <f>SUM('OEE REA'!$BE435:$BE437)/60</f>
        <v>24</v>
      </c>
      <c r="FE11" s="155">
        <f>SUM('OEE REA'!$BE438:$BE440)/60</f>
        <v>24</v>
      </c>
      <c r="FF11" s="155">
        <f>SUM('OEE REA'!$BE441:$BE442)/60</f>
        <v>15.5</v>
      </c>
      <c r="FG11" s="155">
        <f>SUM('OEE REA'!$BE443:$BE445)/60</f>
        <v>0</v>
      </c>
      <c r="FH11" s="155">
        <f>SUM('OEE REA'!$BE446:$BE448)/60</f>
        <v>24</v>
      </c>
      <c r="FI11" s="155">
        <f>SUM('OEE REA'!$BE449:$BE451)/60</f>
        <v>24</v>
      </c>
      <c r="FJ11" s="155">
        <f>SUM('OEE REA'!$BE452:$BE454)/60</f>
        <v>24</v>
      </c>
      <c r="FK11" s="155">
        <f>SUM('OEE REA'!$BE455:$BE457)/60</f>
        <v>24</v>
      </c>
      <c r="FL11" s="155">
        <f>SUM('OEE REA'!$BE458:$BE459)/60</f>
        <v>15.5</v>
      </c>
      <c r="FM11" s="155">
        <f>SUM('OEE REA'!$BE460:$BE462)/60</f>
        <v>24</v>
      </c>
      <c r="FN11" s="155">
        <f>SUM('OEE REA'!$BE463:$BE465)/60</f>
        <v>24</v>
      </c>
      <c r="FO11" s="155">
        <f>SUM('OEE REA'!$BE466:$BE468)/60</f>
        <v>24</v>
      </c>
      <c r="FP11" s="155">
        <f>SUM('OEE REA'!$BE469:$BE471)/60</f>
        <v>24</v>
      </c>
      <c r="FQ11" s="155"/>
      <c r="FR11" s="155"/>
      <c r="FS11" s="155"/>
      <c r="FT11" s="155"/>
      <c r="FU11" s="155"/>
      <c r="FV11" s="155"/>
      <c r="FW11" s="155"/>
      <c r="FX11" s="155"/>
      <c r="FY11" s="155"/>
      <c r="FZ11" s="155"/>
      <c r="GA11" s="155"/>
      <c r="GB11" s="155"/>
      <c r="GC11" s="155"/>
      <c r="GD11" s="155"/>
      <c r="GE11" s="155"/>
      <c r="GF11" s="155"/>
      <c r="GG11" s="155"/>
      <c r="GH11" s="155"/>
      <c r="GI11" s="155"/>
      <c r="GJ11" s="155"/>
      <c r="GK11" s="155"/>
      <c r="GL11" s="300"/>
      <c r="GM11" s="314">
        <f t="shared" si="43"/>
        <v>3544.25</v>
      </c>
    </row>
    <row r="12" spans="1:202" ht="15.95" customHeight="1" x14ac:dyDescent="0.3">
      <c r="A12" s="173" t="s">
        <v>50</v>
      </c>
      <c r="B12" s="156">
        <f t="shared" ref="B12:H12" si="128">B10-B11</f>
        <v>-0.75</v>
      </c>
      <c r="C12" s="156">
        <f t="shared" si="128"/>
        <v>-4.5</v>
      </c>
      <c r="D12" s="156">
        <f t="shared" si="128"/>
        <v>-0.56666666666666643</v>
      </c>
      <c r="E12" s="156">
        <f t="shared" si="128"/>
        <v>-1.0833333333333357</v>
      </c>
      <c r="F12" s="156">
        <f t="shared" si="128"/>
        <v>-1.7166666666666668</v>
      </c>
      <c r="G12" s="156">
        <f t="shared" si="128"/>
        <v>-3.1999999999999993</v>
      </c>
      <c r="H12" s="156">
        <f t="shared" si="128"/>
        <v>-0.68333333333333357</v>
      </c>
      <c r="I12" s="156">
        <f t="shared" ref="I12:J12" si="129">I10-I11</f>
        <v>-2.0999999999999996</v>
      </c>
      <c r="J12" s="156">
        <f t="shared" si="129"/>
        <v>-0.89999999999999858</v>
      </c>
      <c r="K12" s="156">
        <f t="shared" ref="K12:L12" si="130">K10-K11</f>
        <v>-3.7166666666666668</v>
      </c>
      <c r="L12" s="156">
        <f t="shared" si="130"/>
        <v>-0.75</v>
      </c>
      <c r="M12" s="156">
        <f t="shared" ref="M12:N12" si="131">M10-M11</f>
        <v>-0.75</v>
      </c>
      <c r="N12" s="156">
        <f t="shared" si="131"/>
        <v>-3.3499999999999996</v>
      </c>
      <c r="O12" s="156">
        <f t="shared" ref="O12:P12" si="132">O10-O11</f>
        <v>-4.25</v>
      </c>
      <c r="P12" s="156">
        <f t="shared" si="132"/>
        <v>-0.75</v>
      </c>
      <c r="Q12" s="156">
        <f t="shared" ref="Q12:R12" si="133">Q10-Q11</f>
        <v>-0.75</v>
      </c>
      <c r="R12" s="156">
        <f t="shared" si="133"/>
        <v>-0.75</v>
      </c>
      <c r="S12" s="156">
        <f t="shared" ref="S12:T12" si="134">S10-S11</f>
        <v>-0.51666666666666572</v>
      </c>
      <c r="T12" s="156">
        <f t="shared" si="134"/>
        <v>-1.6333333333333329</v>
      </c>
      <c r="U12" s="156">
        <f t="shared" ref="U12:V12" si="135">U10-U11</f>
        <v>-0.66666666666666785</v>
      </c>
      <c r="V12" s="156">
        <f t="shared" si="135"/>
        <v>-0.66666666666666785</v>
      </c>
      <c r="W12" s="156">
        <f t="shared" ref="W12:X12" si="136">W10-W11</f>
        <v>-0.51666666666666572</v>
      </c>
      <c r="X12" s="156">
        <f t="shared" si="136"/>
        <v>-0.75</v>
      </c>
      <c r="Y12" s="156">
        <f t="shared" ref="Y12:Z12" si="137">Y10-Y11</f>
        <v>-0.75</v>
      </c>
      <c r="Z12" s="156">
        <f t="shared" si="137"/>
        <v>-9</v>
      </c>
      <c r="AA12" s="156">
        <f t="shared" ref="AA12:AB12" si="138">AA10-AA11</f>
        <v>-2.75</v>
      </c>
      <c r="AB12" s="156">
        <f t="shared" si="138"/>
        <v>-4.25</v>
      </c>
      <c r="AC12" s="156">
        <f t="shared" ref="AC12:AD12" si="139">AC10-AC11</f>
        <v>-3.1666666666666661</v>
      </c>
      <c r="AD12" s="156">
        <f t="shared" si="139"/>
        <v>0</v>
      </c>
      <c r="AE12" s="156">
        <f t="shared" ref="AE12:AF12" si="140">AE10-AE11</f>
        <v>-2.25</v>
      </c>
      <c r="AF12" s="156">
        <f t="shared" si="140"/>
        <v>0</v>
      </c>
      <c r="AG12" s="156">
        <f t="shared" ref="AG12:AH12" si="141">AG10-AG11</f>
        <v>-7</v>
      </c>
      <c r="AH12" s="156">
        <f t="shared" si="141"/>
        <v>-1.1333333333333329</v>
      </c>
      <c r="AI12" s="156">
        <f t="shared" ref="AI12:AJ12" si="142">AI10-AI11</f>
        <v>-0.66666666666666785</v>
      </c>
      <c r="AJ12" s="156">
        <f t="shared" si="142"/>
        <v>544.41666666666663</v>
      </c>
      <c r="AK12" s="156">
        <f t="shared" ref="AK12:AL12" si="143">AK10-AK11</f>
        <v>-0.25</v>
      </c>
      <c r="AL12" s="156">
        <f t="shared" si="143"/>
        <v>-1</v>
      </c>
      <c r="AM12" s="156">
        <f t="shared" ref="AM12:AN12" si="144">AM10-AM11</f>
        <v>-10.5</v>
      </c>
      <c r="AN12" s="156">
        <f t="shared" si="144"/>
        <v>-5</v>
      </c>
      <c r="AO12" s="156">
        <f t="shared" ref="AO12:AP12" si="145">AO10-AO11</f>
        <v>-1</v>
      </c>
      <c r="AP12" s="156">
        <f t="shared" si="145"/>
        <v>0</v>
      </c>
      <c r="AQ12" s="156">
        <f t="shared" ref="AQ12:AR12" si="146">AQ10-AQ11</f>
        <v>0</v>
      </c>
      <c r="AR12" s="156">
        <f t="shared" si="146"/>
        <v>0</v>
      </c>
      <c r="AS12" s="156">
        <f t="shared" ref="AS12:AT12" si="147">AS10-AS11</f>
        <v>-0.25</v>
      </c>
      <c r="AT12" s="156">
        <f t="shared" si="147"/>
        <v>0</v>
      </c>
      <c r="AU12" s="156">
        <f t="shared" ref="AU12:AV12" si="148">AU10-AU11</f>
        <v>-7</v>
      </c>
      <c r="AV12" s="156">
        <f t="shared" si="148"/>
        <v>0</v>
      </c>
      <c r="AW12" s="156">
        <f t="shared" ref="AW12:AX12" si="149">AW10-AW11</f>
        <v>0</v>
      </c>
      <c r="AX12" s="156">
        <f t="shared" si="149"/>
        <v>0</v>
      </c>
      <c r="AY12" s="156">
        <f t="shared" ref="AY12:AZ12" si="150">AY10-AY11</f>
        <v>-0.5</v>
      </c>
      <c r="AZ12" s="156">
        <f t="shared" si="150"/>
        <v>-6.5</v>
      </c>
      <c r="BA12" s="156">
        <f t="shared" ref="BA12:BB12" si="151">BA10-BA11</f>
        <v>-7.5</v>
      </c>
      <c r="BB12" s="156">
        <f t="shared" si="151"/>
        <v>-7.5</v>
      </c>
      <c r="BC12" s="156">
        <f t="shared" ref="BC12:BD12" si="152">BC10-BC11</f>
        <v>0</v>
      </c>
      <c r="BD12" s="156">
        <f t="shared" si="152"/>
        <v>-1.5</v>
      </c>
      <c r="BE12" s="156">
        <f t="shared" ref="BE12:BF12" si="153">BE10-BE11</f>
        <v>0</v>
      </c>
      <c r="BF12" s="156">
        <f t="shared" si="153"/>
        <v>-5.5</v>
      </c>
      <c r="BG12" s="156">
        <f t="shared" ref="BG12:BH12" si="154">BG10-BG11</f>
        <v>-0.66666666666666785</v>
      </c>
      <c r="BH12" s="156">
        <f t="shared" si="154"/>
        <v>-0.66666666666666785</v>
      </c>
      <c r="BI12" s="156">
        <f t="shared" ref="BI12:BJ12" si="155">BI10-BI11</f>
        <v>-0.66666666666666785</v>
      </c>
      <c r="BJ12" s="156">
        <f t="shared" si="155"/>
        <v>-0.66666666666666607</v>
      </c>
      <c r="BK12" s="156">
        <f t="shared" ref="BK12:BL12" si="156">BK10-BK11</f>
        <v>-1.1999999999999993</v>
      </c>
      <c r="BL12" s="156">
        <f t="shared" si="156"/>
        <v>-1</v>
      </c>
      <c r="BM12" s="156">
        <f t="shared" ref="BM12:BN12" si="157">BM10-BM11</f>
        <v>-0.66666666666666785</v>
      </c>
      <c r="BN12" s="156">
        <f t="shared" si="157"/>
        <v>-0.66666666666666785</v>
      </c>
      <c r="BO12" s="156">
        <f t="shared" ref="BO12:BP12" si="158">BO10-BO11</f>
        <v>-2.6666666666666679</v>
      </c>
      <c r="BP12" s="156">
        <f t="shared" si="158"/>
        <v>-0.66666666666666607</v>
      </c>
      <c r="BQ12" s="156">
        <f t="shared" ref="BQ12:BR12" si="159">BQ10-BQ11</f>
        <v>-6.6666666666666679</v>
      </c>
      <c r="BR12" s="156">
        <f t="shared" si="159"/>
        <v>-0.5</v>
      </c>
      <c r="BS12" s="156">
        <f t="shared" ref="BS12:BT12" si="160">BS10-BS11</f>
        <v>15.5</v>
      </c>
      <c r="BT12" s="156">
        <f t="shared" si="160"/>
        <v>0</v>
      </c>
      <c r="BU12" s="156">
        <f t="shared" ref="BU12:BV12" si="161">BU10-BU11</f>
        <v>0</v>
      </c>
      <c r="BV12" s="156">
        <f t="shared" si="161"/>
        <v>0</v>
      </c>
      <c r="BW12" s="156">
        <f t="shared" ref="BW12:BX12" si="162">BW10-BW11</f>
        <v>0</v>
      </c>
      <c r="BX12" s="156">
        <f t="shared" si="162"/>
        <v>-2</v>
      </c>
      <c r="BY12" s="156">
        <f t="shared" ref="BY12:BZ12" si="163">BY10-BY11</f>
        <v>-4</v>
      </c>
      <c r="BZ12" s="156">
        <f t="shared" si="163"/>
        <v>-0.66666666666666785</v>
      </c>
      <c r="CA12" s="156">
        <f t="shared" ref="CA12:CB12" si="164">CA10-CA11</f>
        <v>-0.66666666666666607</v>
      </c>
      <c r="CB12" s="156">
        <f t="shared" si="164"/>
        <v>-0.66666666666666785</v>
      </c>
      <c r="CC12" s="156">
        <f t="shared" ref="CC12:CD12" si="165">CC10-CC11</f>
        <v>-0.66666666666666785</v>
      </c>
      <c r="CD12" s="156">
        <f t="shared" si="165"/>
        <v>-0.66666666666666785</v>
      </c>
      <c r="CE12" s="156">
        <f t="shared" ref="CE12:CF12" si="166">CE10-CE11</f>
        <v>-0.66666666666666607</v>
      </c>
      <c r="CF12" s="156">
        <f t="shared" si="166"/>
        <v>-0.75</v>
      </c>
      <c r="CG12" s="156">
        <f t="shared" ref="CG12:CH12" si="167">CG10-CG11</f>
        <v>-10.716666666666667</v>
      </c>
      <c r="CH12" s="156">
        <f t="shared" si="167"/>
        <v>-2.6666666666666679</v>
      </c>
      <c r="CI12" s="156">
        <f t="shared" ref="CI12:CJ12" si="168">CI10-CI11</f>
        <v>-8.5</v>
      </c>
      <c r="CJ12" s="156">
        <f t="shared" si="168"/>
        <v>-9.6666666666666661</v>
      </c>
      <c r="CK12" s="156">
        <f t="shared" ref="CK12:CL12" si="169">CK10-CK11</f>
        <v>-0.66666666666666607</v>
      </c>
      <c r="CL12" s="156">
        <f t="shared" si="169"/>
        <v>-0.66666666666666696</v>
      </c>
      <c r="CM12" s="156">
        <f t="shared" ref="CM12:CN12" si="170">CM10-CM11</f>
        <v>-4.1666666666666679</v>
      </c>
      <c r="CN12" s="156">
        <f t="shared" si="170"/>
        <v>-16.666666666666668</v>
      </c>
      <c r="CO12" s="156">
        <f t="shared" ref="CO12:CP12" si="171">CO10-CO11</f>
        <v>-0.66666666666666785</v>
      </c>
      <c r="CP12" s="156">
        <f t="shared" si="171"/>
        <v>-6</v>
      </c>
      <c r="CQ12" s="156">
        <f t="shared" ref="CQ12:CR12" si="172">CQ10-CQ11</f>
        <v>-3</v>
      </c>
      <c r="CR12" s="156">
        <f t="shared" si="172"/>
        <v>-1</v>
      </c>
      <c r="CS12" s="156">
        <f t="shared" ref="CS12:CT12" si="173">CS10-CS11</f>
        <v>-0.55000000000000071</v>
      </c>
      <c r="CT12" s="156">
        <f t="shared" si="173"/>
        <v>-0.75</v>
      </c>
      <c r="CU12" s="156">
        <f t="shared" ref="CU12:CV12" si="174">CU10-CU11</f>
        <v>-0.66666666666666785</v>
      </c>
      <c r="CV12" s="156">
        <f t="shared" si="174"/>
        <v>0</v>
      </c>
      <c r="CW12" s="156">
        <f t="shared" ref="CW12:CX12" si="175">CW10-CW11</f>
        <v>-3</v>
      </c>
      <c r="CX12" s="156">
        <f t="shared" si="175"/>
        <v>-0.75</v>
      </c>
      <c r="CY12" s="156">
        <f t="shared" ref="CY12:CZ12" si="176">CY10-CY11</f>
        <v>-0.75</v>
      </c>
      <c r="CZ12" s="156">
        <f t="shared" si="176"/>
        <v>-0.75</v>
      </c>
      <c r="DA12" s="156">
        <f t="shared" ref="DA12:DB12" si="177">DA10-DA11</f>
        <v>-0.75</v>
      </c>
      <c r="DB12" s="156">
        <f t="shared" si="177"/>
        <v>-0.66666666666666785</v>
      </c>
      <c r="DC12" s="156">
        <f t="shared" ref="DC12:DD12" si="178">DC10-DC11</f>
        <v>-0.66666666666666785</v>
      </c>
      <c r="DD12" s="156">
        <f t="shared" si="178"/>
        <v>-1.1999999999999993</v>
      </c>
      <c r="DE12" s="156">
        <f t="shared" ref="DE12:DF12" si="179">DE10-DE11</f>
        <v>-0.84999999999999964</v>
      </c>
      <c r="DF12" s="156">
        <f t="shared" si="179"/>
        <v>0</v>
      </c>
      <c r="DG12" s="156">
        <f t="shared" ref="DG12:DH12" si="180">DG10-DG11</f>
        <v>-0.75</v>
      </c>
      <c r="DH12" s="156">
        <f t="shared" si="180"/>
        <v>-0.75</v>
      </c>
      <c r="DI12" s="156">
        <f t="shared" ref="DI12:DJ12" si="181">DI10-DI11</f>
        <v>-5</v>
      </c>
      <c r="DJ12" s="156">
        <f t="shared" si="181"/>
        <v>-1.75</v>
      </c>
      <c r="DK12" s="156">
        <f t="shared" ref="DK12:DL12" si="182">DK10-DK11</f>
        <v>-4</v>
      </c>
      <c r="DL12" s="156">
        <f t="shared" si="182"/>
        <v>-6</v>
      </c>
      <c r="DM12" s="156">
        <f t="shared" ref="DM12:DN12" si="183">DM10-DM11</f>
        <v>-0.75</v>
      </c>
      <c r="DN12" s="156">
        <f t="shared" si="183"/>
        <v>-0.75</v>
      </c>
      <c r="DO12" s="156">
        <f t="shared" ref="DO12:DP12" si="184">DO10-DO11</f>
        <v>-0.75</v>
      </c>
      <c r="DP12" s="156">
        <f t="shared" si="184"/>
        <v>-0.75</v>
      </c>
      <c r="DQ12" s="156">
        <f t="shared" ref="DQ12:DR12" si="185">DQ10-DQ11</f>
        <v>-0.75</v>
      </c>
      <c r="DR12" s="156">
        <f t="shared" si="185"/>
        <v>-0.5</v>
      </c>
      <c r="DS12" s="156">
        <f t="shared" ref="DS12:DT12" si="186">DS10-DS11</f>
        <v>-1.1833333333333336</v>
      </c>
      <c r="DT12" s="156">
        <f t="shared" si="186"/>
        <v>-1.033333333333335</v>
      </c>
      <c r="DU12" s="156">
        <f t="shared" ref="DU12" si="187">DU10-DU11</f>
        <v>-0.69999999999999929</v>
      </c>
      <c r="DV12" s="156">
        <f t="shared" ref="DV12:DW12" si="188">DV10-DV11</f>
        <v>-0.89999999999999858</v>
      </c>
      <c r="DW12" s="156">
        <f t="shared" si="188"/>
        <v>0</v>
      </c>
      <c r="DX12" s="156">
        <f t="shared" ref="DX12:DY12" si="189">DX10-DX11</f>
        <v>-0.75</v>
      </c>
      <c r="DY12" s="156">
        <f t="shared" si="189"/>
        <v>-0.75</v>
      </c>
      <c r="DZ12" s="156">
        <f t="shared" ref="DZ12:EA12" si="190">DZ10-DZ11</f>
        <v>-0.75</v>
      </c>
      <c r="EA12" s="156">
        <f t="shared" si="190"/>
        <v>-0.75</v>
      </c>
      <c r="EB12" s="156">
        <f t="shared" ref="EB12:EC12" si="191">EB10-EB11</f>
        <v>-0.75</v>
      </c>
      <c r="EC12" s="156">
        <f t="shared" si="191"/>
        <v>0</v>
      </c>
      <c r="ED12" s="156">
        <f t="shared" ref="ED12:EE12" si="192">ED10-ED11</f>
        <v>0</v>
      </c>
      <c r="EE12" s="156">
        <f t="shared" si="192"/>
        <v>0</v>
      </c>
      <c r="EF12" s="156">
        <f t="shared" ref="EF12:EG12" si="193">EF10-EF11</f>
        <v>-0.75</v>
      </c>
      <c r="EG12" s="156">
        <f t="shared" si="193"/>
        <v>-6</v>
      </c>
      <c r="EH12" s="156">
        <f t="shared" ref="EH12:EI12" si="194">EH10-EH11</f>
        <v>-0.75</v>
      </c>
      <c r="EI12" s="156">
        <f t="shared" si="194"/>
        <v>-0.75</v>
      </c>
      <c r="EJ12" s="156">
        <f t="shared" ref="EJ12:EK12" si="195">EJ10-EJ11</f>
        <v>0</v>
      </c>
      <c r="EK12" s="156">
        <f t="shared" si="195"/>
        <v>-1.5</v>
      </c>
      <c r="EL12" s="156">
        <f t="shared" ref="EL12:EM12" si="196">EL10-EL11</f>
        <v>-12.75</v>
      </c>
      <c r="EM12" s="156">
        <f t="shared" si="196"/>
        <v>-4</v>
      </c>
      <c r="EN12" s="156">
        <f t="shared" ref="EN12:EO12" si="197">EN10-EN11</f>
        <v>-0.75</v>
      </c>
      <c r="EO12" s="156">
        <f t="shared" si="197"/>
        <v>-6</v>
      </c>
      <c r="EP12" s="156">
        <f t="shared" ref="EP12:EQ12" si="198">EP10-EP11</f>
        <v>-2.75</v>
      </c>
      <c r="EQ12" s="156">
        <f t="shared" si="198"/>
        <v>-0.75</v>
      </c>
      <c r="ER12" s="156">
        <f t="shared" ref="ER12:ES12" si="199">ER10-ER11</f>
        <v>-0.75</v>
      </c>
      <c r="ES12" s="156">
        <f t="shared" si="199"/>
        <v>-0.75</v>
      </c>
      <c r="ET12" s="156">
        <f t="shared" ref="ET12:EU12" si="200">ET10-ET11</f>
        <v>-0.75</v>
      </c>
      <c r="EU12" s="156">
        <f t="shared" si="200"/>
        <v>-0.75</v>
      </c>
      <c r="EV12" s="156">
        <f t="shared" ref="EV12:EW12" si="201">EV10-EV11</f>
        <v>-1.1833333333333336</v>
      </c>
      <c r="EW12" s="156">
        <f t="shared" si="201"/>
        <v>-0.75</v>
      </c>
      <c r="EX12" s="156">
        <f t="shared" ref="EX12:EY12" si="202">EX10-EX11</f>
        <v>-0.75</v>
      </c>
      <c r="EY12" s="156">
        <f t="shared" si="202"/>
        <v>-10</v>
      </c>
      <c r="EZ12" s="156">
        <f t="shared" ref="EZ12:FA12" si="203">EZ10-EZ11</f>
        <v>-2</v>
      </c>
      <c r="FA12" s="156">
        <f t="shared" si="203"/>
        <v>-11.5</v>
      </c>
      <c r="FB12" s="156">
        <f t="shared" ref="FB12:FC12" si="204">FB10-FB11</f>
        <v>-4.5</v>
      </c>
      <c r="FC12" s="156">
        <f t="shared" si="204"/>
        <v>-1.75</v>
      </c>
      <c r="FD12" s="156">
        <f t="shared" ref="FD12:FE12" si="205">FD10-FD11</f>
        <v>-0.75</v>
      </c>
      <c r="FE12" s="156">
        <f t="shared" si="205"/>
        <v>-0.75</v>
      </c>
      <c r="FF12" s="156">
        <f t="shared" ref="FF12:FG12" si="206">FF10-FF11</f>
        <v>-0.75</v>
      </c>
      <c r="FG12" s="156">
        <f t="shared" si="206"/>
        <v>0</v>
      </c>
      <c r="FH12" s="156">
        <f t="shared" ref="FH12:FI12" si="207">FH10-FH11</f>
        <v>0</v>
      </c>
      <c r="FI12" s="156">
        <f t="shared" si="207"/>
        <v>0</v>
      </c>
      <c r="FJ12" s="156">
        <f t="shared" ref="FJ12:FK12" si="208">FJ10-FJ11</f>
        <v>-8</v>
      </c>
      <c r="FK12" s="156">
        <f t="shared" si="208"/>
        <v>-0.75</v>
      </c>
      <c r="FL12" s="156">
        <f t="shared" ref="FL12" si="209">FL10-FL11</f>
        <v>0</v>
      </c>
      <c r="FM12" s="156">
        <f>FM10-FM11</f>
        <v>-0.75</v>
      </c>
      <c r="FN12" s="156">
        <f>FN10-FN11</f>
        <v>-0.75</v>
      </c>
      <c r="FO12" s="156">
        <f>FO10-FO11</f>
        <v>-0.75</v>
      </c>
      <c r="FP12" s="156">
        <f>FP10-FP11</f>
        <v>-0.75</v>
      </c>
      <c r="FQ12" s="156"/>
      <c r="FR12" s="156"/>
      <c r="FS12" s="156"/>
      <c r="FT12" s="156"/>
      <c r="FU12" s="156"/>
      <c r="FV12" s="156"/>
      <c r="FW12" s="156"/>
      <c r="FX12" s="156"/>
      <c r="FY12" s="156"/>
      <c r="FZ12" s="156"/>
      <c r="GA12" s="156"/>
      <c r="GB12" s="156"/>
      <c r="GC12" s="156"/>
      <c r="GD12" s="156"/>
      <c r="GE12" s="156"/>
      <c r="GF12" s="156"/>
      <c r="GG12" s="156"/>
      <c r="GH12" s="156"/>
      <c r="GI12" s="156"/>
      <c r="GJ12" s="156"/>
      <c r="GK12" s="156"/>
      <c r="GL12" s="302"/>
      <c r="GM12" s="315">
        <f>GM11-GM10</f>
        <v>-220.20000000000118</v>
      </c>
    </row>
    <row r="13" spans="1:202" ht="15.95" customHeight="1" x14ac:dyDescent="0.3">
      <c r="A13" s="174" t="s">
        <v>51</v>
      </c>
      <c r="B13" s="157">
        <f t="shared" ref="B13:H13" si="210">IFERROR(B7/B6*1000000,"")</f>
        <v>2309.4688221709007</v>
      </c>
      <c r="C13" s="157">
        <f t="shared" si="210"/>
        <v>5361.9302949061666</v>
      </c>
      <c r="D13" s="157">
        <f t="shared" si="210"/>
        <v>1795.3321364452424</v>
      </c>
      <c r="E13" s="157">
        <f t="shared" si="210"/>
        <v>2806.3610851262861</v>
      </c>
      <c r="F13" s="157">
        <f t="shared" si="210"/>
        <v>6008.583690987125</v>
      </c>
      <c r="G13" s="157">
        <f t="shared" si="210"/>
        <v>1237.6237623762377</v>
      </c>
      <c r="H13" s="157">
        <f t="shared" si="210"/>
        <v>8719.3460490463222</v>
      </c>
      <c r="I13" s="157">
        <f t="shared" ref="I13:J13" si="211">IFERROR(I7/I6*1000000,"")</f>
        <v>14166.666666666666</v>
      </c>
      <c r="J13" s="157">
        <f t="shared" si="211"/>
        <v>9895.547003848269</v>
      </c>
      <c r="K13" s="157">
        <f t="shared" ref="K13:L13" si="212">IFERROR(K7/K6*1000000,"")</f>
        <v>21052.631578947367</v>
      </c>
      <c r="L13" s="157">
        <f t="shared" si="212"/>
        <v>4971.0024855012425</v>
      </c>
      <c r="M13" s="157">
        <f t="shared" ref="M13:N13" si="213">IFERROR(M7/M6*1000000,"")</f>
        <v>0</v>
      </c>
      <c r="N13" s="157">
        <f t="shared" si="213"/>
        <v>2815.5795401220084</v>
      </c>
      <c r="O13" s="157">
        <f t="shared" ref="O13:P13" si="214">IFERROR(O7/O6*1000000,"")</f>
        <v>4662.0046620046624</v>
      </c>
      <c r="P13" s="157">
        <f t="shared" si="214"/>
        <v>3773.5849056603774</v>
      </c>
      <c r="Q13" s="157">
        <f t="shared" ref="Q13:R13" si="215">IFERROR(Q7/Q6*1000000,"")</f>
        <v>3923.4919077979403</v>
      </c>
      <c r="R13" s="157">
        <f t="shared" si="215"/>
        <v>3368.6236766121269</v>
      </c>
      <c r="S13" s="157">
        <f t="shared" ref="S13:T13" si="216">IFERROR(S7/S6*1000000,"")</f>
        <v>4365.0793650793648</v>
      </c>
      <c r="T13" s="157">
        <f t="shared" si="216"/>
        <v>3209.5369096744616</v>
      </c>
      <c r="U13" s="157">
        <f t="shared" ref="U13:V13" si="217">IFERROR(U7/U6*1000000,"")</f>
        <v>5268.7038988408849</v>
      </c>
      <c r="V13" s="157">
        <f t="shared" si="217"/>
        <v>28520.499108734402</v>
      </c>
      <c r="W13" s="157">
        <f t="shared" ref="W13:X13" si="218">IFERROR(W7/W6*1000000,"")</f>
        <v>18543.645409317051</v>
      </c>
      <c r="X13" s="157">
        <f t="shared" si="218"/>
        <v>26435.73381950775</v>
      </c>
      <c r="Y13" s="157">
        <f t="shared" ref="Y13:Z13" si="219">IFERROR(Y7/Y6*1000000,"")</f>
        <v>9916.6997223324088</v>
      </c>
      <c r="Z13" s="157">
        <f t="shared" si="219"/>
        <v>14084.507042253521</v>
      </c>
      <c r="AA13" s="157">
        <f t="shared" ref="AA13:AF13" si="220">IFERROR(AA7/AA6*1000000,"")</f>
        <v>5778.3820530251533</v>
      </c>
      <c r="AB13" s="157">
        <f t="shared" si="220"/>
        <v>6185.567010309278</v>
      </c>
      <c r="AC13" s="157">
        <f t="shared" si="220"/>
        <v>1706840.390879479</v>
      </c>
      <c r="AD13" s="157">
        <f t="shared" si="220"/>
        <v>954446.06413994171</v>
      </c>
      <c r="AE13" s="157">
        <f t="shared" si="220"/>
        <v>12389.380530973451</v>
      </c>
      <c r="AF13" s="157">
        <f t="shared" si="220"/>
        <v>16949.152542372882</v>
      </c>
      <c r="AG13" s="157">
        <f t="shared" ref="AG13:AH13" si="221">IFERROR(AG7/AG6*1000000,"")</f>
        <v>11194.029850746268</v>
      </c>
      <c r="AH13" s="157">
        <f t="shared" si="221"/>
        <v>7365.8365485794457</v>
      </c>
      <c r="AI13" s="157">
        <f t="shared" ref="AI13:AJ13" si="222">IFERROR(AI7/AI6*1000000,"")</f>
        <v>5703.4220532319396</v>
      </c>
      <c r="AJ13" s="157">
        <f t="shared" si="222"/>
        <v>5307.5241960661879</v>
      </c>
      <c r="AK13" s="157">
        <f t="shared" ref="AK13:AL13" si="223">IFERROR(AK7/AK6*1000000,"")</f>
        <v>2193.6696960200566</v>
      </c>
      <c r="AL13" s="157">
        <f t="shared" si="223"/>
        <v>4381.1610076670313</v>
      </c>
      <c r="AM13" s="157">
        <f t="shared" ref="AM13:AN13" si="224">IFERROR(AM7/AM6*1000000,"")</f>
        <v>4331.6831683168321</v>
      </c>
      <c r="AN13" s="157">
        <f t="shared" si="224"/>
        <v>1519.1796429927838</v>
      </c>
      <c r="AO13" s="157">
        <f t="shared" ref="AO13:AP13" si="225">IFERROR(AO7/AO6*1000000,"")</f>
        <v>6853.7859007832903</v>
      </c>
      <c r="AP13" s="157">
        <f t="shared" si="225"/>
        <v>620.15503875969</v>
      </c>
      <c r="AQ13" s="157">
        <f t="shared" ref="AQ13:AR13" si="226">IFERROR(AQ7/AQ6*1000000,"")</f>
        <v>1491.9806042521448</v>
      </c>
      <c r="AR13" s="157">
        <f t="shared" si="226"/>
        <v>3079.2917628945343</v>
      </c>
      <c r="AS13" s="157">
        <f t="shared" ref="AS13:AT13" si="227">IFERROR(AS7/AS6*1000000,"")</f>
        <v>1452.4328249818445</v>
      </c>
      <c r="AT13" s="157">
        <f t="shared" si="227"/>
        <v>1669.4490818030051</v>
      </c>
      <c r="AU13" s="157">
        <f t="shared" ref="AU13:AV13" si="228">IFERROR(AU7/AU6*1000000,"")</f>
        <v>1112.9660545353368</v>
      </c>
      <c r="AV13" s="157">
        <f t="shared" si="228"/>
        <v>727.27272727272725</v>
      </c>
      <c r="AW13" s="157">
        <f t="shared" ref="AW13:AX13" si="229">IFERROR(AW7/AW6*1000000,"")</f>
        <v>1910.8280254777071</v>
      </c>
      <c r="AX13" s="157">
        <f t="shared" si="229"/>
        <v>545.55373704309875</v>
      </c>
      <c r="AY13" s="157">
        <f t="shared" ref="AY13:AZ13" si="230">IFERROR(AY7/AY6*1000000,"")</f>
        <v>3223.4957020057309</v>
      </c>
      <c r="AZ13" s="157">
        <f t="shared" si="230"/>
        <v>21484.375</v>
      </c>
      <c r="BA13" s="157">
        <f t="shared" ref="BA13:BB13" si="231">IFERROR(BA7/BA6*1000000,"")</f>
        <v>22160.664819944599</v>
      </c>
      <c r="BB13" s="157">
        <f t="shared" si="231"/>
        <v>25512.528473804101</v>
      </c>
      <c r="BC13" s="157">
        <f t="shared" ref="BC13:BD13" si="232">IFERROR(BC7/BC6*1000000,"")</f>
        <v>19047.61904761905</v>
      </c>
      <c r="BD13" s="157">
        <f t="shared" si="232"/>
        <v>8213.5523613963051</v>
      </c>
      <c r="BE13" s="157">
        <f t="shared" ref="BE13:BF13" si="233">IFERROR(BE7/BE6*1000000,"")</f>
        <v>70000</v>
      </c>
      <c r="BF13" s="157">
        <f t="shared" si="233"/>
        <v>20982.882385422417</v>
      </c>
      <c r="BG13" s="157">
        <f t="shared" ref="BG13:BH13" si="234">IFERROR(BG7/BG6*1000000,"")</f>
        <v>8275.8620689655181</v>
      </c>
      <c r="BH13" s="157">
        <f t="shared" si="234"/>
        <v>6739.9787158566869</v>
      </c>
      <c r="BI13" s="157">
        <f t="shared" ref="BI13:BJ13" si="235">IFERROR(BI7/BI6*1000000,"")</f>
        <v>4520.5037132709067</v>
      </c>
      <c r="BJ13" s="157">
        <f t="shared" si="235"/>
        <v>2986.8578255675029</v>
      </c>
      <c r="BK13" s="157">
        <f t="shared" ref="BK13:BL13" si="236">IFERROR(BK7/BK6*1000000,"")</f>
        <v>3323.4859675036928</v>
      </c>
      <c r="BL13" s="157">
        <f t="shared" si="236"/>
        <v>4355.7168784029045</v>
      </c>
      <c r="BM13" s="157">
        <f t="shared" ref="BM13:BN13" si="237">IFERROR(BM7/BM6*1000000,"")</f>
        <v>20320.437670965221</v>
      </c>
      <c r="BN13" s="157">
        <f t="shared" si="237"/>
        <v>8821.1708099438656</v>
      </c>
      <c r="BO13" s="157">
        <f t="shared" ref="BO13:BP13" si="238">IFERROR(BO7/BO6*1000000,"")</f>
        <v>4600.5855290673362</v>
      </c>
      <c r="BP13" s="157">
        <f t="shared" si="238"/>
        <v>4299.7542997542996</v>
      </c>
      <c r="BQ13" s="157">
        <f t="shared" ref="BQ13:BR13" si="239">IFERROR(BQ7/BQ6*1000000,"")</f>
        <v>23006.955591225254</v>
      </c>
      <c r="BR13" s="157">
        <f t="shared" si="239"/>
        <v>852.51491901108272</v>
      </c>
      <c r="BS13" s="157">
        <f t="shared" ref="BS13:BT13" si="240">IFERROR(BS7/BS6*1000000,"")</f>
        <v>0</v>
      </c>
      <c r="BT13" s="157">
        <f t="shared" si="240"/>
        <v>54140.127388535031</v>
      </c>
      <c r="BU13" s="157">
        <f t="shared" ref="BU13:BV13" si="241">IFERROR(BU7/BU6*1000000,"")</f>
        <v>30640.668523676879</v>
      </c>
      <c r="BV13" s="157">
        <f t="shared" si="241"/>
        <v>36298.932384341635</v>
      </c>
      <c r="BW13" s="157">
        <f t="shared" ref="BW13:BX13" si="242">IFERROR(BW7/BW6*1000000,"")</f>
        <v>7994.1860465116279</v>
      </c>
      <c r="BX13" s="157">
        <f t="shared" si="242"/>
        <v>3906.25</v>
      </c>
      <c r="BY13" s="157">
        <f t="shared" ref="BY13:BZ13" si="243">IFERROR(BY7/BY6*1000000,"")</f>
        <v>769.52674105425172</v>
      </c>
      <c r="BZ13" s="157">
        <f t="shared" si="243"/>
        <v>2802.2417934347477</v>
      </c>
      <c r="CA13" s="157">
        <f t="shared" ref="CA13:CB13" si="244">IFERROR(CA7/CA6*1000000,"")</f>
        <v>5681.818181818182</v>
      </c>
      <c r="CB13" s="157">
        <f t="shared" si="244"/>
        <v>2849.9050031665611</v>
      </c>
      <c r="CC13" s="157">
        <f t="shared" ref="CC13:CD13" si="245">IFERROR(CC7/CC6*1000000,"")</f>
        <v>1360.0816048962938</v>
      </c>
      <c r="CD13" s="157">
        <f t="shared" si="245"/>
        <v>2667.4570243034973</v>
      </c>
      <c r="CE13" s="157">
        <f t="shared" ref="CE13:CF13" si="246">IFERROR(CE7/CE6*1000000,"")</f>
        <v>65200.314218381784</v>
      </c>
      <c r="CF13" s="157">
        <f t="shared" si="246"/>
        <v>15770.319450060657</v>
      </c>
      <c r="CG13" s="157">
        <f t="shared" ref="CG13:CH13" si="247">IFERROR(CG7/CG6*1000000,"")</f>
        <v>9352.5179856115101</v>
      </c>
      <c r="CH13" s="157">
        <f t="shared" si="247"/>
        <v>6316.6206079747335</v>
      </c>
      <c r="CI13" s="157">
        <f t="shared" ref="CI13:CJ13" si="248">IFERROR(CI7/CI6*1000000,"")</f>
        <v>1206.2726176115802</v>
      </c>
      <c r="CJ13" s="157">
        <f t="shared" si="248"/>
        <v>2217.2949002217297</v>
      </c>
      <c r="CK13" s="157">
        <f t="shared" ref="CK13:CL13" si="249">IFERROR(CK7/CK6*1000000,"")</f>
        <v>1643.8356164383563</v>
      </c>
      <c r="CL13" s="157">
        <f t="shared" si="249"/>
        <v>757.00227100681298</v>
      </c>
      <c r="CM13" s="157">
        <f t="shared" ref="CM13:CN13" si="250">IFERROR(CM7/CM6*1000000,"")</f>
        <v>3938.7308533916853</v>
      </c>
      <c r="CN13" s="157">
        <f t="shared" si="250"/>
        <v>2666.6666666666665</v>
      </c>
      <c r="CO13" s="157">
        <f t="shared" ref="CO13:CP13" si="251">IFERROR(CO7/CO6*1000000,"")</f>
        <v>3561.5354174910963</v>
      </c>
      <c r="CP13" s="157">
        <f t="shared" si="251"/>
        <v>246913.58024691357</v>
      </c>
      <c r="CQ13" s="157">
        <f t="shared" ref="CQ13:CR13" si="252">IFERROR(CQ7/CQ6*1000000,"")</f>
        <v>8941.8777943368113</v>
      </c>
      <c r="CR13" s="157">
        <f t="shared" si="252"/>
        <v>1892.147587511826</v>
      </c>
      <c r="CS13" s="157">
        <f t="shared" ref="CS13:CT13" si="253">IFERROR(CS7/CS6*1000000,"")</f>
        <v>7140.1728673431035</v>
      </c>
      <c r="CT13" s="157">
        <f t="shared" si="253"/>
        <v>6491.1648034619548</v>
      </c>
      <c r="CU13" s="157">
        <f t="shared" ref="CU13:CV13" si="254">IFERROR(CU7/CU6*1000000,"")</f>
        <v>5490.9560723514205</v>
      </c>
      <c r="CV13" s="157" t="str">
        <f t="shared" si="254"/>
        <v/>
      </c>
      <c r="CW13" s="157">
        <f t="shared" ref="CW13:CX13" si="255">IFERROR(CW7/CW6*1000000,"")</f>
        <v>3937.0078740157478</v>
      </c>
      <c r="CX13" s="157">
        <f t="shared" si="255"/>
        <v>888.88888888888891</v>
      </c>
      <c r="CY13" s="157">
        <f t="shared" ref="CY13:CZ13" si="256">IFERROR(CY7/CY6*1000000,"")</f>
        <v>1299.9675008124798</v>
      </c>
      <c r="CZ13" s="157">
        <f t="shared" si="256"/>
        <v>906.61831368993649</v>
      </c>
      <c r="DA13" s="157">
        <f t="shared" ref="DA13:DB13" si="257">IFERROR(DA7/DA6*1000000,"")</f>
        <v>1290.7389480477573</v>
      </c>
      <c r="DB13" s="157">
        <f t="shared" si="257"/>
        <v>846.02368866328254</v>
      </c>
      <c r="DC13" s="157">
        <f t="shared" ref="DC13:DD13" si="258">IFERROR(DC7/DC6*1000000,"")</f>
        <v>2265.6471254602093</v>
      </c>
      <c r="DD13" s="157">
        <f t="shared" si="258"/>
        <v>0</v>
      </c>
      <c r="DE13" s="157">
        <f t="shared" ref="DE13:DF13" si="259">IFERROR(DE7/DE6*1000000,"")</f>
        <v>0</v>
      </c>
      <c r="DF13" s="157">
        <f t="shared" si="259"/>
        <v>1532.5670498084291</v>
      </c>
      <c r="DG13" s="157">
        <f t="shared" ref="DG13:DH13" si="260">IFERROR(DG7/DG6*1000000,"")</f>
        <v>1241.8503570319776</v>
      </c>
      <c r="DH13" s="157">
        <f t="shared" si="260"/>
        <v>409.50040950040955</v>
      </c>
      <c r="DI13" s="157">
        <f t="shared" ref="DI13:DJ13" si="261">IFERROR(DI7/DI6*1000000,"")</f>
        <v>13602.015113350126</v>
      </c>
      <c r="DJ13" s="157">
        <f t="shared" si="261"/>
        <v>10652.463382157124</v>
      </c>
      <c r="DK13" s="157">
        <f t="shared" ref="DK13:DL13" si="262">IFERROR(DK7/DK6*1000000,"")</f>
        <v>1721.170395869191</v>
      </c>
      <c r="DL13" s="157">
        <f t="shared" si="262"/>
        <v>13455.069678039405</v>
      </c>
      <c r="DM13" s="157">
        <f t="shared" ref="DM13:DN13" si="263">IFERROR(DM7/DM6*1000000,"")</f>
        <v>13537.906137184116</v>
      </c>
      <c r="DN13" s="157">
        <f t="shared" si="263"/>
        <v>10797.840431913617</v>
      </c>
      <c r="DO13" s="157">
        <f t="shared" ref="DO13:DP13" si="264">IFERROR(DO7/DO6*1000000,"")</f>
        <v>2551.7436915225408</v>
      </c>
      <c r="DP13" s="157">
        <f t="shared" si="264"/>
        <v>3763.2569278138899</v>
      </c>
      <c r="DQ13" s="157">
        <f t="shared" ref="DQ13:DR13" si="265">IFERROR(DQ7/DQ6*1000000,"")</f>
        <v>1469.1478942213516</v>
      </c>
      <c r="DR13" s="157">
        <f t="shared" si="265"/>
        <v>0</v>
      </c>
      <c r="DS13" s="157">
        <f t="shared" ref="DS13:DT13" si="266">IFERROR(DS7/DS6*1000000,"")</f>
        <v>612.74509803921569</v>
      </c>
      <c r="DT13" s="157">
        <f t="shared" si="266"/>
        <v>2335.0846468184473</v>
      </c>
      <c r="DU13" s="157">
        <f t="shared" ref="DU13" si="267">IFERROR(DU7/DU6*1000000,"")</f>
        <v>1426.5335235378031</v>
      </c>
      <c r="DV13" s="157">
        <f t="shared" ref="DV13:DW13" si="268">IFERROR(DV7/DV6*1000000,"")</f>
        <v>2669.0391459074735</v>
      </c>
      <c r="DW13" s="157">
        <f t="shared" si="268"/>
        <v>1324.5033112582782</v>
      </c>
      <c r="DX13" s="157">
        <f t="shared" ref="DX13:DY13" si="269">IFERROR(DX7/DX6*1000000,"")</f>
        <v>2588.4383088869713</v>
      </c>
      <c r="DY13" s="157">
        <f t="shared" si="269"/>
        <v>4028.1973816717018</v>
      </c>
      <c r="DZ13" s="157">
        <f t="shared" ref="DZ13:EA13" si="270">IFERROR(DZ7/DZ6*1000000,"")</f>
        <v>614.43932411674348</v>
      </c>
      <c r="EA13" s="157">
        <f t="shared" si="270"/>
        <v>925.92592592592598</v>
      </c>
      <c r="EB13" s="157">
        <f t="shared" ref="EB13:EC13" si="271">IFERROR(EB7/EB6*1000000,"")</f>
        <v>2847.6506881822497</v>
      </c>
      <c r="EC13" s="157">
        <f t="shared" si="271"/>
        <v>1181.3349084465447</v>
      </c>
      <c r="ED13" s="157">
        <f t="shared" ref="ED13:EE13" si="272">IFERROR(ED7/ED6*1000000,"")</f>
        <v>1121.0762331838564</v>
      </c>
      <c r="EE13" s="157">
        <f t="shared" si="272"/>
        <v>27744.270205066343</v>
      </c>
      <c r="EF13" s="157">
        <f t="shared" ref="EF13:EG13" si="273">IFERROR(EF7/EF6*1000000,"")</f>
        <v>7626.3107721639653</v>
      </c>
      <c r="EG13" s="157">
        <f t="shared" si="273"/>
        <v>8375.2093802345044</v>
      </c>
      <c r="EH13" s="157">
        <f t="shared" ref="EH13:EI13" si="274">IFERROR(EH7/EH6*1000000,"")</f>
        <v>1987.0839542970691</v>
      </c>
      <c r="EI13" s="157">
        <f t="shared" si="274"/>
        <v>957.2431397574984</v>
      </c>
      <c r="EJ13" s="157">
        <f t="shared" ref="EJ13:EK13" si="275">IFERROR(EJ7/EJ6*1000000,"")</f>
        <v>2320.9549071618035</v>
      </c>
      <c r="EK13" s="157">
        <f t="shared" si="275"/>
        <v>901.98436560432958</v>
      </c>
      <c r="EL13" s="157">
        <f t="shared" ref="EL13:EM13" si="276">IFERROR(EL7/EL6*1000000,"")</f>
        <v>1891.5510718789408</v>
      </c>
      <c r="EM13" s="157">
        <f t="shared" si="276"/>
        <v>26965.265082266909</v>
      </c>
      <c r="EN13" s="157">
        <f t="shared" ref="EN13:EO13" si="277">IFERROR(EN7/EN6*1000000,"")</f>
        <v>28555.111364934324</v>
      </c>
      <c r="EO13" s="157">
        <f t="shared" si="277"/>
        <v>18370.607028753991</v>
      </c>
      <c r="EP13" s="157">
        <f t="shared" ref="EP13:EQ13" si="278">IFERROR(EP7/EP6*1000000,"")</f>
        <v>16003.122560499611</v>
      </c>
      <c r="EQ13" s="157">
        <f t="shared" si="278"/>
        <v>2613.9994191112401</v>
      </c>
      <c r="ER13" s="157">
        <f t="shared" ref="ER13:ES13" si="279">IFERROR(ER7/ER6*1000000,"")</f>
        <v>3229.5948326482676</v>
      </c>
      <c r="ES13" s="157">
        <f t="shared" si="279"/>
        <v>2359.1860808021233</v>
      </c>
      <c r="ET13" s="157">
        <f t="shared" ref="ET13:EU13" si="280">IFERROR(ET7/ET6*1000000,"")</f>
        <v>2256.317689530686</v>
      </c>
      <c r="EU13" s="157">
        <f t="shared" si="280"/>
        <v>1855.8614290133003</v>
      </c>
      <c r="EV13" s="157">
        <f t="shared" ref="EV13:EW13" si="281">IFERROR(EV7/EV6*1000000,"")</f>
        <v>3920.3860072376356</v>
      </c>
      <c r="EW13" s="157">
        <f t="shared" si="281"/>
        <v>4840.9405255878282</v>
      </c>
      <c r="EX13" s="157">
        <f t="shared" ref="EX13:EY13" si="282">IFERROR(EX7/EX6*1000000,"")</f>
        <v>7650.2732240437163</v>
      </c>
      <c r="EY13" s="157">
        <f t="shared" si="282"/>
        <v>7361.2684031710078</v>
      </c>
      <c r="EZ13" s="157">
        <f t="shared" ref="EZ13:FA13" si="283">IFERROR(EZ7/EZ6*1000000,"")</f>
        <v>2131.0602024507193</v>
      </c>
      <c r="FA13" s="157">
        <f t="shared" si="283"/>
        <v>25392.986698911729</v>
      </c>
      <c r="FB13" s="157">
        <f t="shared" ref="FB13:FC13" si="284">IFERROR(FB7/FB6*1000000,"")</f>
        <v>1624.0357287860334</v>
      </c>
      <c r="FC13" s="157">
        <f t="shared" si="284"/>
        <v>603.50030175015092</v>
      </c>
      <c r="FD13" s="157">
        <f t="shared" ref="FD13:FE13" si="285">IFERROR(FD7/FD6*1000000,"")</f>
        <v>0</v>
      </c>
      <c r="FE13" s="157">
        <f t="shared" si="285"/>
        <v>614.81709191515517</v>
      </c>
      <c r="FF13" s="157">
        <f t="shared" ref="FF13:FG13" si="286">IFERROR(FF7/FF6*1000000,"")</f>
        <v>945.17958412098301</v>
      </c>
      <c r="FG13" s="157" t="str">
        <f t="shared" si="286"/>
        <v/>
      </c>
      <c r="FH13" s="157">
        <f t="shared" ref="FH13:FI13" si="287">IFERROR(FH7/FH6*1000000,"")</f>
        <v>6868.131868131868</v>
      </c>
      <c r="FI13" s="157">
        <f t="shared" si="287"/>
        <v>2721.0884353741494</v>
      </c>
      <c r="FJ13" s="157">
        <f t="shared" ref="FJ13:FK13" si="288">IFERROR(FJ7/FJ6*1000000,"")</f>
        <v>22515.101592531573</v>
      </c>
      <c r="FK13" s="157">
        <f t="shared" si="288"/>
        <v>19166.666666666664</v>
      </c>
      <c r="FL13" s="157">
        <f t="shared" ref="FL13" si="289">IFERROR(FL7/FL6*1000000,"")</f>
        <v>39501.0395010395</v>
      </c>
      <c r="FM13" s="157">
        <f t="shared" ref="FM13:FN13" si="290">IFERROR(FM7/FM6*1000000,"")</f>
        <v>5374.5381256298288</v>
      </c>
      <c r="FN13" s="157">
        <f t="shared" si="290"/>
        <v>3076.9230769230771</v>
      </c>
      <c r="FO13" s="157">
        <f t="shared" ref="FO13:FP13" si="291">IFERROR(FO7/FO6*1000000,"")</f>
        <v>2346.041055718475</v>
      </c>
      <c r="FP13" s="157">
        <f t="shared" si="291"/>
        <v>9508.1967213114767</v>
      </c>
      <c r="FQ13" s="157"/>
      <c r="FR13" s="157"/>
      <c r="FS13" s="157"/>
      <c r="FT13" s="157"/>
      <c r="FU13" s="157"/>
      <c r="FV13" s="157"/>
      <c r="FW13" s="157"/>
      <c r="FX13" s="157"/>
      <c r="FY13" s="157"/>
      <c r="FZ13" s="157"/>
      <c r="GA13" s="157"/>
      <c r="GB13" s="157"/>
      <c r="GC13" s="157"/>
      <c r="GD13" s="157"/>
      <c r="GE13" s="157"/>
      <c r="GF13" s="157"/>
      <c r="GG13" s="157"/>
      <c r="GH13" s="157"/>
      <c r="GI13" s="157"/>
      <c r="GJ13" s="157"/>
      <c r="GK13" s="157"/>
      <c r="GL13" s="303"/>
      <c r="GM13" s="316">
        <f>IFERROR(GM7/GM6*1000000,"-")</f>
        <v>20957.16456333992</v>
      </c>
      <c r="GO13" s="376" t="s">
        <v>1673</v>
      </c>
      <c r="GP13" s="376"/>
      <c r="GQ13" s="376"/>
      <c r="GR13" s="376"/>
      <c r="GS13" s="376"/>
      <c r="GT13" s="376"/>
    </row>
    <row r="14" spans="1:202" ht="15.95" customHeight="1" x14ac:dyDescent="0.3">
      <c r="A14" s="174" t="s">
        <v>52</v>
      </c>
      <c r="B14" s="158">
        <f t="shared" ref="B14:H14" si="292">IFERROR(1-(B13/1000000),"")</f>
        <v>0.99769053117782913</v>
      </c>
      <c r="C14" s="158">
        <f t="shared" si="292"/>
        <v>0.99463806970509383</v>
      </c>
      <c r="D14" s="158">
        <f t="shared" si="292"/>
        <v>0.99820466786355477</v>
      </c>
      <c r="E14" s="158">
        <f t="shared" si="292"/>
        <v>0.99719363891487367</v>
      </c>
      <c r="F14" s="158">
        <f t="shared" si="292"/>
        <v>0.99399141630901289</v>
      </c>
      <c r="G14" s="158">
        <f t="shared" si="292"/>
        <v>0.99876237623762376</v>
      </c>
      <c r="H14" s="158">
        <f t="shared" si="292"/>
        <v>0.99128065395095366</v>
      </c>
      <c r="I14" s="158">
        <f t="shared" ref="I14:J14" si="293">IFERROR(1-(I13/1000000),"")</f>
        <v>0.98583333333333334</v>
      </c>
      <c r="J14" s="158">
        <f t="shared" si="293"/>
        <v>0.99010445299615168</v>
      </c>
      <c r="K14" s="158">
        <f t="shared" ref="K14:L14" si="294">IFERROR(1-(K13/1000000),"")</f>
        <v>0.97894736842105268</v>
      </c>
      <c r="L14" s="158">
        <f t="shared" si="294"/>
        <v>0.9950289975144988</v>
      </c>
      <c r="M14" s="158">
        <f t="shared" ref="M14:N14" si="295">IFERROR(1-(M13/1000000),"")</f>
        <v>1</v>
      </c>
      <c r="N14" s="158">
        <f t="shared" si="295"/>
        <v>0.99718442045987798</v>
      </c>
      <c r="O14" s="158">
        <f t="shared" ref="O14:P14" si="296">IFERROR(1-(O13/1000000),"")</f>
        <v>0.99533799533799538</v>
      </c>
      <c r="P14" s="158">
        <f t="shared" si="296"/>
        <v>0.99622641509433962</v>
      </c>
      <c r="Q14" s="158">
        <f t="shared" ref="Q14:R14" si="297">IFERROR(1-(Q13/1000000),"")</f>
        <v>0.99607650809220205</v>
      </c>
      <c r="R14" s="158">
        <f t="shared" si="297"/>
        <v>0.99663137632338783</v>
      </c>
      <c r="S14" s="158">
        <f t="shared" ref="S14:T14" si="298">IFERROR(1-(S13/1000000),"")</f>
        <v>0.99563492063492065</v>
      </c>
      <c r="T14" s="158">
        <f t="shared" si="298"/>
        <v>0.99679046309032548</v>
      </c>
      <c r="U14" s="158">
        <f t="shared" ref="U14:V14" si="299">IFERROR(1-(U13/1000000),"")</f>
        <v>0.99473129610115907</v>
      </c>
      <c r="V14" s="158">
        <f t="shared" si="299"/>
        <v>0.97147950089126556</v>
      </c>
      <c r="W14" s="158">
        <f t="shared" ref="W14:X14" si="300">IFERROR(1-(W13/1000000),"")</f>
        <v>0.98145635459068292</v>
      </c>
      <c r="X14" s="158">
        <f t="shared" si="300"/>
        <v>0.9735642661804923</v>
      </c>
      <c r="Y14" s="158">
        <f t="shared" ref="Y14:Z14" si="301">IFERROR(1-(Y13/1000000),"")</f>
        <v>0.99008330027766756</v>
      </c>
      <c r="Z14" s="158">
        <f t="shared" si="301"/>
        <v>0.9859154929577465</v>
      </c>
      <c r="AA14" s="158">
        <f t="shared" ref="AA14:AB14" si="302">IFERROR(1-(AA13/1000000),"")</f>
        <v>0.99422161794697483</v>
      </c>
      <c r="AB14" s="158">
        <f t="shared" si="302"/>
        <v>0.99381443298969074</v>
      </c>
      <c r="AC14" s="158">
        <f t="shared" ref="AC14:AD14" si="303">IFERROR(1-(AC13/1000000),"")</f>
        <v>-0.70684039087947892</v>
      </c>
      <c r="AD14" s="158">
        <f t="shared" si="303"/>
        <v>4.5553935860058292E-2</v>
      </c>
      <c r="AE14" s="158">
        <f t="shared" ref="AE14:AF14" si="304">IFERROR(1-(AE13/1000000),"")</f>
        <v>0.98761061946902651</v>
      </c>
      <c r="AF14" s="158">
        <f t="shared" si="304"/>
        <v>0.98305084745762716</v>
      </c>
      <c r="AG14" s="158">
        <f t="shared" ref="AG14:AH14" si="305">IFERROR(1-(AG13/1000000),"")</f>
        <v>0.98880597014925375</v>
      </c>
      <c r="AH14" s="158">
        <f t="shared" si="305"/>
        <v>0.99263416345142053</v>
      </c>
      <c r="AI14" s="158">
        <f t="shared" ref="AI14:AJ14" si="306">IFERROR(1-(AI13/1000000),"")</f>
        <v>0.99429657794676807</v>
      </c>
      <c r="AJ14" s="158">
        <f t="shared" si="306"/>
        <v>0.99469247580393383</v>
      </c>
      <c r="AK14" s="158">
        <f t="shared" ref="AK14:AL14" si="307">IFERROR(1-(AK13/1000000),"")</f>
        <v>0.99780633030397992</v>
      </c>
      <c r="AL14" s="158">
        <f t="shared" si="307"/>
        <v>0.99561883899233294</v>
      </c>
      <c r="AM14" s="158">
        <f t="shared" ref="AM14:AN14" si="308">IFERROR(1-(AM13/1000000),"")</f>
        <v>0.99566831683168322</v>
      </c>
      <c r="AN14" s="158">
        <f t="shared" si="308"/>
        <v>0.99848082035700725</v>
      </c>
      <c r="AO14" s="158">
        <f t="shared" ref="AO14:AP14" si="309">IFERROR(1-(AO13/1000000),"")</f>
        <v>0.99314621409921666</v>
      </c>
      <c r="AP14" s="158">
        <f t="shared" si="309"/>
        <v>0.99937984496124033</v>
      </c>
      <c r="AQ14" s="158">
        <f t="shared" ref="AQ14:AR14" si="310">IFERROR(1-(AQ13/1000000),"")</f>
        <v>0.99850801939574785</v>
      </c>
      <c r="AR14" s="158">
        <f t="shared" si="310"/>
        <v>0.99692070823710544</v>
      </c>
      <c r="AS14" s="158">
        <f t="shared" ref="AS14:AT14" si="311">IFERROR(1-(AS13/1000000),"")</f>
        <v>0.99854756717501814</v>
      </c>
      <c r="AT14" s="158">
        <f t="shared" si="311"/>
        <v>0.998330550918197</v>
      </c>
      <c r="AU14" s="158">
        <f t="shared" ref="AU14:AV14" si="312">IFERROR(1-(AU13/1000000),"")</f>
        <v>0.99888703394546463</v>
      </c>
      <c r="AV14" s="158">
        <f t="shared" si="312"/>
        <v>0.99927272727272731</v>
      </c>
      <c r="AW14" s="158">
        <f t="shared" ref="AW14:AX14" si="313">IFERROR(1-(AW13/1000000),"")</f>
        <v>0.99808917197452229</v>
      </c>
      <c r="AX14" s="158">
        <f t="shared" si="313"/>
        <v>0.99945444626295687</v>
      </c>
      <c r="AY14" s="158">
        <f t="shared" ref="AY14:AZ14" si="314">IFERROR(1-(AY13/1000000),"")</f>
        <v>0.99677650429799425</v>
      </c>
      <c r="AZ14" s="158">
        <f t="shared" si="314"/>
        <v>0.978515625</v>
      </c>
      <c r="BA14" s="158">
        <f t="shared" ref="BA14:BB14" si="315">IFERROR(1-(BA13/1000000),"")</f>
        <v>0.97783933518005539</v>
      </c>
      <c r="BB14" s="158">
        <f t="shared" si="315"/>
        <v>0.97448747152619586</v>
      </c>
      <c r="BC14" s="158">
        <f t="shared" ref="BC14:BD14" si="316">IFERROR(1-(BC13/1000000),"")</f>
        <v>0.98095238095238091</v>
      </c>
      <c r="BD14" s="158">
        <f t="shared" si="316"/>
        <v>0.99178644763860369</v>
      </c>
      <c r="BE14" s="158">
        <f t="shared" ref="BE14:BF14" si="317">IFERROR(1-(BE13/1000000),"")</f>
        <v>0.92999999999999994</v>
      </c>
      <c r="BF14" s="158">
        <f t="shared" si="317"/>
        <v>0.97901711761457755</v>
      </c>
      <c r="BG14" s="158">
        <f t="shared" ref="BG14:BH14" si="318">IFERROR(1-(BG13/1000000),"")</f>
        <v>0.99172413793103453</v>
      </c>
      <c r="BH14" s="158">
        <f t="shared" si="318"/>
        <v>0.99326002128414337</v>
      </c>
      <c r="BI14" s="158">
        <f t="shared" ref="BI14:BJ14" si="319">IFERROR(1-(BI13/1000000),"")</f>
        <v>0.99547949628672905</v>
      </c>
      <c r="BJ14" s="158">
        <f t="shared" si="319"/>
        <v>0.99701314217443249</v>
      </c>
      <c r="BK14" s="158">
        <f t="shared" ref="BK14:BL14" si="320">IFERROR(1-(BK13/1000000),"")</f>
        <v>0.99667651403249635</v>
      </c>
      <c r="BL14" s="158">
        <f t="shared" si="320"/>
        <v>0.99564428312159714</v>
      </c>
      <c r="BM14" s="158">
        <f t="shared" ref="BM14:BN14" si="321">IFERROR(1-(BM13/1000000),"")</f>
        <v>0.97967956232903475</v>
      </c>
      <c r="BN14" s="158">
        <f t="shared" si="321"/>
        <v>0.99117882919005618</v>
      </c>
      <c r="BO14" s="158">
        <f t="shared" ref="BO14:BP14" si="322">IFERROR(1-(BO13/1000000),"")</f>
        <v>0.99539941447093261</v>
      </c>
      <c r="BP14" s="158">
        <f t="shared" si="322"/>
        <v>0.99570024570024573</v>
      </c>
      <c r="BQ14" s="158">
        <f t="shared" ref="BQ14:BR14" si="323">IFERROR(1-(BQ13/1000000),"")</f>
        <v>0.97699304440877477</v>
      </c>
      <c r="BR14" s="158">
        <f t="shared" si="323"/>
        <v>0.99914748508098894</v>
      </c>
      <c r="BS14" s="158">
        <f t="shared" ref="BS14:BT14" si="324">IFERROR(1-(BS13/1000000),"")</f>
        <v>1</v>
      </c>
      <c r="BT14" s="158">
        <f t="shared" si="324"/>
        <v>0.94585987261146498</v>
      </c>
      <c r="BU14" s="158">
        <f t="shared" ref="BU14:BV14" si="325">IFERROR(1-(BU13/1000000),"")</f>
        <v>0.96935933147632314</v>
      </c>
      <c r="BV14" s="158">
        <f t="shared" si="325"/>
        <v>0.96370106761565832</v>
      </c>
      <c r="BW14" s="158">
        <f t="shared" ref="BW14:BX14" si="326">IFERROR(1-(BW13/1000000),"")</f>
        <v>0.99200581395348841</v>
      </c>
      <c r="BX14" s="158">
        <f t="shared" si="326"/>
        <v>0.99609375</v>
      </c>
      <c r="BY14" s="158">
        <f t="shared" ref="BY14:BZ14" si="327">IFERROR(1-(BY13/1000000),"")</f>
        <v>0.99923047325894576</v>
      </c>
      <c r="BZ14" s="158">
        <f t="shared" si="327"/>
        <v>0.9971977582065652</v>
      </c>
      <c r="CA14" s="158">
        <f t="shared" ref="CA14:CB14" si="328">IFERROR(1-(CA13/1000000),"")</f>
        <v>0.99431818181818177</v>
      </c>
      <c r="CB14" s="158">
        <f t="shared" si="328"/>
        <v>0.99715009499683349</v>
      </c>
      <c r="CC14" s="158">
        <f t="shared" ref="CC14:CD14" si="329">IFERROR(1-(CC13/1000000),"")</f>
        <v>0.99863991839510369</v>
      </c>
      <c r="CD14" s="158">
        <f t="shared" si="329"/>
        <v>0.99733254297569651</v>
      </c>
      <c r="CE14" s="158">
        <f t="shared" ref="CE14:CF14" si="330">IFERROR(1-(CE13/1000000),"")</f>
        <v>0.93479968578161821</v>
      </c>
      <c r="CF14" s="158">
        <f t="shared" si="330"/>
        <v>0.98422968054993931</v>
      </c>
      <c r="CG14" s="158">
        <f t="shared" ref="CG14:CH14" si="331">IFERROR(1-(CG13/1000000),"")</f>
        <v>0.99064748201438846</v>
      </c>
      <c r="CH14" s="158">
        <f t="shared" si="331"/>
        <v>0.99368337939202522</v>
      </c>
      <c r="CI14" s="158">
        <f t="shared" ref="CI14:CJ14" si="332">IFERROR(1-(CI13/1000000),"")</f>
        <v>0.99879372738238847</v>
      </c>
      <c r="CJ14" s="158">
        <f t="shared" si="332"/>
        <v>0.99778270509977829</v>
      </c>
      <c r="CK14" s="158">
        <f t="shared" ref="CK14:CL14" si="333">IFERROR(1-(CK13/1000000),"")</f>
        <v>0.99835616438356167</v>
      </c>
      <c r="CL14" s="158">
        <f t="shared" si="333"/>
        <v>0.99924299772899317</v>
      </c>
      <c r="CM14" s="158">
        <f t="shared" ref="CM14:CN14" si="334">IFERROR(1-(CM13/1000000),"")</f>
        <v>0.99606126914660831</v>
      </c>
      <c r="CN14" s="158">
        <f t="shared" si="334"/>
        <v>0.99733333333333329</v>
      </c>
      <c r="CO14" s="158">
        <f t="shared" ref="CO14:CP14" si="335">IFERROR(1-(CO13/1000000),"")</f>
        <v>0.99643846458250895</v>
      </c>
      <c r="CP14" s="158">
        <f t="shared" si="335"/>
        <v>0.75308641975308643</v>
      </c>
      <c r="CQ14" s="158">
        <f t="shared" ref="CQ14:CR14" si="336">IFERROR(1-(CQ13/1000000),"")</f>
        <v>0.99105812220566314</v>
      </c>
      <c r="CR14" s="158">
        <f t="shared" si="336"/>
        <v>0.99810785241248823</v>
      </c>
      <c r="CS14" s="158">
        <f t="shared" ref="CS14:CT14" si="337">IFERROR(1-(CS13/1000000),"")</f>
        <v>0.99285982713265686</v>
      </c>
      <c r="CT14" s="158">
        <f t="shared" si="337"/>
        <v>0.9935088351965381</v>
      </c>
      <c r="CU14" s="158">
        <f t="shared" ref="CU14:CV14" si="338">IFERROR(1-(CU13/1000000),"")</f>
        <v>0.99450904392764861</v>
      </c>
      <c r="CV14" s="158" t="str">
        <f t="shared" si="338"/>
        <v/>
      </c>
      <c r="CW14" s="158">
        <f t="shared" ref="CW14:CX14" si="339">IFERROR(1-(CW13/1000000),"")</f>
        <v>0.99606299212598426</v>
      </c>
      <c r="CX14" s="158">
        <f t="shared" si="339"/>
        <v>0.99911111111111106</v>
      </c>
      <c r="CY14" s="158">
        <f t="shared" ref="CY14:CZ14" si="340">IFERROR(1-(CY13/1000000),"")</f>
        <v>0.99870003249918748</v>
      </c>
      <c r="CZ14" s="158">
        <f t="shared" si="340"/>
        <v>0.99909338168631001</v>
      </c>
      <c r="DA14" s="158">
        <f t="shared" ref="DA14:DB14" si="341">IFERROR(1-(DA13/1000000),"")</f>
        <v>0.99870926105195224</v>
      </c>
      <c r="DB14" s="158">
        <f t="shared" si="341"/>
        <v>0.99915397631133673</v>
      </c>
      <c r="DC14" s="158">
        <f t="shared" ref="DC14:DD14" si="342">IFERROR(1-(DC13/1000000),"")</f>
        <v>0.99773435287453982</v>
      </c>
      <c r="DD14" s="158">
        <f t="shared" si="342"/>
        <v>1</v>
      </c>
      <c r="DE14" s="158">
        <f t="shared" ref="DE14:DF14" si="343">IFERROR(1-(DE13/1000000),"")</f>
        <v>1</v>
      </c>
      <c r="DF14" s="158">
        <f t="shared" si="343"/>
        <v>0.99846743295019158</v>
      </c>
      <c r="DG14" s="158">
        <f t="shared" ref="DG14:DH14" si="344">IFERROR(1-(DG13/1000000),"")</f>
        <v>0.99875814964296805</v>
      </c>
      <c r="DH14" s="158">
        <f t="shared" si="344"/>
        <v>0.99959049959049961</v>
      </c>
      <c r="DI14" s="158">
        <f t="shared" ref="DI14:DJ14" si="345">IFERROR(1-(DI13/1000000),"")</f>
        <v>0.98639798488664987</v>
      </c>
      <c r="DJ14" s="158">
        <f t="shared" si="345"/>
        <v>0.98934753661784292</v>
      </c>
      <c r="DK14" s="158">
        <f t="shared" ref="DK14:DL14" si="346">IFERROR(1-(DK13/1000000),"")</f>
        <v>0.99827882960413084</v>
      </c>
      <c r="DL14" s="158">
        <f t="shared" si="346"/>
        <v>0.98654493032196056</v>
      </c>
      <c r="DM14" s="158">
        <f t="shared" ref="DM14:DN14" si="347">IFERROR(1-(DM13/1000000),"")</f>
        <v>0.98646209386281591</v>
      </c>
      <c r="DN14" s="158">
        <f t="shared" si="347"/>
        <v>0.98920215956808644</v>
      </c>
      <c r="DO14" s="158">
        <f t="shared" ref="DO14:DP14" si="348">IFERROR(1-(DO13/1000000),"")</f>
        <v>0.99744825630847744</v>
      </c>
      <c r="DP14" s="158">
        <f t="shared" si="348"/>
        <v>0.99623674307218613</v>
      </c>
      <c r="DQ14" s="158">
        <f t="shared" ref="DQ14:DR14" si="349">IFERROR(1-(DQ13/1000000),"")</f>
        <v>0.99853085210577863</v>
      </c>
      <c r="DR14" s="158">
        <f t="shared" si="349"/>
        <v>1</v>
      </c>
      <c r="DS14" s="158">
        <f t="shared" ref="DS14:DT14" si="350">IFERROR(1-(DS13/1000000),"")</f>
        <v>0.99938725490196079</v>
      </c>
      <c r="DT14" s="158">
        <f t="shared" si="350"/>
        <v>0.99766491535318158</v>
      </c>
      <c r="DU14" s="158">
        <f t="shared" ref="DU14" si="351">IFERROR(1-(DU13/1000000),"")</f>
        <v>0.99857346647646217</v>
      </c>
      <c r="DV14" s="158">
        <f t="shared" ref="DV14:DW14" si="352">IFERROR(1-(DV13/1000000),"")</f>
        <v>0.99733096085409256</v>
      </c>
      <c r="DW14" s="158">
        <f t="shared" si="352"/>
        <v>0.99867549668874167</v>
      </c>
      <c r="DX14" s="158">
        <f t="shared" ref="DX14:DY14" si="353">IFERROR(1-(DX13/1000000),"")</f>
        <v>0.997411561691113</v>
      </c>
      <c r="DY14" s="158">
        <f t="shared" si="353"/>
        <v>0.99597180261832829</v>
      </c>
      <c r="DZ14" s="158">
        <f t="shared" ref="DZ14:EA14" si="354">IFERROR(1-(DZ13/1000000),"")</f>
        <v>0.99938556067588324</v>
      </c>
      <c r="EA14" s="158">
        <f t="shared" si="354"/>
        <v>0.99907407407407411</v>
      </c>
      <c r="EB14" s="158">
        <f t="shared" ref="EB14:EC14" si="355">IFERROR(1-(EB13/1000000),"")</f>
        <v>0.99715234931181773</v>
      </c>
      <c r="EC14" s="158">
        <f t="shared" si="355"/>
        <v>0.99881866509155348</v>
      </c>
      <c r="ED14" s="158">
        <f t="shared" ref="ED14:EE14" si="356">IFERROR(1-(ED13/1000000),"")</f>
        <v>0.9988789237668162</v>
      </c>
      <c r="EE14" s="158">
        <f t="shared" si="356"/>
        <v>0.97225572979493369</v>
      </c>
      <c r="EF14" s="158">
        <f t="shared" ref="EF14:EG14" si="357">IFERROR(1-(EF13/1000000),"")</f>
        <v>0.99237368922783609</v>
      </c>
      <c r="EG14" s="158">
        <f t="shared" si="357"/>
        <v>0.99162479061976549</v>
      </c>
      <c r="EH14" s="158">
        <f t="shared" ref="EH14:EI14" si="358">IFERROR(1-(EH13/1000000),"")</f>
        <v>0.99801291604570297</v>
      </c>
      <c r="EI14" s="158">
        <f t="shared" si="358"/>
        <v>0.99904275686024246</v>
      </c>
      <c r="EJ14" s="158">
        <f t="shared" ref="EJ14:EK14" si="359">IFERROR(1-(EJ13/1000000),"")</f>
        <v>0.99767904509283822</v>
      </c>
      <c r="EK14" s="158">
        <f t="shared" si="359"/>
        <v>0.99909801563439571</v>
      </c>
      <c r="EL14" s="158">
        <f t="shared" ref="EL14:EM14" si="360">IFERROR(1-(EL13/1000000),"")</f>
        <v>0.99810844892812101</v>
      </c>
      <c r="EM14" s="158">
        <f t="shared" si="360"/>
        <v>0.97303473491773307</v>
      </c>
      <c r="EN14" s="158">
        <f t="shared" ref="EN14:EO14" si="361">IFERROR(1-(EN13/1000000),"")</f>
        <v>0.97144488863506573</v>
      </c>
      <c r="EO14" s="158">
        <f t="shared" si="361"/>
        <v>0.98162939297124596</v>
      </c>
      <c r="EP14" s="158">
        <f t="shared" ref="EP14:EQ14" si="362">IFERROR(1-(EP13/1000000),"")</f>
        <v>0.98399687743950037</v>
      </c>
      <c r="EQ14" s="158">
        <f t="shared" si="362"/>
        <v>0.99738600058088878</v>
      </c>
      <c r="ER14" s="158">
        <f t="shared" ref="ER14:ES14" si="363">IFERROR(1-(ER13/1000000),"")</f>
        <v>0.99677040516735171</v>
      </c>
      <c r="ES14" s="158">
        <f t="shared" si="363"/>
        <v>0.9976408139191979</v>
      </c>
      <c r="ET14" s="158">
        <f t="shared" ref="ET14:EU14" si="364">IFERROR(1-(ET13/1000000),"")</f>
        <v>0.99774368231046928</v>
      </c>
      <c r="EU14" s="158">
        <f t="shared" si="364"/>
        <v>0.99814413857098672</v>
      </c>
      <c r="EV14" s="158">
        <f t="shared" ref="EV14:EW14" si="365">IFERROR(1-(EV13/1000000),"")</f>
        <v>0.99607961399276235</v>
      </c>
      <c r="EW14" s="158">
        <f t="shared" si="365"/>
        <v>0.99515905947441219</v>
      </c>
      <c r="EX14" s="158">
        <f t="shared" ref="EX14:EY14" si="366">IFERROR(1-(EX13/1000000),"")</f>
        <v>0.99234972677595623</v>
      </c>
      <c r="EY14" s="158">
        <f t="shared" si="366"/>
        <v>0.99263873159682903</v>
      </c>
      <c r="EZ14" s="158">
        <f t="shared" ref="EZ14:FA14" si="367">IFERROR(1-(EZ13/1000000),"")</f>
        <v>0.99786893979754931</v>
      </c>
      <c r="FA14" s="158">
        <f t="shared" si="367"/>
        <v>0.97460701330108823</v>
      </c>
      <c r="FB14" s="158">
        <f t="shared" ref="FB14:FC14" si="368">IFERROR(1-(FB13/1000000),"")</f>
        <v>0.998375964271214</v>
      </c>
      <c r="FC14" s="158">
        <f t="shared" si="368"/>
        <v>0.99939649969824984</v>
      </c>
      <c r="FD14" s="158">
        <f t="shared" ref="FD14:FE14" si="369">IFERROR(1-(FD13/1000000),"")</f>
        <v>1</v>
      </c>
      <c r="FE14" s="158">
        <f t="shared" si="369"/>
        <v>0.99938518290808487</v>
      </c>
      <c r="FF14" s="158">
        <f t="shared" ref="FF14:FG14" si="370">IFERROR(1-(FF13/1000000),"")</f>
        <v>0.99905482041587901</v>
      </c>
      <c r="FG14" s="158" t="str">
        <f t="shared" si="370"/>
        <v/>
      </c>
      <c r="FH14" s="158">
        <f t="shared" ref="FH14:FI14" si="371">IFERROR(1-(FH13/1000000),"")</f>
        <v>0.99313186813186816</v>
      </c>
      <c r="FI14" s="158">
        <f t="shared" si="371"/>
        <v>0.99727891156462589</v>
      </c>
      <c r="FJ14" s="158">
        <f t="shared" ref="FJ14:FK14" si="372">IFERROR(1-(FJ13/1000000),"")</f>
        <v>0.97748489840746844</v>
      </c>
      <c r="FK14" s="158">
        <f t="shared" si="372"/>
        <v>0.98083333333333333</v>
      </c>
      <c r="FL14" s="158">
        <f t="shared" ref="FL14" si="373">IFERROR(1-(FL13/1000000),"")</f>
        <v>0.96049896049896044</v>
      </c>
      <c r="FM14" s="158">
        <f t="shared" ref="FM14:FN14" si="374">IFERROR(1-(FM13/1000000),"")</f>
        <v>0.99462546187437018</v>
      </c>
      <c r="FN14" s="158">
        <f t="shared" si="374"/>
        <v>0.99692307692307691</v>
      </c>
      <c r="FO14" s="158">
        <f t="shared" ref="FO14:FP14" si="375">IFERROR(1-(FO13/1000000),"")</f>
        <v>0.99765395894428155</v>
      </c>
      <c r="FP14" s="158">
        <f t="shared" si="375"/>
        <v>0.99049180327868858</v>
      </c>
      <c r="FQ14" s="158"/>
      <c r="FR14" s="158"/>
      <c r="FS14" s="158"/>
      <c r="FT14" s="158"/>
      <c r="FU14" s="158"/>
      <c r="FV14" s="158"/>
      <c r="FW14" s="158"/>
      <c r="FX14" s="158"/>
      <c r="FY14" s="158"/>
      <c r="FZ14" s="158"/>
      <c r="GA14" s="158"/>
      <c r="GB14" s="158"/>
      <c r="GC14" s="158"/>
      <c r="GD14" s="158"/>
      <c r="GE14" s="158"/>
      <c r="GF14" s="158"/>
      <c r="GG14" s="158"/>
      <c r="GH14" s="158"/>
      <c r="GI14" s="158"/>
      <c r="GJ14" s="158"/>
      <c r="GK14" s="158"/>
      <c r="GL14" s="304"/>
      <c r="GM14" s="317">
        <f>IFERROR(1-(GM7/GM6),"-")</f>
        <v>0.97904283543666004</v>
      </c>
      <c r="GO14" s="135" t="s">
        <v>52</v>
      </c>
      <c r="GP14" s="374" t="s">
        <v>1669</v>
      </c>
      <c r="GQ14" s="374"/>
      <c r="GR14" s="374"/>
      <c r="GS14" s="374"/>
      <c r="GT14" s="374"/>
    </row>
    <row r="15" spans="1:202" ht="15.95" customHeight="1" x14ac:dyDescent="0.3">
      <c r="A15" s="175" t="s">
        <v>33</v>
      </c>
      <c r="B15" s="159">
        <f t="shared" ref="B15:H15" si="376">IFERROR(B9/B10,"")</f>
        <v>0.19860107785804382</v>
      </c>
      <c r="C15" s="159">
        <f t="shared" si="376"/>
        <v>0.50439486139283296</v>
      </c>
      <c r="D15" s="159">
        <f t="shared" si="376"/>
        <v>0.78998688082828061</v>
      </c>
      <c r="E15" s="159">
        <f t="shared" si="376"/>
        <v>0.85554221688675491</v>
      </c>
      <c r="F15" s="159">
        <f t="shared" si="376"/>
        <v>0.61989517652379811</v>
      </c>
      <c r="G15" s="159">
        <f t="shared" si="376"/>
        <v>0.66848680400430205</v>
      </c>
      <c r="H15" s="159">
        <f t="shared" si="376"/>
        <v>0.65478420667630099</v>
      </c>
      <c r="I15" s="159">
        <f t="shared" ref="I15:J15" si="377">IFERROR(I9/I10,"")</f>
        <v>0.93370681605975725</v>
      </c>
      <c r="J15" s="159">
        <f t="shared" si="377"/>
        <v>0.65684468999386125</v>
      </c>
      <c r="K15" s="159">
        <f t="shared" ref="K15:L15" si="378">IFERROR(K9/K10,"")</f>
        <v>0.93776641091219082</v>
      </c>
      <c r="L15" s="159">
        <f t="shared" si="378"/>
        <v>0.86453576864535764</v>
      </c>
      <c r="M15" s="159">
        <f t="shared" ref="M15:N15" si="379">IFERROR(M9/M10,"")</f>
        <v>0.87635419464589481</v>
      </c>
      <c r="N15" s="159">
        <f t="shared" si="379"/>
        <v>0.88997473323727772</v>
      </c>
      <c r="O15" s="159">
        <f t="shared" ref="O15:P15" si="380">IFERROR(O9/O10,"")</f>
        <v>0.76038551013625799</v>
      </c>
      <c r="P15" s="159">
        <f t="shared" si="380"/>
        <v>0.75924433700420801</v>
      </c>
      <c r="Q15" s="159">
        <f t="shared" ref="Q15:R15" si="381">IFERROR(Q9/Q10,"")</f>
        <v>0.73023547318470772</v>
      </c>
      <c r="R15" s="159">
        <f t="shared" si="381"/>
        <v>0.74420270391261523</v>
      </c>
      <c r="S15" s="159">
        <f t="shared" ref="S15:T15" si="382">IFERROR(S9/S10,"")</f>
        <v>0.89110486394738242</v>
      </c>
      <c r="T15" s="159">
        <f t="shared" si="382"/>
        <v>0.82081969064017157</v>
      </c>
      <c r="U15" s="159">
        <f t="shared" ref="U15:V15" si="383">IFERROR(U9/U10,"")</f>
        <v>0.6766488413547237</v>
      </c>
      <c r="V15" s="159">
        <f t="shared" si="383"/>
        <v>0.8</v>
      </c>
      <c r="W15" s="159">
        <f t="shared" ref="W15:X15" si="384">IFERROR(W9/W10,"")</f>
        <v>0.78183843420145327</v>
      </c>
      <c r="X15" s="159">
        <f t="shared" si="384"/>
        <v>0.78574626197510966</v>
      </c>
      <c r="Y15" s="159">
        <f t="shared" ref="Y15:Z15" si="385">IFERROR(Y9/Y10,"")</f>
        <v>0.90285611961679635</v>
      </c>
      <c r="Z15" s="159">
        <f t="shared" si="385"/>
        <v>0.83529411764705874</v>
      </c>
      <c r="AA15" s="159">
        <f t="shared" ref="AA15:AF15" si="386">IFERROR(AA9/AA10,"")</f>
        <v>0.90488273740868896</v>
      </c>
      <c r="AB15" s="159">
        <f t="shared" si="386"/>
        <v>0.80251509886655081</v>
      </c>
      <c r="AC15" s="159">
        <f t="shared" si="386"/>
        <v>0.78176725235548761</v>
      </c>
      <c r="AD15" s="159">
        <f t="shared" si="386"/>
        <v>0.74727668845315909</v>
      </c>
      <c r="AE15" s="159">
        <f t="shared" si="386"/>
        <v>0.79676314970432627</v>
      </c>
      <c r="AF15" s="159">
        <f t="shared" si="386"/>
        <v>0.74636306135357366</v>
      </c>
      <c r="AG15" s="159">
        <f t="shared" ref="AG15:AH15" si="387">IFERROR(AG9/AG10,"")</f>
        <v>0.72126105344098423</v>
      </c>
      <c r="AH15" s="159">
        <f t="shared" si="387"/>
        <v>0.81489738752643903</v>
      </c>
      <c r="AI15" s="159">
        <f t="shared" ref="AI15:AJ15" si="388">IFERROR(AI9/AI10,"")</f>
        <v>0.73669467787114862</v>
      </c>
      <c r="AJ15" s="159">
        <f t="shared" si="388"/>
        <v>3.6829744359259613E-2</v>
      </c>
      <c r="AK15" s="159">
        <f t="shared" ref="AK15:AL15" si="389">IFERROR(AK9/AK10,"")</f>
        <v>0.87815617475060204</v>
      </c>
      <c r="AL15" s="159">
        <f t="shared" si="389"/>
        <v>0.8230786567500562</v>
      </c>
      <c r="AM15" s="159">
        <f t="shared" ref="AM15:AN15" si="390">IFERROR(AM9/AM10,"")</f>
        <v>0.78237714839022032</v>
      </c>
      <c r="AN15" s="159">
        <f t="shared" si="390"/>
        <v>0.90574475404196764</v>
      </c>
      <c r="AO15" s="159">
        <f t="shared" ref="AO15:AP15" si="391">IFERROR(AO9/AO10,"")</f>
        <v>0.87070190394998581</v>
      </c>
      <c r="AP15" s="159">
        <f t="shared" si="391"/>
        <v>0.87826797385620914</v>
      </c>
      <c r="AQ15" s="159">
        <f t="shared" ref="AQ15:AR15" si="392">IFERROR(AQ9/AQ10,"")</f>
        <v>0.73011982570806111</v>
      </c>
      <c r="AR15" s="159">
        <f t="shared" si="392"/>
        <v>0.54775458570524982</v>
      </c>
      <c r="AS15" s="159">
        <f t="shared" ref="AS15:AT15" si="393">IFERROR(AS9/AS10,"")</f>
        <v>0.75789473684210529</v>
      </c>
      <c r="AT15" s="159">
        <f t="shared" si="393"/>
        <v>0.65250544662309362</v>
      </c>
      <c r="AU15" s="159">
        <f t="shared" ref="AU15:AV15" si="394">IFERROR(AU9/AU10,"")</f>
        <v>0.6908881199538639</v>
      </c>
      <c r="AV15" s="159">
        <f t="shared" si="394"/>
        <v>0.74891067538126366</v>
      </c>
      <c r="AW15" s="159">
        <f t="shared" ref="AW15:AX15" si="395">IFERROR(AW9/AW10,"")</f>
        <v>0.85511982570806111</v>
      </c>
      <c r="AX15" s="159">
        <f t="shared" si="395"/>
        <v>0.77292852624920927</v>
      </c>
      <c r="AY15" s="159">
        <f t="shared" ref="AY15:AZ15" si="396">IFERROR(AY9/AY10,"")</f>
        <v>0.77652621332220828</v>
      </c>
      <c r="AZ15" s="159">
        <f t="shared" si="396"/>
        <v>0.57366946778711481</v>
      </c>
      <c r="BA15" s="159">
        <f t="shared" ref="BA15:BB15" si="397">IFERROR(BA9/BA10,"")</f>
        <v>0.57199445434739549</v>
      </c>
      <c r="BB15" s="159">
        <f t="shared" si="397"/>
        <v>0.86947910477322243</v>
      </c>
      <c r="BC15" s="159">
        <f t="shared" ref="BC15:BD15" si="398">IFERROR(BC9/BC10,"")</f>
        <v>0.34313725490196073</v>
      </c>
      <c r="BD15" s="159">
        <f t="shared" si="398"/>
        <v>0.68207282913165279</v>
      </c>
      <c r="BE15" s="159">
        <f t="shared" ref="BE15:BF15" si="399">IFERROR(BE9/BE10,"")</f>
        <v>0.32679738562091504</v>
      </c>
      <c r="BF15" s="159">
        <f t="shared" si="399"/>
        <v>0.63981628687511038</v>
      </c>
      <c r="BG15" s="159">
        <f t="shared" ref="BG15:BH15" si="400">IFERROR(BG9/BG10,"")</f>
        <v>0.8123249299719888</v>
      </c>
      <c r="BH15" s="159">
        <f t="shared" si="400"/>
        <v>0.78963585434173666</v>
      </c>
      <c r="BI15" s="159">
        <f t="shared" ref="BI15:BJ15" si="401">IFERROR(BI9/BI10,"")</f>
        <v>0.86750700280112047</v>
      </c>
      <c r="BJ15" s="159">
        <f t="shared" si="401"/>
        <v>0.73760740251156631</v>
      </c>
      <c r="BK15" s="159">
        <f t="shared" ref="BK15:BL15" si="402">IFERROR(BK9/BK10,"")</f>
        <v>0.77628712303634906</v>
      </c>
      <c r="BL15" s="159">
        <f t="shared" si="402"/>
        <v>0.78289286729184426</v>
      </c>
      <c r="BM15" s="159">
        <f t="shared" ref="BM15:BN15" si="403">IFERROR(BM9/BM10,"")</f>
        <v>0.71680672268907575</v>
      </c>
      <c r="BN15" s="159">
        <f t="shared" si="403"/>
        <v>0.69859943977591055</v>
      </c>
      <c r="BO15" s="159">
        <f t="shared" ref="BO15:BP15" si="404">IFERROR(BO9/BO10,"")</f>
        <v>0.73253676470588236</v>
      </c>
      <c r="BP15" s="159">
        <f t="shared" si="404"/>
        <v>0.71733862084159516</v>
      </c>
      <c r="BQ15" s="159">
        <f t="shared" ref="BQ15:BR15" si="405">IFERROR(BQ9/BQ10,"")</f>
        <v>0.70475113122171962</v>
      </c>
      <c r="BR15" s="159">
        <f t="shared" si="405"/>
        <v>0.65248226950354615</v>
      </c>
      <c r="BS15" s="159">
        <f t="shared" ref="BS15:BT15" si="406">IFERROR(BS9/BS10,"")</f>
        <v>0.10680016687526074</v>
      </c>
      <c r="BT15" s="159">
        <f t="shared" si="406"/>
        <v>0.51307189542483655</v>
      </c>
      <c r="BU15" s="159">
        <f t="shared" ref="BU15:BV15" si="407">IFERROR(BU9/BU10,"")</f>
        <v>0.58660130718954251</v>
      </c>
      <c r="BV15" s="159">
        <f t="shared" si="407"/>
        <v>0.38262527233115473</v>
      </c>
      <c r="BW15" s="159">
        <f t="shared" ref="BW15:BX15" si="408">IFERROR(BW9/BW10,"")</f>
        <v>0.37472766884531583</v>
      </c>
      <c r="BX15" s="159">
        <f t="shared" si="408"/>
        <v>0.8366013071895424</v>
      </c>
      <c r="BY15" s="159">
        <f t="shared" ref="BY15:BZ15" si="409">IFERROR(BY9/BY10,"")</f>
        <v>0.84934640522875815</v>
      </c>
      <c r="BZ15" s="159">
        <f t="shared" si="409"/>
        <v>0.69971988795518203</v>
      </c>
      <c r="CA15" s="159">
        <f t="shared" ref="CA15:CB15" si="410">IFERROR(CA9/CA10,"")</f>
        <v>0.77550121172064324</v>
      </c>
      <c r="CB15" s="159">
        <f t="shared" si="410"/>
        <v>0.88459383753501408</v>
      </c>
      <c r="CC15" s="159">
        <f t="shared" ref="CC15:CD15" si="411">IFERROR(CC9/CC10,"")</f>
        <v>0.82380952380952377</v>
      </c>
      <c r="CD15" s="159">
        <f t="shared" si="411"/>
        <v>0.94509803921568614</v>
      </c>
      <c r="CE15" s="159">
        <f t="shared" ref="CE15:CF15" si="412">IFERROR(CE9/CE10,"")</f>
        <v>0.56091650143203353</v>
      </c>
      <c r="CF15" s="159">
        <f t="shared" si="412"/>
        <v>0.69519994377679384</v>
      </c>
      <c r="CG15" s="159">
        <f t="shared" ref="CG15:CH15" si="413">IFERROR(CG9/CG10,"")</f>
        <v>0.6839373139469086</v>
      </c>
      <c r="CH15" s="159">
        <f t="shared" si="413"/>
        <v>0.77604166666666674</v>
      </c>
      <c r="CI15" s="159">
        <f t="shared" ref="CI15:CJ15" si="414">IFERROR(CI9/CI10,"")</f>
        <v>0.69913556820577694</v>
      </c>
      <c r="CJ15" s="159">
        <f t="shared" si="414"/>
        <v>0.82261741906064756</v>
      </c>
      <c r="CK15" s="159">
        <f t="shared" ref="CK15:CL15" si="415">IFERROR(CK9/CK10,"")</f>
        <v>0.80414188147168963</v>
      </c>
      <c r="CL15" s="159">
        <f t="shared" si="415"/>
        <v>1.1022110972048393</v>
      </c>
      <c r="CM15" s="159">
        <f t="shared" ref="CM15:CN15" si="416">IFERROR(CM9/CM10,"")</f>
        <v>0.75300708518701598</v>
      </c>
      <c r="CN15" s="159">
        <f t="shared" si="416"/>
        <v>2.0053475935828877</v>
      </c>
      <c r="CO15" s="159">
        <f t="shared" ref="CO15:CP15" si="417">IFERROR(CO9/CO10,"")</f>
        <v>0.70784313725490211</v>
      </c>
      <c r="CP15" s="159">
        <f t="shared" si="417"/>
        <v>0.47058823529411764</v>
      </c>
      <c r="CQ15" s="159">
        <f t="shared" ref="CQ15:CR15" si="418">IFERROR(CQ9/CQ10,"")</f>
        <v>0.70169934640522869</v>
      </c>
      <c r="CR15" s="159">
        <f t="shared" si="418"/>
        <v>0.92113289760348571</v>
      </c>
      <c r="CS15" s="159">
        <f t="shared" ref="CS15:CT15" si="419">IFERROR(CS9/CS10,"")</f>
        <v>0.74166980224925783</v>
      </c>
      <c r="CT15" s="159">
        <f t="shared" si="419"/>
        <v>0.77953475296928809</v>
      </c>
      <c r="CU15" s="159">
        <f t="shared" ref="CU15:CV15" si="420">IFERROR(CU9/CU10,"")</f>
        <v>0.86722689075630255</v>
      </c>
      <c r="CV15" s="159" t="str">
        <f t="shared" si="420"/>
        <v/>
      </c>
      <c r="CW15" s="159">
        <f t="shared" ref="CW15:CX15" si="421">IFERROR(CW9/CW10,"")</f>
        <v>0.30648567119155357</v>
      </c>
      <c r="CX15" s="159">
        <f t="shared" si="421"/>
        <v>0.94876660341555974</v>
      </c>
      <c r="CY15" s="159">
        <f t="shared" ref="CY15:CZ15" si="422">IFERROR(CY9/CY10,"")</f>
        <v>0.86499402628434885</v>
      </c>
      <c r="CZ15" s="159">
        <f t="shared" si="422"/>
        <v>0.93021294539321098</v>
      </c>
      <c r="DA15" s="159">
        <f t="shared" ref="DA15:DB15" si="423">IFERROR(DA9/DA10,"")</f>
        <v>0.87117857895846507</v>
      </c>
      <c r="DB15" s="159">
        <f t="shared" si="423"/>
        <v>0.99327731092436977</v>
      </c>
      <c r="DC15" s="159">
        <f t="shared" ref="DC15:DD15" si="424">IFERROR(DC9/DC10,"")</f>
        <v>0.98907563025210077</v>
      </c>
      <c r="DD15" s="159">
        <f t="shared" si="424"/>
        <v>0.91686091686091675</v>
      </c>
      <c r="DE15" s="159">
        <f t="shared" ref="DE15:DF15" si="425">IFERROR(DE9/DE10,"")</f>
        <v>0.86889657823913879</v>
      </c>
      <c r="DF15" s="159">
        <f t="shared" si="425"/>
        <v>0.71078431372549022</v>
      </c>
      <c r="DG15" s="159">
        <f t="shared" ref="DG15:DH15" si="426">IFERROR(DG9/DG10,"")</f>
        <v>0.90547473469674589</v>
      </c>
      <c r="DH15" s="159">
        <f t="shared" si="426"/>
        <v>0.68648534682690288</v>
      </c>
      <c r="DI15" s="159">
        <f t="shared" ref="DI15:DJ15" si="427">IFERROR(DI9/DI10,"")</f>
        <v>0.68283453732370147</v>
      </c>
      <c r="DJ15" s="159">
        <f t="shared" si="427"/>
        <v>0.88242637879121677</v>
      </c>
      <c r="DK15" s="159">
        <f t="shared" ref="DK15:DL15" si="428">IFERROR(DK9/DK10,"")</f>
        <v>0.66041489059391878</v>
      </c>
      <c r="DL15" s="159">
        <f t="shared" si="428"/>
        <v>0.75562817719680475</v>
      </c>
      <c r="DM15" s="159">
        <f t="shared" ref="DM15:DN15" si="429">IFERROR(DM9/DM10,"")</f>
        <v>0.93442968585283581</v>
      </c>
      <c r="DN15" s="159">
        <f t="shared" si="429"/>
        <v>0.93724084615925229</v>
      </c>
      <c r="DO15" s="159">
        <f t="shared" ref="DO15:DP15" si="430">IFERROR(DO9/DO10,"")</f>
        <v>0.99149624007309001</v>
      </c>
      <c r="DP15" s="159">
        <f t="shared" si="430"/>
        <v>0.82170215756553511</v>
      </c>
      <c r="DQ15" s="159">
        <f t="shared" ref="DQ15:DR15" si="431">IFERROR(DQ9/DQ10,"")</f>
        <v>0.90484103245818093</v>
      </c>
      <c r="DR15" s="159">
        <f t="shared" si="431"/>
        <v>0.40828813795021562</v>
      </c>
      <c r="DS15" s="159">
        <f t="shared" ref="DS15:DT15" si="432">IFERROR(DS9/DS10,"")</f>
        <v>0.93498904309715114</v>
      </c>
      <c r="DT15" s="159">
        <f t="shared" si="432"/>
        <v>0.97498505933578072</v>
      </c>
      <c r="DU15" s="159">
        <f t="shared" ref="DU15" si="433">IFERROR(DU9/DU10,"")</f>
        <v>0.96103677522511144</v>
      </c>
      <c r="DV15" s="159">
        <f t="shared" ref="DV15:DW15" si="434">IFERROR(DV9/DV10,"")</f>
        <v>0.63605240075828307</v>
      </c>
      <c r="DW15" s="159">
        <f t="shared" si="434"/>
        <v>0.95509171410499694</v>
      </c>
      <c r="DX15" s="159">
        <f t="shared" ref="DX15:DY15" si="435">IFERROR(DX9/DX10,"")</f>
        <v>0.97744043854100782</v>
      </c>
      <c r="DY15" s="159">
        <f t="shared" si="435"/>
        <v>0.27914821842715581</v>
      </c>
      <c r="DZ15" s="159">
        <f t="shared" ref="DZ15:EA15" si="436">IFERROR(DZ9/DZ10,"")</f>
        <v>0.91503267973856206</v>
      </c>
      <c r="EA15" s="159">
        <f t="shared" si="436"/>
        <v>0.91081593927893734</v>
      </c>
      <c r="EB15" s="159">
        <f t="shared" ref="EB15:EC15" si="437">IFERROR(EB9/EB10,"")</f>
        <v>0.93364351390273614</v>
      </c>
      <c r="EC15" s="159">
        <f t="shared" si="437"/>
        <v>0.92211328976034856</v>
      </c>
      <c r="ED15" s="159">
        <f t="shared" ref="ED15:EE15" si="438">IFERROR(ED9/ED10,"")</f>
        <v>0.7287581699346406</v>
      </c>
      <c r="EE15" s="159">
        <f t="shared" si="438"/>
        <v>0.69913556820577683</v>
      </c>
      <c r="EF15" s="159">
        <f t="shared" ref="EF15:EG15" si="439">IFERROR(EF9/EF10,"")</f>
        <v>0.81865183884499071</v>
      </c>
      <c r="EG15" s="159">
        <f t="shared" si="439"/>
        <v>0.86710239651416121</v>
      </c>
      <c r="EH15" s="159">
        <f t="shared" ref="EH15:EI15" si="440">IFERROR(EH9/EH10,"")</f>
        <v>0.89199069458291802</v>
      </c>
      <c r="EI15" s="159">
        <f t="shared" si="440"/>
        <v>0.88101764003092264</v>
      </c>
      <c r="EJ15" s="159">
        <f t="shared" ref="EJ15:EK15" si="441">IFERROR(EJ9/EJ10,"")</f>
        <v>0.82135076252723327</v>
      </c>
      <c r="EK15" s="159">
        <f t="shared" si="441"/>
        <v>0.96615831517792294</v>
      </c>
      <c r="EL15" s="159">
        <f t="shared" ref="EL15:EM15" si="442">IFERROR(EL9/EL10,"")</f>
        <v>0.92142338416848224</v>
      </c>
      <c r="EM15" s="159">
        <f t="shared" si="442"/>
        <v>0.71503267973856199</v>
      </c>
      <c r="EN15" s="159">
        <f t="shared" ref="EN15:EO15" si="443">IFERROR(EN9/EN10,"")</f>
        <v>0.77589453860640301</v>
      </c>
      <c r="EO15" s="159">
        <f t="shared" si="443"/>
        <v>0.45461147421931741</v>
      </c>
      <c r="EP15" s="159">
        <f t="shared" ref="EP15:EQ15" si="444">IFERROR(EP9/EP10,"")</f>
        <v>0.78800461361014984</v>
      </c>
      <c r="EQ15" s="159">
        <f t="shared" si="444"/>
        <v>0.96788249349919175</v>
      </c>
      <c r="ER15" s="159">
        <f t="shared" ref="ER15:ES15" si="445">IFERROR(ER9/ER10,"")</f>
        <v>0.95748120036545092</v>
      </c>
      <c r="ES15" s="159">
        <f t="shared" si="445"/>
        <v>0.95326445990582631</v>
      </c>
      <c r="ET15" s="159">
        <f t="shared" ref="ET15:EU15" si="446">IFERROR(ET9/ET10,"")</f>
        <v>0.98194305970975959</v>
      </c>
      <c r="EU15" s="159">
        <f t="shared" si="446"/>
        <v>0.90884812706444584</v>
      </c>
      <c r="EV15" s="159">
        <f t="shared" ref="EV15:EW15" si="447">IFERROR(EV9/EV10,"")</f>
        <v>0.94988470187198337</v>
      </c>
      <c r="EW15" s="159">
        <f t="shared" si="447"/>
        <v>0.81298756061564414</v>
      </c>
      <c r="EX15" s="159">
        <f t="shared" ref="EX15:EY15" si="448">IFERROR(EX9/EX10,"")</f>
        <v>0.51444233607421463</v>
      </c>
      <c r="EY15" s="159">
        <f t="shared" si="448"/>
        <v>0.8244631185807656</v>
      </c>
      <c r="EZ15" s="159">
        <f t="shared" ref="EZ15:FA15" si="449">IFERROR(EZ9/EZ10,"")</f>
        <v>0.90873880416364072</v>
      </c>
      <c r="FA15" s="159">
        <f t="shared" si="449"/>
        <v>0.86483660130718965</v>
      </c>
      <c r="FB15" s="159">
        <f t="shared" ref="FB15:FC15" si="450">IFERROR(FB9/FB10,"")</f>
        <v>0.82554047259929608</v>
      </c>
      <c r="FC15" s="159">
        <f t="shared" si="450"/>
        <v>0.9734890210765953</v>
      </c>
      <c r="FD15" s="159">
        <f t="shared" ref="FD15:FE15" si="451">IFERROR(FD9/FD10,"")</f>
        <v>0.94989106753812635</v>
      </c>
      <c r="FE15" s="159">
        <f t="shared" si="451"/>
        <v>0.91447044767727892</v>
      </c>
      <c r="FF15" s="159">
        <f t="shared" ref="FF15:FG15" si="452">IFERROR(FF9/FF10,"")</f>
        <v>0.93763154979505914</v>
      </c>
      <c r="FG15" s="159" t="str">
        <f t="shared" si="452"/>
        <v/>
      </c>
      <c r="FH15" s="159">
        <f t="shared" ref="FH15:FI15" si="453">IFERROR(FH9/FH10,"")</f>
        <v>0.19825708061002179</v>
      </c>
      <c r="FI15" s="159">
        <f t="shared" si="453"/>
        <v>0.20016339869281044</v>
      </c>
      <c r="FJ15" s="159">
        <f t="shared" ref="FJ15:FK15" si="454">IFERROR(FJ9/FJ10,"")</f>
        <v>0.74387254901960786</v>
      </c>
      <c r="FK15" s="159">
        <f t="shared" si="454"/>
        <v>0.67467847353995369</v>
      </c>
      <c r="FL15" s="159">
        <f t="shared" ref="FL15" si="455">IFERROR(FL9/FL10,"")</f>
        <v>0.40565043221589708</v>
      </c>
      <c r="FM15" s="159">
        <f t="shared" ref="FM15:FN15" si="456">IFERROR(FM9/FM10,"")</f>
        <v>0.83688242322018425</v>
      </c>
      <c r="FN15" s="159">
        <f t="shared" si="456"/>
        <v>1.0049898095438894</v>
      </c>
      <c r="FO15" s="159">
        <f t="shared" ref="FO15:FP15" si="457">IFERROR(FO9/FO10,"")</f>
        <v>0.95860566448801754</v>
      </c>
      <c r="FP15" s="159">
        <f t="shared" si="457"/>
        <v>0.85740389345702439</v>
      </c>
      <c r="FQ15" s="159"/>
      <c r="FR15" s="159"/>
      <c r="FS15" s="159"/>
      <c r="FT15" s="159"/>
      <c r="FU15" s="159"/>
      <c r="FV15" s="159"/>
      <c r="FW15" s="159"/>
      <c r="FX15" s="159"/>
      <c r="FY15" s="159"/>
      <c r="FZ15" s="159"/>
      <c r="GA15" s="159"/>
      <c r="GB15" s="159"/>
      <c r="GC15" s="159"/>
      <c r="GD15" s="159"/>
      <c r="GE15" s="159"/>
      <c r="GF15" s="159"/>
      <c r="GG15" s="159"/>
      <c r="GH15" s="159"/>
      <c r="GI15" s="159"/>
      <c r="GJ15" s="159"/>
      <c r="GK15" s="159"/>
      <c r="GL15" s="305" t="str">
        <f>IFERROR(GL9/GL10,"")</f>
        <v/>
      </c>
      <c r="GM15" s="318">
        <f>GM9/GM10</f>
        <v>0.66088519731853301</v>
      </c>
      <c r="GO15" s="136" t="s">
        <v>33</v>
      </c>
      <c r="GP15" s="374" t="s">
        <v>1670</v>
      </c>
      <c r="GQ15" s="374"/>
      <c r="GR15" s="374"/>
      <c r="GS15" s="374"/>
      <c r="GT15" s="374"/>
    </row>
    <row r="16" spans="1:202" ht="15.95" customHeight="1" x14ac:dyDescent="0.3">
      <c r="A16" s="176" t="s">
        <v>34</v>
      </c>
      <c r="B16" s="160">
        <f t="shared" ref="B16:GL16" si="458">IFERROR(B10/B11,"")</f>
        <v>0.95</v>
      </c>
      <c r="C16" s="160">
        <f t="shared" ref="C16:D16" si="459">IFERROR(C10/C11,"")</f>
        <v>0.76315789473684215</v>
      </c>
      <c r="D16" s="160">
        <f t="shared" si="459"/>
        <v>0.97017543859649125</v>
      </c>
      <c r="E16" s="160">
        <f t="shared" ref="E16:F16" si="460">IFERROR(E10/E11,"")</f>
        <v>0.93779904306220085</v>
      </c>
      <c r="F16" s="160">
        <f t="shared" si="460"/>
        <v>0.87738095238095237</v>
      </c>
      <c r="G16" s="160">
        <f t="shared" ref="G16:H16" si="461">IFERROR(G10/G11,"")</f>
        <v>0.83157894736842108</v>
      </c>
      <c r="H16" s="160">
        <f t="shared" si="461"/>
        <v>0.96403508771929824</v>
      </c>
      <c r="I16" s="160">
        <f t="shared" ref="I16:J16" si="462">IFERROR(I10/I11,"")</f>
        <v>0.8</v>
      </c>
      <c r="J16" s="160">
        <f t="shared" si="462"/>
        <v>0.9526315789473685</v>
      </c>
      <c r="K16" s="160">
        <f t="shared" ref="K16:L16" si="463">IFERROR(K10/K11,"")</f>
        <v>0.66212121212121211</v>
      </c>
      <c r="L16" s="160">
        <f t="shared" si="463"/>
        <v>0.96052631578947367</v>
      </c>
      <c r="M16" s="160">
        <f t="shared" ref="M16:N16" si="464">IFERROR(M10/M11,"")</f>
        <v>0.96052631578947367</v>
      </c>
      <c r="N16" s="160">
        <f t="shared" si="464"/>
        <v>0.8236842105263158</v>
      </c>
      <c r="O16" s="160">
        <f t="shared" ref="O16:P16" si="465">IFERROR(O10/O11,"")</f>
        <v>0.77631578947368418</v>
      </c>
      <c r="P16" s="160">
        <f t="shared" si="465"/>
        <v>0.96052631578947367</v>
      </c>
      <c r="Q16" s="160">
        <f t="shared" ref="Q16:R16" si="466">IFERROR(Q10/Q11,"")</f>
        <v>0.96052631578947367</v>
      </c>
      <c r="R16" s="160">
        <f t="shared" si="466"/>
        <v>0.96052631578947367</v>
      </c>
      <c r="S16" s="160">
        <f t="shared" ref="S16:T16" si="467">IFERROR(S10/S11,"")</f>
        <v>0.97280701754385968</v>
      </c>
      <c r="T16" s="160">
        <f t="shared" si="467"/>
        <v>0.91403508771929831</v>
      </c>
      <c r="U16" s="160">
        <f t="shared" ref="U16:V16" si="468">IFERROR(U10/U11,"")</f>
        <v>0.96491228070175428</v>
      </c>
      <c r="V16" s="160">
        <f t="shared" si="468"/>
        <v>0.96491228070175428</v>
      </c>
      <c r="W16" s="160">
        <f t="shared" ref="W16:X16" si="469">IFERROR(W10/W11,"")</f>
        <v>0.97280701754385968</v>
      </c>
      <c r="X16" s="160">
        <f t="shared" si="469"/>
        <v>0.96052631578947367</v>
      </c>
      <c r="Y16" s="160">
        <f t="shared" ref="Y16:Z16" si="470">IFERROR(Y10/Y11,"")</f>
        <v>0.96052631578947367</v>
      </c>
      <c r="Z16" s="160">
        <f t="shared" si="470"/>
        <v>0.52631578947368418</v>
      </c>
      <c r="AA16" s="160">
        <f t="shared" ref="AA16:AB16" si="471">IFERROR(AA10/AA11,"")</f>
        <v>0.88541666666666663</v>
      </c>
      <c r="AB16" s="160">
        <f t="shared" si="471"/>
        <v>0.82291666666666663</v>
      </c>
      <c r="AC16" s="160">
        <f t="shared" ref="AC16:AD16" si="472">IFERROR(AC10/AC11,"")</f>
        <v>0.80208333333333337</v>
      </c>
      <c r="AD16" s="160">
        <f t="shared" si="472"/>
        <v>1</v>
      </c>
      <c r="AE16" s="160">
        <f t="shared" ref="AE16:AF16" si="473">IFERROR(AE10/AE11,"")</f>
        <v>0.875</v>
      </c>
      <c r="AF16" s="160">
        <f t="shared" si="473"/>
        <v>1</v>
      </c>
      <c r="AG16" s="160">
        <f t="shared" ref="AG16:AH16" si="474">IFERROR(AG10/AG11,"")</f>
        <v>0.70833333333333337</v>
      </c>
      <c r="AH16" s="160">
        <f t="shared" si="474"/>
        <v>0.95277777777777783</v>
      </c>
      <c r="AI16" s="160">
        <f t="shared" ref="AI16:AJ16" si="475">IFERROR(AI10/AI11,"")</f>
        <v>0.97222222222222221</v>
      </c>
      <c r="AJ16" s="160">
        <f t="shared" si="475"/>
        <v>23.684027777777775</v>
      </c>
      <c r="AK16" s="160">
        <f t="shared" ref="AK16:AL16" si="476">IFERROR(AK10/AK11,"")</f>
        <v>0.98958333333333337</v>
      </c>
      <c r="AL16" s="160">
        <f t="shared" si="476"/>
        <v>0.93548387096774188</v>
      </c>
      <c r="AM16" s="160">
        <f t="shared" ref="AM16:AN16" si="477">IFERROR(AM10/AM11,"")</f>
        <v>0.5625</v>
      </c>
      <c r="AN16" s="160">
        <f t="shared" si="477"/>
        <v>0.79166666666666663</v>
      </c>
      <c r="AO16" s="160">
        <f t="shared" ref="AO16:AP16" si="478">IFERROR(AO10/AO11,"")</f>
        <v>0.95833333333333337</v>
      </c>
      <c r="AP16" s="160">
        <f t="shared" si="478"/>
        <v>1</v>
      </c>
      <c r="AQ16" s="160">
        <f t="shared" ref="AQ16:AR16" si="479">IFERROR(AQ10/AQ11,"")</f>
        <v>1</v>
      </c>
      <c r="AR16" s="160">
        <f t="shared" si="479"/>
        <v>1</v>
      </c>
      <c r="AS16" s="160">
        <f t="shared" ref="AS16:AT16" si="480">IFERROR(AS10/AS11,"")</f>
        <v>0.98958333333333337</v>
      </c>
      <c r="AT16" s="160">
        <f t="shared" si="480"/>
        <v>1</v>
      </c>
      <c r="AU16" s="160">
        <f t="shared" ref="AU16:AV16" si="481">IFERROR(AU10/AU11,"")</f>
        <v>0.70833333333333337</v>
      </c>
      <c r="AV16" s="160">
        <f t="shared" si="481"/>
        <v>1</v>
      </c>
      <c r="AW16" s="160">
        <f t="shared" ref="AW16:AX16" si="482">IFERROR(AW10/AW11,"")</f>
        <v>1</v>
      </c>
      <c r="AX16" s="160">
        <f t="shared" si="482"/>
        <v>1</v>
      </c>
      <c r="AY16" s="160">
        <f t="shared" ref="AY16:AZ16" si="483">IFERROR(AY10/AY11,"")</f>
        <v>0.97916666666666663</v>
      </c>
      <c r="AZ16" s="160">
        <f t="shared" si="483"/>
        <v>0.72916666666666663</v>
      </c>
      <c r="BA16" s="160">
        <f t="shared" ref="BA16:BB16" si="484">IFERROR(BA10/BA11,"")</f>
        <v>0.6875</v>
      </c>
      <c r="BB16" s="160">
        <f t="shared" si="484"/>
        <v>0.6875</v>
      </c>
      <c r="BC16" s="160">
        <f t="shared" ref="BC16:BD16" si="485">IFERROR(BC10/BC11,"")</f>
        <v>1</v>
      </c>
      <c r="BD16" s="160">
        <f t="shared" si="485"/>
        <v>0.90322580645161288</v>
      </c>
      <c r="BE16" s="160">
        <f t="shared" ref="BE16:BF16" si="486">IFERROR(BE10/BE11,"")</f>
        <v>1</v>
      </c>
      <c r="BF16" s="160">
        <f t="shared" si="486"/>
        <v>0.77083333333333337</v>
      </c>
      <c r="BG16" s="160">
        <f t="shared" ref="BG16:BH16" si="487">IFERROR(BG10/BG11,"")</f>
        <v>0.97222222222222221</v>
      </c>
      <c r="BH16" s="160">
        <f t="shared" si="487"/>
        <v>0.97222222222222221</v>
      </c>
      <c r="BI16" s="160">
        <f t="shared" ref="BI16:BJ16" si="488">IFERROR(BI10/BI11,"")</f>
        <v>0.97222222222222221</v>
      </c>
      <c r="BJ16" s="160">
        <f t="shared" si="488"/>
        <v>0.956989247311828</v>
      </c>
      <c r="BK16" s="160">
        <f t="shared" ref="BK16:BL16" si="489">IFERROR(BK10/BK11,"")</f>
        <v>0.95000000000000007</v>
      </c>
      <c r="BL16" s="160">
        <f t="shared" si="489"/>
        <v>0.95833333333333337</v>
      </c>
      <c r="BM16" s="160">
        <f t="shared" ref="BM16:BN16" si="490">IFERROR(BM10/BM11,"")</f>
        <v>0.97222222222222221</v>
      </c>
      <c r="BN16" s="160">
        <f t="shared" si="490"/>
        <v>0.97222222222222221</v>
      </c>
      <c r="BO16" s="160">
        <f t="shared" ref="BO16:BP16" si="491">IFERROR(BO10/BO11,"")</f>
        <v>0.88888888888888884</v>
      </c>
      <c r="BP16" s="160">
        <f t="shared" si="491"/>
        <v>0.956989247311828</v>
      </c>
      <c r="BQ16" s="160">
        <f t="shared" ref="BQ16:BR16" si="492">IFERROR(BQ10/BQ11,"")</f>
        <v>0.72222222222222221</v>
      </c>
      <c r="BR16" s="160">
        <f t="shared" si="492"/>
        <v>0.97916666666666663</v>
      </c>
      <c r="BS16" s="160">
        <f t="shared" ref="BS16:BT16" si="493">IFERROR(BS10/BS11,"")</f>
        <v>2.9375</v>
      </c>
      <c r="BT16" s="160">
        <f t="shared" si="493"/>
        <v>1</v>
      </c>
      <c r="BU16" s="160">
        <f t="shared" ref="BU16:BV16" si="494">IFERROR(BU10/BU11,"")</f>
        <v>1</v>
      </c>
      <c r="BV16" s="160">
        <f t="shared" si="494"/>
        <v>1</v>
      </c>
      <c r="BW16" s="160">
        <f t="shared" ref="BW16:BX16" si="495">IFERROR(BW10/BW11,"")</f>
        <v>1</v>
      </c>
      <c r="BX16" s="160">
        <f t="shared" si="495"/>
        <v>0.91666666666666663</v>
      </c>
      <c r="BY16" s="160">
        <f t="shared" ref="BY16:BZ16" si="496">IFERROR(BY10/BY11,"")</f>
        <v>0.83333333333333337</v>
      </c>
      <c r="BZ16" s="160">
        <f t="shared" si="496"/>
        <v>0.97222222222222221</v>
      </c>
      <c r="CA16" s="160">
        <f t="shared" ref="CA16:CB16" si="497">IFERROR(CA10/CA11,"")</f>
        <v>0.956989247311828</v>
      </c>
      <c r="CB16" s="160">
        <f t="shared" si="497"/>
        <v>0.97222222222222221</v>
      </c>
      <c r="CC16" s="160">
        <f t="shared" ref="CC16:CD16" si="498">IFERROR(CC10/CC11,"")</f>
        <v>0.97222222222222221</v>
      </c>
      <c r="CD16" s="160">
        <f t="shared" si="498"/>
        <v>0.97222222222222221</v>
      </c>
      <c r="CE16" s="160">
        <f t="shared" ref="CE16:CF16" si="499">IFERROR(CE10/CE11,"")</f>
        <v>0.956989247311828</v>
      </c>
      <c r="CF16" s="160">
        <f t="shared" si="499"/>
        <v>0.96875</v>
      </c>
      <c r="CG16" s="160">
        <f t="shared" ref="CG16:CH16" si="500">IFERROR(CG10/CG11,"")</f>
        <v>0.55347222222222225</v>
      </c>
      <c r="CH16" s="160">
        <f t="shared" si="500"/>
        <v>0.88888888888888884</v>
      </c>
      <c r="CI16" s="160">
        <f t="shared" ref="CI16:CJ16" si="501">IFERROR(CI10/CI11,"")</f>
        <v>0.64583333333333337</v>
      </c>
      <c r="CJ16" s="160">
        <f t="shared" si="501"/>
        <v>0.59722222222222221</v>
      </c>
      <c r="CK16" s="160">
        <f t="shared" ref="CK16:CL16" si="502">IFERROR(CK10/CK11,"")</f>
        <v>0.956989247311828</v>
      </c>
      <c r="CL16" s="160">
        <f t="shared" si="502"/>
        <v>0.92156862745098034</v>
      </c>
      <c r="CM16" s="160">
        <f t="shared" ref="CM16:CN16" si="503">IFERROR(CM10/CM11,"")</f>
        <v>0.82638888888888884</v>
      </c>
      <c r="CN16" s="160">
        <f t="shared" si="503"/>
        <v>0.30555555555555552</v>
      </c>
      <c r="CO16" s="160">
        <f t="shared" ref="CO16:CP16" si="504">IFERROR(CO10/CO11,"")</f>
        <v>0.97222222222222221</v>
      </c>
      <c r="CP16" s="160">
        <f t="shared" si="504"/>
        <v>0.75</v>
      </c>
      <c r="CQ16" s="160">
        <f t="shared" ref="CQ16:CR16" si="505">IFERROR(CQ10/CQ11,"")</f>
        <v>0.80645161290322576</v>
      </c>
      <c r="CR16" s="160">
        <f t="shared" si="505"/>
        <v>0.88235294117647056</v>
      </c>
      <c r="CS16" s="160">
        <f t="shared" ref="CS16:CT16" si="506">IFERROR(CS10/CS11,"")</f>
        <v>0.9770833333333333</v>
      </c>
      <c r="CT16" s="160">
        <f t="shared" si="506"/>
        <v>0.96875</v>
      </c>
      <c r="CU16" s="160">
        <f t="shared" ref="CU16:CV16" si="507">IFERROR(CU10/CU11,"")</f>
        <v>0.97222222222222221</v>
      </c>
      <c r="CV16" s="160" t="str">
        <f t="shared" si="507"/>
        <v/>
      </c>
      <c r="CW16" s="160">
        <f t="shared" ref="CW16:CX16" si="508">IFERROR(CW10/CW11,"")</f>
        <v>0.7831325301204819</v>
      </c>
      <c r="CX16" s="160">
        <f t="shared" si="508"/>
        <v>0.91176470588235292</v>
      </c>
      <c r="CY16" s="160">
        <f t="shared" ref="CY16:CZ16" si="509">IFERROR(CY10/CY11,"")</f>
        <v>0.96875</v>
      </c>
      <c r="CZ16" s="160">
        <f t="shared" si="509"/>
        <v>0.96875</v>
      </c>
      <c r="DA16" s="160">
        <f t="shared" ref="DA16:DB16" si="510">IFERROR(DA10/DA11,"")</f>
        <v>0.96875</v>
      </c>
      <c r="DB16" s="160">
        <f t="shared" si="510"/>
        <v>0.97222222222222221</v>
      </c>
      <c r="DC16" s="160">
        <f t="shared" ref="DC16:DD16" si="511">IFERROR(DC10/DC11,"")</f>
        <v>0.97222222222222221</v>
      </c>
      <c r="DD16" s="160">
        <f t="shared" si="511"/>
        <v>0.92258064516129035</v>
      </c>
      <c r="DE16" s="160">
        <f t="shared" ref="DE16:DF16" si="512">IFERROR(DE10/DE11,"")</f>
        <v>0.9</v>
      </c>
      <c r="DF16" s="160">
        <f t="shared" si="512"/>
        <v>1</v>
      </c>
      <c r="DG16" s="160">
        <f t="shared" ref="DG16:DH16" si="513">IFERROR(DG10/DG11,"")</f>
        <v>0.96875</v>
      </c>
      <c r="DH16" s="160">
        <f t="shared" si="513"/>
        <v>0.96875</v>
      </c>
      <c r="DI16" s="160">
        <f t="shared" ref="DI16:DJ16" si="514">IFERROR(DI10/DI11,"")</f>
        <v>0.79166666666666663</v>
      </c>
      <c r="DJ16" s="160">
        <f t="shared" si="514"/>
        <v>0.92708333333333337</v>
      </c>
      <c r="DK16" s="160">
        <f t="shared" ref="DK16:DL16" si="515">IFERROR(DK10/DK11,"")</f>
        <v>0.74193548387096775</v>
      </c>
      <c r="DL16" s="160">
        <f t="shared" si="515"/>
        <v>0.75</v>
      </c>
      <c r="DM16" s="160">
        <f t="shared" ref="DM16:DN16" si="516">IFERROR(DM10/DM11,"")</f>
        <v>0.96875</v>
      </c>
      <c r="DN16" s="160">
        <f t="shared" si="516"/>
        <v>0.96875</v>
      </c>
      <c r="DO16" s="160">
        <f t="shared" ref="DO16:DP16" si="517">IFERROR(DO10/DO11,"")</f>
        <v>0.96875</v>
      </c>
      <c r="DP16" s="160">
        <f t="shared" si="517"/>
        <v>0.96875</v>
      </c>
      <c r="DQ16" s="160">
        <f t="shared" ref="DQ16:DR16" si="518">IFERROR(DQ10/DQ11,"")</f>
        <v>0.95161290322580649</v>
      </c>
      <c r="DR16" s="160">
        <f t="shared" si="518"/>
        <v>0.97916666666666663</v>
      </c>
      <c r="DS16" s="160">
        <f t="shared" ref="DS16:DT16" si="519">IFERROR(DS10/DS11,"")</f>
        <v>0.9506944444444444</v>
      </c>
      <c r="DT16" s="160">
        <f t="shared" si="519"/>
        <v>0.95694444444444438</v>
      </c>
      <c r="DU16" s="160">
        <f t="shared" ref="DU16" si="520">IFERROR(DU10/DU11,"")</f>
        <v>0.97083333333333333</v>
      </c>
      <c r="DV16" s="160">
        <f t="shared" ref="DV16:DW16" si="521">IFERROR(DV10/DV11,"")</f>
        <v>0.96250000000000002</v>
      </c>
      <c r="DW16" s="160">
        <f t="shared" si="521"/>
        <v>1</v>
      </c>
      <c r="DX16" s="160">
        <f t="shared" ref="DX16:DY16" si="522">IFERROR(DX10/DX11,"")</f>
        <v>0.91176470588235292</v>
      </c>
      <c r="DY16" s="160">
        <f t="shared" si="522"/>
        <v>0.96875</v>
      </c>
      <c r="DZ16" s="160">
        <f t="shared" ref="DZ16:EA16" si="523">IFERROR(DZ10/DZ11,"")</f>
        <v>0.96875</v>
      </c>
      <c r="EA16" s="160">
        <f t="shared" si="523"/>
        <v>0.96875</v>
      </c>
      <c r="EB16" s="160">
        <f t="shared" ref="EB16:EC16" si="524">IFERROR(EB10/EB11,"")</f>
        <v>0.95161290322580649</v>
      </c>
      <c r="EC16" s="160">
        <f t="shared" si="524"/>
        <v>1</v>
      </c>
      <c r="ED16" s="160">
        <f t="shared" ref="ED16:EE16" si="525">IFERROR(ED10/ED11,"")</f>
        <v>1</v>
      </c>
      <c r="EE16" s="160">
        <f t="shared" si="525"/>
        <v>1</v>
      </c>
      <c r="EF16" s="160">
        <f t="shared" ref="EF16:EG16" si="526">IFERROR(EF10/EF11,"")</f>
        <v>0.95714285714285718</v>
      </c>
      <c r="EG16" s="160">
        <f t="shared" si="526"/>
        <v>0.75</v>
      </c>
      <c r="EH16" s="160">
        <f t="shared" ref="EH16:EI16" si="527">IFERROR(EH10/EH11,"")</f>
        <v>0.95161290322580649</v>
      </c>
      <c r="EI16" s="160">
        <f t="shared" si="527"/>
        <v>0.96875</v>
      </c>
      <c r="EJ16" s="160">
        <f t="shared" ref="EJ16:EK16" si="528">IFERROR(EJ10/EJ11,"")</f>
        <v>1</v>
      </c>
      <c r="EK16" s="160">
        <f t="shared" si="528"/>
        <v>0.9375</v>
      </c>
      <c r="EL16" s="160">
        <f t="shared" ref="EL16:EM16" si="529">IFERROR(EL10/EL11,"")</f>
        <v>0.46875</v>
      </c>
      <c r="EM16" s="160">
        <f t="shared" si="529"/>
        <v>0.83333333333333337</v>
      </c>
      <c r="EN16" s="160">
        <f t="shared" ref="EN16:EO16" si="530">IFERROR(EN10/EN11,"")</f>
        <v>0.95161290322580649</v>
      </c>
      <c r="EO16" s="160">
        <f t="shared" si="530"/>
        <v>0.75</v>
      </c>
      <c r="EP16" s="160">
        <f t="shared" ref="EP16:EQ16" si="531">IFERROR(EP10/EP11,"")</f>
        <v>0.88541666666666663</v>
      </c>
      <c r="EQ16" s="160">
        <f t="shared" si="531"/>
        <v>0.96875</v>
      </c>
      <c r="ER16" s="160">
        <f t="shared" ref="ER16:ES16" si="532">IFERROR(ER10/ER11,"")</f>
        <v>0.96875</v>
      </c>
      <c r="ES16" s="160">
        <f t="shared" si="532"/>
        <v>0.96875</v>
      </c>
      <c r="ET16" s="160">
        <f t="shared" ref="ET16:EU16" si="533">IFERROR(ET10/ET11,"")</f>
        <v>0.95161290322580649</v>
      </c>
      <c r="EU16" s="160">
        <f t="shared" si="533"/>
        <v>0.96875</v>
      </c>
      <c r="EV16" s="160">
        <f t="shared" ref="EV16:EW16" si="534">IFERROR(EV10/EV11,"")</f>
        <v>0.9506944444444444</v>
      </c>
      <c r="EW16" s="160">
        <f t="shared" si="534"/>
        <v>0.96875</v>
      </c>
      <c r="EX16" s="160">
        <f t="shared" ref="EX16:EY16" si="535">IFERROR(EX10/EX11,"")</f>
        <v>0.96875</v>
      </c>
      <c r="EY16" s="160">
        <f t="shared" si="535"/>
        <v>0.58333333333333337</v>
      </c>
      <c r="EZ16" s="160">
        <f t="shared" ref="EZ16:FA16" si="536">IFERROR(EZ10/EZ11,"")</f>
        <v>0.87096774193548387</v>
      </c>
      <c r="FA16" s="160">
        <f t="shared" si="536"/>
        <v>0.52083333333333337</v>
      </c>
      <c r="FB16" s="160">
        <f t="shared" ref="FB16:FC16" si="537">IFERROR(FB10/FB11,"")</f>
        <v>0.8125</v>
      </c>
      <c r="FC16" s="160">
        <f t="shared" si="537"/>
        <v>0.92708333333333337</v>
      </c>
      <c r="FD16" s="160">
        <f t="shared" ref="FD16:FE16" si="538">IFERROR(FD10/FD11,"")</f>
        <v>0.96875</v>
      </c>
      <c r="FE16" s="160">
        <f t="shared" si="538"/>
        <v>0.96875</v>
      </c>
      <c r="FF16" s="160">
        <f t="shared" ref="FF16:FG16" si="539">IFERROR(FF10/FF11,"")</f>
        <v>0.95161290322580649</v>
      </c>
      <c r="FG16" s="160" t="str">
        <f t="shared" si="539"/>
        <v/>
      </c>
      <c r="FH16" s="160">
        <f t="shared" ref="FH16:FI16" si="540">IFERROR(FH10/FH11,"")</f>
        <v>1</v>
      </c>
      <c r="FI16" s="160">
        <f t="shared" si="540"/>
        <v>1</v>
      </c>
      <c r="FJ16" s="160">
        <f t="shared" ref="FJ16:FK16" si="541">IFERROR(FJ10/FJ11,"")</f>
        <v>0.66666666666666663</v>
      </c>
      <c r="FK16" s="160">
        <f t="shared" si="541"/>
        <v>0.96875</v>
      </c>
      <c r="FL16" s="160">
        <f t="shared" ref="FL16" si="542">IFERROR(FL10/FL11,"")</f>
        <v>1</v>
      </c>
      <c r="FM16" s="160">
        <f>IFERROR(FM10/FM11,"")</f>
        <v>0.96875</v>
      </c>
      <c r="FN16" s="160">
        <f>IFERROR(FN10/FN11,"")</f>
        <v>0.96875</v>
      </c>
      <c r="FO16" s="160">
        <f>IFERROR(FO10/FO11,"")</f>
        <v>0.96875</v>
      </c>
      <c r="FP16" s="160">
        <f>IFERROR(FP10/FP11,"")</f>
        <v>0.96875</v>
      </c>
      <c r="FQ16" s="160"/>
      <c r="FR16" s="160"/>
      <c r="FS16" s="160"/>
      <c r="FT16" s="160"/>
      <c r="FU16" s="160"/>
      <c r="FV16" s="160"/>
      <c r="FW16" s="160"/>
      <c r="FX16" s="160"/>
      <c r="FY16" s="160"/>
      <c r="FZ16" s="160"/>
      <c r="GA16" s="160"/>
      <c r="GB16" s="160"/>
      <c r="GC16" s="160"/>
      <c r="GD16" s="160"/>
      <c r="GE16" s="160"/>
      <c r="GF16" s="160"/>
      <c r="GG16" s="160"/>
      <c r="GH16" s="160"/>
      <c r="GI16" s="160"/>
      <c r="GJ16" s="160"/>
      <c r="GK16" s="160"/>
      <c r="GL16" s="306" t="str">
        <f t="shared" si="458"/>
        <v/>
      </c>
      <c r="GM16" s="319">
        <f>GM11/GM10</f>
        <v>0.94150539919510123</v>
      </c>
      <c r="GO16" s="137" t="s">
        <v>34</v>
      </c>
      <c r="GP16" s="374" t="s">
        <v>1671</v>
      </c>
      <c r="GQ16" s="374"/>
      <c r="GR16" s="374"/>
      <c r="GS16" s="374"/>
      <c r="GT16" s="374"/>
    </row>
    <row r="17" spans="1:206" ht="15.95" customHeight="1" thickBot="1" x14ac:dyDescent="0.35">
      <c r="A17" s="177" t="s">
        <v>10</v>
      </c>
      <c r="B17" s="165">
        <f t="shared" ref="B17:H17" si="543">IFERROR(B14*B15*B16,"")</f>
        <v>0.18823529411764706</v>
      </c>
      <c r="C17" s="165">
        <f t="shared" si="543"/>
        <v>0.38286893704850355</v>
      </c>
      <c r="D17" s="165">
        <f t="shared" si="543"/>
        <v>0.76504987960096316</v>
      </c>
      <c r="E17" s="165">
        <f t="shared" si="543"/>
        <v>0.8000750539450231</v>
      </c>
      <c r="F17" s="165">
        <f t="shared" si="543"/>
        <v>0.54061624649859941</v>
      </c>
      <c r="G17" s="165">
        <f t="shared" si="543"/>
        <v>0.55521155830753344</v>
      </c>
      <c r="H17" s="165">
        <f t="shared" si="543"/>
        <v>0.62573099415204669</v>
      </c>
      <c r="I17" s="165">
        <f t="shared" ref="I17:J17" si="544">IFERROR(I14*I15*I16,"")</f>
        <v>0.73638344226579522</v>
      </c>
      <c r="J17" s="165">
        <f t="shared" si="544"/>
        <v>0.61953904368765045</v>
      </c>
      <c r="K17" s="165">
        <f t="shared" ref="K17:L17" si="545">IFERROR(K14*K15*K16,"")</f>
        <v>0.60784313725490191</v>
      </c>
      <c r="L17" s="165">
        <f t="shared" si="545"/>
        <v>0.82628138974888199</v>
      </c>
      <c r="M17" s="165">
        <f t="shared" ref="M17:N17" si="546">IFERROR(M14*M15*M16,"")</f>
        <v>0.84176126590987266</v>
      </c>
      <c r="N17" s="165">
        <f t="shared" si="546"/>
        <v>0.73099415204678353</v>
      </c>
      <c r="O17" s="165">
        <f t="shared" ref="O17:P17" si="547">IFERROR(O14*O15*O16,"")</f>
        <v>0.58754729962160313</v>
      </c>
      <c r="P17" s="165">
        <f t="shared" si="547"/>
        <v>0.72652218782249733</v>
      </c>
      <c r="Q17" s="165">
        <f t="shared" ref="Q17:R17" si="548">IFERROR(Q14*Q15*Q16,"")</f>
        <v>0.69865841073271417</v>
      </c>
      <c r="R17" s="165">
        <f t="shared" si="548"/>
        <v>0.71241830065359468</v>
      </c>
      <c r="S17" s="165">
        <f t="shared" ref="S17:T17" si="549">IFERROR(S14*S15*S16,"")</f>
        <v>0.86308909528723776</v>
      </c>
      <c r="T17" s="165">
        <f t="shared" si="549"/>
        <v>0.74785001719986233</v>
      </c>
      <c r="U17" s="165">
        <f t="shared" ref="U17:V17" si="550">IFERROR(U14*U15*U16,"")</f>
        <v>0.6494668042655658</v>
      </c>
      <c r="V17" s="165">
        <f t="shared" si="550"/>
        <v>0.74991400068799441</v>
      </c>
      <c r="W17" s="165">
        <f t="shared" ref="W17:X17" si="551">IFERROR(W14*W15*W16,"")</f>
        <v>0.74647402820777431</v>
      </c>
      <c r="X17" s="165">
        <f t="shared" si="551"/>
        <v>0.73477812177502577</v>
      </c>
      <c r="Y17" s="165">
        <f t="shared" ref="Y17:Z17" si="552">IFERROR(Y14*Y15*Y16,"")</f>
        <v>0.85861713106295134</v>
      </c>
      <c r="Z17" s="165">
        <f t="shared" si="552"/>
        <v>0.43343653250773989</v>
      </c>
      <c r="AA17" s="165">
        <f t="shared" ref="AA17:AB17" si="553">IFERROR(AA14*AA15*AA16,"")</f>
        <v>0.79656862745098034</v>
      </c>
      <c r="AB17" s="165">
        <f t="shared" si="553"/>
        <v>0.65631808278867099</v>
      </c>
      <c r="AC17" s="165">
        <f t="shared" ref="AC17:AD17" si="554">IFERROR(AC14*AC15*AC16,"")</f>
        <v>-0.44321895424836605</v>
      </c>
      <c r="AD17" s="165">
        <f t="shared" si="554"/>
        <v>3.4041394335511975E-2</v>
      </c>
      <c r="AE17" s="165">
        <f t="shared" ref="AE17:AF17" si="555">IFERROR(AE14*AE15*AE16,"")</f>
        <v>0.68853027936838462</v>
      </c>
      <c r="AF17" s="165">
        <f t="shared" si="555"/>
        <v>0.7337128399746996</v>
      </c>
      <c r="AG17" s="165">
        <f t="shared" ref="AG17:AH17" si="556">IFERROR(AG14*AG15*AG16,"")</f>
        <v>0.50517429193899788</v>
      </c>
      <c r="AH17" s="165">
        <f t="shared" si="556"/>
        <v>0.77069716775599117</v>
      </c>
      <c r="AI17" s="165">
        <f t="shared" ref="AI17:AJ17" si="557">IFERROR(AI14*AI15*AI16,"")</f>
        <v>0.71214596949891085</v>
      </c>
      <c r="AJ17" s="165">
        <f t="shared" si="557"/>
        <v>0.86764705882352933</v>
      </c>
      <c r="AK17" s="165">
        <f t="shared" ref="AK17:AL17" si="558">IFERROR(AK14*AK15*AK16,"")</f>
        <v>0.86710239651416121</v>
      </c>
      <c r="AL17" s="165">
        <f t="shared" si="558"/>
        <v>0.76660341555977207</v>
      </c>
      <c r="AM17" s="165">
        <f t="shared" ref="AM17:AN17" si="559">IFERROR(AM14*AM15*AM16,"")</f>
        <v>0.43818082788671026</v>
      </c>
      <c r="AN17" s="165">
        <f t="shared" si="559"/>
        <v>0.71595860566448799</v>
      </c>
      <c r="AO17" s="165">
        <f t="shared" ref="AO17:AP17" si="560">IFERROR(AO14*AO15*AO16,"")</f>
        <v>0.82870370370370372</v>
      </c>
      <c r="AP17" s="165">
        <f t="shared" si="560"/>
        <v>0.87772331154684091</v>
      </c>
      <c r="AQ17" s="165">
        <f t="shared" ref="AQ17:AR17" si="561">IFERROR(AQ14*AQ15*AQ16,"")</f>
        <v>0.72903050108932477</v>
      </c>
      <c r="AR17" s="165">
        <f t="shared" si="561"/>
        <v>0.54606788952139995</v>
      </c>
      <c r="AS17" s="165">
        <f t="shared" ref="AS17:AT17" si="562">IFERROR(AS14*AS15*AS16,"")</f>
        <v>0.74891067538126366</v>
      </c>
      <c r="AT17" s="165">
        <f t="shared" si="562"/>
        <v>0.65141612200435728</v>
      </c>
      <c r="AU17" s="165">
        <f t="shared" ref="AU17:AV17" si="563">IFERROR(AU14*AU15*AU16,"")</f>
        <v>0.48883442265795207</v>
      </c>
      <c r="AV17" s="165">
        <f t="shared" si="563"/>
        <v>0.74836601307189554</v>
      </c>
      <c r="AW17" s="165">
        <f t="shared" ref="AW17:AX17" si="564">IFERROR(AW14*AW15*AW16,"")</f>
        <v>0.85348583877995654</v>
      </c>
      <c r="AX17" s="165">
        <f t="shared" si="564"/>
        <v>0.77250685220324677</v>
      </c>
      <c r="AY17" s="165">
        <f t="shared" ref="AY17:AZ17" si="565">IFERROR(AY14*AY15*AY16,"")</f>
        <v>0.75789760348583868</v>
      </c>
      <c r="AZ17" s="165">
        <f t="shared" si="565"/>
        <v>0.40931372549019607</v>
      </c>
      <c r="BA17" s="165">
        <f t="shared" ref="BA17:BB17" si="566">IFERROR(BA14*BA15*BA16,"")</f>
        <v>0.38453159041394336</v>
      </c>
      <c r="BB17" s="165">
        <f t="shared" si="566"/>
        <v>0.58251633986928097</v>
      </c>
      <c r="BC17" s="165">
        <f t="shared" ref="BC17:BD17" si="567">IFERROR(BC14*BC15*BC16,"")</f>
        <v>0.3366013071895424</v>
      </c>
      <c r="BD17" s="165">
        <f t="shared" si="567"/>
        <v>0.61100569259962056</v>
      </c>
      <c r="BE17" s="165">
        <f t="shared" ref="BE17:BF17" si="568">IFERROR(BE14*BE15*BE16,"")</f>
        <v>0.30392156862745096</v>
      </c>
      <c r="BF17" s="165">
        <f t="shared" si="568"/>
        <v>0.48284313725490197</v>
      </c>
      <c r="BG17" s="165">
        <f t="shared" ref="BG17:BH17" si="569">IFERROR(BG14*BG15*BG16,"")</f>
        <v>0.78322440087145972</v>
      </c>
      <c r="BH17" s="165">
        <f t="shared" si="569"/>
        <v>0.76252723311546844</v>
      </c>
      <c r="BI17" s="165">
        <f t="shared" ref="BI17:BJ17" si="570">IFERROR(BI14*BI15*BI16,"")</f>
        <v>0.83959694989106759</v>
      </c>
      <c r="BJ17" s="165">
        <f t="shared" si="570"/>
        <v>0.70377398271136404</v>
      </c>
      <c r="BK17" s="165">
        <f t="shared" ref="BK17:BL17" si="571">IFERROR(BK14*BK15*BK16,"")</f>
        <v>0.73502178649237482</v>
      </c>
      <c r="BL17" s="165">
        <f t="shared" si="571"/>
        <v>0.74700435729847503</v>
      </c>
      <c r="BM17" s="165">
        <f t="shared" ref="BM17:BN17" si="572">IFERROR(BM14*BM15*BM16,"")</f>
        <v>0.68273420479302838</v>
      </c>
      <c r="BN17" s="165">
        <f t="shared" si="572"/>
        <v>0.67320261437908513</v>
      </c>
      <c r="BO17" s="165">
        <f t="shared" ref="BO17:BP17" si="573">IFERROR(BO14*BO15*BO16,"")</f>
        <v>0.64814814814814803</v>
      </c>
      <c r="BP17" s="165">
        <f t="shared" si="573"/>
        <v>0.68353362850516575</v>
      </c>
      <c r="BQ17" s="165">
        <f t="shared" ref="BQ17:BR17" si="574">IFERROR(BQ14*BQ15*BQ16,"")</f>
        <v>0.4972766884531592</v>
      </c>
      <c r="BR17" s="165">
        <f t="shared" si="574"/>
        <v>0.63834422657952072</v>
      </c>
      <c r="BS17" s="165">
        <f t="shared" ref="BS17:BT17" si="575">IFERROR(BS14*BS15*BS16,"")</f>
        <v>0.31372549019607843</v>
      </c>
      <c r="BT17" s="165">
        <f t="shared" si="575"/>
        <v>0.48529411764705876</v>
      </c>
      <c r="BU17" s="165">
        <f t="shared" ref="BU17:BV17" si="576">IFERROR(BU14*BU15*BU16,"")</f>
        <v>0.56862745098039225</v>
      </c>
      <c r="BV17" s="165">
        <f t="shared" si="576"/>
        <v>0.36873638344226584</v>
      </c>
      <c r="BW17" s="165">
        <f t="shared" ref="BW17:BX17" si="577">IFERROR(BW14*BW15*BW16,"")</f>
        <v>0.37173202614379081</v>
      </c>
      <c r="BX17" s="165">
        <f t="shared" si="577"/>
        <v>0.76388888888888884</v>
      </c>
      <c r="BY17" s="165">
        <f t="shared" ref="BY17:BZ17" si="578">IFERROR(BY14*BY15*BY16,"")</f>
        <v>0.70724400871459692</v>
      </c>
      <c r="BZ17" s="165">
        <f t="shared" si="578"/>
        <v>0.67837690631808278</v>
      </c>
      <c r="CA17" s="165">
        <f t="shared" ref="CA17:CB17" si="579">IFERROR(CA14*CA15*CA16,"")</f>
        <v>0.73792958043432411</v>
      </c>
      <c r="CB17" s="165">
        <f t="shared" si="579"/>
        <v>0.85757080610021796</v>
      </c>
      <c r="CC17" s="165">
        <f t="shared" ref="CC17:CD17" si="580">IFERROR(CC14*CC15*CC16,"")</f>
        <v>0.79983660130718948</v>
      </c>
      <c r="CD17" s="165">
        <f t="shared" si="580"/>
        <v>0.91639433551198246</v>
      </c>
      <c r="CE17" s="165">
        <f t="shared" ref="CE17:CF17" si="581">IFERROR(CE14*CE15*CE16,"")</f>
        <v>0.50179211469534057</v>
      </c>
      <c r="CF17" s="165">
        <f t="shared" si="581"/>
        <v>0.66285403050108926</v>
      </c>
      <c r="CG17" s="165">
        <f t="shared" ref="CG17:CH17" si="582">IFERROR(CG14*CG15*CG16,"")</f>
        <v>0.37499999999999989</v>
      </c>
      <c r="CH17" s="165">
        <f t="shared" si="582"/>
        <v>0.68545751633986929</v>
      </c>
      <c r="CI17" s="165">
        <f t="shared" ref="CI17:CJ17" si="583">IFERROR(CI14*CI15*CI16,"")</f>
        <v>0.45098039215686281</v>
      </c>
      <c r="CJ17" s="165">
        <f t="shared" si="583"/>
        <v>0.49019607843137258</v>
      </c>
      <c r="CK17" s="165">
        <f t="shared" ref="CK17:CL17" si="584">IFERROR(CK14*CK15*CK16,"")</f>
        <v>0.76829011174362216</v>
      </c>
      <c r="CL17" s="165">
        <f t="shared" si="584"/>
        <v>1.0149942329873123</v>
      </c>
      <c r="CM17" s="165">
        <f t="shared" ref="CM17:CN17" si="585">IFERROR(CM14*CM15*CM16,"")</f>
        <v>0.61982570806100223</v>
      </c>
      <c r="CN17" s="165">
        <f t="shared" si="585"/>
        <v>0.61111111111111105</v>
      </c>
      <c r="CO17" s="165">
        <f t="shared" ref="CO17:CP17" si="586">IFERROR(CO14*CO15*CO16,"")</f>
        <v>0.68572984749455357</v>
      </c>
      <c r="CP17" s="165">
        <f t="shared" si="586"/>
        <v>0.26579520697167758</v>
      </c>
      <c r="CQ17" s="165">
        <f t="shared" ref="CQ17:CR17" si="587">IFERROR(CQ14*CQ15*CQ16,"")</f>
        <v>0.56082648113008626</v>
      </c>
      <c r="CR17" s="165">
        <f t="shared" si="587"/>
        <v>0.8112264513648596</v>
      </c>
      <c r="CS17" s="165">
        <f t="shared" ref="CS17:CT17" si="588">IFERROR(CS14*CS15*CS16,"")</f>
        <v>0.71949891067538119</v>
      </c>
      <c r="CT17" s="165">
        <f t="shared" si="588"/>
        <v>0.75027233115468417</v>
      </c>
      <c r="CU17" s="165">
        <f t="shared" ref="CU17:CV17" si="589">IFERROR(CU14*CU15*CU16,"")</f>
        <v>0.83850762527233114</v>
      </c>
      <c r="CV17" s="165" t="str">
        <f t="shared" si="589"/>
        <v/>
      </c>
      <c r="CW17" s="165">
        <f t="shared" ref="CW17:CX17" si="590">IFERROR(CW14*CW15*CW16,"")</f>
        <v>0.2390739428301441</v>
      </c>
      <c r="CX17" s="165">
        <f t="shared" si="590"/>
        <v>0.86428296808919636</v>
      </c>
      <c r="CY17" s="165">
        <f t="shared" ref="CY17:CZ17" si="591">IFERROR(CY14*CY15*CY16,"")</f>
        <v>0.83687363834422657</v>
      </c>
      <c r="CZ17" s="165">
        <f t="shared" si="591"/>
        <v>0.90032679738562083</v>
      </c>
      <c r="DA17" s="165">
        <f t="shared" ref="DA17:DB17" si="592">IFERROR(DA14*DA15*DA16,"")</f>
        <v>0.84286492374727662</v>
      </c>
      <c r="DB17" s="165">
        <f t="shared" si="592"/>
        <v>0.96486928104575165</v>
      </c>
      <c r="DC17" s="165">
        <f t="shared" ref="DC17:DD17" si="593">IFERROR(DC14*DC15*DC16,"")</f>
        <v>0.9594226579520696</v>
      </c>
      <c r="DD17" s="165">
        <f t="shared" si="593"/>
        <v>0.84587813620071672</v>
      </c>
      <c r="DE17" s="165">
        <f t="shared" ref="DE17:DF17" si="594">IFERROR(DE14*DE15*DE16,"")</f>
        <v>0.7820069204152249</v>
      </c>
      <c r="DF17" s="165">
        <f t="shared" si="594"/>
        <v>0.70969498910675388</v>
      </c>
      <c r="DG17" s="165">
        <f t="shared" ref="DG17:DH17" si="595">IFERROR(DG14*DG15*DG16,"")</f>
        <v>0.87608932461873612</v>
      </c>
      <c r="DH17" s="165">
        <f t="shared" si="595"/>
        <v>0.66476034858387811</v>
      </c>
      <c r="DI17" s="165">
        <f t="shared" ref="DI17:DJ17" si="596">IFERROR(DI14*DI15*DI16,"")</f>
        <v>0.53322440087145972</v>
      </c>
      <c r="DJ17" s="165">
        <f t="shared" si="596"/>
        <v>0.80936819172113283</v>
      </c>
      <c r="DK17" s="165">
        <f t="shared" ref="DK17:DL17" si="597">IFERROR(DK14*DK15*DK16,"")</f>
        <v>0.48914189331646646</v>
      </c>
      <c r="DL17" s="165">
        <f t="shared" si="597"/>
        <v>0.55909586056644889</v>
      </c>
      <c r="DM17" s="165">
        <f t="shared" ref="DM17:DN17" si="598">IFERROR(DM14*DM15*DM16,"")</f>
        <v>0.89297385620915048</v>
      </c>
      <c r="DN17" s="165">
        <f t="shared" si="598"/>
        <v>0.89814814814814836</v>
      </c>
      <c r="DO17" s="165">
        <f t="shared" ref="DO17:DP17" si="599">IFERROR(DO14*DO15*DO16,"")</f>
        <v>0.95806100217864909</v>
      </c>
      <c r="DP17" s="165">
        <f t="shared" si="599"/>
        <v>0.79302832244008714</v>
      </c>
      <c r="DQ17" s="165">
        <f t="shared" ref="DQ17:DR17" si="600">IFERROR(DQ14*DQ15*DQ16,"")</f>
        <v>0.85979337971747838</v>
      </c>
      <c r="DR17" s="165">
        <f t="shared" si="600"/>
        <v>0.39978213507625276</v>
      </c>
      <c r="DS17" s="165">
        <f t="shared" ref="DS17:DT17" si="601">IFERROR(DS14*DS15*DS16,"")</f>
        <v>0.88834422657952061</v>
      </c>
      <c r="DT17" s="165">
        <f t="shared" si="601"/>
        <v>0.93082788671023964</v>
      </c>
      <c r="DU17" s="165">
        <f t="shared" ref="DU17" si="602">IFERROR(DU14*DU15*DU16,"")</f>
        <v>0.93167557084650299</v>
      </c>
      <c r="DV17" s="165">
        <f t="shared" ref="DV17:DW17" si="603">IFERROR(DV14*DV15*DV16,"")</f>
        <v>0.61056644880174293</v>
      </c>
      <c r="DW17" s="165">
        <f t="shared" si="603"/>
        <v>0.95382669196710945</v>
      </c>
      <c r="DX17" s="165">
        <f t="shared" ref="DX17:DY17" si="604">IFERROR(DX14*DX15*DX16,"")</f>
        <v>0.88888888888888884</v>
      </c>
      <c r="DY17" s="165">
        <f t="shared" si="604"/>
        <v>0.26933551198257077</v>
      </c>
      <c r="DZ17" s="165">
        <f t="shared" ref="DZ17:EA17" si="605">IFERROR(DZ14*DZ15*DZ16,"")</f>
        <v>0.88589324618736387</v>
      </c>
      <c r="EA17" s="165">
        <f t="shared" si="605"/>
        <v>0.88153594771241828</v>
      </c>
      <c r="EB17" s="165">
        <f t="shared" ref="EB17:EC17" si="606">IFERROR(EB14*EB15*EB16,"")</f>
        <v>0.8859371705671516</v>
      </c>
      <c r="EC17" s="165">
        <f t="shared" si="606"/>
        <v>0.92102396514161222</v>
      </c>
      <c r="ED17" s="165">
        <f t="shared" ref="ED17:EE17" si="607">IFERROR(ED14*ED15*ED16,"")</f>
        <v>0.72794117647058831</v>
      </c>
      <c r="EE17" s="165">
        <f t="shared" si="607"/>
        <v>0.67973856209150318</v>
      </c>
      <c r="EF17" s="165">
        <f t="shared" ref="EF17:EG17" si="608">IFERROR(EF14*EF15*EF16,"")</f>
        <v>0.77759103641456584</v>
      </c>
      <c r="EG17" s="165">
        <f t="shared" si="608"/>
        <v>0.644880174291939</v>
      </c>
      <c r="EH17" s="165">
        <f t="shared" ref="EH17:EI17" si="609">IFERROR(EH14*EH15*EH16,"")</f>
        <v>0.84714315833860443</v>
      </c>
      <c r="EI17" s="165">
        <f t="shared" si="609"/>
        <v>0.85266884531590392</v>
      </c>
      <c r="EJ17" s="165">
        <f t="shared" ref="EJ17:EK17" si="610">IFERROR(EJ14*EJ15*EJ16,"")</f>
        <v>0.81944444444444464</v>
      </c>
      <c r="EK17" s="165">
        <f t="shared" si="610"/>
        <v>0.90495642701525059</v>
      </c>
      <c r="EL17" s="165">
        <f t="shared" ref="EL17:EM17" si="611">IFERROR(EL14*EL15*EL16,"")</f>
        <v>0.43110021786492375</v>
      </c>
      <c r="EM17" s="165">
        <f t="shared" si="611"/>
        <v>0.57979302832243995</v>
      </c>
      <c r="EN17" s="165">
        <f t="shared" ref="EN17:EO17" si="612">IFERROR(EN14*EN15*EN16,"")</f>
        <v>0.71726755218216331</v>
      </c>
      <c r="EO17" s="165">
        <f t="shared" si="612"/>
        <v>0.33469498910675388</v>
      </c>
      <c r="EP17" s="165">
        <f t="shared" ref="EP17:EQ17" si="613">IFERROR(EP14*EP15*EP16,"")</f>
        <v>0.68654684095860552</v>
      </c>
      <c r="EQ17" s="165">
        <f t="shared" si="613"/>
        <v>0.93518518518518512</v>
      </c>
      <c r="ER17" s="165">
        <f t="shared" ref="ER17:ES17" si="614">IFERROR(ER14*ER15*ER16,"")</f>
        <v>0.92456427015250553</v>
      </c>
      <c r="ES17" s="165">
        <f t="shared" si="614"/>
        <v>0.9212962962962965</v>
      </c>
      <c r="ET17" s="165">
        <f t="shared" ref="ET17:EU17" si="615">IFERROR(ET14*ET15*ET16,"")</f>
        <v>0.93232131562302345</v>
      </c>
      <c r="EU17" s="165">
        <f t="shared" si="615"/>
        <v>0.87881263616557737</v>
      </c>
      <c r="EV17" s="165">
        <f t="shared" ref="EV17:EW17" si="616">IFERROR(EV14*EV15*EV16,"")</f>
        <v>0.89950980392156865</v>
      </c>
      <c r="EW17" s="165">
        <f t="shared" si="616"/>
        <v>0.78376906318082784</v>
      </c>
      <c r="EX17" s="165">
        <f t="shared" ref="EX17:EY17" si="617">IFERROR(EX14*EX15*EX16,"")</f>
        <v>0.49455337690631807</v>
      </c>
      <c r="EY17" s="165">
        <f t="shared" si="617"/>
        <v>0.47739651416122009</v>
      </c>
      <c r="EZ17" s="165">
        <f t="shared" ref="EZ17:FA17" si="618">IFERROR(EZ14*EZ15*EZ16,"")</f>
        <v>0.78979548808770816</v>
      </c>
      <c r="FA17" s="165">
        <f t="shared" si="618"/>
        <v>0.4389978213507626</v>
      </c>
      <c r="FB17" s="165">
        <f t="shared" ref="FB17:FC17" si="619">IFERROR(FB14*FB15*FB16,"")</f>
        <v>0.66966230936819171</v>
      </c>
      <c r="FC17" s="165">
        <f t="shared" si="619"/>
        <v>0.90196078431372539</v>
      </c>
      <c r="FD17" s="165">
        <f t="shared" ref="FD17:FE17" si="620">IFERROR(FD14*FD15*FD16,"")</f>
        <v>0.92020697167755994</v>
      </c>
      <c r="FE17" s="165">
        <f t="shared" si="620"/>
        <v>0.88534858387799575</v>
      </c>
      <c r="FF17" s="165">
        <f t="shared" ref="FF17:FG17" si="621">IFERROR(FF14*FF15*FF16,"")</f>
        <v>0.89141893316466358</v>
      </c>
      <c r="FG17" s="165" t="str">
        <f t="shared" si="621"/>
        <v/>
      </c>
      <c r="FH17" s="165">
        <f t="shared" ref="FH17:FI17" si="622">IFERROR(FH14*FH15*FH16,"")</f>
        <v>0.1968954248366013</v>
      </c>
      <c r="FI17" s="165">
        <f t="shared" si="622"/>
        <v>0.19961873638344227</v>
      </c>
      <c r="FJ17" s="165">
        <f t="shared" ref="FJ17:FK17" si="623">IFERROR(FJ14*FJ15*FJ16,"")</f>
        <v>0.48474945533769065</v>
      </c>
      <c r="FK17" s="165">
        <f t="shared" si="623"/>
        <v>0.64106753812636175</v>
      </c>
      <c r="FL17" s="165">
        <f t="shared" ref="FL17" si="624">IFERROR(FL14*FL15*FL16,"")</f>
        <v>0.38962681846932318</v>
      </c>
      <c r="FM17" s="165">
        <f>IFERROR(FM14*FM15*FM16,"")</f>
        <v>0.80637254901960798</v>
      </c>
      <c r="FN17" s="165">
        <f>IFERROR(FN14*FN15*FN16,"")</f>
        <v>0.97058823529411775</v>
      </c>
      <c r="FO17" s="165">
        <f>IFERROR(FO14*FO15*FO16,"")</f>
        <v>0.92647058823529427</v>
      </c>
      <c r="FP17" s="165">
        <f>IFERROR(FP14*FP15*FP16,"")</f>
        <v>0.82271241830065367</v>
      </c>
      <c r="FQ17" s="165"/>
      <c r="FR17" s="165"/>
      <c r="FS17" s="165"/>
      <c r="FT17" s="165"/>
      <c r="FU17" s="165"/>
      <c r="FV17" s="165"/>
      <c r="FW17" s="165"/>
      <c r="FX17" s="165"/>
      <c r="FY17" s="165"/>
      <c r="FZ17" s="165"/>
      <c r="GA17" s="165"/>
      <c r="GB17" s="165"/>
      <c r="GC17" s="165"/>
      <c r="GD17" s="165"/>
      <c r="GE17" s="165"/>
      <c r="GF17" s="165"/>
      <c r="GG17" s="165"/>
      <c r="GH17" s="165"/>
      <c r="GI17" s="165"/>
      <c r="GJ17" s="165"/>
      <c r="GK17" s="165"/>
      <c r="GL17" s="307" t="str">
        <f>IFERROR(GL14*GL15*GL16,"")</f>
        <v/>
      </c>
      <c r="GM17" s="320">
        <f>IFERROR(GM14*GM15*GM16,"-")</f>
        <v>0.6091868682759799</v>
      </c>
      <c r="GO17" s="138" t="s">
        <v>10</v>
      </c>
      <c r="GP17" s="374" t="s">
        <v>1672</v>
      </c>
      <c r="GQ17" s="374"/>
      <c r="GR17" s="374"/>
      <c r="GS17" s="374"/>
      <c r="GT17" s="374"/>
    </row>
    <row r="18" spans="1:206" ht="15" customHeight="1" x14ac:dyDescent="0.25">
      <c r="B18" s="2"/>
      <c r="C18" s="2"/>
    </row>
    <row r="21" spans="1:206" ht="15" customHeight="1" x14ac:dyDescent="0.25">
      <c r="A21" s="21"/>
      <c r="B21" s="2"/>
      <c r="C21" s="2"/>
      <c r="J21" s="55" t="s">
        <v>53</v>
      </c>
    </row>
    <row r="23" spans="1:206" ht="15" customHeight="1" x14ac:dyDescent="0.25">
      <c r="B23" s="11" t="s">
        <v>1660</v>
      </c>
      <c r="C23" s="11" t="s">
        <v>1661</v>
      </c>
      <c r="D23" s="11" t="s">
        <v>1738</v>
      </c>
      <c r="GR23" s="239"/>
    </row>
    <row r="24" spans="1:206" ht="15" customHeight="1" x14ac:dyDescent="0.25">
      <c r="A24" s="133" t="s">
        <v>1662</v>
      </c>
      <c r="B24" s="134"/>
      <c r="C24" s="134"/>
      <c r="D24" s="134">
        <v>0.85</v>
      </c>
    </row>
    <row r="25" spans="1:206" ht="15" customHeight="1" x14ac:dyDescent="0.25">
      <c r="A25" s="133" t="s">
        <v>1663</v>
      </c>
      <c r="B25" s="134"/>
      <c r="C25" s="134"/>
      <c r="D25" s="134">
        <v>0.85</v>
      </c>
    </row>
    <row r="26" spans="1:206" ht="15" customHeight="1" x14ac:dyDescent="0.25">
      <c r="A26" s="133" t="s">
        <v>37</v>
      </c>
      <c r="B26" s="134"/>
      <c r="C26" s="134"/>
      <c r="D26" s="134">
        <v>0.85</v>
      </c>
    </row>
    <row r="27" spans="1:206" ht="15" customHeight="1" x14ac:dyDescent="0.25">
      <c r="A27" s="133" t="s">
        <v>38</v>
      </c>
      <c r="B27" s="134"/>
      <c r="C27" s="134"/>
      <c r="D27" s="134">
        <v>0.85</v>
      </c>
      <c r="GX27" s="238"/>
    </row>
    <row r="28" spans="1:206" ht="15" customHeight="1" x14ac:dyDescent="0.25">
      <c r="A28" s="133" t="s">
        <v>39</v>
      </c>
      <c r="B28" s="134"/>
      <c r="C28" s="134"/>
      <c r="D28" s="134">
        <v>0.85</v>
      </c>
    </row>
    <row r="29" spans="1:206" ht="15" customHeight="1" x14ac:dyDescent="0.25">
      <c r="A29" s="133" t="s">
        <v>40</v>
      </c>
      <c r="B29" s="134"/>
      <c r="C29" s="134"/>
      <c r="D29" s="134">
        <v>0.85</v>
      </c>
    </row>
    <row r="30" spans="1:206" ht="15" customHeight="1" x14ac:dyDescent="0.25">
      <c r="A30" s="133" t="s">
        <v>1664</v>
      </c>
      <c r="B30" s="134"/>
      <c r="C30" s="134"/>
      <c r="D30" s="134">
        <v>0.85</v>
      </c>
    </row>
    <row r="31" spans="1:206" ht="15" customHeight="1" x14ac:dyDescent="0.25">
      <c r="A31" s="133" t="s">
        <v>42</v>
      </c>
      <c r="B31" s="134"/>
      <c r="C31" s="134"/>
      <c r="D31" s="134">
        <v>0.85</v>
      </c>
    </row>
    <row r="32" spans="1:206" ht="15" customHeight="1" x14ac:dyDescent="0.25">
      <c r="A32" s="133" t="s">
        <v>1665</v>
      </c>
      <c r="B32" s="134"/>
      <c r="C32" s="134"/>
      <c r="D32" s="134">
        <v>0.85</v>
      </c>
    </row>
    <row r="33" spans="1:6" ht="15" customHeight="1" x14ac:dyDescent="0.25">
      <c r="A33" s="133" t="s">
        <v>1666</v>
      </c>
      <c r="B33" s="134"/>
      <c r="C33" s="134"/>
      <c r="D33" s="134">
        <v>0.85</v>
      </c>
    </row>
    <row r="34" spans="1:6" ht="15" customHeight="1" x14ac:dyDescent="0.25">
      <c r="A34" s="133" t="s">
        <v>1667</v>
      </c>
      <c r="B34" s="134"/>
      <c r="C34" s="134"/>
      <c r="D34" s="134">
        <v>0.85</v>
      </c>
    </row>
    <row r="35" spans="1:6" ht="15" customHeight="1" x14ac:dyDescent="0.25">
      <c r="A35" s="133" t="s">
        <v>1668</v>
      </c>
      <c r="B35" s="134"/>
      <c r="C35" s="134"/>
      <c r="D35" s="134">
        <v>0.85</v>
      </c>
    </row>
    <row r="36" spans="1:6" ht="15" customHeight="1" x14ac:dyDescent="0.25">
      <c r="A36" s="133"/>
      <c r="B36" s="134"/>
      <c r="C36" s="134"/>
      <c r="D36" s="134"/>
    </row>
    <row r="37" spans="1:6" ht="15" customHeight="1" x14ac:dyDescent="0.25">
      <c r="A37" s="133"/>
      <c r="B37" s="134"/>
      <c r="C37" s="134"/>
      <c r="D37" s="134"/>
    </row>
    <row r="38" spans="1:6" ht="15" customHeight="1" x14ac:dyDescent="0.25">
      <c r="A38" s="133"/>
      <c r="B38" s="134"/>
      <c r="C38" s="134"/>
      <c r="D38" s="134"/>
    </row>
    <row r="39" spans="1:6" ht="15" customHeight="1" x14ac:dyDescent="0.25">
      <c r="A39" s="133"/>
      <c r="B39" s="134"/>
      <c r="C39" s="134"/>
      <c r="D39" s="134"/>
    </row>
    <row r="40" spans="1:6" ht="15" customHeight="1" x14ac:dyDescent="0.25">
      <c r="A40" s="133"/>
      <c r="B40" s="134"/>
      <c r="C40" s="134"/>
      <c r="D40" s="134"/>
    </row>
    <row r="41" spans="1:6" ht="15" customHeight="1" x14ac:dyDescent="0.25">
      <c r="A41" s="133"/>
      <c r="B41" s="134"/>
      <c r="C41" s="134"/>
      <c r="D41" s="134"/>
    </row>
    <row r="42" spans="1:6" ht="15" customHeight="1" x14ac:dyDescent="0.25">
      <c r="A42" s="133"/>
      <c r="B42" s="134"/>
      <c r="C42" s="134"/>
      <c r="D42" s="134"/>
    </row>
    <row r="43" spans="1:6" ht="15" customHeight="1" x14ac:dyDescent="0.25">
      <c r="A43" s="133"/>
      <c r="B43" s="134"/>
      <c r="C43" s="134"/>
      <c r="D43" s="134"/>
    </row>
    <row r="44" spans="1:6" ht="15" customHeight="1" x14ac:dyDescent="0.25">
      <c r="A44" s="133"/>
      <c r="B44" s="134"/>
      <c r="C44" s="134"/>
      <c r="D44" s="134"/>
    </row>
    <row r="45" spans="1:6" ht="15" customHeight="1" x14ac:dyDescent="0.25">
      <c r="A45" s="133"/>
      <c r="B45" s="134"/>
      <c r="C45" s="134"/>
      <c r="D45" s="134"/>
    </row>
    <row r="46" spans="1:6" ht="15" customHeight="1" x14ac:dyDescent="0.25">
      <c r="A46" s="133"/>
      <c r="B46" s="134"/>
      <c r="C46" s="134"/>
      <c r="D46" s="134"/>
    </row>
    <row r="47" spans="1:6" ht="15" customHeight="1" x14ac:dyDescent="0.25">
      <c r="A47" s="133"/>
      <c r="B47" s="134"/>
      <c r="C47" s="134"/>
      <c r="D47" s="134"/>
      <c r="F47" s="54">
        <f>+B11-B10</f>
        <v>0.75</v>
      </c>
    </row>
    <row r="48" spans="1:6" ht="15" customHeight="1" x14ac:dyDescent="0.25">
      <c r="A48" s="133"/>
      <c r="B48" s="134"/>
      <c r="C48" s="134"/>
      <c r="D48" s="134"/>
    </row>
    <row r="49" spans="1:4" ht="15" customHeight="1" x14ac:dyDescent="0.25">
      <c r="A49" s="133"/>
      <c r="B49" s="134"/>
      <c r="C49" s="134"/>
      <c r="D49" s="134"/>
    </row>
    <row r="50" spans="1:4" ht="15" customHeight="1" x14ac:dyDescent="0.25">
      <c r="A50" s="133"/>
      <c r="B50" s="134"/>
      <c r="C50" s="134"/>
      <c r="D50" s="134"/>
    </row>
    <row r="51" spans="1:4" ht="15" customHeight="1" x14ac:dyDescent="0.25">
      <c r="A51" s="133"/>
      <c r="B51" s="134"/>
      <c r="C51" s="134"/>
      <c r="D51" s="134"/>
    </row>
    <row r="52" spans="1:4" ht="15" customHeight="1" x14ac:dyDescent="0.25">
      <c r="A52" s="133"/>
      <c r="B52" s="134"/>
      <c r="C52" s="134"/>
      <c r="D52" s="134"/>
    </row>
    <row r="53" spans="1:4" ht="15" customHeight="1" x14ac:dyDescent="0.25">
      <c r="A53" s="133"/>
      <c r="B53" s="134"/>
      <c r="C53" s="134"/>
      <c r="D53" s="134"/>
    </row>
    <row r="54" spans="1:4" ht="15" customHeight="1" x14ac:dyDescent="0.25">
      <c r="A54" s="133"/>
      <c r="B54" s="134"/>
      <c r="C54" s="134"/>
      <c r="D54" s="134"/>
    </row>
    <row r="55" spans="1:4" ht="15" customHeight="1" x14ac:dyDescent="0.25">
      <c r="A55" s="133"/>
      <c r="B55" s="134"/>
      <c r="C55" s="134"/>
      <c r="D55" s="134"/>
    </row>
    <row r="56" spans="1:4" ht="15" customHeight="1" x14ac:dyDescent="0.25">
      <c r="A56" s="133"/>
      <c r="B56" s="134"/>
      <c r="C56" s="134"/>
      <c r="D56" s="134"/>
    </row>
    <row r="57" spans="1:4" ht="15" customHeight="1" x14ac:dyDescent="0.25">
      <c r="A57" s="133"/>
      <c r="B57" s="134"/>
      <c r="C57" s="134"/>
      <c r="D57" s="134"/>
    </row>
    <row r="58" spans="1:4" ht="15" customHeight="1" x14ac:dyDescent="0.25">
      <c r="A58" s="133"/>
      <c r="B58" s="134"/>
      <c r="C58" s="134"/>
      <c r="D58" s="134"/>
    </row>
  </sheetData>
  <sheetProtection formatCells="0" formatColumns="0" formatRows="0" insertColumns="0" insertRows="0" insertHyperlinks="0" deleteColumns="0" deleteRows="0" sort="0" autoFilter="0" pivotTables="0"/>
  <mergeCells count="9">
    <mergeCell ref="GP15:GT15"/>
    <mergeCell ref="GP16:GT16"/>
    <mergeCell ref="GP17:GT17"/>
    <mergeCell ref="GO1:GT1"/>
    <mergeCell ref="GP2:GT2"/>
    <mergeCell ref="GP3:GT3"/>
    <mergeCell ref="GP4:GT4"/>
    <mergeCell ref="GO13:GT13"/>
    <mergeCell ref="GP14:GT14"/>
  </mergeCells>
  <pageMargins left="0.23622047244094491" right="0.23622047244094491" top="0.74803149606299213" bottom="0.74803149606299213" header="0.31496062992125984" footer="0.31496062992125984"/>
  <pageSetup scale="15" fitToHeight="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tabColor rgb="FF0066FF"/>
    <pageSetUpPr fitToPage="1"/>
  </sheetPr>
  <dimension ref="A1:Y58"/>
  <sheetViews>
    <sheetView showGridLines="0" zoomScaleNormal="100" workbookViewId="0">
      <pane xSplit="1" topLeftCell="E1" activePane="topRight" state="frozen"/>
      <selection pane="topRight" activeCell="K10" sqref="K10"/>
    </sheetView>
  </sheetViews>
  <sheetFormatPr baseColWidth="10" defaultColWidth="9.140625" defaultRowHeight="15" customHeight="1" x14ac:dyDescent="0.25"/>
  <cols>
    <col min="1" max="1" width="31.42578125" bestFit="1" customWidth="1"/>
    <col min="2" max="5" width="15.7109375" customWidth="1"/>
    <col min="6" max="7" width="13.140625" bestFit="1" customWidth="1"/>
    <col min="8" max="8" width="11.5703125" customWidth="1"/>
    <col min="9" max="9" width="12.28515625" customWidth="1"/>
    <col min="10" max="10" width="9.28515625" bestFit="1" customWidth="1"/>
    <col min="11" max="11" width="12.42578125" customWidth="1"/>
    <col min="12" max="12" width="13.42578125" customWidth="1"/>
    <col min="13" max="13" width="10.5703125" bestFit="1" customWidth="1"/>
    <col min="14" max="14" width="15.7109375" customWidth="1"/>
    <col min="15" max="15" width="6.28515625" customWidth="1"/>
    <col min="16" max="16" width="22.7109375" bestFit="1" customWidth="1"/>
    <col min="17" max="17" width="11" customWidth="1"/>
    <col min="18" max="20" width="10.7109375" customWidth="1"/>
    <col min="21" max="21" width="3.85546875" customWidth="1"/>
  </cols>
  <sheetData>
    <row r="1" spans="1:21" ht="15" customHeight="1" x14ac:dyDescent="0.3">
      <c r="P1" s="375"/>
      <c r="Q1" s="375"/>
      <c r="R1" s="375"/>
      <c r="S1" s="375"/>
      <c r="T1" s="375"/>
      <c r="U1" s="375"/>
    </row>
    <row r="2" spans="1:21" ht="15" customHeight="1" x14ac:dyDescent="0.3">
      <c r="P2" s="139"/>
      <c r="Q2" s="375"/>
      <c r="R2" s="375"/>
      <c r="S2" s="375"/>
      <c r="T2" s="375"/>
      <c r="U2" s="375"/>
    </row>
    <row r="3" spans="1:21" ht="15" customHeight="1" x14ac:dyDescent="0.3">
      <c r="A3" s="21"/>
      <c r="B3" s="2"/>
      <c r="H3" s="132"/>
      <c r="I3" s="132"/>
      <c r="J3" s="132"/>
      <c r="K3" s="132"/>
      <c r="L3" s="132"/>
      <c r="M3" s="132"/>
      <c r="P3" s="139"/>
      <c r="Q3" s="375"/>
      <c r="R3" s="375"/>
      <c r="S3" s="375"/>
      <c r="T3" s="375"/>
      <c r="U3" s="375"/>
    </row>
    <row r="4" spans="1:21" ht="15" customHeight="1" thickBot="1" x14ac:dyDescent="0.35">
      <c r="A4" s="2"/>
      <c r="B4" s="2"/>
      <c r="H4" s="132"/>
      <c r="I4" s="132"/>
      <c r="J4" s="132"/>
      <c r="K4" s="132"/>
      <c r="L4" s="132"/>
      <c r="M4" s="132"/>
      <c r="P4" s="139"/>
      <c r="Q4" s="375"/>
      <c r="R4" s="375"/>
      <c r="S4" s="375"/>
      <c r="T4" s="375"/>
      <c r="U4" s="375"/>
    </row>
    <row r="5" spans="1:21" ht="15.95" customHeight="1" x14ac:dyDescent="0.3">
      <c r="A5" s="178" t="s">
        <v>1677</v>
      </c>
      <c r="B5" s="161" t="s">
        <v>35</v>
      </c>
      <c r="C5" s="161" t="s">
        <v>36</v>
      </c>
      <c r="D5" s="161" t="s">
        <v>1774</v>
      </c>
      <c r="E5" s="161" t="s">
        <v>38</v>
      </c>
      <c r="F5" s="161" t="s">
        <v>1778</v>
      </c>
      <c r="G5" s="161" t="s">
        <v>40</v>
      </c>
      <c r="H5" s="161" t="s">
        <v>41</v>
      </c>
      <c r="I5" s="161" t="s">
        <v>1786</v>
      </c>
      <c r="J5" s="162" t="s">
        <v>43</v>
      </c>
      <c r="K5" s="162" t="s">
        <v>44</v>
      </c>
      <c r="L5" s="162" t="s">
        <v>1802</v>
      </c>
      <c r="M5" s="162" t="s">
        <v>46</v>
      </c>
      <c r="N5" s="163">
        <v>2024</v>
      </c>
    </row>
    <row r="6" spans="1:21" ht="15.95" customHeight="1" x14ac:dyDescent="0.3">
      <c r="A6" s="167" t="s">
        <v>47</v>
      </c>
      <c r="B6" s="150">
        <f>SUM('OEE REA'!$M3:$M47)</f>
        <v>38386</v>
      </c>
      <c r="C6" s="150">
        <f>SUM('OEE REA'!$M48:$M109)</f>
        <v>52635</v>
      </c>
      <c r="D6" s="150">
        <f>SUM('OEE REA'!$M110:$M180)</f>
        <v>55762</v>
      </c>
      <c r="E6" s="150">
        <f>SUM('OEE REA'!$M181:$M249)</f>
        <v>50163</v>
      </c>
      <c r="F6" s="150">
        <f>SUM('OEE REA'!$M250:$M323)</f>
        <v>65098</v>
      </c>
      <c r="G6" s="150">
        <f>SUM('OEE REA'!$M324:$M394)</f>
        <v>57830</v>
      </c>
      <c r="H6" s="150">
        <f>SUM('OEE REA'!$M395:$M471)</f>
        <v>65769</v>
      </c>
      <c r="I6" s="150"/>
      <c r="J6" s="150"/>
      <c r="K6" s="150"/>
      <c r="L6" s="150"/>
      <c r="M6" s="150"/>
      <c r="N6" s="164"/>
    </row>
    <row r="7" spans="1:21" ht="15.95" customHeight="1" x14ac:dyDescent="0.3">
      <c r="A7" s="168" t="s">
        <v>48</v>
      </c>
      <c r="B7" s="151">
        <f>SUM('OEE REA'!$AK3:$AK47)</f>
        <v>232</v>
      </c>
      <c r="C7" s="151">
        <f>SUM('OEE REA'!$AK48:$AK109)</f>
        <v>422</v>
      </c>
      <c r="D7" s="151">
        <f>SUM('OEE REA'!$AK110:$AK180)</f>
        <v>473</v>
      </c>
      <c r="E7" s="151">
        <f>SUM('OEE REA'!$AK181:$AK249)</f>
        <v>598</v>
      </c>
      <c r="F7" s="151">
        <f>SUM('OEE REA'!$AK250:$AK323)</f>
        <v>615</v>
      </c>
      <c r="G7" s="151">
        <f>SUM('OEE REA'!$AK324:$AK394)</f>
        <v>323</v>
      </c>
      <c r="H7" s="151">
        <f>SUM('OEE REA'!$AK395:$AK471)</f>
        <v>386</v>
      </c>
      <c r="I7" s="151"/>
      <c r="J7" s="151"/>
      <c r="K7" s="151"/>
      <c r="L7" s="151"/>
      <c r="M7" s="151"/>
      <c r="N7" s="140"/>
    </row>
    <row r="8" spans="1:21" ht="15.95" customHeight="1" x14ac:dyDescent="0.3">
      <c r="A8" s="169" t="s">
        <v>49</v>
      </c>
      <c r="B8" s="152">
        <f t="shared" ref="B8" si="0">B6-B7</f>
        <v>38154</v>
      </c>
      <c r="C8" s="152">
        <f t="shared" ref="C8:D8" si="1">C6-C7</f>
        <v>52213</v>
      </c>
      <c r="D8" s="152">
        <f t="shared" si="1"/>
        <v>55289</v>
      </c>
      <c r="E8" s="152">
        <f t="shared" ref="E8:F8" si="2">E6-E7</f>
        <v>49565</v>
      </c>
      <c r="F8" s="152">
        <f t="shared" si="2"/>
        <v>64483</v>
      </c>
      <c r="G8" s="152">
        <f t="shared" ref="G8:H8" si="3">G6-G7</f>
        <v>57507</v>
      </c>
      <c r="H8" s="152">
        <f t="shared" si="3"/>
        <v>65383</v>
      </c>
      <c r="I8" s="152">
        <f t="shared" ref="I8" si="4">I6-I7</f>
        <v>0</v>
      </c>
      <c r="J8" s="152">
        <f t="shared" ref="J8:K8" si="5">J6-J7</f>
        <v>0</v>
      </c>
      <c r="K8" s="152">
        <f t="shared" si="5"/>
        <v>0</v>
      </c>
      <c r="L8" s="152">
        <f t="shared" ref="L8:M8" si="6">L6-L7</f>
        <v>0</v>
      </c>
      <c r="M8" s="152">
        <f t="shared" si="6"/>
        <v>0</v>
      </c>
      <c r="N8" s="141">
        <f t="shared" ref="N8:N11" si="7">SUM(B8:M8)</f>
        <v>382594</v>
      </c>
    </row>
    <row r="9" spans="1:21" ht="15.95" customHeight="1" x14ac:dyDescent="0.3">
      <c r="A9" s="170" t="s">
        <v>1676</v>
      </c>
      <c r="B9" s="155">
        <f>SUM('OEE REA'!$BC3:$BC47)/60</f>
        <v>250.88888888888889</v>
      </c>
      <c r="C9" s="155">
        <f>SUM('OEE REA'!$BC48:$BC109)/60</f>
        <v>341.79738562091495</v>
      </c>
      <c r="D9" s="155">
        <f>SUM('OEE REA'!$BC110:$BC180)/60</f>
        <v>364.4575163398693</v>
      </c>
      <c r="E9" s="155">
        <f>SUM('OEE REA'!$BC181:$BC249)/60</f>
        <v>327.86274509803923</v>
      </c>
      <c r="F9" s="155">
        <f>SUM('OEE REA'!$BC250:$BC323)/60</f>
        <v>425.47712418300659</v>
      </c>
      <c r="G9" s="155">
        <f>SUM('OEE REA'!$BC324:$BC394)/60</f>
        <v>377.97385620915043</v>
      </c>
      <c r="H9" s="155">
        <f>SUM('OEE REA'!$BC395:$BC471)/60</f>
        <v>429.86274509803928</v>
      </c>
      <c r="I9" s="155">
        <f>SUM('SPEED FACTOR REA'!$M227:$M265)/160</f>
        <v>0</v>
      </c>
      <c r="J9" s="155">
        <f>SUM('SPEED FACTOR REA'!$M266:$M305)/160</f>
        <v>0</v>
      </c>
      <c r="K9" s="155" t="e">
        <f>SUM('OEE REA'!#REF!)/160</f>
        <v>#REF!</v>
      </c>
      <c r="L9" s="155">
        <f>SUM('SPEED FACTOR REA'!$M356:$M395)/160</f>
        <v>0</v>
      </c>
      <c r="M9" s="155">
        <f>SUM('SPEED FACTOR REA'!$M396:$M424)/160</f>
        <v>0</v>
      </c>
      <c r="N9" s="142" t="e">
        <f t="shared" si="7"/>
        <v>#REF!</v>
      </c>
    </row>
    <row r="10" spans="1:21" ht="15.95" customHeight="1" x14ac:dyDescent="0.3">
      <c r="A10" s="171" t="s">
        <v>1675</v>
      </c>
      <c r="B10" s="154">
        <f>SUM('OEE REA'!$BD3:$BD47)/60</f>
        <v>337.86666666666667</v>
      </c>
      <c r="C10" s="154">
        <f>SUM('OEE REA'!$BD48:$BD109)/60</f>
        <v>417.05</v>
      </c>
      <c r="D10" s="154">
        <f>SUM('OEE REA'!$BD110:$BD180)/60</f>
        <v>513.04999999999995</v>
      </c>
      <c r="E10" s="154">
        <f>SUM('OEE REA'!$BD181:$BD249)/60</f>
        <v>491.86666666666667</v>
      </c>
      <c r="F10" s="154">
        <f>SUM('OEE REA'!$BD250:$BD323)/60</f>
        <v>513.98333333333335</v>
      </c>
      <c r="G10" s="154">
        <f>SUM('OEE REA'!$BD324:$BD394)/60</f>
        <v>470.18333333333334</v>
      </c>
      <c r="H10" s="154">
        <f>SUM('OEE REA'!$BD395:$BD471)/60</f>
        <v>537.06666666666672</v>
      </c>
      <c r="I10" s="154">
        <f>SUM('SPEED FACTOR REA'!N227:N265)/160</f>
        <v>0</v>
      </c>
      <c r="J10" s="154">
        <f>SUM('SPEED FACTOR REA'!N266:N305)/160</f>
        <v>0</v>
      </c>
      <c r="K10" s="154" t="e">
        <f>SUM('OEE REA'!#REF!)/160</f>
        <v>#REF!</v>
      </c>
      <c r="L10" s="154">
        <f>SUM('SPEED FACTOR REA'!N356:N395)/160</f>
        <v>0</v>
      </c>
      <c r="M10" s="154">
        <f>SUM('SPEED FACTOR REA'!N396:N424)/160</f>
        <v>0</v>
      </c>
      <c r="N10" s="143" t="e">
        <f t="shared" si="7"/>
        <v>#REF!</v>
      </c>
    </row>
    <row r="11" spans="1:21" ht="15.95" customHeight="1" x14ac:dyDescent="0.3">
      <c r="A11" s="172" t="s">
        <v>1674</v>
      </c>
      <c r="B11" s="155">
        <f>SUM('OEE REA'!$BE3:$BE47)/60</f>
        <v>371.91666666666669</v>
      </c>
      <c r="C11" s="155">
        <f>SUM('OEE REA'!$BE48:$BE109)/60</f>
        <v>470.03333333333336</v>
      </c>
      <c r="D11" s="155">
        <f>SUM('OEE REA'!$BE110:$BE180)/60</f>
        <v>565.5</v>
      </c>
      <c r="E11" s="155">
        <f>SUM('OEE REA'!$BE181:$BE249)/60</f>
        <v>550.5</v>
      </c>
      <c r="F11" s="155">
        <f>SUM('OEE REA'!$BE250:$BE323)/60</f>
        <v>557.33333333333337</v>
      </c>
      <c r="G11" s="155">
        <f>SUM('OEE REA'!$BE324:$BE394)/60</f>
        <v>511.5</v>
      </c>
      <c r="H11" s="155">
        <f>SUM('OEE REA'!$BE395:$BE471)/60</f>
        <v>590</v>
      </c>
      <c r="I11" s="155">
        <f>SUM('SPEED FACTOR REA'!$O227:$O265)/160</f>
        <v>0</v>
      </c>
      <c r="J11" s="155">
        <f>SUM('SPEED FACTOR REA'!$O266:$O305)/160</f>
        <v>0</v>
      </c>
      <c r="K11" s="155">
        <f>SUM('SPEED FACTOR REA'!$O310:$O355)/160</f>
        <v>0</v>
      </c>
      <c r="L11" s="155">
        <f>SUM('SPEED FACTOR REA'!$O356:$O395)/160</f>
        <v>0</v>
      </c>
      <c r="M11" s="155">
        <f>SUM('SPEED FACTOR REA'!$O396:$O424)/160</f>
        <v>0</v>
      </c>
      <c r="N11" s="144">
        <f t="shared" si="7"/>
        <v>3616.7833333333333</v>
      </c>
    </row>
    <row r="12" spans="1:21" ht="15.95" customHeight="1" x14ac:dyDescent="0.3">
      <c r="A12" s="173" t="s">
        <v>50</v>
      </c>
      <c r="B12" s="156">
        <f t="shared" ref="B12:G12" si="8">B10-B11</f>
        <v>-34.050000000000011</v>
      </c>
      <c r="C12" s="156">
        <f t="shared" si="8"/>
        <v>-52.983333333333348</v>
      </c>
      <c r="D12" s="156">
        <f t="shared" si="8"/>
        <v>-52.450000000000045</v>
      </c>
      <c r="E12" s="156">
        <f t="shared" si="8"/>
        <v>-58.633333333333326</v>
      </c>
      <c r="F12" s="156">
        <f t="shared" si="8"/>
        <v>-43.350000000000023</v>
      </c>
      <c r="G12" s="156">
        <f t="shared" si="8"/>
        <v>-41.316666666666663</v>
      </c>
      <c r="H12" s="156">
        <f t="shared" ref="H12" si="9">H10-H11</f>
        <v>-52.93333333333328</v>
      </c>
      <c r="I12" s="156">
        <f t="shared" ref="I12" si="10">I9-I11</f>
        <v>0</v>
      </c>
      <c r="J12" s="156">
        <f t="shared" ref="J12:K12" si="11">J9-J11</f>
        <v>0</v>
      </c>
      <c r="K12" s="156" t="e">
        <f t="shared" si="11"/>
        <v>#REF!</v>
      </c>
      <c r="L12" s="156">
        <f t="shared" ref="L12" si="12">L9-L11</f>
        <v>0</v>
      </c>
      <c r="M12" s="156">
        <f>M9-M11</f>
        <v>0</v>
      </c>
      <c r="N12" s="145" t="e">
        <f>N11-N10</f>
        <v>#REF!</v>
      </c>
    </row>
    <row r="13" spans="1:21" ht="15.95" customHeight="1" x14ac:dyDescent="0.3">
      <c r="A13" s="174" t="s">
        <v>51</v>
      </c>
      <c r="B13" s="157">
        <f t="shared" ref="B13:G13" si="13">IFERROR(B7/B6*1000000,"")</f>
        <v>6043.8701609961963</v>
      </c>
      <c r="C13" s="157">
        <f t="shared" si="13"/>
        <v>8017.4788638738491</v>
      </c>
      <c r="D13" s="157">
        <f t="shared" si="13"/>
        <v>8482.4791076360252</v>
      </c>
      <c r="E13" s="157">
        <f t="shared" si="13"/>
        <v>11921.137093076572</v>
      </c>
      <c r="F13" s="157">
        <f t="shared" si="13"/>
        <v>9447.2948477679802</v>
      </c>
      <c r="G13" s="157">
        <f t="shared" si="13"/>
        <v>5585.3363306242436</v>
      </c>
      <c r="H13" s="157">
        <f t="shared" ref="H13" si="14">IFERROR(H7/H6*1000000,"")</f>
        <v>5869.0264410284481</v>
      </c>
      <c r="I13" s="157" t="str">
        <f t="shared" ref="I13" si="15">IFERROR(I7/I6*1000000,"")</f>
        <v/>
      </c>
      <c r="J13" s="157" t="str">
        <f t="shared" ref="J13:K13" si="16">IFERROR(J7/J6*1000000,"")</f>
        <v/>
      </c>
      <c r="K13" s="157" t="str">
        <f t="shared" si="16"/>
        <v/>
      </c>
      <c r="L13" s="157" t="str">
        <f t="shared" ref="L13" si="17">IFERROR(L7/L6*1000000,"")</f>
        <v/>
      </c>
      <c r="M13" s="157" t="str">
        <f>IFERROR(M7/M6*1000000,"")</f>
        <v/>
      </c>
      <c r="N13" s="146" t="str">
        <f>IFERROR(N7/N6*1000000,"-")</f>
        <v>-</v>
      </c>
      <c r="P13" s="376" t="s">
        <v>1673</v>
      </c>
      <c r="Q13" s="376"/>
      <c r="R13" s="376"/>
      <c r="S13" s="376"/>
      <c r="T13" s="376"/>
      <c r="U13" s="376"/>
    </row>
    <row r="14" spans="1:21" ht="15.95" customHeight="1" x14ac:dyDescent="0.3">
      <c r="A14" s="174" t="s">
        <v>52</v>
      </c>
      <c r="B14" s="158">
        <f t="shared" ref="B14:G14" si="18">IFERROR(1-(B13/1000000),"")</f>
        <v>0.99395612983900383</v>
      </c>
      <c r="C14" s="158">
        <f t="shared" si="18"/>
        <v>0.99198252113612617</v>
      </c>
      <c r="D14" s="158">
        <f t="shared" si="18"/>
        <v>0.991517520892364</v>
      </c>
      <c r="E14" s="158">
        <f t="shared" si="18"/>
        <v>0.98807886290692348</v>
      </c>
      <c r="F14" s="158">
        <f t="shared" si="18"/>
        <v>0.99055270515223204</v>
      </c>
      <c r="G14" s="158">
        <f t="shared" si="18"/>
        <v>0.99441466366937581</v>
      </c>
      <c r="H14" s="158">
        <f t="shared" ref="H14" si="19">IFERROR(1-(H13/1000000),"")</f>
        <v>0.99413097355897151</v>
      </c>
      <c r="I14" s="158" t="str">
        <f t="shared" ref="I14" si="20">IFERROR(1-(I13/1000000),"")</f>
        <v/>
      </c>
      <c r="J14" s="158" t="str">
        <f t="shared" ref="J14:K14" si="21">IFERROR(1-(J13/1000000),"")</f>
        <v/>
      </c>
      <c r="K14" s="158" t="str">
        <f t="shared" si="21"/>
        <v/>
      </c>
      <c r="L14" s="158" t="str">
        <f t="shared" ref="L14:M14" si="22">IFERROR(1-(L13/1000000),"")</f>
        <v/>
      </c>
      <c r="M14" s="158" t="str">
        <f t="shared" si="22"/>
        <v/>
      </c>
      <c r="N14" s="147" t="str">
        <f>IFERROR(1-(N7/N6),"-")</f>
        <v>-</v>
      </c>
      <c r="P14" s="135" t="s">
        <v>52</v>
      </c>
      <c r="Q14" s="374" t="s">
        <v>1669</v>
      </c>
      <c r="R14" s="374"/>
      <c r="S14" s="374"/>
      <c r="T14" s="374"/>
      <c r="U14" s="374"/>
    </row>
    <row r="15" spans="1:21" ht="15.95" customHeight="1" x14ac:dyDescent="0.3">
      <c r="A15" s="175" t="s">
        <v>33</v>
      </c>
      <c r="B15" s="159">
        <f t="shared" ref="B15:G15" si="23">IFERROR(B9/B10,"")</f>
        <v>0.74256774533017622</v>
      </c>
      <c r="C15" s="159">
        <f t="shared" si="23"/>
        <v>0.81955973053810083</v>
      </c>
      <c r="D15" s="159">
        <f t="shared" si="23"/>
        <v>0.71037426437943541</v>
      </c>
      <c r="E15" s="159">
        <f t="shared" si="23"/>
        <v>0.66656833511393176</v>
      </c>
      <c r="F15" s="159">
        <f t="shared" si="23"/>
        <v>0.82780334806512512</v>
      </c>
      <c r="G15" s="159">
        <f t="shared" si="23"/>
        <v>0.80388612146145211</v>
      </c>
      <c r="H15" s="159">
        <f t="shared" ref="H15" si="24">IFERROR(H9/H10,"")</f>
        <v>0.80038991763537592</v>
      </c>
      <c r="I15" s="159" t="str">
        <f t="shared" ref="I15:J15" si="25">IFERROR(I9/I10,"")</f>
        <v/>
      </c>
      <c r="J15" s="159" t="str">
        <f t="shared" si="25"/>
        <v/>
      </c>
      <c r="K15" s="159" t="str">
        <f t="shared" ref="K15" si="26">IFERROR(K9/K10,"")</f>
        <v/>
      </c>
      <c r="L15" s="159" t="str">
        <f>IFERROR(L9/L10,"")</f>
        <v/>
      </c>
      <c r="M15" s="159" t="str">
        <f>IFERROR(M9/M10,"")</f>
        <v/>
      </c>
      <c r="N15" s="148" t="e">
        <f>N9/N10</f>
        <v>#REF!</v>
      </c>
      <c r="P15" s="136" t="s">
        <v>33</v>
      </c>
      <c r="Q15" s="374" t="s">
        <v>1670</v>
      </c>
      <c r="R15" s="374"/>
      <c r="S15" s="374"/>
      <c r="T15" s="374"/>
      <c r="U15" s="374"/>
    </row>
    <row r="16" spans="1:21" ht="15.95" customHeight="1" x14ac:dyDescent="0.3">
      <c r="A16" s="176" t="s">
        <v>34</v>
      </c>
      <c r="B16" s="160">
        <f t="shared" ref="B16" si="27">IFERROR(B10/B11,"")</f>
        <v>0.90844723280304729</v>
      </c>
      <c r="C16" s="160">
        <f t="shared" ref="C16:D16" si="28">IFERROR(C10/C11,"")</f>
        <v>0.88727749804978373</v>
      </c>
      <c r="D16" s="160">
        <f t="shared" si="28"/>
        <v>0.90725022104332442</v>
      </c>
      <c r="E16" s="160">
        <f t="shared" ref="E16:F16" si="29">IFERROR(E10/E11,"")</f>
        <v>0.89349076597033006</v>
      </c>
      <c r="F16" s="160">
        <f t="shared" si="29"/>
        <v>0.92221889952153102</v>
      </c>
      <c r="G16" s="160">
        <f>IFERROR(G10/G11,"")</f>
        <v>0.91922450309547088</v>
      </c>
      <c r="H16" s="160">
        <f>IFERROR(H10/H11,"")</f>
        <v>0.91028248587570626</v>
      </c>
      <c r="I16" s="160" t="str">
        <f t="shared" ref="I16:L16" si="30">IFERROR(I10/I11,"")</f>
        <v/>
      </c>
      <c r="J16" s="160" t="str">
        <f t="shared" si="30"/>
        <v/>
      </c>
      <c r="K16" s="160" t="str">
        <f t="shared" si="30"/>
        <v/>
      </c>
      <c r="L16" s="160" t="str">
        <f t="shared" si="30"/>
        <v/>
      </c>
      <c r="M16" s="160" t="str">
        <f t="shared" ref="M16" si="31">IFERROR(M10/M11,"")</f>
        <v/>
      </c>
      <c r="N16" s="149" t="e">
        <f>N11/N10</f>
        <v>#REF!</v>
      </c>
      <c r="P16" s="137" t="s">
        <v>34</v>
      </c>
      <c r="Q16" s="374" t="s">
        <v>1671</v>
      </c>
      <c r="R16" s="374"/>
      <c r="S16" s="374"/>
      <c r="T16" s="374"/>
      <c r="U16" s="374"/>
    </row>
    <row r="17" spans="1:25" ht="15.95" customHeight="1" thickBot="1" x14ac:dyDescent="0.35">
      <c r="A17" s="177" t="s">
        <v>10</v>
      </c>
      <c r="B17" s="165">
        <f t="shared" ref="B17:G17" si="32">IFERROR(B14*B15*B16,"")</f>
        <v>0.6705065176417867</v>
      </c>
      <c r="C17" s="165">
        <f t="shared" si="32"/>
        <v>0.72134678173031397</v>
      </c>
      <c r="D17" s="165">
        <f t="shared" si="32"/>
        <v>0.63902035910149513</v>
      </c>
      <c r="E17" s="165">
        <f t="shared" si="32"/>
        <v>0.58847274907540981</v>
      </c>
      <c r="F17" s="165">
        <f t="shared" si="32"/>
        <v>0.75620367764330609</v>
      </c>
      <c r="G17" s="165">
        <f t="shared" si="32"/>
        <v>0.73482452609587368</v>
      </c>
      <c r="H17" s="165">
        <f t="shared" ref="H17" si="33">IFERROR(H14*H15*H16,"")</f>
        <v>0.72430486318821319</v>
      </c>
      <c r="I17" s="165" t="str">
        <f t="shared" ref="I17" si="34">IFERROR(I14*I15*I16,"")</f>
        <v/>
      </c>
      <c r="J17" s="165" t="str">
        <f t="shared" ref="J17:K17" si="35">IFERROR(J14*J15*J16,"")</f>
        <v/>
      </c>
      <c r="K17" s="165" t="str">
        <f t="shared" si="35"/>
        <v/>
      </c>
      <c r="L17" s="165" t="str">
        <f t="shared" ref="L17" si="36">IFERROR(L14*L15*L16,"")</f>
        <v/>
      </c>
      <c r="M17" s="165" t="str">
        <f>IFERROR(M14*M15*M16,"")</f>
        <v/>
      </c>
      <c r="N17" s="166" t="str">
        <f>IFERROR(N14*N15*N16,"-")</f>
        <v>-</v>
      </c>
      <c r="P17" s="138" t="s">
        <v>10</v>
      </c>
      <c r="Q17" s="374" t="s">
        <v>1672</v>
      </c>
      <c r="R17" s="374"/>
      <c r="S17" s="374"/>
      <c r="T17" s="374"/>
      <c r="U17" s="374"/>
    </row>
    <row r="18" spans="1:25" ht="15" customHeight="1" x14ac:dyDescent="0.25">
      <c r="B18" s="2"/>
      <c r="C18" s="2"/>
    </row>
    <row r="21" spans="1:25" ht="15" customHeight="1" x14ac:dyDescent="0.25">
      <c r="A21" s="21"/>
      <c r="B21" s="2"/>
      <c r="C21" s="2"/>
      <c r="J21" s="55" t="s">
        <v>53</v>
      </c>
    </row>
    <row r="23" spans="1:25" ht="15" customHeight="1" x14ac:dyDescent="0.25">
      <c r="B23" s="11" t="s">
        <v>1660</v>
      </c>
      <c r="C23" s="11" t="s">
        <v>1661</v>
      </c>
      <c r="D23" s="11" t="s">
        <v>1738</v>
      </c>
      <c r="S23" s="239"/>
    </row>
    <row r="24" spans="1:25" ht="15" customHeight="1" x14ac:dyDescent="0.25">
      <c r="A24" s="133" t="s">
        <v>1662</v>
      </c>
      <c r="B24" s="134">
        <v>0.74260000000000004</v>
      </c>
      <c r="C24" s="134">
        <v>0.90839999999999999</v>
      </c>
      <c r="D24" s="134">
        <v>0.85</v>
      </c>
    </row>
    <row r="25" spans="1:25" ht="15" customHeight="1" x14ac:dyDescent="0.25">
      <c r="A25" s="133" t="s">
        <v>1663</v>
      </c>
      <c r="B25" s="134"/>
      <c r="C25" s="134"/>
      <c r="D25" s="134">
        <v>0.85</v>
      </c>
    </row>
    <row r="26" spans="1:25" ht="15" customHeight="1" x14ac:dyDescent="0.25">
      <c r="A26" s="133" t="s">
        <v>37</v>
      </c>
      <c r="B26" s="134"/>
      <c r="C26" s="134"/>
      <c r="D26" s="134">
        <v>0.85</v>
      </c>
    </row>
    <row r="27" spans="1:25" ht="15" customHeight="1" x14ac:dyDescent="0.25">
      <c r="A27" s="133" t="s">
        <v>38</v>
      </c>
      <c r="B27" s="134"/>
      <c r="C27" s="134"/>
      <c r="D27" s="134">
        <v>0.85</v>
      </c>
      <c r="Y27" s="238"/>
    </row>
    <row r="28" spans="1:25" ht="15" customHeight="1" x14ac:dyDescent="0.25">
      <c r="A28" s="133" t="s">
        <v>39</v>
      </c>
      <c r="B28" s="134"/>
      <c r="C28" s="134"/>
      <c r="D28" s="134">
        <v>0.85</v>
      </c>
    </row>
    <row r="29" spans="1:25" ht="15" customHeight="1" x14ac:dyDescent="0.25">
      <c r="A29" s="133" t="s">
        <v>40</v>
      </c>
      <c r="B29" s="134"/>
      <c r="C29" s="134"/>
      <c r="D29" s="134">
        <v>0.85</v>
      </c>
    </row>
    <row r="30" spans="1:25" ht="15" customHeight="1" x14ac:dyDescent="0.25">
      <c r="A30" s="133" t="s">
        <v>1664</v>
      </c>
      <c r="B30" s="134"/>
      <c r="C30" s="134"/>
      <c r="D30" s="134">
        <v>0.85</v>
      </c>
    </row>
    <row r="31" spans="1:25" ht="15" customHeight="1" x14ac:dyDescent="0.25">
      <c r="A31" s="133" t="s">
        <v>42</v>
      </c>
      <c r="B31" s="134"/>
      <c r="C31" s="134"/>
      <c r="D31" s="134">
        <v>0.85</v>
      </c>
    </row>
    <row r="32" spans="1:25" ht="15" customHeight="1" x14ac:dyDescent="0.25">
      <c r="A32" s="133" t="s">
        <v>1665</v>
      </c>
      <c r="B32" s="134"/>
      <c r="C32" s="134"/>
      <c r="D32" s="134">
        <v>0.85</v>
      </c>
    </row>
    <row r="33" spans="1:6" ht="15" customHeight="1" x14ac:dyDescent="0.25">
      <c r="A33" s="133" t="s">
        <v>1666</v>
      </c>
      <c r="B33" s="134"/>
      <c r="C33" s="134"/>
      <c r="D33" s="134">
        <v>0.85</v>
      </c>
    </row>
    <row r="34" spans="1:6" ht="15" customHeight="1" x14ac:dyDescent="0.25">
      <c r="A34" s="133" t="s">
        <v>1667</v>
      </c>
      <c r="B34" s="134"/>
      <c r="C34" s="134"/>
      <c r="D34" s="134">
        <v>0.85</v>
      </c>
    </row>
    <row r="35" spans="1:6" ht="15" customHeight="1" x14ac:dyDescent="0.25">
      <c r="A35" s="133" t="s">
        <v>1668</v>
      </c>
      <c r="B35" s="134"/>
      <c r="C35" s="134"/>
      <c r="D35" s="134">
        <v>0.85</v>
      </c>
    </row>
    <row r="36" spans="1:6" ht="15" customHeight="1" x14ac:dyDescent="0.25">
      <c r="A36" s="133"/>
      <c r="B36" s="134"/>
      <c r="C36" s="134"/>
      <c r="D36" s="134"/>
    </row>
    <row r="37" spans="1:6" ht="15" customHeight="1" x14ac:dyDescent="0.25">
      <c r="A37" s="133"/>
      <c r="B37" s="134"/>
      <c r="C37" s="134"/>
      <c r="D37" s="134"/>
    </row>
    <row r="38" spans="1:6" ht="15" customHeight="1" x14ac:dyDescent="0.25">
      <c r="A38" s="133"/>
      <c r="B38" s="134"/>
      <c r="C38" s="134"/>
      <c r="D38" s="134"/>
    </row>
    <row r="39" spans="1:6" ht="15" customHeight="1" x14ac:dyDescent="0.25">
      <c r="A39" s="133"/>
      <c r="B39" s="134"/>
      <c r="C39" s="134"/>
      <c r="D39" s="134"/>
    </row>
    <row r="40" spans="1:6" ht="15" customHeight="1" x14ac:dyDescent="0.25">
      <c r="A40" s="133"/>
      <c r="B40" s="134"/>
      <c r="C40" s="134"/>
      <c r="D40" s="134"/>
    </row>
    <row r="41" spans="1:6" ht="15" customHeight="1" x14ac:dyDescent="0.25">
      <c r="A41" s="133"/>
      <c r="B41" s="134"/>
      <c r="C41" s="134"/>
      <c r="D41" s="134"/>
    </row>
    <row r="42" spans="1:6" ht="15" customHeight="1" x14ac:dyDescent="0.25">
      <c r="A42" s="133"/>
      <c r="B42" s="134"/>
      <c r="C42" s="134"/>
      <c r="D42" s="134"/>
    </row>
    <row r="43" spans="1:6" ht="15" customHeight="1" x14ac:dyDescent="0.25">
      <c r="A43" s="133"/>
      <c r="B43" s="134"/>
      <c r="C43" s="134"/>
      <c r="D43" s="134"/>
    </row>
    <row r="44" spans="1:6" ht="15" customHeight="1" x14ac:dyDescent="0.25">
      <c r="A44" s="133"/>
      <c r="B44" s="134"/>
      <c r="C44" s="134"/>
      <c r="D44" s="134"/>
    </row>
    <row r="45" spans="1:6" ht="15" customHeight="1" x14ac:dyDescent="0.25">
      <c r="A45" s="133"/>
      <c r="B45" s="134"/>
      <c r="C45" s="134"/>
      <c r="D45" s="134"/>
    </row>
    <row r="46" spans="1:6" ht="15" customHeight="1" x14ac:dyDescent="0.25">
      <c r="A46" s="133"/>
      <c r="B46" s="134"/>
      <c r="C46" s="134"/>
      <c r="D46" s="134"/>
    </row>
    <row r="47" spans="1:6" ht="15" customHeight="1" x14ac:dyDescent="0.25">
      <c r="A47" s="133"/>
      <c r="B47" s="134"/>
      <c r="C47" s="134"/>
      <c r="D47" s="134"/>
      <c r="F47" s="54">
        <f>+B11-B10</f>
        <v>34.050000000000011</v>
      </c>
    </row>
    <row r="48" spans="1:6" ht="15" customHeight="1" x14ac:dyDescent="0.25">
      <c r="A48" s="133"/>
      <c r="B48" s="134"/>
      <c r="C48" s="134"/>
      <c r="D48" s="134"/>
    </row>
    <row r="49" spans="1:4" ht="15" customHeight="1" x14ac:dyDescent="0.25">
      <c r="A49" s="133"/>
      <c r="B49" s="134"/>
      <c r="C49" s="134"/>
      <c r="D49" s="134"/>
    </row>
    <row r="50" spans="1:4" ht="15" customHeight="1" x14ac:dyDescent="0.25">
      <c r="A50" s="133"/>
      <c r="B50" s="134"/>
      <c r="C50" s="134"/>
      <c r="D50" s="134"/>
    </row>
    <row r="51" spans="1:4" ht="15" customHeight="1" x14ac:dyDescent="0.25">
      <c r="A51" s="133"/>
      <c r="B51" s="134"/>
      <c r="C51" s="134"/>
      <c r="D51" s="134"/>
    </row>
    <row r="52" spans="1:4" ht="15" customHeight="1" x14ac:dyDescent="0.25">
      <c r="A52" s="133"/>
      <c r="B52" s="134"/>
      <c r="C52" s="134"/>
      <c r="D52" s="134"/>
    </row>
    <row r="53" spans="1:4" ht="15" customHeight="1" x14ac:dyDescent="0.25">
      <c r="A53" s="133"/>
      <c r="B53" s="134"/>
      <c r="C53" s="134"/>
      <c r="D53" s="134"/>
    </row>
    <row r="54" spans="1:4" ht="15" customHeight="1" x14ac:dyDescent="0.25">
      <c r="A54" s="133"/>
      <c r="B54" s="134"/>
      <c r="C54" s="134"/>
      <c r="D54" s="134"/>
    </row>
    <row r="55" spans="1:4" ht="15" customHeight="1" x14ac:dyDescent="0.25">
      <c r="A55" s="133"/>
      <c r="B55" s="134"/>
      <c r="C55" s="134"/>
      <c r="D55" s="134"/>
    </row>
    <row r="56" spans="1:4" ht="15" customHeight="1" x14ac:dyDescent="0.25">
      <c r="A56" s="133"/>
      <c r="B56" s="134"/>
      <c r="C56" s="134"/>
      <c r="D56" s="134"/>
    </row>
    <row r="57" spans="1:4" ht="15" customHeight="1" x14ac:dyDescent="0.25">
      <c r="A57" s="133"/>
      <c r="B57" s="134"/>
      <c r="C57" s="134"/>
      <c r="D57" s="134"/>
    </row>
    <row r="58" spans="1:4" ht="15" customHeight="1" x14ac:dyDescent="0.25">
      <c r="A58" s="133"/>
      <c r="B58" s="134"/>
      <c r="C58" s="134"/>
      <c r="D58" s="134"/>
    </row>
  </sheetData>
  <sheetProtection formatCells="0" formatColumns="0" formatRows="0" insertColumns="0" insertRows="0" insertHyperlinks="0" deleteColumns="0" deleteRows="0" sort="0" autoFilter="0" pivotTables="0"/>
  <mergeCells count="9">
    <mergeCell ref="Q15:U15"/>
    <mergeCell ref="Q16:U16"/>
    <mergeCell ref="Q17:U17"/>
    <mergeCell ref="P1:U1"/>
    <mergeCell ref="Q2:U2"/>
    <mergeCell ref="Q3:U3"/>
    <mergeCell ref="Q4:U4"/>
    <mergeCell ref="P13:U13"/>
    <mergeCell ref="Q14:U14"/>
  </mergeCells>
  <phoneticPr fontId="68" type="noConversion"/>
  <pageMargins left="0.23622047244094491" right="0.23622047244094491" top="0.74803149606299213" bottom="0.74803149606299213" header="0.31496062992125984" footer="0.31496062992125984"/>
  <pageSetup scale="15" fitToHeight="0"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66FF"/>
  </sheetPr>
  <dimension ref="A1:AO517"/>
  <sheetViews>
    <sheetView showGridLines="0" zoomScale="87" zoomScaleNormal="87" workbookViewId="0">
      <pane xSplit="4" ySplit="2" topLeftCell="E174" activePane="bottomRight" state="frozen"/>
      <selection activeCell="M29" sqref="M29"/>
      <selection pane="topRight" activeCell="M29" sqref="M29"/>
      <selection pane="bottomLeft" activeCell="M29" sqref="M29"/>
      <selection pane="bottomRight" activeCell="AJ197" sqref="AJ197"/>
    </sheetView>
  </sheetViews>
  <sheetFormatPr baseColWidth="10" defaultColWidth="11.42578125" defaultRowHeight="15" x14ac:dyDescent="0.25"/>
  <cols>
    <col min="1" max="1" width="8.140625" customWidth="1"/>
    <col min="2" max="2" width="19.28515625" style="241" bestFit="1" customWidth="1"/>
    <col min="3" max="3" width="6.28515625" customWidth="1"/>
    <col min="4" max="4" width="8.85546875" style="5" customWidth="1"/>
    <col min="5" max="7" width="6.85546875" style="49" customWidth="1"/>
    <col min="8" max="10" width="6.85546875" style="9" customWidth="1"/>
    <col min="11" max="11" width="6.85546875" style="10" customWidth="1"/>
    <col min="12" max="12" width="6.85546875" style="87" customWidth="1"/>
    <col min="13" max="13" width="6.85546875" style="49" customWidth="1"/>
    <col min="14" max="15" width="6.85546875" style="9" customWidth="1"/>
    <col min="16" max="16" width="9.85546875" style="87" customWidth="1"/>
    <col min="17" max="18" width="6.85546875" style="9" customWidth="1"/>
    <col min="19" max="29" width="4" style="9" customWidth="1"/>
    <col min="30" max="30" width="2.140625" style="9" customWidth="1"/>
    <col min="31" max="31" width="5.140625" style="9" customWidth="1"/>
    <col min="32" max="32" width="2.42578125" style="9" customWidth="1"/>
    <col min="33" max="33" width="7.7109375" style="4" bestFit="1" customWidth="1"/>
    <col min="34" max="34" width="10.42578125" style="130" customWidth="1"/>
    <col min="35" max="35" width="14.7109375" style="9" bestFit="1" customWidth="1"/>
  </cols>
  <sheetData>
    <row r="1" spans="1:36" ht="16.5" thickTop="1" x14ac:dyDescent="0.25">
      <c r="A1" s="367"/>
      <c r="B1" s="367"/>
      <c r="C1" s="367"/>
      <c r="D1" s="368"/>
      <c r="E1" s="370" t="s">
        <v>5</v>
      </c>
      <c r="F1" s="340"/>
      <c r="G1" s="371"/>
      <c r="H1" s="372" t="s">
        <v>1647</v>
      </c>
      <c r="I1" s="372"/>
      <c r="J1" s="372"/>
      <c r="K1" s="372"/>
      <c r="L1" s="373"/>
      <c r="M1" s="352" t="s">
        <v>1</v>
      </c>
      <c r="N1" s="353"/>
      <c r="O1" s="353"/>
      <c r="P1" s="353"/>
      <c r="Q1" s="354" t="s">
        <v>2</v>
      </c>
      <c r="R1" s="355"/>
      <c r="S1" s="355"/>
      <c r="T1" s="355"/>
      <c r="U1" s="355"/>
      <c r="V1" s="355"/>
      <c r="W1" s="355"/>
      <c r="X1" s="355"/>
      <c r="Y1" s="355"/>
      <c r="Z1" s="355"/>
      <c r="AA1" s="355"/>
      <c r="AB1" s="355"/>
      <c r="AC1" s="355"/>
      <c r="AD1" s="355"/>
      <c r="AE1" s="355"/>
      <c r="AF1" s="355"/>
      <c r="AG1" s="355"/>
      <c r="AH1" s="369"/>
      <c r="AI1" s="85" t="s">
        <v>10</v>
      </c>
    </row>
    <row r="2" spans="1:36" s="62" customFormat="1" ht="78.75" customHeight="1" x14ac:dyDescent="0.25">
      <c r="A2" s="13" t="s">
        <v>74</v>
      </c>
      <c r="B2" s="240" t="s">
        <v>1752</v>
      </c>
      <c r="C2" s="13" t="s">
        <v>15</v>
      </c>
      <c r="D2" s="15" t="s">
        <v>12</v>
      </c>
      <c r="E2" s="13" t="s">
        <v>13</v>
      </c>
      <c r="F2" s="13" t="s">
        <v>61</v>
      </c>
      <c r="G2" s="71" t="s">
        <v>14</v>
      </c>
      <c r="H2" s="60" t="s">
        <v>64</v>
      </c>
      <c r="I2" s="13" t="s">
        <v>63</v>
      </c>
      <c r="J2" s="13" t="s">
        <v>4</v>
      </c>
      <c r="K2" s="13" t="s">
        <v>3</v>
      </c>
      <c r="L2" s="84" t="s">
        <v>11</v>
      </c>
      <c r="M2" s="60" t="s">
        <v>6</v>
      </c>
      <c r="N2" s="13" t="s">
        <v>7</v>
      </c>
      <c r="O2" s="13" t="s">
        <v>8</v>
      </c>
      <c r="P2" s="84" t="s">
        <v>11</v>
      </c>
      <c r="Q2" s="60" t="s">
        <v>9</v>
      </c>
      <c r="R2" s="13" t="s">
        <v>6</v>
      </c>
      <c r="S2" s="287" t="s">
        <v>1797</v>
      </c>
      <c r="T2" s="287" t="s">
        <v>1798</v>
      </c>
      <c r="U2" s="287" t="s">
        <v>1799</v>
      </c>
      <c r="V2" s="287" t="s">
        <v>1800</v>
      </c>
      <c r="W2" s="287" t="s">
        <v>1801</v>
      </c>
      <c r="X2" s="287"/>
      <c r="Y2" s="287"/>
      <c r="Z2" s="287"/>
      <c r="AA2" s="287"/>
      <c r="AB2" s="287" t="s">
        <v>1597</v>
      </c>
      <c r="AC2" s="287" t="s">
        <v>1600</v>
      </c>
      <c r="AD2" s="287" t="s">
        <v>1601</v>
      </c>
      <c r="AE2" s="287" t="s">
        <v>1604</v>
      </c>
      <c r="AF2" s="287" t="s">
        <v>1608</v>
      </c>
      <c r="AG2" s="13" t="s">
        <v>67</v>
      </c>
      <c r="AH2" s="84" t="s">
        <v>11</v>
      </c>
      <c r="AI2" s="60" t="s">
        <v>11</v>
      </c>
      <c r="AJ2" s="60" t="s">
        <v>1779</v>
      </c>
    </row>
    <row r="3" spans="1:36" x14ac:dyDescent="0.25">
      <c r="A3">
        <v>1</v>
      </c>
      <c r="B3" s="241" t="s">
        <v>2491</v>
      </c>
      <c r="C3">
        <v>1</v>
      </c>
      <c r="D3" s="14">
        <v>45663</v>
      </c>
      <c r="E3" s="7">
        <v>30</v>
      </c>
      <c r="F3" s="7"/>
      <c r="G3" s="66"/>
      <c r="H3" s="59"/>
      <c r="I3" s="59">
        <f>60*8</f>
        <v>480</v>
      </c>
      <c r="J3" s="47">
        <f t="shared" ref="J3:J66" si="0">I3+H3</f>
        <v>480</v>
      </c>
      <c r="K3" s="8">
        <f t="shared" ref="K3" si="1">IFERROR(J3-E3-F3-G3,"")</f>
        <v>450</v>
      </c>
      <c r="L3" s="96">
        <f t="shared" ref="L3" si="2">IFERROR(K3/J3,"")</f>
        <v>0.9375</v>
      </c>
      <c r="M3" s="81">
        <v>2360</v>
      </c>
      <c r="N3" s="8">
        <v>300</v>
      </c>
      <c r="O3" s="8">
        <v>60</v>
      </c>
      <c r="P3" s="96">
        <f t="shared" ref="P3:P66" si="3">IFERROR((M3/N3*O3)/K3,"")</f>
        <v>1.048888888888889</v>
      </c>
      <c r="Q3" s="59">
        <f t="shared" ref="Q3:Q67" si="4">M3</f>
        <v>2360</v>
      </c>
      <c r="R3" s="59">
        <f>Q3+AE3</f>
        <v>2375</v>
      </c>
      <c r="S3" s="65"/>
      <c r="T3" s="65"/>
      <c r="U3" s="65"/>
      <c r="V3" s="65"/>
      <c r="W3" s="65">
        <v>15</v>
      </c>
      <c r="X3" s="65"/>
      <c r="Y3" s="65"/>
      <c r="Z3" s="65"/>
      <c r="AA3" s="65"/>
      <c r="AB3" s="65"/>
      <c r="AC3" s="65"/>
      <c r="AD3" s="65"/>
      <c r="AE3" s="65">
        <f t="shared" ref="AE3:AE42" si="5">SUM(S3:AD3)</f>
        <v>15</v>
      </c>
      <c r="AF3" s="65"/>
      <c r="AG3" s="248">
        <f t="shared" ref="AG3:AG14" si="6">AE3</f>
        <v>15</v>
      </c>
      <c r="AH3" s="95">
        <f t="shared" ref="AH3:AH66" si="7">IFERROR(Q3/R3,"")</f>
        <v>0.99368421052631584</v>
      </c>
      <c r="AI3" s="97">
        <f t="shared" ref="AI3:AI66" si="8">IFERROR(AH3*P3*L3,"")</f>
        <v>0.97712280701754395</v>
      </c>
      <c r="AJ3" s="11" t="s">
        <v>1796</v>
      </c>
    </row>
    <row r="4" spans="1:36" x14ac:dyDescent="0.25">
      <c r="A4">
        <f>A3+1</f>
        <v>2</v>
      </c>
      <c r="B4" s="241" t="s">
        <v>2491</v>
      </c>
      <c r="C4">
        <v>1</v>
      </c>
      <c r="D4" s="14">
        <v>45664</v>
      </c>
      <c r="E4" s="7">
        <v>30</v>
      </c>
      <c r="F4" s="7"/>
      <c r="G4" s="66"/>
      <c r="H4" s="59"/>
      <c r="I4" s="59">
        <f>60*7</f>
        <v>420</v>
      </c>
      <c r="J4" s="47">
        <f t="shared" si="0"/>
        <v>420</v>
      </c>
      <c r="K4" s="8">
        <f t="shared" ref="K4:K67" si="9">IFERROR(J4-E4-F4-G4,"")</f>
        <v>390</v>
      </c>
      <c r="L4" s="96">
        <f t="shared" ref="L4:L67" si="10">IFERROR(K4/J4,"")</f>
        <v>0.9285714285714286</v>
      </c>
      <c r="M4" s="81">
        <v>2000</v>
      </c>
      <c r="N4" s="8">
        <v>300</v>
      </c>
      <c r="O4" s="8">
        <v>60</v>
      </c>
      <c r="P4" s="96">
        <f t="shared" si="3"/>
        <v>1.0256410256410255</v>
      </c>
      <c r="Q4" s="59">
        <f t="shared" si="4"/>
        <v>2000</v>
      </c>
      <c r="R4" s="59">
        <f t="shared" ref="R4:R67" si="11">Q4+AE4</f>
        <v>2012</v>
      </c>
      <c r="S4" s="65"/>
      <c r="T4" s="65"/>
      <c r="U4" s="65"/>
      <c r="V4" s="65"/>
      <c r="W4" s="65">
        <v>12</v>
      </c>
      <c r="X4" s="65"/>
      <c r="Y4" s="65"/>
      <c r="Z4" s="65"/>
      <c r="AA4" s="65"/>
      <c r="AB4" s="65"/>
      <c r="AC4" s="65"/>
      <c r="AD4" s="65"/>
      <c r="AE4" s="65">
        <f t="shared" si="5"/>
        <v>12</v>
      </c>
      <c r="AF4" s="65"/>
      <c r="AG4" s="248">
        <f t="shared" si="6"/>
        <v>12</v>
      </c>
      <c r="AH4" s="95">
        <f t="shared" si="7"/>
        <v>0.99403578528827041</v>
      </c>
      <c r="AI4" s="97">
        <f t="shared" si="8"/>
        <v>0.94670074789359082</v>
      </c>
      <c r="AJ4" s="11" t="s">
        <v>1796</v>
      </c>
    </row>
    <row r="5" spans="1:36" x14ac:dyDescent="0.25">
      <c r="A5">
        <f t="shared" ref="A5:A68" si="12">A4+1</f>
        <v>3</v>
      </c>
      <c r="C5">
        <v>1</v>
      </c>
      <c r="D5" s="14">
        <v>45665</v>
      </c>
      <c r="E5" s="7"/>
      <c r="F5" s="7"/>
      <c r="G5" s="66"/>
      <c r="H5" s="59"/>
      <c r="I5" s="59"/>
      <c r="J5" s="47">
        <f t="shared" si="0"/>
        <v>0</v>
      </c>
      <c r="K5" s="8">
        <f t="shared" si="9"/>
        <v>0</v>
      </c>
      <c r="L5" s="96" t="str">
        <f t="shared" si="10"/>
        <v/>
      </c>
      <c r="M5" s="81"/>
      <c r="N5" s="8">
        <v>300</v>
      </c>
      <c r="O5" s="8">
        <v>60</v>
      </c>
      <c r="P5" s="96" t="str">
        <f t="shared" si="3"/>
        <v/>
      </c>
      <c r="Q5" s="59">
        <f t="shared" si="4"/>
        <v>0</v>
      </c>
      <c r="R5" s="59">
        <f t="shared" si="11"/>
        <v>0</v>
      </c>
      <c r="S5" s="65"/>
      <c r="T5" s="65"/>
      <c r="U5" s="65"/>
      <c r="V5" s="65"/>
      <c r="W5" s="65"/>
      <c r="X5" s="65"/>
      <c r="Y5" s="65"/>
      <c r="Z5" s="65"/>
      <c r="AA5" s="65"/>
      <c r="AB5" s="65"/>
      <c r="AC5" s="65"/>
      <c r="AD5" s="65"/>
      <c r="AE5" s="65">
        <f t="shared" si="5"/>
        <v>0</v>
      </c>
      <c r="AF5" s="65"/>
      <c r="AG5" s="248">
        <f t="shared" si="6"/>
        <v>0</v>
      </c>
      <c r="AH5" s="95" t="str">
        <f t="shared" si="7"/>
        <v/>
      </c>
      <c r="AI5" s="97" t="str">
        <f t="shared" si="8"/>
        <v/>
      </c>
      <c r="AJ5" s="11" t="s">
        <v>1796</v>
      </c>
    </row>
    <row r="6" spans="1:36" x14ac:dyDescent="0.25">
      <c r="A6">
        <f t="shared" si="12"/>
        <v>4</v>
      </c>
      <c r="C6">
        <v>1</v>
      </c>
      <c r="D6" s="14">
        <v>45666</v>
      </c>
      <c r="E6" s="7"/>
      <c r="F6" s="7"/>
      <c r="G6" s="66"/>
      <c r="H6" s="59"/>
      <c r="I6" s="59"/>
      <c r="J6" s="47">
        <f t="shared" si="0"/>
        <v>0</v>
      </c>
      <c r="K6" s="8">
        <f t="shared" si="9"/>
        <v>0</v>
      </c>
      <c r="L6" s="96" t="str">
        <f t="shared" si="10"/>
        <v/>
      </c>
      <c r="M6" s="81"/>
      <c r="N6" s="8">
        <v>300</v>
      </c>
      <c r="O6" s="8">
        <v>60</v>
      </c>
      <c r="P6" s="96" t="str">
        <f t="shared" si="3"/>
        <v/>
      </c>
      <c r="Q6" s="59">
        <f t="shared" si="4"/>
        <v>0</v>
      </c>
      <c r="R6" s="59">
        <f t="shared" si="11"/>
        <v>0</v>
      </c>
      <c r="S6" s="65"/>
      <c r="T6" s="65"/>
      <c r="U6" s="65"/>
      <c r="V6" s="65"/>
      <c r="W6" s="65"/>
      <c r="X6" s="65"/>
      <c r="Y6" s="65"/>
      <c r="Z6" s="65"/>
      <c r="AA6" s="65"/>
      <c r="AB6" s="65"/>
      <c r="AC6" s="65"/>
      <c r="AD6" s="65"/>
      <c r="AE6" s="65">
        <f t="shared" si="5"/>
        <v>0</v>
      </c>
      <c r="AF6" s="65"/>
      <c r="AG6" s="248">
        <f t="shared" si="6"/>
        <v>0</v>
      </c>
      <c r="AH6" s="95" t="str">
        <f t="shared" si="7"/>
        <v/>
      </c>
      <c r="AI6" s="97" t="str">
        <f t="shared" si="8"/>
        <v/>
      </c>
      <c r="AJ6" s="11" t="s">
        <v>1796</v>
      </c>
    </row>
    <row r="7" spans="1:36" x14ac:dyDescent="0.25">
      <c r="A7">
        <f t="shared" si="12"/>
        <v>5</v>
      </c>
      <c r="B7" s="241" t="s">
        <v>2490</v>
      </c>
      <c r="C7">
        <v>1</v>
      </c>
      <c r="D7" s="14">
        <v>45667</v>
      </c>
      <c r="E7" s="7">
        <v>60</v>
      </c>
      <c r="F7" s="7"/>
      <c r="G7" s="66"/>
      <c r="H7" s="59"/>
      <c r="I7" s="59">
        <f>510-180</f>
        <v>330</v>
      </c>
      <c r="J7" s="47">
        <f>I7+H7</f>
        <v>330</v>
      </c>
      <c r="K7" s="8">
        <f t="shared" si="9"/>
        <v>270</v>
      </c>
      <c r="L7" s="96">
        <f t="shared" si="10"/>
        <v>0.81818181818181823</v>
      </c>
      <c r="M7" s="81">
        <v>968</v>
      </c>
      <c r="N7" s="8">
        <v>300</v>
      </c>
      <c r="O7" s="8">
        <v>60</v>
      </c>
      <c r="P7" s="96">
        <f t="shared" si="3"/>
        <v>0.71703703703703703</v>
      </c>
      <c r="Q7" s="59">
        <f t="shared" si="4"/>
        <v>968</v>
      </c>
      <c r="R7" s="59">
        <f t="shared" si="11"/>
        <v>968</v>
      </c>
      <c r="S7" s="65"/>
      <c r="T7" s="65"/>
      <c r="U7" s="65"/>
      <c r="V7" s="65"/>
      <c r="W7" s="65"/>
      <c r="X7" s="65"/>
      <c r="Y7" s="65"/>
      <c r="Z7" s="65"/>
      <c r="AA7" s="65"/>
      <c r="AB7" s="65"/>
      <c r="AC7" s="65"/>
      <c r="AD7" s="65"/>
      <c r="AE7" s="65">
        <f t="shared" si="5"/>
        <v>0</v>
      </c>
      <c r="AF7" s="65"/>
      <c r="AG7" s="248">
        <f t="shared" si="6"/>
        <v>0</v>
      </c>
      <c r="AH7" s="95">
        <f t="shared" si="7"/>
        <v>1</v>
      </c>
      <c r="AI7" s="97">
        <f t="shared" si="8"/>
        <v>0.58666666666666667</v>
      </c>
      <c r="AJ7" s="11" t="s">
        <v>1796</v>
      </c>
    </row>
    <row r="8" spans="1:36" x14ac:dyDescent="0.25">
      <c r="A8">
        <f t="shared" si="12"/>
        <v>6</v>
      </c>
      <c r="C8">
        <v>1</v>
      </c>
      <c r="D8" s="14">
        <v>45668</v>
      </c>
      <c r="E8" s="7"/>
      <c r="F8" s="7"/>
      <c r="G8" s="66"/>
      <c r="H8" s="59"/>
      <c r="I8" s="59"/>
      <c r="J8" s="47">
        <f t="shared" si="0"/>
        <v>0</v>
      </c>
      <c r="K8" s="8">
        <f t="shared" si="9"/>
        <v>0</v>
      </c>
      <c r="L8" s="96" t="str">
        <f t="shared" si="10"/>
        <v/>
      </c>
      <c r="M8" s="81"/>
      <c r="N8" s="8">
        <v>300</v>
      </c>
      <c r="O8" s="8">
        <v>60</v>
      </c>
      <c r="P8" s="96" t="str">
        <f t="shared" si="3"/>
        <v/>
      </c>
      <c r="Q8" s="59">
        <f t="shared" si="4"/>
        <v>0</v>
      </c>
      <c r="R8" s="59">
        <f t="shared" si="11"/>
        <v>0</v>
      </c>
      <c r="S8" s="65"/>
      <c r="T8" s="65"/>
      <c r="U8" s="65"/>
      <c r="V8" s="65"/>
      <c r="W8" s="65"/>
      <c r="X8" s="65"/>
      <c r="Y8" s="65"/>
      <c r="Z8" s="65"/>
      <c r="AA8" s="65"/>
      <c r="AB8" s="65"/>
      <c r="AC8" s="65"/>
      <c r="AD8" s="65"/>
      <c r="AE8" s="65">
        <f t="shared" si="5"/>
        <v>0</v>
      </c>
      <c r="AF8" s="65"/>
      <c r="AG8" s="248">
        <f t="shared" si="6"/>
        <v>0</v>
      </c>
      <c r="AH8" s="95" t="str">
        <f t="shared" si="7"/>
        <v/>
      </c>
      <c r="AI8" s="97" t="str">
        <f t="shared" si="8"/>
        <v/>
      </c>
      <c r="AJ8" s="11" t="s">
        <v>1796</v>
      </c>
    </row>
    <row r="9" spans="1:36" x14ac:dyDescent="0.25">
      <c r="A9">
        <f t="shared" si="12"/>
        <v>7</v>
      </c>
      <c r="C9">
        <v>1</v>
      </c>
      <c r="D9" s="14">
        <v>45669</v>
      </c>
      <c r="E9" s="7"/>
      <c r="F9" s="7"/>
      <c r="G9" s="66"/>
      <c r="H9" s="59"/>
      <c r="I9" s="59"/>
      <c r="J9" s="47">
        <f t="shared" si="0"/>
        <v>0</v>
      </c>
      <c r="K9" s="8">
        <f t="shared" si="9"/>
        <v>0</v>
      </c>
      <c r="L9" s="96" t="str">
        <f t="shared" si="10"/>
        <v/>
      </c>
      <c r="M9" s="81"/>
      <c r="N9" s="8">
        <v>300</v>
      </c>
      <c r="O9" s="8">
        <v>60</v>
      </c>
      <c r="P9" s="96" t="str">
        <f t="shared" si="3"/>
        <v/>
      </c>
      <c r="Q9" s="59">
        <f t="shared" si="4"/>
        <v>0</v>
      </c>
      <c r="R9" s="59">
        <f t="shared" si="11"/>
        <v>0</v>
      </c>
      <c r="S9" s="65"/>
      <c r="T9" s="65"/>
      <c r="U9" s="65"/>
      <c r="V9" s="65"/>
      <c r="W9" s="65"/>
      <c r="X9" s="65"/>
      <c r="Y9" s="65"/>
      <c r="Z9" s="65"/>
      <c r="AA9" s="65"/>
      <c r="AB9" s="65"/>
      <c r="AC9" s="65"/>
      <c r="AD9" s="65"/>
      <c r="AE9" s="65">
        <f t="shared" si="5"/>
        <v>0</v>
      </c>
      <c r="AF9" s="65"/>
      <c r="AG9" s="248">
        <f t="shared" si="6"/>
        <v>0</v>
      </c>
      <c r="AH9" s="95" t="str">
        <f t="shared" si="7"/>
        <v/>
      </c>
      <c r="AI9" s="97" t="str">
        <f t="shared" si="8"/>
        <v/>
      </c>
      <c r="AJ9" s="11" t="s">
        <v>1796</v>
      </c>
    </row>
    <row r="10" spans="1:36" x14ac:dyDescent="0.25">
      <c r="A10">
        <f t="shared" si="12"/>
        <v>8</v>
      </c>
      <c r="B10" s="241" t="s">
        <v>2490</v>
      </c>
      <c r="C10">
        <v>1</v>
      </c>
      <c r="D10" s="14">
        <v>45670</v>
      </c>
      <c r="E10" s="7">
        <v>60</v>
      </c>
      <c r="F10" s="7"/>
      <c r="G10" s="66"/>
      <c r="H10" s="59"/>
      <c r="I10" s="59">
        <v>510</v>
      </c>
      <c r="J10" s="47">
        <f t="shared" si="0"/>
        <v>510</v>
      </c>
      <c r="K10" s="8">
        <f t="shared" si="9"/>
        <v>450</v>
      </c>
      <c r="L10" s="96">
        <f t="shared" si="10"/>
        <v>0.88235294117647056</v>
      </c>
      <c r="M10" s="81">
        <v>1149</v>
      </c>
      <c r="N10" s="8">
        <v>300</v>
      </c>
      <c r="O10" s="8">
        <v>60</v>
      </c>
      <c r="P10" s="96">
        <f t="shared" si="3"/>
        <v>0.51066666666666671</v>
      </c>
      <c r="Q10" s="59">
        <f t="shared" si="4"/>
        <v>1149</v>
      </c>
      <c r="R10" s="59">
        <f t="shared" si="11"/>
        <v>1149</v>
      </c>
      <c r="S10" s="65"/>
      <c r="T10" s="65"/>
      <c r="U10" s="65"/>
      <c r="V10" s="65"/>
      <c r="W10" s="65"/>
      <c r="X10" s="65"/>
      <c r="Y10" s="65"/>
      <c r="Z10" s="65"/>
      <c r="AA10" s="65"/>
      <c r="AB10" s="65"/>
      <c r="AC10" s="65"/>
      <c r="AD10" s="65"/>
      <c r="AE10" s="65">
        <f t="shared" si="5"/>
        <v>0</v>
      </c>
      <c r="AF10" s="65"/>
      <c r="AG10" s="248">
        <f t="shared" si="6"/>
        <v>0</v>
      </c>
      <c r="AH10" s="95">
        <f t="shared" si="7"/>
        <v>1</v>
      </c>
      <c r="AI10" s="97">
        <f t="shared" si="8"/>
        <v>0.45058823529411768</v>
      </c>
      <c r="AJ10" s="11" t="s">
        <v>1796</v>
      </c>
    </row>
    <row r="11" spans="1:36" x14ac:dyDescent="0.25">
      <c r="A11">
        <f t="shared" si="12"/>
        <v>9</v>
      </c>
      <c r="B11" s="241" t="s">
        <v>1777</v>
      </c>
      <c r="C11">
        <v>1</v>
      </c>
      <c r="D11" s="14">
        <v>45671</v>
      </c>
      <c r="E11" s="7">
        <v>60</v>
      </c>
      <c r="F11" s="7"/>
      <c r="G11" s="66"/>
      <c r="H11" s="59"/>
      <c r="I11" s="59">
        <v>510</v>
      </c>
      <c r="J11" s="47">
        <f t="shared" si="0"/>
        <v>510</v>
      </c>
      <c r="K11" s="8">
        <f t="shared" si="9"/>
        <v>450</v>
      </c>
      <c r="L11" s="96">
        <f t="shared" si="10"/>
        <v>0.88235294117647056</v>
      </c>
      <c r="M11" s="81">
        <v>510</v>
      </c>
      <c r="N11" s="8">
        <v>300</v>
      </c>
      <c r="O11" s="8">
        <v>60</v>
      </c>
      <c r="P11" s="96">
        <f t="shared" si="3"/>
        <v>0.22666666666666666</v>
      </c>
      <c r="Q11" s="59">
        <f t="shared" si="4"/>
        <v>510</v>
      </c>
      <c r="R11" s="59">
        <f t="shared" si="11"/>
        <v>510</v>
      </c>
      <c r="S11" s="65"/>
      <c r="T11" s="65"/>
      <c r="U11" s="65"/>
      <c r="V11" s="65"/>
      <c r="W11" s="65"/>
      <c r="X11" s="65"/>
      <c r="Y11" s="65"/>
      <c r="Z11" s="65"/>
      <c r="AA11" s="65"/>
      <c r="AB11" s="65"/>
      <c r="AC11" s="65"/>
      <c r="AD11" s="65"/>
      <c r="AE11" s="65">
        <f t="shared" si="5"/>
        <v>0</v>
      </c>
      <c r="AF11" s="65"/>
      <c r="AG11" s="248">
        <f t="shared" si="6"/>
        <v>0</v>
      </c>
      <c r="AH11" s="95">
        <f t="shared" si="7"/>
        <v>1</v>
      </c>
      <c r="AI11" s="97">
        <f t="shared" si="8"/>
        <v>0.19999999999999998</v>
      </c>
      <c r="AJ11" s="11" t="s">
        <v>1796</v>
      </c>
    </row>
    <row r="12" spans="1:36" x14ac:dyDescent="0.25">
      <c r="A12">
        <f t="shared" si="12"/>
        <v>10</v>
      </c>
      <c r="B12" s="241" t="s">
        <v>1777</v>
      </c>
      <c r="C12">
        <v>1</v>
      </c>
      <c r="D12" s="14">
        <v>45672</v>
      </c>
      <c r="E12" s="7">
        <v>60</v>
      </c>
      <c r="F12" s="7"/>
      <c r="G12" s="66"/>
      <c r="H12" s="59"/>
      <c r="I12" s="59">
        <f>7*60</f>
        <v>420</v>
      </c>
      <c r="J12" s="47">
        <f t="shared" si="0"/>
        <v>420</v>
      </c>
      <c r="K12" s="8">
        <f t="shared" si="9"/>
        <v>360</v>
      </c>
      <c r="L12" s="96">
        <f t="shared" si="10"/>
        <v>0.8571428571428571</v>
      </c>
      <c r="M12" s="81">
        <v>2270</v>
      </c>
      <c r="N12" s="8">
        <v>300</v>
      </c>
      <c r="O12" s="8">
        <v>60</v>
      </c>
      <c r="P12" s="96">
        <f t="shared" si="3"/>
        <v>1.2611111111111111</v>
      </c>
      <c r="Q12" s="59">
        <f t="shared" si="4"/>
        <v>2270</v>
      </c>
      <c r="R12" s="59">
        <f t="shared" si="11"/>
        <v>2285</v>
      </c>
      <c r="S12" s="65"/>
      <c r="T12" s="65"/>
      <c r="U12" s="65"/>
      <c r="V12" s="65"/>
      <c r="W12" s="65">
        <v>15</v>
      </c>
      <c r="X12" s="65"/>
      <c r="Y12" s="65"/>
      <c r="Z12" s="65"/>
      <c r="AA12" s="65"/>
      <c r="AB12" s="65"/>
      <c r="AC12" s="65"/>
      <c r="AD12" s="65"/>
      <c r="AE12" s="65">
        <f t="shared" si="5"/>
        <v>15</v>
      </c>
      <c r="AF12" s="65"/>
      <c r="AG12" s="248">
        <f t="shared" si="6"/>
        <v>15</v>
      </c>
      <c r="AH12" s="95">
        <f t="shared" si="7"/>
        <v>0.99343544857768051</v>
      </c>
      <c r="AI12" s="97">
        <f t="shared" si="8"/>
        <v>1.0738564134625403</v>
      </c>
      <c r="AJ12" s="11" t="s">
        <v>1796</v>
      </c>
    </row>
    <row r="13" spans="1:36" x14ac:dyDescent="0.25">
      <c r="A13">
        <f t="shared" si="12"/>
        <v>11</v>
      </c>
      <c r="B13" s="241" t="s">
        <v>1777</v>
      </c>
      <c r="C13">
        <v>1</v>
      </c>
      <c r="D13" s="14">
        <v>45673</v>
      </c>
      <c r="E13" s="7">
        <v>30</v>
      </c>
      <c r="F13" s="7"/>
      <c r="G13" s="66"/>
      <c r="H13" s="59"/>
      <c r="I13" s="59">
        <v>420</v>
      </c>
      <c r="J13" s="47">
        <f t="shared" si="0"/>
        <v>420</v>
      </c>
      <c r="K13" s="8">
        <f t="shared" si="9"/>
        <v>390</v>
      </c>
      <c r="L13" s="96">
        <f t="shared" si="10"/>
        <v>0.9285714285714286</v>
      </c>
      <c r="M13" s="81">
        <v>2650</v>
      </c>
      <c r="N13" s="8">
        <v>300</v>
      </c>
      <c r="O13" s="8">
        <v>60</v>
      </c>
      <c r="P13" s="96">
        <f t="shared" si="3"/>
        <v>1.358974358974359</v>
      </c>
      <c r="Q13" s="59">
        <f t="shared" si="4"/>
        <v>2650</v>
      </c>
      <c r="R13" s="59">
        <f t="shared" si="11"/>
        <v>2665</v>
      </c>
      <c r="S13" s="65"/>
      <c r="T13" s="65"/>
      <c r="U13" s="65"/>
      <c r="V13" s="65"/>
      <c r="W13" s="65">
        <v>15</v>
      </c>
      <c r="X13" s="65"/>
      <c r="Y13" s="65"/>
      <c r="Z13" s="65"/>
      <c r="AA13" s="65"/>
      <c r="AB13" s="65"/>
      <c r="AC13" s="65"/>
      <c r="AD13" s="65"/>
      <c r="AE13" s="65">
        <f t="shared" si="5"/>
        <v>15</v>
      </c>
      <c r="AF13" s="65"/>
      <c r="AG13" s="248">
        <f t="shared" si="6"/>
        <v>15</v>
      </c>
      <c r="AH13" s="95">
        <f t="shared" si="7"/>
        <v>0.99437148217636018</v>
      </c>
      <c r="AI13" s="97">
        <f t="shared" si="8"/>
        <v>1.2548021084606451</v>
      </c>
      <c r="AJ13" s="11" t="s">
        <v>1796</v>
      </c>
    </row>
    <row r="14" spans="1:36" x14ac:dyDescent="0.25">
      <c r="A14">
        <f t="shared" si="12"/>
        <v>12</v>
      </c>
      <c r="B14" s="241" t="s">
        <v>1777</v>
      </c>
      <c r="C14">
        <v>1</v>
      </c>
      <c r="D14" s="14">
        <v>45674</v>
      </c>
      <c r="E14" s="7">
        <v>30</v>
      </c>
      <c r="F14" s="7"/>
      <c r="G14" s="66"/>
      <c r="H14" s="59"/>
      <c r="I14" s="59">
        <v>420</v>
      </c>
      <c r="J14" s="47">
        <f t="shared" si="0"/>
        <v>420</v>
      </c>
      <c r="K14" s="8">
        <f t="shared" si="9"/>
        <v>390</v>
      </c>
      <c r="L14" s="96">
        <f t="shared" si="10"/>
        <v>0.9285714285714286</v>
      </c>
      <c r="M14" s="81">
        <v>2100</v>
      </c>
      <c r="N14" s="8">
        <v>300</v>
      </c>
      <c r="O14" s="8">
        <v>60</v>
      </c>
      <c r="P14" s="96">
        <f t="shared" si="3"/>
        <v>1.0769230769230769</v>
      </c>
      <c r="Q14" s="59">
        <f t="shared" si="4"/>
        <v>2100</v>
      </c>
      <c r="R14" s="59">
        <f t="shared" si="11"/>
        <v>2113</v>
      </c>
      <c r="S14" s="65"/>
      <c r="T14" s="65"/>
      <c r="U14" s="65"/>
      <c r="V14" s="65"/>
      <c r="W14" s="65">
        <v>13</v>
      </c>
      <c r="X14" s="65"/>
      <c r="Y14" s="65"/>
      <c r="Z14" s="65"/>
      <c r="AA14" s="65"/>
      <c r="AB14" s="65"/>
      <c r="AC14" s="65"/>
      <c r="AD14" s="65"/>
      <c r="AE14" s="65">
        <f t="shared" si="5"/>
        <v>13</v>
      </c>
      <c r="AF14" s="65"/>
      <c r="AG14" s="248">
        <f t="shared" si="6"/>
        <v>13</v>
      </c>
      <c r="AH14" s="95">
        <f t="shared" si="7"/>
        <v>0.99384761003312827</v>
      </c>
      <c r="AI14" s="97">
        <f t="shared" si="8"/>
        <v>0.99384761003312816</v>
      </c>
      <c r="AJ14" s="11" t="s">
        <v>1796</v>
      </c>
    </row>
    <row r="15" spans="1:36" x14ac:dyDescent="0.25">
      <c r="A15">
        <f t="shared" si="12"/>
        <v>13</v>
      </c>
      <c r="B15" s="241" t="s">
        <v>1777</v>
      </c>
      <c r="C15">
        <v>1</v>
      </c>
      <c r="D15" s="14">
        <v>45675</v>
      </c>
      <c r="E15" s="7"/>
      <c r="F15" s="7"/>
      <c r="G15" s="66"/>
      <c r="H15" s="59"/>
      <c r="I15" s="59"/>
      <c r="J15" s="47">
        <f t="shared" si="0"/>
        <v>0</v>
      </c>
      <c r="K15" s="8">
        <f t="shared" si="9"/>
        <v>0</v>
      </c>
      <c r="L15" s="96" t="str">
        <f t="shared" si="10"/>
        <v/>
      </c>
      <c r="M15" s="81"/>
      <c r="N15" s="8">
        <v>300</v>
      </c>
      <c r="O15" s="8">
        <v>60</v>
      </c>
      <c r="P15" s="96" t="str">
        <f t="shared" si="3"/>
        <v/>
      </c>
      <c r="Q15" s="59">
        <f t="shared" si="4"/>
        <v>0</v>
      </c>
      <c r="R15" s="59">
        <f t="shared" si="11"/>
        <v>0</v>
      </c>
      <c r="S15" s="65"/>
      <c r="T15" s="65"/>
      <c r="U15" s="65"/>
      <c r="V15" s="65"/>
      <c r="W15" s="65"/>
      <c r="X15" s="65"/>
      <c r="Y15" s="65"/>
      <c r="Z15" s="65"/>
      <c r="AA15" s="65"/>
      <c r="AB15" s="65"/>
      <c r="AC15" s="65"/>
      <c r="AD15" s="65"/>
      <c r="AE15" s="65">
        <f t="shared" si="5"/>
        <v>0</v>
      </c>
      <c r="AF15" s="65"/>
      <c r="AG15" s="248">
        <f>AE15</f>
        <v>0</v>
      </c>
      <c r="AH15" s="95" t="str">
        <f t="shared" si="7"/>
        <v/>
      </c>
      <c r="AI15" s="97" t="str">
        <f t="shared" si="8"/>
        <v/>
      </c>
      <c r="AJ15" s="11" t="s">
        <v>1796</v>
      </c>
    </row>
    <row r="16" spans="1:36" x14ac:dyDescent="0.25">
      <c r="A16">
        <f t="shared" si="12"/>
        <v>14</v>
      </c>
      <c r="B16" s="241" t="s">
        <v>1777</v>
      </c>
      <c r="C16">
        <v>1</v>
      </c>
      <c r="D16" s="14">
        <v>45676</v>
      </c>
      <c r="E16" s="7"/>
      <c r="F16" s="7"/>
      <c r="G16" s="66"/>
      <c r="H16" s="59"/>
      <c r="I16" s="59"/>
      <c r="J16" s="47">
        <f t="shared" si="0"/>
        <v>0</v>
      </c>
      <c r="K16" s="8">
        <f t="shared" si="9"/>
        <v>0</v>
      </c>
      <c r="L16" s="96" t="str">
        <f t="shared" si="10"/>
        <v/>
      </c>
      <c r="M16" s="81"/>
      <c r="N16" s="8">
        <v>300</v>
      </c>
      <c r="O16" s="8">
        <v>60</v>
      </c>
      <c r="P16" s="96" t="str">
        <f t="shared" si="3"/>
        <v/>
      </c>
      <c r="Q16" s="59">
        <f t="shared" si="4"/>
        <v>0</v>
      </c>
      <c r="R16" s="59">
        <f t="shared" si="11"/>
        <v>0</v>
      </c>
      <c r="S16" s="65"/>
      <c r="T16" s="65"/>
      <c r="U16" s="65"/>
      <c r="V16" s="65"/>
      <c r="W16" s="65"/>
      <c r="X16" s="65"/>
      <c r="Y16" s="65"/>
      <c r="Z16" s="65"/>
      <c r="AA16" s="65"/>
      <c r="AB16" s="65"/>
      <c r="AC16" s="65"/>
      <c r="AD16" s="65"/>
      <c r="AE16" s="65">
        <f t="shared" si="5"/>
        <v>0</v>
      </c>
      <c r="AF16" s="65"/>
      <c r="AG16" s="248">
        <f t="shared" ref="AG16:AG79" si="13">AE16</f>
        <v>0</v>
      </c>
      <c r="AH16" s="95" t="str">
        <f t="shared" si="7"/>
        <v/>
      </c>
      <c r="AI16" s="97" t="str">
        <f t="shared" si="8"/>
        <v/>
      </c>
      <c r="AJ16" s="11" t="s">
        <v>1796</v>
      </c>
    </row>
    <row r="17" spans="1:36" x14ac:dyDescent="0.25">
      <c r="A17">
        <f t="shared" si="12"/>
        <v>15</v>
      </c>
      <c r="B17" s="241" t="s">
        <v>1777</v>
      </c>
      <c r="C17">
        <v>1</v>
      </c>
      <c r="D17" s="14">
        <v>45677</v>
      </c>
      <c r="E17" s="7">
        <v>30</v>
      </c>
      <c r="F17" s="7"/>
      <c r="G17" s="66"/>
      <c r="H17" s="59"/>
      <c r="I17" s="59">
        <v>510</v>
      </c>
      <c r="J17" s="47">
        <f t="shared" si="0"/>
        <v>510</v>
      </c>
      <c r="K17" s="8">
        <f t="shared" si="9"/>
        <v>480</v>
      </c>
      <c r="L17" s="96">
        <f t="shared" si="10"/>
        <v>0.94117647058823528</v>
      </c>
      <c r="M17" s="81">
        <v>2670</v>
      </c>
      <c r="N17" s="8">
        <v>300</v>
      </c>
      <c r="O17" s="8">
        <v>60</v>
      </c>
      <c r="P17" s="96">
        <f t="shared" si="3"/>
        <v>1.1125</v>
      </c>
      <c r="Q17" s="59">
        <f t="shared" si="4"/>
        <v>2670</v>
      </c>
      <c r="R17" s="59">
        <f t="shared" si="11"/>
        <v>2670</v>
      </c>
      <c r="S17" s="65"/>
      <c r="T17" s="65"/>
      <c r="U17" s="65"/>
      <c r="V17" s="65"/>
      <c r="W17" s="65"/>
      <c r="X17" s="65"/>
      <c r="Y17" s="65"/>
      <c r="Z17" s="65"/>
      <c r="AA17" s="65"/>
      <c r="AB17" s="65"/>
      <c r="AC17" s="65"/>
      <c r="AD17" s="65"/>
      <c r="AE17" s="65">
        <f t="shared" si="5"/>
        <v>0</v>
      </c>
      <c r="AF17" s="65"/>
      <c r="AG17" s="248">
        <f t="shared" si="13"/>
        <v>0</v>
      </c>
      <c r="AH17" s="95">
        <f t="shared" si="7"/>
        <v>1</v>
      </c>
      <c r="AI17" s="97">
        <f t="shared" si="8"/>
        <v>1.0470588235294118</v>
      </c>
      <c r="AJ17" s="11" t="s">
        <v>1796</v>
      </c>
    </row>
    <row r="18" spans="1:36" x14ac:dyDescent="0.25">
      <c r="A18">
        <f t="shared" si="12"/>
        <v>16</v>
      </c>
      <c r="B18" s="241" t="s">
        <v>1777</v>
      </c>
      <c r="C18">
        <v>1</v>
      </c>
      <c r="D18" s="14">
        <v>45678</v>
      </c>
      <c r="E18" s="7">
        <v>30</v>
      </c>
      <c r="F18" s="7"/>
      <c r="G18" s="66"/>
      <c r="H18" s="59"/>
      <c r="I18" s="59">
        <f>60*3</f>
        <v>180</v>
      </c>
      <c r="J18" s="47">
        <f t="shared" si="0"/>
        <v>180</v>
      </c>
      <c r="K18" s="8">
        <f t="shared" si="9"/>
        <v>150</v>
      </c>
      <c r="L18" s="96">
        <f t="shared" si="10"/>
        <v>0.83333333333333337</v>
      </c>
      <c r="M18" s="81">
        <v>996</v>
      </c>
      <c r="N18" s="8">
        <v>300</v>
      </c>
      <c r="O18" s="8">
        <v>60</v>
      </c>
      <c r="P18" s="96">
        <f t="shared" si="3"/>
        <v>1.3279999999999998</v>
      </c>
      <c r="Q18" s="59">
        <f t="shared" si="4"/>
        <v>996</v>
      </c>
      <c r="R18" s="59">
        <f t="shared" si="11"/>
        <v>996</v>
      </c>
      <c r="S18" s="65"/>
      <c r="T18" s="65"/>
      <c r="U18" s="65"/>
      <c r="V18" s="65"/>
      <c r="W18" s="65"/>
      <c r="X18" s="65"/>
      <c r="Y18" s="65"/>
      <c r="Z18" s="65"/>
      <c r="AA18" s="65"/>
      <c r="AB18" s="65"/>
      <c r="AC18" s="65"/>
      <c r="AD18" s="65"/>
      <c r="AE18" s="65">
        <f t="shared" si="5"/>
        <v>0</v>
      </c>
      <c r="AF18" s="65"/>
      <c r="AG18" s="248">
        <f t="shared" si="13"/>
        <v>0</v>
      </c>
      <c r="AH18" s="95">
        <f t="shared" si="7"/>
        <v>1</v>
      </c>
      <c r="AI18" s="97">
        <f t="shared" si="8"/>
        <v>1.1066666666666667</v>
      </c>
      <c r="AJ18" s="11" t="s">
        <v>1796</v>
      </c>
    </row>
    <row r="19" spans="1:36" x14ac:dyDescent="0.25">
      <c r="A19">
        <f t="shared" si="12"/>
        <v>17</v>
      </c>
      <c r="B19" s="241" t="s">
        <v>1777</v>
      </c>
      <c r="C19">
        <v>1</v>
      </c>
      <c r="D19" s="14">
        <v>45679</v>
      </c>
      <c r="E19" s="7"/>
      <c r="F19" s="7"/>
      <c r="G19" s="66"/>
      <c r="H19" s="59"/>
      <c r="I19" s="59"/>
      <c r="J19" s="47">
        <f t="shared" si="0"/>
        <v>0</v>
      </c>
      <c r="K19" s="8">
        <f t="shared" si="9"/>
        <v>0</v>
      </c>
      <c r="L19" s="96" t="str">
        <f t="shared" si="10"/>
        <v/>
      </c>
      <c r="M19" s="81"/>
      <c r="N19" s="8">
        <v>300</v>
      </c>
      <c r="O19" s="8">
        <v>60</v>
      </c>
      <c r="P19" s="96" t="str">
        <f t="shared" si="3"/>
        <v/>
      </c>
      <c r="Q19" s="59">
        <f t="shared" si="4"/>
        <v>0</v>
      </c>
      <c r="R19" s="59">
        <f t="shared" si="11"/>
        <v>0</v>
      </c>
      <c r="S19" s="65"/>
      <c r="T19" s="65"/>
      <c r="U19" s="65"/>
      <c r="V19" s="65"/>
      <c r="W19" s="65"/>
      <c r="X19" s="65"/>
      <c r="Y19" s="65"/>
      <c r="Z19" s="65"/>
      <c r="AA19" s="65"/>
      <c r="AB19" s="65"/>
      <c r="AC19" s="65"/>
      <c r="AD19" s="65"/>
      <c r="AE19" s="65">
        <f t="shared" si="5"/>
        <v>0</v>
      </c>
      <c r="AF19" s="65"/>
      <c r="AG19" s="248">
        <f t="shared" si="13"/>
        <v>0</v>
      </c>
      <c r="AH19" s="95" t="str">
        <f t="shared" si="7"/>
        <v/>
      </c>
      <c r="AI19" s="97" t="str">
        <f t="shared" si="8"/>
        <v/>
      </c>
      <c r="AJ19" s="11" t="s">
        <v>1796</v>
      </c>
    </row>
    <row r="20" spans="1:36" x14ac:dyDescent="0.25">
      <c r="A20">
        <f t="shared" si="12"/>
        <v>18</v>
      </c>
      <c r="B20" s="241" t="s">
        <v>1777</v>
      </c>
      <c r="C20">
        <v>1</v>
      </c>
      <c r="D20" s="14">
        <v>45680</v>
      </c>
      <c r="E20" s="7"/>
      <c r="F20" s="7"/>
      <c r="G20" s="66"/>
      <c r="H20" s="59"/>
      <c r="I20" s="59"/>
      <c r="J20" s="47">
        <f t="shared" si="0"/>
        <v>0</v>
      </c>
      <c r="K20" s="8">
        <f t="shared" si="9"/>
        <v>0</v>
      </c>
      <c r="L20" s="96" t="str">
        <f t="shared" si="10"/>
        <v/>
      </c>
      <c r="M20" s="81"/>
      <c r="N20" s="8">
        <v>300</v>
      </c>
      <c r="O20" s="8">
        <v>60</v>
      </c>
      <c r="P20" s="96" t="str">
        <f t="shared" si="3"/>
        <v/>
      </c>
      <c r="Q20" s="59">
        <f t="shared" si="4"/>
        <v>0</v>
      </c>
      <c r="R20" s="59">
        <f t="shared" si="11"/>
        <v>0</v>
      </c>
      <c r="S20" s="65"/>
      <c r="T20" s="65"/>
      <c r="U20" s="65"/>
      <c r="V20" s="65"/>
      <c r="W20" s="65"/>
      <c r="X20" s="65"/>
      <c r="Y20" s="65"/>
      <c r="Z20" s="65"/>
      <c r="AA20" s="65"/>
      <c r="AB20" s="65"/>
      <c r="AC20" s="65"/>
      <c r="AD20" s="65"/>
      <c r="AE20" s="65">
        <f t="shared" si="5"/>
        <v>0</v>
      </c>
      <c r="AF20" s="65"/>
      <c r="AG20" s="248">
        <f t="shared" si="13"/>
        <v>0</v>
      </c>
      <c r="AH20" s="95" t="str">
        <f t="shared" si="7"/>
        <v/>
      </c>
      <c r="AI20" s="97" t="str">
        <f t="shared" si="8"/>
        <v/>
      </c>
      <c r="AJ20" s="11" t="s">
        <v>1796</v>
      </c>
    </row>
    <row r="21" spans="1:36" x14ac:dyDescent="0.25">
      <c r="A21">
        <f t="shared" si="12"/>
        <v>19</v>
      </c>
      <c r="B21" s="241" t="s">
        <v>1777</v>
      </c>
      <c r="C21">
        <v>1</v>
      </c>
      <c r="D21" s="14">
        <v>45681</v>
      </c>
      <c r="E21" s="7">
        <v>30</v>
      </c>
      <c r="F21" s="7"/>
      <c r="G21" s="66"/>
      <c r="H21" s="59"/>
      <c r="I21" s="59">
        <f>60*4</f>
        <v>240</v>
      </c>
      <c r="J21" s="47">
        <f t="shared" si="0"/>
        <v>240</v>
      </c>
      <c r="K21" s="8">
        <f t="shared" si="9"/>
        <v>210</v>
      </c>
      <c r="L21" s="96">
        <f t="shared" si="10"/>
        <v>0.875</v>
      </c>
      <c r="M21" s="81">
        <v>1400</v>
      </c>
      <c r="N21" s="8">
        <v>300</v>
      </c>
      <c r="O21" s="8">
        <v>60</v>
      </c>
      <c r="P21" s="96">
        <f t="shared" si="3"/>
        <v>1.3333333333333333</v>
      </c>
      <c r="Q21" s="59">
        <f t="shared" si="4"/>
        <v>1400</v>
      </c>
      <c r="R21" s="59">
        <f t="shared" si="11"/>
        <v>1402</v>
      </c>
      <c r="S21" s="65"/>
      <c r="T21" s="65"/>
      <c r="U21" s="65"/>
      <c r="V21" s="65"/>
      <c r="W21" s="65">
        <v>2</v>
      </c>
      <c r="X21" s="65"/>
      <c r="Y21" s="65"/>
      <c r="Z21" s="65"/>
      <c r="AA21" s="65"/>
      <c r="AB21" s="65"/>
      <c r="AC21" s="65"/>
      <c r="AD21" s="65"/>
      <c r="AE21" s="65">
        <f t="shared" si="5"/>
        <v>2</v>
      </c>
      <c r="AF21" s="65"/>
      <c r="AG21" s="248">
        <f t="shared" si="13"/>
        <v>2</v>
      </c>
      <c r="AH21" s="95">
        <f t="shared" si="7"/>
        <v>0.99857346647646217</v>
      </c>
      <c r="AI21" s="97">
        <f t="shared" si="8"/>
        <v>1.1650023775558724</v>
      </c>
      <c r="AJ21" s="11" t="s">
        <v>1796</v>
      </c>
    </row>
    <row r="22" spans="1:36" x14ac:dyDescent="0.25">
      <c r="A22">
        <f t="shared" si="12"/>
        <v>20</v>
      </c>
      <c r="B22" s="241" t="s">
        <v>1777</v>
      </c>
      <c r="C22">
        <v>1</v>
      </c>
      <c r="D22" s="14">
        <v>45682</v>
      </c>
      <c r="E22" s="7"/>
      <c r="F22" s="7"/>
      <c r="G22" s="66"/>
      <c r="H22" s="59"/>
      <c r="I22" s="59"/>
      <c r="J22" s="47">
        <f t="shared" si="0"/>
        <v>0</v>
      </c>
      <c r="K22" s="8">
        <f t="shared" si="9"/>
        <v>0</v>
      </c>
      <c r="L22" s="96" t="str">
        <f t="shared" si="10"/>
        <v/>
      </c>
      <c r="M22" s="81"/>
      <c r="N22" s="8">
        <v>300</v>
      </c>
      <c r="O22" s="8">
        <v>60</v>
      </c>
      <c r="P22" s="96" t="str">
        <f t="shared" si="3"/>
        <v/>
      </c>
      <c r="Q22" s="59">
        <f t="shared" si="4"/>
        <v>0</v>
      </c>
      <c r="R22" s="59">
        <f t="shared" si="11"/>
        <v>0</v>
      </c>
      <c r="S22" s="65"/>
      <c r="T22" s="65"/>
      <c r="U22" s="65"/>
      <c r="V22" s="65"/>
      <c r="W22" s="65"/>
      <c r="X22" s="65"/>
      <c r="Y22" s="65"/>
      <c r="Z22" s="65"/>
      <c r="AA22" s="65"/>
      <c r="AB22" s="65"/>
      <c r="AC22" s="65"/>
      <c r="AD22" s="65"/>
      <c r="AE22" s="65">
        <f t="shared" si="5"/>
        <v>0</v>
      </c>
      <c r="AF22" s="65"/>
      <c r="AG22" s="248">
        <f t="shared" si="13"/>
        <v>0</v>
      </c>
      <c r="AH22" s="95" t="str">
        <f t="shared" si="7"/>
        <v/>
      </c>
      <c r="AI22" s="97" t="str">
        <f t="shared" si="8"/>
        <v/>
      </c>
      <c r="AJ22" s="11" t="s">
        <v>1796</v>
      </c>
    </row>
    <row r="23" spans="1:36" x14ac:dyDescent="0.25">
      <c r="A23">
        <f t="shared" si="12"/>
        <v>21</v>
      </c>
      <c r="B23" s="241" t="s">
        <v>1777</v>
      </c>
      <c r="C23">
        <v>1</v>
      </c>
      <c r="D23" s="14">
        <v>45683</v>
      </c>
      <c r="E23" s="7"/>
      <c r="F23" s="7"/>
      <c r="G23" s="66"/>
      <c r="H23" s="59"/>
      <c r="I23" s="59"/>
      <c r="J23" s="47">
        <f t="shared" si="0"/>
        <v>0</v>
      </c>
      <c r="K23" s="8">
        <f t="shared" si="9"/>
        <v>0</v>
      </c>
      <c r="L23" s="96" t="str">
        <f t="shared" si="10"/>
        <v/>
      </c>
      <c r="M23" s="81"/>
      <c r="N23" s="8">
        <v>300</v>
      </c>
      <c r="O23" s="8">
        <v>60</v>
      </c>
      <c r="P23" s="96" t="str">
        <f t="shared" si="3"/>
        <v/>
      </c>
      <c r="Q23" s="59">
        <f t="shared" si="4"/>
        <v>0</v>
      </c>
      <c r="R23" s="59">
        <f t="shared" si="11"/>
        <v>0</v>
      </c>
      <c r="S23" s="65"/>
      <c r="T23" s="65"/>
      <c r="U23" s="65"/>
      <c r="V23" s="65"/>
      <c r="W23" s="65"/>
      <c r="X23" s="65"/>
      <c r="Y23" s="65"/>
      <c r="Z23" s="65"/>
      <c r="AA23" s="65"/>
      <c r="AB23" s="65"/>
      <c r="AC23" s="65"/>
      <c r="AD23" s="65"/>
      <c r="AE23" s="65">
        <f t="shared" si="5"/>
        <v>0</v>
      </c>
      <c r="AF23" s="65"/>
      <c r="AG23" s="248">
        <f t="shared" si="13"/>
        <v>0</v>
      </c>
      <c r="AH23" s="95" t="str">
        <f t="shared" si="7"/>
        <v/>
      </c>
      <c r="AI23" s="97" t="str">
        <f t="shared" si="8"/>
        <v/>
      </c>
      <c r="AJ23" s="11" t="s">
        <v>1796</v>
      </c>
    </row>
    <row r="24" spans="1:36" x14ac:dyDescent="0.25">
      <c r="A24">
        <f t="shared" si="12"/>
        <v>22</v>
      </c>
      <c r="B24" s="241" t="s">
        <v>1777</v>
      </c>
      <c r="C24">
        <v>1</v>
      </c>
      <c r="D24" s="14">
        <v>45684</v>
      </c>
      <c r="E24" s="7">
        <v>30</v>
      </c>
      <c r="F24" s="7"/>
      <c r="G24" s="66"/>
      <c r="H24" s="59"/>
      <c r="I24" s="59">
        <v>510</v>
      </c>
      <c r="J24" s="47">
        <f t="shared" si="0"/>
        <v>510</v>
      </c>
      <c r="K24" s="8">
        <f t="shared" si="9"/>
        <v>480</v>
      </c>
      <c r="L24" s="96">
        <f t="shared" si="10"/>
        <v>0.94117647058823528</v>
      </c>
      <c r="M24" s="81">
        <v>2402</v>
      </c>
      <c r="N24" s="8">
        <v>300</v>
      </c>
      <c r="O24" s="8">
        <v>60</v>
      </c>
      <c r="P24" s="96">
        <f t="shared" si="3"/>
        <v>1.0008333333333332</v>
      </c>
      <c r="Q24" s="59">
        <f t="shared" si="4"/>
        <v>2402</v>
      </c>
      <c r="R24" s="59">
        <f t="shared" si="11"/>
        <v>2416</v>
      </c>
      <c r="S24" s="65"/>
      <c r="T24" s="65"/>
      <c r="U24" s="65"/>
      <c r="V24" s="65"/>
      <c r="W24" s="65">
        <v>14</v>
      </c>
      <c r="X24" s="65"/>
      <c r="Y24" s="65"/>
      <c r="Z24" s="65"/>
      <c r="AA24" s="65"/>
      <c r="AB24" s="65"/>
      <c r="AC24" s="65"/>
      <c r="AD24" s="65"/>
      <c r="AE24" s="65">
        <f t="shared" si="5"/>
        <v>14</v>
      </c>
      <c r="AF24" s="65"/>
      <c r="AG24" s="248">
        <f t="shared" si="13"/>
        <v>14</v>
      </c>
      <c r="AH24" s="95">
        <f t="shared" si="7"/>
        <v>0.99420529801324509</v>
      </c>
      <c r="AI24" s="97">
        <f t="shared" si="8"/>
        <v>0.93650240228541737</v>
      </c>
      <c r="AJ24" s="11" t="s">
        <v>1796</v>
      </c>
    </row>
    <row r="25" spans="1:36" x14ac:dyDescent="0.25">
      <c r="A25">
        <f t="shared" si="12"/>
        <v>23</v>
      </c>
      <c r="B25" s="241" t="s">
        <v>1777</v>
      </c>
      <c r="C25">
        <v>1</v>
      </c>
      <c r="D25" s="14">
        <v>45685</v>
      </c>
      <c r="E25" s="7">
        <v>30</v>
      </c>
      <c r="F25" s="7"/>
      <c r="G25" s="66"/>
      <c r="H25" s="59"/>
      <c r="I25" s="59">
        <f>60*7</f>
        <v>420</v>
      </c>
      <c r="J25" s="47">
        <f t="shared" si="0"/>
        <v>420</v>
      </c>
      <c r="K25" s="8">
        <f t="shared" si="9"/>
        <v>390</v>
      </c>
      <c r="L25" s="96">
        <f t="shared" si="10"/>
        <v>0.9285714285714286</v>
      </c>
      <c r="M25" s="81">
        <v>1833</v>
      </c>
      <c r="N25" s="8">
        <v>300</v>
      </c>
      <c r="O25" s="8">
        <v>60</v>
      </c>
      <c r="P25" s="96">
        <f t="shared" si="3"/>
        <v>0.94000000000000006</v>
      </c>
      <c r="Q25" s="59">
        <f t="shared" si="4"/>
        <v>1833</v>
      </c>
      <c r="R25" s="59">
        <f t="shared" si="11"/>
        <v>1844</v>
      </c>
      <c r="S25" s="65"/>
      <c r="T25" s="65"/>
      <c r="U25" s="65"/>
      <c r="V25" s="65"/>
      <c r="W25" s="65">
        <v>11</v>
      </c>
      <c r="X25" s="65"/>
      <c r="Y25" s="65"/>
      <c r="Z25" s="65"/>
      <c r="AA25" s="65"/>
      <c r="AB25" s="65"/>
      <c r="AC25" s="65"/>
      <c r="AD25" s="65"/>
      <c r="AE25" s="65">
        <f t="shared" si="5"/>
        <v>11</v>
      </c>
      <c r="AF25" s="65"/>
      <c r="AG25" s="248">
        <f t="shared" si="13"/>
        <v>11</v>
      </c>
      <c r="AH25" s="95">
        <f t="shared" si="7"/>
        <v>0.9940347071583514</v>
      </c>
      <c r="AI25" s="97">
        <f t="shared" si="8"/>
        <v>0.86765029439107544</v>
      </c>
      <c r="AJ25" s="11" t="s">
        <v>1796</v>
      </c>
    </row>
    <row r="26" spans="1:36" x14ac:dyDescent="0.25">
      <c r="A26">
        <f t="shared" si="12"/>
        <v>24</v>
      </c>
      <c r="B26" s="241" t="s">
        <v>1777</v>
      </c>
      <c r="C26">
        <v>1</v>
      </c>
      <c r="D26" s="14">
        <v>45686</v>
      </c>
      <c r="E26" s="7">
        <v>30</v>
      </c>
      <c r="F26" s="7">
        <v>120</v>
      </c>
      <c r="G26" s="66"/>
      <c r="H26" s="59"/>
      <c r="I26" s="59">
        <v>420</v>
      </c>
      <c r="J26" s="47">
        <f t="shared" si="0"/>
        <v>420</v>
      </c>
      <c r="K26" s="8">
        <f t="shared" si="9"/>
        <v>270</v>
      </c>
      <c r="L26" s="96">
        <f t="shared" si="10"/>
        <v>0.6428571428571429</v>
      </c>
      <c r="M26" s="81">
        <v>1000</v>
      </c>
      <c r="N26" s="8">
        <v>300</v>
      </c>
      <c r="O26" s="8">
        <v>60</v>
      </c>
      <c r="P26" s="96">
        <f t="shared" si="3"/>
        <v>0.7407407407407407</v>
      </c>
      <c r="Q26" s="59">
        <f t="shared" si="4"/>
        <v>1000</v>
      </c>
      <c r="R26" s="59">
        <f t="shared" si="11"/>
        <v>1000</v>
      </c>
      <c r="S26" s="65"/>
      <c r="T26" s="65"/>
      <c r="U26" s="65"/>
      <c r="V26" s="65"/>
      <c r="W26" s="65"/>
      <c r="X26" s="65"/>
      <c r="Y26" s="65"/>
      <c r="Z26" s="65"/>
      <c r="AA26" s="65"/>
      <c r="AB26" s="65"/>
      <c r="AC26" s="65"/>
      <c r="AD26" s="65"/>
      <c r="AE26" s="65">
        <f t="shared" si="5"/>
        <v>0</v>
      </c>
      <c r="AF26" s="65"/>
      <c r="AG26" s="248">
        <f t="shared" si="13"/>
        <v>0</v>
      </c>
      <c r="AH26" s="95">
        <f t="shared" si="7"/>
        <v>1</v>
      </c>
      <c r="AI26" s="97">
        <f t="shared" si="8"/>
        <v>0.47619047619047622</v>
      </c>
      <c r="AJ26" s="11" t="s">
        <v>1796</v>
      </c>
    </row>
    <row r="27" spans="1:36" x14ac:dyDescent="0.25">
      <c r="A27">
        <f t="shared" si="12"/>
        <v>25</v>
      </c>
      <c r="B27" s="241" t="s">
        <v>1777</v>
      </c>
      <c r="C27">
        <v>1</v>
      </c>
      <c r="D27" s="14">
        <v>45687</v>
      </c>
      <c r="E27" s="7"/>
      <c r="F27" s="7"/>
      <c r="G27" s="66"/>
      <c r="H27" s="59"/>
      <c r="I27" s="59"/>
      <c r="J27" s="47">
        <f t="shared" si="0"/>
        <v>0</v>
      </c>
      <c r="K27" s="8">
        <f t="shared" si="9"/>
        <v>0</v>
      </c>
      <c r="L27" s="96" t="str">
        <f t="shared" si="10"/>
        <v/>
      </c>
      <c r="M27" s="81"/>
      <c r="N27" s="8">
        <v>300</v>
      </c>
      <c r="O27" s="8">
        <v>60</v>
      </c>
      <c r="P27" s="96" t="str">
        <f t="shared" si="3"/>
        <v/>
      </c>
      <c r="Q27" s="59">
        <f t="shared" si="4"/>
        <v>0</v>
      </c>
      <c r="R27" s="59">
        <f t="shared" si="11"/>
        <v>0</v>
      </c>
      <c r="S27" s="65"/>
      <c r="T27" s="65"/>
      <c r="U27" s="65"/>
      <c r="V27" s="65"/>
      <c r="W27" s="65"/>
      <c r="X27" s="65"/>
      <c r="Y27" s="65"/>
      <c r="Z27" s="65"/>
      <c r="AA27" s="65"/>
      <c r="AB27" s="65"/>
      <c r="AC27" s="65"/>
      <c r="AD27" s="65"/>
      <c r="AE27" s="65">
        <f t="shared" si="5"/>
        <v>0</v>
      </c>
      <c r="AF27" s="65"/>
      <c r="AG27" s="248">
        <f t="shared" si="13"/>
        <v>0</v>
      </c>
      <c r="AH27" s="95" t="str">
        <f t="shared" si="7"/>
        <v/>
      </c>
      <c r="AI27" s="97" t="str">
        <f t="shared" si="8"/>
        <v/>
      </c>
      <c r="AJ27" s="11" t="s">
        <v>1796</v>
      </c>
    </row>
    <row r="28" spans="1:36" x14ac:dyDescent="0.25">
      <c r="A28">
        <f t="shared" si="12"/>
        <v>26</v>
      </c>
      <c r="B28" s="241" t="s">
        <v>1777</v>
      </c>
      <c r="C28">
        <v>1</v>
      </c>
      <c r="D28" s="14">
        <v>45688</v>
      </c>
      <c r="E28" s="7"/>
      <c r="F28" s="7"/>
      <c r="G28" s="66"/>
      <c r="H28" s="59"/>
      <c r="I28" s="59"/>
      <c r="J28" s="47">
        <f t="shared" si="0"/>
        <v>0</v>
      </c>
      <c r="K28" s="8">
        <f t="shared" si="9"/>
        <v>0</v>
      </c>
      <c r="L28" s="96" t="str">
        <f t="shared" si="10"/>
        <v/>
      </c>
      <c r="M28" s="81"/>
      <c r="N28" s="8">
        <v>300</v>
      </c>
      <c r="O28" s="8">
        <v>60</v>
      </c>
      <c r="P28" s="96" t="str">
        <f t="shared" si="3"/>
        <v/>
      </c>
      <c r="Q28" s="59">
        <f t="shared" si="4"/>
        <v>0</v>
      </c>
      <c r="R28" s="59">
        <f t="shared" si="11"/>
        <v>0</v>
      </c>
      <c r="S28" s="65"/>
      <c r="T28" s="65"/>
      <c r="U28" s="65"/>
      <c r="V28" s="65"/>
      <c r="W28" s="65"/>
      <c r="X28" s="65"/>
      <c r="Y28" s="65"/>
      <c r="Z28" s="65"/>
      <c r="AA28" s="65"/>
      <c r="AB28" s="65"/>
      <c r="AC28" s="65"/>
      <c r="AD28" s="65"/>
      <c r="AE28" s="65">
        <f t="shared" si="5"/>
        <v>0</v>
      </c>
      <c r="AF28" s="65"/>
      <c r="AG28" s="248">
        <f t="shared" si="13"/>
        <v>0</v>
      </c>
      <c r="AH28" s="95" t="str">
        <f t="shared" si="7"/>
        <v/>
      </c>
      <c r="AI28" s="97" t="str">
        <f t="shared" si="8"/>
        <v/>
      </c>
      <c r="AJ28" s="11" t="s">
        <v>1796</v>
      </c>
    </row>
    <row r="29" spans="1:36" x14ac:dyDescent="0.25">
      <c r="A29">
        <f t="shared" si="12"/>
        <v>27</v>
      </c>
      <c r="B29" s="241" t="s">
        <v>1777</v>
      </c>
      <c r="C29">
        <v>1</v>
      </c>
      <c r="D29" s="14">
        <v>45689</v>
      </c>
      <c r="E29" s="7"/>
      <c r="F29" s="7"/>
      <c r="G29" s="66"/>
      <c r="H29" s="59"/>
      <c r="I29" s="59"/>
      <c r="J29" s="47">
        <f t="shared" si="0"/>
        <v>0</v>
      </c>
      <c r="K29" s="8">
        <f t="shared" si="9"/>
        <v>0</v>
      </c>
      <c r="L29" s="96" t="str">
        <f t="shared" si="10"/>
        <v/>
      </c>
      <c r="M29" s="81"/>
      <c r="N29" s="8">
        <v>300</v>
      </c>
      <c r="O29" s="8">
        <v>60</v>
      </c>
      <c r="P29" s="96" t="str">
        <f t="shared" si="3"/>
        <v/>
      </c>
      <c r="Q29" s="59">
        <f t="shared" si="4"/>
        <v>0</v>
      </c>
      <c r="R29" s="59">
        <f t="shared" si="11"/>
        <v>0</v>
      </c>
      <c r="S29" s="65"/>
      <c r="T29" s="65"/>
      <c r="U29" s="65"/>
      <c r="V29" s="65"/>
      <c r="W29" s="65"/>
      <c r="X29" s="65"/>
      <c r="Y29" s="65"/>
      <c r="Z29" s="65"/>
      <c r="AA29" s="65"/>
      <c r="AB29" s="65"/>
      <c r="AC29" s="65"/>
      <c r="AD29" s="65"/>
      <c r="AE29" s="65">
        <f t="shared" si="5"/>
        <v>0</v>
      </c>
      <c r="AF29" s="65"/>
      <c r="AG29" s="248">
        <f t="shared" si="13"/>
        <v>0</v>
      </c>
      <c r="AH29" s="95" t="str">
        <f t="shared" si="7"/>
        <v/>
      </c>
      <c r="AI29" s="97" t="str">
        <f t="shared" si="8"/>
        <v/>
      </c>
      <c r="AJ29" s="11" t="s">
        <v>1796</v>
      </c>
    </row>
    <row r="30" spans="1:36" x14ac:dyDescent="0.25">
      <c r="A30">
        <f t="shared" si="12"/>
        <v>28</v>
      </c>
      <c r="B30" s="241" t="s">
        <v>1777</v>
      </c>
      <c r="C30">
        <v>1</v>
      </c>
      <c r="D30" s="14">
        <v>45690</v>
      </c>
      <c r="E30" s="7"/>
      <c r="F30" s="7"/>
      <c r="G30" s="66"/>
      <c r="H30" s="59"/>
      <c r="I30" s="59"/>
      <c r="J30" s="47">
        <f t="shared" si="0"/>
        <v>0</v>
      </c>
      <c r="K30" s="8">
        <f t="shared" si="9"/>
        <v>0</v>
      </c>
      <c r="L30" s="96" t="str">
        <f t="shared" si="10"/>
        <v/>
      </c>
      <c r="M30" s="81"/>
      <c r="N30" s="8">
        <v>300</v>
      </c>
      <c r="O30" s="8">
        <v>60</v>
      </c>
      <c r="P30" s="96" t="str">
        <f t="shared" si="3"/>
        <v/>
      </c>
      <c r="Q30" s="59">
        <f t="shared" si="4"/>
        <v>0</v>
      </c>
      <c r="R30" s="59">
        <f t="shared" si="11"/>
        <v>0</v>
      </c>
      <c r="S30" s="65"/>
      <c r="T30" s="65"/>
      <c r="U30" s="65"/>
      <c r="V30" s="65"/>
      <c r="W30" s="65"/>
      <c r="X30" s="65"/>
      <c r="Y30" s="65"/>
      <c r="Z30" s="65"/>
      <c r="AA30" s="65"/>
      <c r="AB30" s="65"/>
      <c r="AC30" s="65"/>
      <c r="AD30" s="65"/>
      <c r="AE30" s="65">
        <f t="shared" si="5"/>
        <v>0</v>
      </c>
      <c r="AF30" s="65"/>
      <c r="AG30" s="248">
        <f t="shared" si="13"/>
        <v>0</v>
      </c>
      <c r="AH30" s="95" t="str">
        <f t="shared" si="7"/>
        <v/>
      </c>
      <c r="AI30" s="97" t="str">
        <f t="shared" si="8"/>
        <v/>
      </c>
      <c r="AJ30" s="11" t="s">
        <v>1796</v>
      </c>
    </row>
    <row r="31" spans="1:36" x14ac:dyDescent="0.25">
      <c r="A31">
        <f t="shared" si="12"/>
        <v>29</v>
      </c>
      <c r="B31" s="241" t="s">
        <v>1777</v>
      </c>
      <c r="C31">
        <v>1</v>
      </c>
      <c r="D31" s="14">
        <v>45691</v>
      </c>
      <c r="E31" s="7"/>
      <c r="F31" s="7"/>
      <c r="G31" s="66"/>
      <c r="H31" s="59"/>
      <c r="I31" s="59"/>
      <c r="J31" s="47">
        <f t="shared" si="0"/>
        <v>0</v>
      </c>
      <c r="K31" s="8">
        <f t="shared" si="9"/>
        <v>0</v>
      </c>
      <c r="L31" s="96" t="str">
        <f t="shared" si="10"/>
        <v/>
      </c>
      <c r="M31" s="81"/>
      <c r="N31" s="8">
        <v>300</v>
      </c>
      <c r="O31" s="8">
        <v>60</v>
      </c>
      <c r="P31" s="96" t="str">
        <f t="shared" si="3"/>
        <v/>
      </c>
      <c r="Q31" s="59">
        <f t="shared" si="4"/>
        <v>0</v>
      </c>
      <c r="R31" s="59">
        <f t="shared" si="11"/>
        <v>0</v>
      </c>
      <c r="S31" s="65"/>
      <c r="T31" s="65"/>
      <c r="U31" s="65"/>
      <c r="V31" s="65"/>
      <c r="W31" s="65"/>
      <c r="X31" s="65"/>
      <c r="Y31" s="65"/>
      <c r="Z31" s="65"/>
      <c r="AA31" s="65"/>
      <c r="AB31" s="65"/>
      <c r="AC31" s="65"/>
      <c r="AD31" s="65"/>
      <c r="AE31" s="65">
        <f t="shared" si="5"/>
        <v>0</v>
      </c>
      <c r="AF31" s="65"/>
      <c r="AG31" s="248">
        <f t="shared" si="13"/>
        <v>0</v>
      </c>
      <c r="AH31" s="95" t="str">
        <f t="shared" si="7"/>
        <v/>
      </c>
      <c r="AI31" s="97" t="str">
        <f t="shared" si="8"/>
        <v/>
      </c>
      <c r="AJ31" s="11" t="s">
        <v>1796</v>
      </c>
    </row>
    <row r="32" spans="1:36" x14ac:dyDescent="0.25">
      <c r="A32">
        <f t="shared" si="12"/>
        <v>30</v>
      </c>
      <c r="B32" s="241" t="s">
        <v>1777</v>
      </c>
      <c r="C32">
        <v>1</v>
      </c>
      <c r="D32" s="14">
        <v>45692</v>
      </c>
      <c r="E32" s="7">
        <v>30</v>
      </c>
      <c r="F32" s="7">
        <v>60</v>
      </c>
      <c r="G32" s="66"/>
      <c r="H32" s="59"/>
      <c r="I32" s="59">
        <v>510</v>
      </c>
      <c r="J32" s="47">
        <f t="shared" si="0"/>
        <v>510</v>
      </c>
      <c r="K32" s="8">
        <f t="shared" si="9"/>
        <v>420</v>
      </c>
      <c r="L32" s="96">
        <f t="shared" si="10"/>
        <v>0.82352941176470584</v>
      </c>
      <c r="M32" s="81">
        <v>3120</v>
      </c>
      <c r="N32" s="8">
        <v>300</v>
      </c>
      <c r="O32" s="8">
        <v>60</v>
      </c>
      <c r="P32" s="96">
        <f t="shared" si="3"/>
        <v>1.4857142857142858</v>
      </c>
      <c r="Q32" s="59">
        <f t="shared" si="4"/>
        <v>3120</v>
      </c>
      <c r="R32" s="59">
        <f t="shared" si="11"/>
        <v>3135</v>
      </c>
      <c r="S32" s="65"/>
      <c r="T32" s="65"/>
      <c r="U32" s="65"/>
      <c r="V32" s="65"/>
      <c r="W32" s="65">
        <v>15</v>
      </c>
      <c r="X32" s="65"/>
      <c r="Y32" s="65"/>
      <c r="Z32" s="65"/>
      <c r="AA32" s="65"/>
      <c r="AB32" s="65"/>
      <c r="AC32" s="65"/>
      <c r="AD32" s="65"/>
      <c r="AE32" s="65">
        <f t="shared" si="5"/>
        <v>15</v>
      </c>
      <c r="AF32" s="65"/>
      <c r="AG32" s="248">
        <f t="shared" si="13"/>
        <v>15</v>
      </c>
      <c r="AH32" s="95">
        <f t="shared" si="7"/>
        <v>0.99521531100478466</v>
      </c>
      <c r="AI32" s="97">
        <f t="shared" si="8"/>
        <v>1.2176752040529131</v>
      </c>
      <c r="AJ32" s="11" t="s">
        <v>1796</v>
      </c>
    </row>
    <row r="33" spans="1:37" x14ac:dyDescent="0.25">
      <c r="A33">
        <f t="shared" si="12"/>
        <v>31</v>
      </c>
      <c r="B33" s="241" t="s">
        <v>1777</v>
      </c>
      <c r="C33" t="s">
        <v>2509</v>
      </c>
      <c r="D33" s="14">
        <v>45693</v>
      </c>
      <c r="E33" s="7">
        <v>30</v>
      </c>
      <c r="F33" s="7">
        <v>60</v>
      </c>
      <c r="G33" s="66"/>
      <c r="H33" s="59"/>
      <c r="I33" s="59">
        <v>895</v>
      </c>
      <c r="J33" s="47">
        <f t="shared" si="0"/>
        <v>895</v>
      </c>
      <c r="K33" s="8">
        <f t="shared" si="9"/>
        <v>805</v>
      </c>
      <c r="L33" s="96">
        <f t="shared" si="10"/>
        <v>0.8994413407821229</v>
      </c>
      <c r="M33" s="81">
        <v>4335</v>
      </c>
      <c r="N33" s="8">
        <v>300</v>
      </c>
      <c r="O33" s="8">
        <v>60</v>
      </c>
      <c r="P33" s="96">
        <f t="shared" si="3"/>
        <v>1.0770186335403726</v>
      </c>
      <c r="Q33" s="59">
        <f t="shared" si="4"/>
        <v>4335</v>
      </c>
      <c r="R33" s="59">
        <f t="shared" si="11"/>
        <v>4335</v>
      </c>
      <c r="S33" s="65"/>
      <c r="T33" s="65"/>
      <c r="U33" s="65"/>
      <c r="V33" s="65"/>
      <c r="W33" s="65"/>
      <c r="X33" s="65"/>
      <c r="Y33" s="65"/>
      <c r="Z33" s="65"/>
      <c r="AA33" s="65"/>
      <c r="AB33" s="65"/>
      <c r="AC33" s="65"/>
      <c r="AD33" s="65"/>
      <c r="AE33" s="65">
        <f t="shared" si="5"/>
        <v>0</v>
      </c>
      <c r="AF33" s="65"/>
      <c r="AG33" s="248">
        <f t="shared" si="13"/>
        <v>0</v>
      </c>
      <c r="AH33" s="95">
        <f t="shared" si="7"/>
        <v>1</v>
      </c>
      <c r="AI33" s="97">
        <f t="shared" si="8"/>
        <v>0.9687150837988826</v>
      </c>
      <c r="AJ33" s="11" t="s">
        <v>1796</v>
      </c>
      <c r="AK33" t="s">
        <v>2508</v>
      </c>
    </row>
    <row r="34" spans="1:37" x14ac:dyDescent="0.25">
      <c r="A34">
        <f t="shared" si="12"/>
        <v>32</v>
      </c>
      <c r="B34" s="241" t="s">
        <v>1777</v>
      </c>
      <c r="C34">
        <v>2</v>
      </c>
      <c r="D34" s="14">
        <v>45694</v>
      </c>
      <c r="E34" s="7">
        <v>30</v>
      </c>
      <c r="F34" s="7"/>
      <c r="G34" s="66"/>
      <c r="H34" s="59"/>
      <c r="I34" s="59">
        <v>445</v>
      </c>
      <c r="J34" s="47">
        <f t="shared" si="0"/>
        <v>445</v>
      </c>
      <c r="K34" s="8">
        <f t="shared" si="9"/>
        <v>415</v>
      </c>
      <c r="L34" s="96">
        <f t="shared" si="10"/>
        <v>0.93258426966292129</v>
      </c>
      <c r="M34" s="81">
        <v>2306</v>
      </c>
      <c r="N34" s="8">
        <v>300</v>
      </c>
      <c r="O34" s="8">
        <v>60</v>
      </c>
      <c r="P34" s="96">
        <f t="shared" si="3"/>
        <v>1.1113253012048192</v>
      </c>
      <c r="Q34" s="59">
        <f t="shared" si="4"/>
        <v>2306</v>
      </c>
      <c r="R34" s="59">
        <f t="shared" si="11"/>
        <v>2306</v>
      </c>
      <c r="S34" s="65"/>
      <c r="T34" s="65"/>
      <c r="U34" s="65"/>
      <c r="V34" s="65"/>
      <c r="W34" s="65"/>
      <c r="X34" s="65"/>
      <c r="Y34" s="65"/>
      <c r="Z34" s="65"/>
      <c r="AA34" s="65"/>
      <c r="AB34" s="65"/>
      <c r="AC34" s="65"/>
      <c r="AD34" s="65"/>
      <c r="AE34" s="65">
        <f t="shared" si="5"/>
        <v>0</v>
      </c>
      <c r="AF34" s="65"/>
      <c r="AG34" s="248">
        <f t="shared" si="13"/>
        <v>0</v>
      </c>
      <c r="AH34" s="95">
        <f t="shared" si="7"/>
        <v>1</v>
      </c>
      <c r="AI34" s="97">
        <f t="shared" si="8"/>
        <v>1.0364044943820223</v>
      </c>
      <c r="AJ34" s="11" t="s">
        <v>2508</v>
      </c>
    </row>
    <row r="35" spans="1:37" x14ac:dyDescent="0.25">
      <c r="A35">
        <f t="shared" si="12"/>
        <v>33</v>
      </c>
      <c r="B35" s="241" t="s">
        <v>1777</v>
      </c>
      <c r="C35">
        <v>1</v>
      </c>
      <c r="D35" s="14">
        <v>45695</v>
      </c>
      <c r="E35" s="7">
        <v>30</v>
      </c>
      <c r="F35" s="7"/>
      <c r="G35" s="66"/>
      <c r="H35" s="59"/>
      <c r="I35" s="59">
        <v>60</v>
      </c>
      <c r="J35" s="47">
        <f t="shared" si="0"/>
        <v>60</v>
      </c>
      <c r="K35" s="8">
        <f t="shared" si="9"/>
        <v>30</v>
      </c>
      <c r="L35" s="96">
        <f t="shared" si="10"/>
        <v>0.5</v>
      </c>
      <c r="M35" s="81">
        <v>182</v>
      </c>
      <c r="N35" s="8">
        <v>300</v>
      </c>
      <c r="O35" s="8">
        <v>60</v>
      </c>
      <c r="P35" s="96">
        <f t="shared" si="3"/>
        <v>1.2133333333333334</v>
      </c>
      <c r="Q35" s="59">
        <f t="shared" si="4"/>
        <v>182</v>
      </c>
      <c r="R35" s="59">
        <f t="shared" si="11"/>
        <v>182</v>
      </c>
      <c r="S35" s="65"/>
      <c r="T35" s="65"/>
      <c r="U35" s="65"/>
      <c r="V35" s="65"/>
      <c r="W35" s="65"/>
      <c r="X35" s="65"/>
      <c r="Y35" s="65"/>
      <c r="Z35" s="65"/>
      <c r="AA35" s="65"/>
      <c r="AB35" s="65"/>
      <c r="AC35" s="65"/>
      <c r="AD35" s="65"/>
      <c r="AE35" s="65">
        <f t="shared" si="5"/>
        <v>0</v>
      </c>
      <c r="AF35" s="65"/>
      <c r="AG35" s="248">
        <f t="shared" si="13"/>
        <v>0</v>
      </c>
      <c r="AH35" s="95">
        <f t="shared" si="7"/>
        <v>1</v>
      </c>
      <c r="AI35" s="97">
        <f t="shared" si="8"/>
        <v>0.60666666666666669</v>
      </c>
      <c r="AJ35" s="11" t="s">
        <v>2508</v>
      </c>
      <c r="AK35" t="s">
        <v>2510</v>
      </c>
    </row>
    <row r="36" spans="1:37" x14ac:dyDescent="0.25">
      <c r="A36">
        <f t="shared" si="12"/>
        <v>34</v>
      </c>
      <c r="B36" s="241" t="s">
        <v>1777</v>
      </c>
      <c r="C36">
        <v>1</v>
      </c>
      <c r="D36" s="14">
        <v>45696</v>
      </c>
      <c r="E36" s="7"/>
      <c r="F36" s="7"/>
      <c r="G36" s="66"/>
      <c r="H36" s="59"/>
      <c r="I36" s="59"/>
      <c r="J36" s="47">
        <f t="shared" si="0"/>
        <v>0</v>
      </c>
      <c r="K36" s="8">
        <f t="shared" si="9"/>
        <v>0</v>
      </c>
      <c r="L36" s="96" t="str">
        <f t="shared" si="10"/>
        <v/>
      </c>
      <c r="M36" s="81"/>
      <c r="N36" s="8">
        <v>300</v>
      </c>
      <c r="O36" s="8">
        <v>60</v>
      </c>
      <c r="P36" s="96" t="str">
        <f t="shared" si="3"/>
        <v/>
      </c>
      <c r="Q36" s="59">
        <f t="shared" si="4"/>
        <v>0</v>
      </c>
      <c r="R36" s="59">
        <f t="shared" si="11"/>
        <v>0</v>
      </c>
      <c r="S36" s="65"/>
      <c r="T36" s="65"/>
      <c r="U36" s="65"/>
      <c r="V36" s="65"/>
      <c r="W36" s="65"/>
      <c r="X36" s="65"/>
      <c r="Y36" s="65"/>
      <c r="Z36" s="65"/>
      <c r="AA36" s="65"/>
      <c r="AB36" s="65"/>
      <c r="AC36" s="65"/>
      <c r="AD36" s="65"/>
      <c r="AE36" s="65">
        <f t="shared" si="5"/>
        <v>0</v>
      </c>
      <c r="AF36" s="65"/>
      <c r="AG36" s="248">
        <f t="shared" si="13"/>
        <v>0</v>
      </c>
      <c r="AH36" s="95" t="str">
        <f t="shared" si="7"/>
        <v/>
      </c>
      <c r="AI36" s="97" t="str">
        <f t="shared" si="8"/>
        <v/>
      </c>
      <c r="AJ36" s="11" t="s">
        <v>1796</v>
      </c>
    </row>
    <row r="37" spans="1:37" x14ac:dyDescent="0.25">
      <c r="A37">
        <f t="shared" si="12"/>
        <v>35</v>
      </c>
      <c r="B37" s="241" t="s">
        <v>1777</v>
      </c>
      <c r="C37">
        <v>1</v>
      </c>
      <c r="D37" s="14">
        <v>45697</v>
      </c>
      <c r="E37" s="7"/>
      <c r="F37" s="7"/>
      <c r="G37" s="66"/>
      <c r="H37" s="59"/>
      <c r="I37" s="59"/>
      <c r="J37" s="47">
        <f t="shared" si="0"/>
        <v>0</v>
      </c>
      <c r="K37" s="8">
        <f t="shared" si="9"/>
        <v>0</v>
      </c>
      <c r="L37" s="96" t="str">
        <f t="shared" si="10"/>
        <v/>
      </c>
      <c r="M37" s="81"/>
      <c r="N37" s="8">
        <v>300</v>
      </c>
      <c r="O37" s="8">
        <v>60</v>
      </c>
      <c r="P37" s="96" t="str">
        <f t="shared" si="3"/>
        <v/>
      </c>
      <c r="Q37" s="59">
        <f t="shared" si="4"/>
        <v>0</v>
      </c>
      <c r="R37" s="59">
        <f t="shared" si="11"/>
        <v>0</v>
      </c>
      <c r="S37" s="65"/>
      <c r="T37" s="65"/>
      <c r="U37" s="65"/>
      <c r="V37" s="65"/>
      <c r="W37" s="65"/>
      <c r="X37" s="65"/>
      <c r="Y37" s="65"/>
      <c r="Z37" s="65"/>
      <c r="AA37" s="65"/>
      <c r="AB37" s="65"/>
      <c r="AC37" s="65"/>
      <c r="AD37" s="65"/>
      <c r="AE37" s="65">
        <f t="shared" si="5"/>
        <v>0</v>
      </c>
      <c r="AF37" s="65"/>
      <c r="AG37" s="248">
        <f t="shared" si="13"/>
        <v>0</v>
      </c>
      <c r="AH37" s="95" t="str">
        <f t="shared" si="7"/>
        <v/>
      </c>
      <c r="AI37" s="97" t="str">
        <f t="shared" si="8"/>
        <v/>
      </c>
      <c r="AJ37" s="11" t="s">
        <v>1796</v>
      </c>
    </row>
    <row r="38" spans="1:37" x14ac:dyDescent="0.25">
      <c r="A38">
        <f t="shared" si="12"/>
        <v>36</v>
      </c>
      <c r="B38" s="241" t="s">
        <v>2491</v>
      </c>
      <c r="C38">
        <v>2</v>
      </c>
      <c r="D38" s="14">
        <v>45698</v>
      </c>
      <c r="E38" s="7">
        <v>30</v>
      </c>
      <c r="F38" s="7"/>
      <c r="G38" s="66"/>
      <c r="H38" s="59"/>
      <c r="I38" s="59">
        <f>60*6</f>
        <v>360</v>
      </c>
      <c r="J38" s="47">
        <f t="shared" si="0"/>
        <v>360</v>
      </c>
      <c r="K38" s="8">
        <f t="shared" si="9"/>
        <v>330</v>
      </c>
      <c r="L38" s="96">
        <f t="shared" si="10"/>
        <v>0.91666666666666663</v>
      </c>
      <c r="M38" s="81">
        <v>1700</v>
      </c>
      <c r="N38" s="8">
        <v>300</v>
      </c>
      <c r="O38" s="8">
        <v>60</v>
      </c>
      <c r="P38" s="96">
        <f t="shared" si="3"/>
        <v>1.0303030303030303</v>
      </c>
      <c r="Q38" s="59">
        <f t="shared" si="4"/>
        <v>1700</v>
      </c>
      <c r="R38" s="59">
        <f t="shared" si="11"/>
        <v>1700</v>
      </c>
      <c r="S38" s="65"/>
      <c r="T38" s="65"/>
      <c r="U38" s="65"/>
      <c r="V38" s="65"/>
      <c r="W38" s="65"/>
      <c r="X38" s="65"/>
      <c r="Y38" s="65"/>
      <c r="Z38" s="65"/>
      <c r="AA38" s="65"/>
      <c r="AB38" s="65"/>
      <c r="AC38" s="65"/>
      <c r="AD38" s="65"/>
      <c r="AE38" s="65">
        <f t="shared" si="5"/>
        <v>0</v>
      </c>
      <c r="AF38" s="65"/>
      <c r="AG38" s="248">
        <f t="shared" si="13"/>
        <v>0</v>
      </c>
      <c r="AH38" s="95">
        <f t="shared" si="7"/>
        <v>1</v>
      </c>
      <c r="AI38" s="97">
        <f t="shared" si="8"/>
        <v>0.94444444444444442</v>
      </c>
      <c r="AJ38" s="11">
        <v>389</v>
      </c>
    </row>
    <row r="39" spans="1:37" x14ac:dyDescent="0.25">
      <c r="A39">
        <f t="shared" si="12"/>
        <v>37</v>
      </c>
      <c r="B39" s="241" t="s">
        <v>2491</v>
      </c>
      <c r="C39">
        <v>1</v>
      </c>
      <c r="D39" s="14">
        <v>45699</v>
      </c>
      <c r="E39" s="7">
        <v>60</v>
      </c>
      <c r="F39" s="7"/>
      <c r="G39" s="66">
        <v>60</v>
      </c>
      <c r="H39" s="59"/>
      <c r="I39" s="59">
        <v>510</v>
      </c>
      <c r="J39" s="47">
        <f t="shared" si="0"/>
        <v>510</v>
      </c>
      <c r="K39" s="8">
        <f t="shared" si="9"/>
        <v>390</v>
      </c>
      <c r="L39" s="96">
        <f t="shared" si="10"/>
        <v>0.76470588235294112</v>
      </c>
      <c r="M39" s="81">
        <v>2500</v>
      </c>
      <c r="N39" s="8">
        <v>300</v>
      </c>
      <c r="O39" s="8">
        <v>60</v>
      </c>
      <c r="P39" s="96">
        <f t="shared" si="3"/>
        <v>1.2820512820512822</v>
      </c>
      <c r="Q39" s="59">
        <f t="shared" si="4"/>
        <v>2500</v>
      </c>
      <c r="R39" s="59">
        <f t="shared" si="11"/>
        <v>2515</v>
      </c>
      <c r="S39" s="65"/>
      <c r="T39" s="65"/>
      <c r="U39" s="65"/>
      <c r="V39" s="65"/>
      <c r="W39" s="65">
        <v>15</v>
      </c>
      <c r="X39" s="65"/>
      <c r="Y39" s="65"/>
      <c r="Z39" s="65"/>
      <c r="AA39" s="65"/>
      <c r="AB39" s="65"/>
      <c r="AC39" s="65"/>
      <c r="AD39" s="65"/>
      <c r="AE39" s="65">
        <f t="shared" si="5"/>
        <v>15</v>
      </c>
      <c r="AF39" s="65"/>
      <c r="AG39" s="248">
        <f t="shared" si="13"/>
        <v>15</v>
      </c>
      <c r="AH39" s="95">
        <f t="shared" si="7"/>
        <v>0.99403578528827041</v>
      </c>
      <c r="AI39" s="97">
        <f t="shared" si="8"/>
        <v>0.97454488753752011</v>
      </c>
      <c r="AJ39" s="11" t="s">
        <v>1796</v>
      </c>
    </row>
    <row r="40" spans="1:37" x14ac:dyDescent="0.25">
      <c r="A40">
        <f t="shared" si="12"/>
        <v>38</v>
      </c>
      <c r="B40" s="295" t="s">
        <v>2490</v>
      </c>
      <c r="C40">
        <v>2</v>
      </c>
      <c r="D40" s="14">
        <v>45699</v>
      </c>
      <c r="E40" s="7">
        <v>30</v>
      </c>
      <c r="F40" s="7"/>
      <c r="G40" s="66"/>
      <c r="H40" s="59"/>
      <c r="I40" s="59">
        <v>445</v>
      </c>
      <c r="J40" s="47">
        <f t="shared" si="0"/>
        <v>445</v>
      </c>
      <c r="K40" s="8">
        <f t="shared" si="9"/>
        <v>415</v>
      </c>
      <c r="L40" s="96">
        <f t="shared" si="10"/>
        <v>0.93258426966292129</v>
      </c>
      <c r="M40" s="81">
        <v>2250</v>
      </c>
      <c r="N40" s="8">
        <v>300</v>
      </c>
      <c r="O40" s="8">
        <v>60</v>
      </c>
      <c r="P40" s="96">
        <f t="shared" si="3"/>
        <v>1.0843373493975903</v>
      </c>
      <c r="Q40" s="59">
        <f t="shared" si="4"/>
        <v>2250</v>
      </c>
      <c r="R40" s="59">
        <f t="shared" si="11"/>
        <v>2250</v>
      </c>
      <c r="S40" s="65"/>
      <c r="T40" s="65"/>
      <c r="U40" s="65"/>
      <c r="V40" s="65"/>
      <c r="W40" s="65"/>
      <c r="X40" s="65"/>
      <c r="Y40" s="65"/>
      <c r="Z40" s="65"/>
      <c r="AA40" s="65"/>
      <c r="AB40" s="65"/>
      <c r="AC40" s="65"/>
      <c r="AD40" s="65"/>
      <c r="AE40" s="65">
        <f t="shared" si="5"/>
        <v>0</v>
      </c>
      <c r="AF40" s="65"/>
      <c r="AG40" s="248">
        <f t="shared" si="13"/>
        <v>0</v>
      </c>
      <c r="AH40" s="95">
        <f t="shared" si="7"/>
        <v>1</v>
      </c>
      <c r="AI40" s="97">
        <f t="shared" si="8"/>
        <v>1.0112359550561796</v>
      </c>
      <c r="AJ40" s="11" t="s">
        <v>2514</v>
      </c>
    </row>
    <row r="41" spans="1:37" x14ac:dyDescent="0.25">
      <c r="A41">
        <f t="shared" si="12"/>
        <v>39</v>
      </c>
      <c r="B41" s="241" t="s">
        <v>2490</v>
      </c>
      <c r="C41">
        <v>1</v>
      </c>
      <c r="D41" s="14">
        <v>45700</v>
      </c>
      <c r="E41" s="7">
        <v>30</v>
      </c>
      <c r="F41" s="7"/>
      <c r="G41" s="66"/>
      <c r="H41" s="59"/>
      <c r="I41" s="59">
        <v>510</v>
      </c>
      <c r="J41" s="47">
        <f t="shared" si="0"/>
        <v>510</v>
      </c>
      <c r="K41" s="8">
        <f t="shared" si="9"/>
        <v>480</v>
      </c>
      <c r="L41" s="96">
        <f t="shared" si="10"/>
        <v>0.94117647058823528</v>
      </c>
      <c r="M41" s="81">
        <f>2650</f>
        <v>2650</v>
      </c>
      <c r="N41" s="8">
        <v>300</v>
      </c>
      <c r="O41" s="8">
        <v>60</v>
      </c>
      <c r="P41" s="96">
        <f t="shared" si="3"/>
        <v>1.1041666666666667</v>
      </c>
      <c r="Q41" s="59">
        <f t="shared" si="4"/>
        <v>2650</v>
      </c>
      <c r="R41" s="59">
        <f t="shared" si="11"/>
        <v>2665</v>
      </c>
      <c r="S41" s="65"/>
      <c r="T41" s="65"/>
      <c r="U41" s="65"/>
      <c r="V41" s="65"/>
      <c r="W41" s="65">
        <v>15</v>
      </c>
      <c r="X41" s="65"/>
      <c r="Y41" s="65"/>
      <c r="Z41" s="65"/>
      <c r="AA41" s="65"/>
      <c r="AB41" s="65"/>
      <c r="AC41" s="65"/>
      <c r="AD41" s="65"/>
      <c r="AE41" s="65">
        <f t="shared" si="5"/>
        <v>15</v>
      </c>
      <c r="AF41" s="65"/>
      <c r="AG41" s="248">
        <f t="shared" si="13"/>
        <v>15</v>
      </c>
      <c r="AH41" s="95">
        <f t="shared" si="7"/>
        <v>0.99437148217636018</v>
      </c>
      <c r="AI41" s="97">
        <f t="shared" si="8"/>
        <v>1.0333664422617077</v>
      </c>
      <c r="AJ41" s="11" t="s">
        <v>1796</v>
      </c>
    </row>
    <row r="42" spans="1:37" x14ac:dyDescent="0.25">
      <c r="A42">
        <f t="shared" si="12"/>
        <v>40</v>
      </c>
      <c r="B42" s="241" t="s">
        <v>2490</v>
      </c>
      <c r="C42" t="s">
        <v>2520</v>
      </c>
      <c r="D42" s="14">
        <v>45701</v>
      </c>
      <c r="E42" s="7">
        <v>30</v>
      </c>
      <c r="F42" s="7"/>
      <c r="G42" s="66"/>
      <c r="H42" s="59"/>
      <c r="I42" s="59">
        <f>510+300</f>
        <v>810</v>
      </c>
      <c r="J42" s="47">
        <f t="shared" si="0"/>
        <v>810</v>
      </c>
      <c r="K42" s="8">
        <f t="shared" si="9"/>
        <v>780</v>
      </c>
      <c r="L42" s="96">
        <f t="shared" si="10"/>
        <v>0.96296296296296291</v>
      </c>
      <c r="M42" s="81">
        <f>2200+1362</f>
        <v>3562</v>
      </c>
      <c r="N42" s="8">
        <v>300</v>
      </c>
      <c r="O42" s="8">
        <v>60</v>
      </c>
      <c r="P42" s="96">
        <f t="shared" si="3"/>
        <v>0.91333333333333333</v>
      </c>
      <c r="Q42" s="59">
        <f t="shared" si="4"/>
        <v>3562</v>
      </c>
      <c r="R42" s="59">
        <f t="shared" si="11"/>
        <v>3574</v>
      </c>
      <c r="S42" s="65"/>
      <c r="T42" s="65"/>
      <c r="U42" s="65"/>
      <c r="V42" s="65"/>
      <c r="W42" s="65">
        <v>12</v>
      </c>
      <c r="X42" s="65"/>
      <c r="Y42" s="65"/>
      <c r="Z42" s="65"/>
      <c r="AA42" s="65"/>
      <c r="AB42" s="65"/>
      <c r="AC42" s="65"/>
      <c r="AD42" s="65"/>
      <c r="AE42" s="65">
        <f t="shared" si="5"/>
        <v>12</v>
      </c>
      <c r="AF42" s="65"/>
      <c r="AG42" s="248">
        <f t="shared" si="13"/>
        <v>12</v>
      </c>
      <c r="AH42" s="95">
        <f t="shared" si="7"/>
        <v>0.99664241745942916</v>
      </c>
      <c r="AI42" s="97">
        <f t="shared" si="8"/>
        <v>0.87655315826925584</v>
      </c>
      <c r="AJ42" s="11" t="s">
        <v>1796</v>
      </c>
      <c r="AK42" t="s">
        <v>2521</v>
      </c>
    </row>
    <row r="43" spans="1:37" x14ac:dyDescent="0.25">
      <c r="A43">
        <f t="shared" si="12"/>
        <v>41</v>
      </c>
      <c r="B43" s="241" t="s">
        <v>2490</v>
      </c>
      <c r="C43">
        <v>1</v>
      </c>
      <c r="D43" s="14">
        <v>45702</v>
      </c>
      <c r="E43" s="7">
        <v>30</v>
      </c>
      <c r="F43" s="7">
        <v>60</v>
      </c>
      <c r="G43" s="66"/>
      <c r="H43" s="59"/>
      <c r="I43" s="59">
        <f>510</f>
        <v>510</v>
      </c>
      <c r="J43" s="47">
        <f t="shared" si="0"/>
        <v>510</v>
      </c>
      <c r="K43" s="8">
        <f t="shared" si="9"/>
        <v>420</v>
      </c>
      <c r="L43" s="96">
        <f t="shared" si="10"/>
        <v>0.82352941176470584</v>
      </c>
      <c r="M43" s="81">
        <v>1791</v>
      </c>
      <c r="N43" s="8">
        <v>300</v>
      </c>
      <c r="O43" s="8">
        <v>60</v>
      </c>
      <c r="P43" s="96">
        <f t="shared" si="3"/>
        <v>0.85285714285714287</v>
      </c>
      <c r="Q43" s="59">
        <f t="shared" si="4"/>
        <v>1791</v>
      </c>
      <c r="R43" s="59">
        <f t="shared" si="11"/>
        <v>1806</v>
      </c>
      <c r="S43" s="65"/>
      <c r="T43" s="65"/>
      <c r="U43" s="65"/>
      <c r="V43" s="65"/>
      <c r="W43" s="65">
        <v>15</v>
      </c>
      <c r="X43" s="65"/>
      <c r="Y43" s="65"/>
      <c r="Z43" s="65"/>
      <c r="AA43" s="65"/>
      <c r="AB43" s="65"/>
      <c r="AC43" s="65"/>
      <c r="AD43" s="65"/>
      <c r="AE43" s="65">
        <f>SUM(S43:AD43)</f>
        <v>15</v>
      </c>
      <c r="AF43" s="65"/>
      <c r="AG43" s="248">
        <f t="shared" si="13"/>
        <v>15</v>
      </c>
      <c r="AH43" s="95">
        <f t="shared" si="7"/>
        <v>0.99169435215946844</v>
      </c>
      <c r="AI43" s="97">
        <f t="shared" si="8"/>
        <v>0.69651944498729723</v>
      </c>
      <c r="AJ43" s="11" t="s">
        <v>1796</v>
      </c>
    </row>
    <row r="44" spans="1:37" x14ac:dyDescent="0.25">
      <c r="A44">
        <f t="shared" si="12"/>
        <v>42</v>
      </c>
      <c r="D44" s="14">
        <v>45703</v>
      </c>
      <c r="E44" s="7"/>
      <c r="F44" s="7"/>
      <c r="G44" s="66"/>
      <c r="H44" s="59"/>
      <c r="I44" s="59"/>
      <c r="J44" s="47">
        <f t="shared" si="0"/>
        <v>0</v>
      </c>
      <c r="K44" s="8">
        <f t="shared" si="9"/>
        <v>0</v>
      </c>
      <c r="L44" s="96" t="str">
        <f t="shared" si="10"/>
        <v/>
      </c>
      <c r="M44" s="81"/>
      <c r="N44" s="8">
        <v>300</v>
      </c>
      <c r="O44" s="8">
        <v>60</v>
      </c>
      <c r="P44" s="96" t="str">
        <f t="shared" si="3"/>
        <v/>
      </c>
      <c r="Q44" s="59">
        <f t="shared" si="4"/>
        <v>0</v>
      </c>
      <c r="R44" s="59">
        <f t="shared" si="11"/>
        <v>0</v>
      </c>
      <c r="S44" s="65"/>
      <c r="T44" s="65"/>
      <c r="U44" s="65"/>
      <c r="V44" s="65"/>
      <c r="W44" s="65"/>
      <c r="X44" s="65"/>
      <c r="Y44" s="65"/>
      <c r="Z44" s="65"/>
      <c r="AA44" s="65"/>
      <c r="AB44" s="65"/>
      <c r="AC44" s="65"/>
      <c r="AD44" s="65"/>
      <c r="AE44" s="65">
        <f>SUM(S44:AD44)</f>
        <v>0</v>
      </c>
      <c r="AF44" s="65"/>
      <c r="AG44" s="248">
        <f t="shared" si="13"/>
        <v>0</v>
      </c>
      <c r="AH44" s="95" t="str">
        <f t="shared" si="7"/>
        <v/>
      </c>
      <c r="AI44" s="97" t="str">
        <f t="shared" si="8"/>
        <v/>
      </c>
      <c r="AJ44" s="11"/>
    </row>
    <row r="45" spans="1:37" x14ac:dyDescent="0.25">
      <c r="A45">
        <f t="shared" si="12"/>
        <v>43</v>
      </c>
      <c r="D45" s="14">
        <v>45704</v>
      </c>
      <c r="E45" s="7"/>
      <c r="F45" s="7"/>
      <c r="G45" s="66"/>
      <c r="H45" s="59"/>
      <c r="I45" s="59"/>
      <c r="J45" s="47">
        <f t="shared" si="0"/>
        <v>0</v>
      </c>
      <c r="K45" s="8">
        <f t="shared" si="9"/>
        <v>0</v>
      </c>
      <c r="L45" s="96" t="str">
        <f t="shared" si="10"/>
        <v/>
      </c>
      <c r="M45" s="81"/>
      <c r="N45" s="8">
        <v>300</v>
      </c>
      <c r="O45" s="8">
        <v>60</v>
      </c>
      <c r="P45" s="96" t="str">
        <f t="shared" si="3"/>
        <v/>
      </c>
      <c r="Q45" s="59">
        <f t="shared" si="4"/>
        <v>0</v>
      </c>
      <c r="R45" s="59">
        <f t="shared" si="11"/>
        <v>0</v>
      </c>
      <c r="S45" s="65"/>
      <c r="T45" s="65"/>
      <c r="U45" s="65"/>
      <c r="V45" s="65"/>
      <c r="W45" s="65"/>
      <c r="X45" s="65"/>
      <c r="Y45" s="65"/>
      <c r="Z45" s="65"/>
      <c r="AA45" s="65"/>
      <c r="AB45" s="65"/>
      <c r="AC45" s="65"/>
      <c r="AD45" s="65"/>
      <c r="AE45" s="65">
        <f t="shared" ref="AE45:AE108" si="14">SUM(S45:AD45)</f>
        <v>0</v>
      </c>
      <c r="AF45" s="65"/>
      <c r="AG45" s="248">
        <f t="shared" si="13"/>
        <v>0</v>
      </c>
      <c r="AH45" s="95" t="str">
        <f t="shared" si="7"/>
        <v/>
      </c>
      <c r="AI45" s="97" t="str">
        <f t="shared" si="8"/>
        <v/>
      </c>
      <c r="AJ45" s="11"/>
    </row>
    <row r="46" spans="1:37" x14ac:dyDescent="0.25">
      <c r="A46">
        <f t="shared" si="12"/>
        <v>44</v>
      </c>
      <c r="B46" s="241" t="s">
        <v>1777</v>
      </c>
      <c r="C46" t="s">
        <v>2520</v>
      </c>
      <c r="D46" s="14">
        <v>45705</v>
      </c>
      <c r="E46" s="7">
        <v>60</v>
      </c>
      <c r="F46" s="7">
        <v>120</v>
      </c>
      <c r="G46" s="66">
        <v>30</v>
      </c>
      <c r="H46" s="59"/>
      <c r="I46" s="59">
        <f>510+445</f>
        <v>955</v>
      </c>
      <c r="J46" s="47">
        <f t="shared" si="0"/>
        <v>955</v>
      </c>
      <c r="K46" s="8">
        <f t="shared" si="9"/>
        <v>745</v>
      </c>
      <c r="L46" s="96">
        <f t="shared" si="10"/>
        <v>0.78010471204188481</v>
      </c>
      <c r="M46" s="81">
        <f>880+1240</f>
        <v>2120</v>
      </c>
      <c r="N46" s="8">
        <v>300</v>
      </c>
      <c r="O46" s="8">
        <v>60</v>
      </c>
      <c r="P46" s="96">
        <f t="shared" si="3"/>
        <v>0.56912751677852347</v>
      </c>
      <c r="Q46" s="59">
        <f t="shared" si="4"/>
        <v>2120</v>
      </c>
      <c r="R46" s="59">
        <f t="shared" si="11"/>
        <v>2125</v>
      </c>
      <c r="S46" s="65"/>
      <c r="T46" s="65"/>
      <c r="U46" s="65"/>
      <c r="V46" s="65"/>
      <c r="W46" s="65">
        <v>5</v>
      </c>
      <c r="X46" s="65"/>
      <c r="Y46" s="65"/>
      <c r="Z46" s="65"/>
      <c r="AA46" s="65"/>
      <c r="AB46" s="65"/>
      <c r="AC46" s="65"/>
      <c r="AD46" s="65"/>
      <c r="AE46" s="65">
        <f t="shared" si="14"/>
        <v>5</v>
      </c>
      <c r="AF46" s="65"/>
      <c r="AG46" s="248">
        <f t="shared" si="13"/>
        <v>5</v>
      </c>
      <c r="AH46" s="95">
        <f t="shared" si="7"/>
        <v>0.99764705882352944</v>
      </c>
      <c r="AI46" s="97">
        <f t="shared" si="8"/>
        <v>0.44293440098552506</v>
      </c>
      <c r="AJ46" s="11" t="s">
        <v>1796</v>
      </c>
      <c r="AK46" t="s">
        <v>2521</v>
      </c>
    </row>
    <row r="47" spans="1:37" x14ac:dyDescent="0.25">
      <c r="A47">
        <f t="shared" si="12"/>
        <v>45</v>
      </c>
      <c r="B47" s="241" t="s">
        <v>1777</v>
      </c>
      <c r="C47">
        <v>1</v>
      </c>
      <c r="D47" s="14">
        <v>45706</v>
      </c>
      <c r="E47" s="7">
        <v>30</v>
      </c>
      <c r="F47" s="7"/>
      <c r="G47" s="66"/>
      <c r="H47" s="59"/>
      <c r="I47" s="59">
        <f>510+360</f>
        <v>870</v>
      </c>
      <c r="J47" s="47">
        <f t="shared" si="0"/>
        <v>870</v>
      </c>
      <c r="K47" s="8">
        <f t="shared" si="9"/>
        <v>840</v>
      </c>
      <c r="L47" s="96">
        <f t="shared" si="10"/>
        <v>0.96551724137931039</v>
      </c>
      <c r="M47" s="81">
        <f>2230+1000</f>
        <v>3230</v>
      </c>
      <c r="N47" s="8">
        <v>300</v>
      </c>
      <c r="O47" s="8">
        <v>60</v>
      </c>
      <c r="P47" s="96">
        <f t="shared" si="3"/>
        <v>0.76904761904761909</v>
      </c>
      <c r="Q47" s="59">
        <f t="shared" si="4"/>
        <v>3230</v>
      </c>
      <c r="R47" s="59">
        <f t="shared" si="11"/>
        <v>3230</v>
      </c>
      <c r="S47" s="65"/>
      <c r="T47" s="65"/>
      <c r="U47" s="65"/>
      <c r="V47" s="65"/>
      <c r="W47" s="65"/>
      <c r="X47" s="65"/>
      <c r="Y47" s="65"/>
      <c r="Z47" s="65"/>
      <c r="AA47" s="65"/>
      <c r="AB47" s="65"/>
      <c r="AC47" s="65"/>
      <c r="AD47" s="65"/>
      <c r="AE47" s="65">
        <f t="shared" si="14"/>
        <v>0</v>
      </c>
      <c r="AF47" s="65"/>
      <c r="AG47" s="248">
        <f t="shared" si="13"/>
        <v>0</v>
      </c>
      <c r="AH47" s="95">
        <f t="shared" si="7"/>
        <v>1</v>
      </c>
      <c r="AI47" s="97">
        <f t="shared" si="8"/>
        <v>0.74252873563218402</v>
      </c>
      <c r="AJ47" s="11" t="s">
        <v>2524</v>
      </c>
      <c r="AK47">
        <v>434</v>
      </c>
    </row>
    <row r="48" spans="1:37" x14ac:dyDescent="0.25">
      <c r="A48">
        <f t="shared" si="12"/>
        <v>46</v>
      </c>
      <c r="B48" s="241" t="s">
        <v>1777</v>
      </c>
      <c r="C48">
        <v>1</v>
      </c>
      <c r="D48" s="14">
        <v>45707</v>
      </c>
      <c r="E48" s="7">
        <v>30</v>
      </c>
      <c r="F48" s="7"/>
      <c r="G48" s="66"/>
      <c r="H48" s="59"/>
      <c r="I48" s="59">
        <v>510</v>
      </c>
      <c r="J48" s="47">
        <f t="shared" si="0"/>
        <v>510</v>
      </c>
      <c r="K48" s="8">
        <f t="shared" si="9"/>
        <v>480</v>
      </c>
      <c r="L48" s="96">
        <f t="shared" si="10"/>
        <v>0.94117647058823528</v>
      </c>
      <c r="M48" s="81">
        <v>2382</v>
      </c>
      <c r="N48" s="8">
        <v>300</v>
      </c>
      <c r="O48" s="8">
        <v>60</v>
      </c>
      <c r="P48" s="96">
        <f t="shared" si="3"/>
        <v>0.99250000000000005</v>
      </c>
      <c r="Q48" s="59">
        <f t="shared" si="4"/>
        <v>2382</v>
      </c>
      <c r="R48" s="59">
        <f t="shared" si="11"/>
        <v>2397</v>
      </c>
      <c r="S48" s="65"/>
      <c r="T48" s="65"/>
      <c r="U48" s="65"/>
      <c r="V48" s="65"/>
      <c r="W48" s="65">
        <v>15</v>
      </c>
      <c r="X48" s="65"/>
      <c r="Y48" s="65"/>
      <c r="Z48" s="65"/>
      <c r="AA48" s="65"/>
      <c r="AB48" s="65"/>
      <c r="AC48" s="65"/>
      <c r="AD48" s="65"/>
      <c r="AE48" s="65">
        <f t="shared" si="14"/>
        <v>15</v>
      </c>
      <c r="AF48" s="65"/>
      <c r="AG48" s="248">
        <f t="shared" si="13"/>
        <v>15</v>
      </c>
      <c r="AH48" s="95">
        <f t="shared" si="7"/>
        <v>0.99374217772215268</v>
      </c>
      <c r="AI48" s="97">
        <f t="shared" si="8"/>
        <v>0.92827210483692857</v>
      </c>
      <c r="AJ48" s="11" t="s">
        <v>1796</v>
      </c>
    </row>
    <row r="49" spans="1:37" x14ac:dyDescent="0.25">
      <c r="A49">
        <f t="shared" si="12"/>
        <v>47</v>
      </c>
      <c r="B49" s="241" t="s">
        <v>1777</v>
      </c>
      <c r="C49">
        <v>1</v>
      </c>
      <c r="D49" s="14">
        <v>45708</v>
      </c>
      <c r="E49" s="7">
        <v>30</v>
      </c>
      <c r="F49" s="7"/>
      <c r="G49" s="66"/>
      <c r="H49" s="59"/>
      <c r="I49" s="59">
        <v>510</v>
      </c>
      <c r="J49" s="47">
        <f t="shared" si="0"/>
        <v>510</v>
      </c>
      <c r="K49" s="8">
        <f t="shared" si="9"/>
        <v>480</v>
      </c>
      <c r="L49" s="96">
        <f t="shared" si="10"/>
        <v>0.94117647058823528</v>
      </c>
      <c r="M49" s="81">
        <v>3000</v>
      </c>
      <c r="N49" s="8">
        <v>300</v>
      </c>
      <c r="O49" s="8">
        <v>60</v>
      </c>
      <c r="P49" s="96">
        <f t="shared" si="3"/>
        <v>1.25</v>
      </c>
      <c r="Q49" s="59">
        <f t="shared" si="4"/>
        <v>3000</v>
      </c>
      <c r="R49" s="59">
        <f t="shared" si="11"/>
        <v>3000</v>
      </c>
      <c r="S49" s="65"/>
      <c r="T49" s="65"/>
      <c r="U49" s="65"/>
      <c r="V49" s="65"/>
      <c r="W49" s="65"/>
      <c r="X49" s="65"/>
      <c r="Y49" s="65"/>
      <c r="Z49" s="65"/>
      <c r="AA49" s="65"/>
      <c r="AB49" s="65"/>
      <c r="AC49" s="65"/>
      <c r="AD49" s="65"/>
      <c r="AE49" s="65">
        <f t="shared" si="14"/>
        <v>0</v>
      </c>
      <c r="AF49" s="65"/>
      <c r="AG49" s="248">
        <f t="shared" si="13"/>
        <v>0</v>
      </c>
      <c r="AH49" s="95">
        <f t="shared" si="7"/>
        <v>1</v>
      </c>
      <c r="AI49" s="97">
        <f t="shared" si="8"/>
        <v>1.1764705882352942</v>
      </c>
      <c r="AJ49" s="11" t="s">
        <v>2525</v>
      </c>
    </row>
    <row r="50" spans="1:37" x14ac:dyDescent="0.25">
      <c r="A50">
        <f t="shared" si="12"/>
        <v>48</v>
      </c>
      <c r="B50" s="241" t="s">
        <v>1777</v>
      </c>
      <c r="C50">
        <v>1</v>
      </c>
      <c r="D50" s="14">
        <v>45709</v>
      </c>
      <c r="E50" s="7">
        <v>30</v>
      </c>
      <c r="F50" s="7"/>
      <c r="G50" s="66"/>
      <c r="H50" s="59"/>
      <c r="I50" s="59">
        <v>510</v>
      </c>
      <c r="J50" s="47">
        <f t="shared" si="0"/>
        <v>510</v>
      </c>
      <c r="K50" s="8">
        <f t="shared" si="9"/>
        <v>480</v>
      </c>
      <c r="L50" s="96">
        <f t="shared" si="10"/>
        <v>0.94117647058823528</v>
      </c>
      <c r="M50" s="81">
        <v>3000</v>
      </c>
      <c r="N50" s="8">
        <v>300</v>
      </c>
      <c r="O50" s="8">
        <v>60</v>
      </c>
      <c r="P50" s="96">
        <f t="shared" si="3"/>
        <v>1.25</v>
      </c>
      <c r="Q50" s="59">
        <f t="shared" si="4"/>
        <v>3000</v>
      </c>
      <c r="R50" s="59">
        <f t="shared" si="11"/>
        <v>3018</v>
      </c>
      <c r="S50" s="65"/>
      <c r="T50" s="65"/>
      <c r="U50" s="65"/>
      <c r="V50" s="65"/>
      <c r="W50" s="65">
        <v>18</v>
      </c>
      <c r="X50" s="65"/>
      <c r="Y50" s="65"/>
      <c r="Z50" s="65"/>
      <c r="AA50" s="65"/>
      <c r="AB50" s="65"/>
      <c r="AC50" s="65"/>
      <c r="AD50" s="65"/>
      <c r="AE50" s="65">
        <f t="shared" si="14"/>
        <v>18</v>
      </c>
      <c r="AF50" s="65"/>
      <c r="AG50" s="248">
        <f t="shared" si="13"/>
        <v>18</v>
      </c>
      <c r="AH50" s="95">
        <f t="shared" si="7"/>
        <v>0.99403578528827041</v>
      </c>
      <c r="AI50" s="97">
        <f t="shared" si="8"/>
        <v>1.1694538650450239</v>
      </c>
      <c r="AJ50" s="11" t="s">
        <v>1796</v>
      </c>
    </row>
    <row r="51" spans="1:37" x14ac:dyDescent="0.25">
      <c r="A51">
        <f t="shared" si="12"/>
        <v>49</v>
      </c>
      <c r="B51" s="241" t="s">
        <v>1777</v>
      </c>
      <c r="C51">
        <v>1</v>
      </c>
      <c r="D51" s="14">
        <v>45710</v>
      </c>
      <c r="E51" s="7">
        <v>30</v>
      </c>
      <c r="F51" s="7"/>
      <c r="G51" s="66"/>
      <c r="H51" s="59"/>
      <c r="I51" s="59">
        <v>510</v>
      </c>
      <c r="J51" s="47">
        <f t="shared" si="0"/>
        <v>510</v>
      </c>
      <c r="K51" s="8">
        <f t="shared" si="9"/>
        <v>480</v>
      </c>
      <c r="L51" s="96">
        <f t="shared" si="10"/>
        <v>0.94117647058823528</v>
      </c>
      <c r="M51" s="81">
        <v>2800</v>
      </c>
      <c r="N51" s="8">
        <v>300</v>
      </c>
      <c r="O51" s="8">
        <v>60</v>
      </c>
      <c r="P51" s="96">
        <f t="shared" si="3"/>
        <v>1.1666666666666667</v>
      </c>
      <c r="Q51" s="59">
        <f t="shared" si="4"/>
        <v>2800</v>
      </c>
      <c r="R51" s="59">
        <f t="shared" si="11"/>
        <v>2810</v>
      </c>
      <c r="S51" s="65"/>
      <c r="T51" s="65"/>
      <c r="U51" s="65"/>
      <c r="V51" s="65"/>
      <c r="W51" s="65">
        <v>10</v>
      </c>
      <c r="X51" s="65"/>
      <c r="Y51" s="65"/>
      <c r="Z51" s="65"/>
      <c r="AA51" s="65"/>
      <c r="AB51" s="65"/>
      <c r="AC51" s="65"/>
      <c r="AD51" s="65"/>
      <c r="AE51" s="65">
        <f t="shared" si="14"/>
        <v>10</v>
      </c>
      <c r="AF51" s="65"/>
      <c r="AG51" s="248">
        <f t="shared" si="13"/>
        <v>10</v>
      </c>
      <c r="AH51" s="95">
        <f t="shared" si="7"/>
        <v>0.99644128113879005</v>
      </c>
      <c r="AI51" s="97">
        <f t="shared" si="8"/>
        <v>1.0941316028190635</v>
      </c>
      <c r="AJ51" s="11" t="s">
        <v>2528</v>
      </c>
    </row>
    <row r="52" spans="1:37" x14ac:dyDescent="0.25">
      <c r="A52">
        <f t="shared" si="12"/>
        <v>50</v>
      </c>
      <c r="D52" s="14">
        <v>45711</v>
      </c>
      <c r="E52" s="7"/>
      <c r="F52" s="7"/>
      <c r="G52" s="66"/>
      <c r="H52" s="59"/>
      <c r="I52" s="59"/>
      <c r="J52" s="47">
        <f t="shared" si="0"/>
        <v>0</v>
      </c>
      <c r="K52" s="8">
        <f t="shared" si="9"/>
        <v>0</v>
      </c>
      <c r="L52" s="96" t="str">
        <f t="shared" si="10"/>
        <v/>
      </c>
      <c r="M52" s="81"/>
      <c r="N52" s="8">
        <v>300</v>
      </c>
      <c r="O52" s="8">
        <v>60</v>
      </c>
      <c r="P52" s="96" t="str">
        <f t="shared" si="3"/>
        <v/>
      </c>
      <c r="Q52" s="59">
        <f t="shared" si="4"/>
        <v>0</v>
      </c>
      <c r="R52" s="59">
        <f t="shared" si="11"/>
        <v>0</v>
      </c>
      <c r="S52" s="65"/>
      <c r="T52" s="65"/>
      <c r="U52" s="65"/>
      <c r="V52" s="65"/>
      <c r="W52" s="65"/>
      <c r="X52" s="65"/>
      <c r="Y52" s="65"/>
      <c r="Z52" s="65"/>
      <c r="AA52" s="65"/>
      <c r="AB52" s="65"/>
      <c r="AC52" s="65"/>
      <c r="AD52" s="65"/>
      <c r="AE52" s="65">
        <f t="shared" si="14"/>
        <v>0</v>
      </c>
      <c r="AF52" s="65"/>
      <c r="AG52" s="248">
        <f t="shared" si="13"/>
        <v>0</v>
      </c>
      <c r="AH52" s="95" t="str">
        <f t="shared" si="7"/>
        <v/>
      </c>
      <c r="AI52" s="97" t="str">
        <f t="shared" si="8"/>
        <v/>
      </c>
      <c r="AJ52" s="11"/>
    </row>
    <row r="53" spans="1:37" x14ac:dyDescent="0.25">
      <c r="A53">
        <f t="shared" si="12"/>
        <v>51</v>
      </c>
      <c r="B53" s="241" t="s">
        <v>1777</v>
      </c>
      <c r="C53">
        <v>1</v>
      </c>
      <c r="D53" s="14">
        <v>45712</v>
      </c>
      <c r="E53" s="7">
        <v>60</v>
      </c>
      <c r="F53" s="7"/>
      <c r="G53" s="66"/>
      <c r="H53" s="59"/>
      <c r="I53" s="59">
        <v>510</v>
      </c>
      <c r="J53" s="47">
        <f t="shared" si="0"/>
        <v>510</v>
      </c>
      <c r="K53" s="8">
        <f t="shared" si="9"/>
        <v>450</v>
      </c>
      <c r="L53" s="96">
        <f t="shared" si="10"/>
        <v>0.88235294117647056</v>
      </c>
      <c r="M53" s="81">
        <v>2630</v>
      </c>
      <c r="N53" s="8">
        <v>300</v>
      </c>
      <c r="O53" s="8">
        <v>60</v>
      </c>
      <c r="P53" s="96">
        <f t="shared" si="3"/>
        <v>1.1688888888888889</v>
      </c>
      <c r="Q53" s="59">
        <f t="shared" si="4"/>
        <v>2630</v>
      </c>
      <c r="R53" s="59">
        <f t="shared" si="11"/>
        <v>2645</v>
      </c>
      <c r="S53" s="65"/>
      <c r="T53" s="65"/>
      <c r="U53" s="65"/>
      <c r="V53" s="65"/>
      <c r="W53" s="65">
        <v>15</v>
      </c>
      <c r="X53" s="65"/>
      <c r="Y53" s="65"/>
      <c r="Z53" s="65"/>
      <c r="AA53" s="65"/>
      <c r="AB53" s="65"/>
      <c r="AC53" s="65"/>
      <c r="AD53" s="65"/>
      <c r="AE53" s="65">
        <f t="shared" si="14"/>
        <v>15</v>
      </c>
      <c r="AF53" s="65"/>
      <c r="AG53" s="248">
        <f t="shared" si="13"/>
        <v>15</v>
      </c>
      <c r="AH53" s="95">
        <f t="shared" si="7"/>
        <v>0.99432892249527405</v>
      </c>
      <c r="AI53" s="97">
        <f t="shared" si="8"/>
        <v>1.0255235553578708</v>
      </c>
      <c r="AJ53" s="11" t="s">
        <v>1796</v>
      </c>
    </row>
    <row r="54" spans="1:37" x14ac:dyDescent="0.25">
      <c r="A54">
        <f t="shared" si="12"/>
        <v>52</v>
      </c>
      <c r="B54" s="241" t="s">
        <v>1777</v>
      </c>
      <c r="C54">
        <v>1</v>
      </c>
      <c r="D54" s="14">
        <v>45713</v>
      </c>
      <c r="E54" s="7">
        <v>60</v>
      </c>
      <c r="F54" s="7"/>
      <c r="G54" s="66"/>
      <c r="H54" s="59"/>
      <c r="I54" s="59">
        <f>60*4</f>
        <v>240</v>
      </c>
      <c r="J54" s="47">
        <f t="shared" si="0"/>
        <v>240</v>
      </c>
      <c r="K54" s="8">
        <f t="shared" si="9"/>
        <v>180</v>
      </c>
      <c r="L54" s="96">
        <f t="shared" si="10"/>
        <v>0.75</v>
      </c>
      <c r="M54" s="81">
        <v>1330</v>
      </c>
      <c r="N54" s="8">
        <v>300</v>
      </c>
      <c r="O54" s="8">
        <v>60</v>
      </c>
      <c r="P54" s="96">
        <f t="shared" si="3"/>
        <v>1.4777777777777779</v>
      </c>
      <c r="Q54" s="59">
        <f t="shared" si="4"/>
        <v>1330</v>
      </c>
      <c r="R54" s="59">
        <f t="shared" si="11"/>
        <v>1330</v>
      </c>
      <c r="S54" s="65"/>
      <c r="T54" s="65"/>
      <c r="U54" s="65"/>
      <c r="V54" s="65"/>
      <c r="W54" s="65"/>
      <c r="X54" s="65"/>
      <c r="Y54" s="65"/>
      <c r="Z54" s="65"/>
      <c r="AA54" s="65"/>
      <c r="AB54" s="65"/>
      <c r="AC54" s="65"/>
      <c r="AD54" s="65"/>
      <c r="AE54" s="65">
        <f t="shared" si="14"/>
        <v>0</v>
      </c>
      <c r="AF54" s="65"/>
      <c r="AG54" s="248">
        <f t="shared" si="13"/>
        <v>0</v>
      </c>
      <c r="AH54" s="95">
        <f t="shared" si="7"/>
        <v>1</v>
      </c>
      <c r="AI54" s="97">
        <f t="shared" si="8"/>
        <v>1.1083333333333334</v>
      </c>
      <c r="AJ54" s="11" t="s">
        <v>2516</v>
      </c>
    </row>
    <row r="55" spans="1:37" x14ac:dyDescent="0.25">
      <c r="A55">
        <f t="shared" si="12"/>
        <v>53</v>
      </c>
      <c r="B55" s="241" t="s">
        <v>1777</v>
      </c>
      <c r="C55">
        <v>1</v>
      </c>
      <c r="D55" s="14">
        <v>45714</v>
      </c>
      <c r="E55" s="7">
        <v>30</v>
      </c>
      <c r="F55" s="7"/>
      <c r="G55" s="66"/>
      <c r="H55" s="59"/>
      <c r="I55" s="59">
        <v>510</v>
      </c>
      <c r="J55" s="47">
        <f t="shared" si="0"/>
        <v>510</v>
      </c>
      <c r="K55" s="8">
        <f t="shared" si="9"/>
        <v>480</v>
      </c>
      <c r="L55" s="96">
        <f t="shared" si="10"/>
        <v>0.94117647058823528</v>
      </c>
      <c r="M55" s="81">
        <v>3100</v>
      </c>
      <c r="N55" s="8">
        <v>300</v>
      </c>
      <c r="O55" s="8">
        <v>60</v>
      </c>
      <c r="P55" s="96">
        <f t="shared" si="3"/>
        <v>1.2916666666666667</v>
      </c>
      <c r="Q55" s="59">
        <f t="shared" si="4"/>
        <v>3100</v>
      </c>
      <c r="R55" s="59">
        <f t="shared" si="11"/>
        <v>3118</v>
      </c>
      <c r="S55" s="65"/>
      <c r="T55" s="65"/>
      <c r="U55" s="65"/>
      <c r="V55" s="65"/>
      <c r="W55" s="65">
        <v>18</v>
      </c>
      <c r="X55" s="65"/>
      <c r="Y55" s="65"/>
      <c r="Z55" s="65"/>
      <c r="AA55" s="65"/>
      <c r="AB55" s="65"/>
      <c r="AC55" s="65"/>
      <c r="AD55" s="65"/>
      <c r="AE55" s="65">
        <f t="shared" si="14"/>
        <v>18</v>
      </c>
      <c r="AF55" s="65"/>
      <c r="AG55" s="248">
        <f t="shared" si="13"/>
        <v>18</v>
      </c>
      <c r="AH55" s="95">
        <f t="shared" si="7"/>
        <v>0.99422706863373955</v>
      </c>
      <c r="AI55" s="97">
        <f t="shared" si="8"/>
        <v>1.2086682010841541</v>
      </c>
      <c r="AJ55" s="11" t="s">
        <v>1796</v>
      </c>
    </row>
    <row r="56" spans="1:37" x14ac:dyDescent="0.25">
      <c r="A56">
        <f t="shared" si="12"/>
        <v>54</v>
      </c>
      <c r="B56" s="241" t="s">
        <v>1777</v>
      </c>
      <c r="C56">
        <v>1</v>
      </c>
      <c r="D56" s="14">
        <v>45715</v>
      </c>
      <c r="E56" s="7">
        <v>30</v>
      </c>
      <c r="F56" s="7"/>
      <c r="G56" s="66"/>
      <c r="H56" s="59"/>
      <c r="I56" s="59">
        <v>510</v>
      </c>
      <c r="J56" s="47">
        <f t="shared" si="0"/>
        <v>510</v>
      </c>
      <c r="K56" s="8">
        <f t="shared" si="9"/>
        <v>480</v>
      </c>
      <c r="L56" s="96">
        <f t="shared" si="10"/>
        <v>0.94117647058823528</v>
      </c>
      <c r="M56" s="81">
        <v>2750</v>
      </c>
      <c r="N56" s="8">
        <v>300</v>
      </c>
      <c r="O56" s="8">
        <v>60</v>
      </c>
      <c r="P56" s="96">
        <f t="shared" si="3"/>
        <v>1.1458333333333333</v>
      </c>
      <c r="Q56" s="59">
        <f t="shared" si="4"/>
        <v>2750</v>
      </c>
      <c r="R56" s="59">
        <f t="shared" si="11"/>
        <v>2765</v>
      </c>
      <c r="S56" s="65"/>
      <c r="T56" s="65"/>
      <c r="U56" s="65"/>
      <c r="V56" s="65"/>
      <c r="W56" s="65">
        <v>15</v>
      </c>
      <c r="X56" s="65"/>
      <c r="Y56" s="65"/>
      <c r="Z56" s="65"/>
      <c r="AA56" s="65"/>
      <c r="AB56" s="65"/>
      <c r="AC56" s="65"/>
      <c r="AD56" s="65"/>
      <c r="AE56" s="65">
        <f t="shared" si="14"/>
        <v>15</v>
      </c>
      <c r="AF56" s="65"/>
      <c r="AG56" s="248">
        <f t="shared" si="13"/>
        <v>15</v>
      </c>
      <c r="AH56" s="95">
        <f t="shared" si="7"/>
        <v>0.99457504520795659</v>
      </c>
      <c r="AI56" s="97">
        <f t="shared" si="8"/>
        <v>1.0725809311066197</v>
      </c>
      <c r="AJ56" s="11" t="s">
        <v>1796</v>
      </c>
    </row>
    <row r="57" spans="1:37" x14ac:dyDescent="0.25">
      <c r="A57">
        <f t="shared" si="12"/>
        <v>55</v>
      </c>
      <c r="B57" s="241" t="s">
        <v>1777</v>
      </c>
      <c r="C57">
        <v>1</v>
      </c>
      <c r="D57" s="14">
        <v>45716</v>
      </c>
      <c r="E57" s="7">
        <v>30</v>
      </c>
      <c r="F57" s="7"/>
      <c r="G57" s="66"/>
      <c r="H57" s="59"/>
      <c r="I57" s="59">
        <v>510</v>
      </c>
      <c r="J57" s="47">
        <f t="shared" si="0"/>
        <v>510</v>
      </c>
      <c r="K57" s="8">
        <f t="shared" si="9"/>
        <v>480</v>
      </c>
      <c r="L57" s="96">
        <f t="shared" si="10"/>
        <v>0.94117647058823528</v>
      </c>
      <c r="M57" s="81">
        <v>2930</v>
      </c>
      <c r="N57" s="8">
        <v>300</v>
      </c>
      <c r="O57" s="8">
        <v>60</v>
      </c>
      <c r="P57" s="96">
        <f t="shared" si="3"/>
        <v>1.2208333333333334</v>
      </c>
      <c r="Q57" s="59">
        <f t="shared" si="4"/>
        <v>2930</v>
      </c>
      <c r="R57" s="59">
        <f t="shared" si="11"/>
        <v>2947</v>
      </c>
      <c r="S57" s="65"/>
      <c r="T57" s="65"/>
      <c r="U57" s="65"/>
      <c r="V57" s="65"/>
      <c r="W57" s="65">
        <v>17</v>
      </c>
      <c r="X57" s="65"/>
      <c r="Y57" s="65"/>
      <c r="Z57" s="65"/>
      <c r="AA57" s="65"/>
      <c r="AB57" s="65"/>
      <c r="AC57" s="65"/>
      <c r="AD57" s="65"/>
      <c r="AE57" s="65">
        <f t="shared" si="14"/>
        <v>17</v>
      </c>
      <c r="AF57" s="65"/>
      <c r="AG57" s="248">
        <f t="shared" si="13"/>
        <v>17</v>
      </c>
      <c r="AH57" s="95">
        <f t="shared" si="7"/>
        <v>0.99423142178486601</v>
      </c>
      <c r="AI57" s="97">
        <f t="shared" si="8"/>
        <v>1.1423913983645715</v>
      </c>
      <c r="AJ57" s="11" t="s">
        <v>2530</v>
      </c>
    </row>
    <row r="58" spans="1:37" x14ac:dyDescent="0.25">
      <c r="A58">
        <f t="shared" si="12"/>
        <v>56</v>
      </c>
      <c r="B58" s="241" t="s">
        <v>1777</v>
      </c>
      <c r="C58">
        <v>1</v>
      </c>
      <c r="D58" s="14">
        <v>45717</v>
      </c>
      <c r="E58" s="7">
        <v>60</v>
      </c>
      <c r="F58" s="7"/>
      <c r="G58" s="66"/>
      <c r="H58" s="59"/>
      <c r="I58" s="59">
        <v>510</v>
      </c>
      <c r="J58" s="47">
        <f t="shared" si="0"/>
        <v>510</v>
      </c>
      <c r="K58" s="8">
        <f t="shared" si="9"/>
        <v>450</v>
      </c>
      <c r="L58" s="96">
        <f t="shared" si="10"/>
        <v>0.88235294117647056</v>
      </c>
      <c r="M58" s="81">
        <v>2750</v>
      </c>
      <c r="N58" s="8">
        <v>300</v>
      </c>
      <c r="O58" s="8">
        <v>60</v>
      </c>
      <c r="P58" s="96">
        <f t="shared" si="3"/>
        <v>1.2222222222222223</v>
      </c>
      <c r="Q58" s="59">
        <f t="shared" si="4"/>
        <v>2750</v>
      </c>
      <c r="R58" s="59">
        <f t="shared" si="11"/>
        <v>2765</v>
      </c>
      <c r="S58" s="65"/>
      <c r="T58" s="65"/>
      <c r="U58" s="65"/>
      <c r="V58" s="65"/>
      <c r="W58" s="65">
        <v>15</v>
      </c>
      <c r="X58" s="65"/>
      <c r="Y58" s="65"/>
      <c r="Z58" s="65"/>
      <c r="AA58" s="65"/>
      <c r="AB58" s="65"/>
      <c r="AC58" s="65"/>
      <c r="AD58" s="65"/>
      <c r="AE58" s="65">
        <f t="shared" si="14"/>
        <v>15</v>
      </c>
      <c r="AF58" s="65"/>
      <c r="AG58" s="248">
        <f t="shared" si="13"/>
        <v>15</v>
      </c>
      <c r="AH58" s="95">
        <f t="shared" si="7"/>
        <v>0.99457504520795659</v>
      </c>
      <c r="AI58" s="97">
        <f t="shared" si="8"/>
        <v>1.0725809311066199</v>
      </c>
      <c r="AJ58" s="11" t="s">
        <v>2528</v>
      </c>
    </row>
    <row r="59" spans="1:37" x14ac:dyDescent="0.25">
      <c r="A59">
        <f t="shared" si="12"/>
        <v>57</v>
      </c>
      <c r="D59" s="14">
        <v>45718</v>
      </c>
      <c r="E59" s="7"/>
      <c r="F59" s="7"/>
      <c r="G59" s="66"/>
      <c r="H59" s="59"/>
      <c r="I59" s="59"/>
      <c r="J59" s="47">
        <f t="shared" si="0"/>
        <v>0</v>
      </c>
      <c r="K59" s="8">
        <f t="shared" si="9"/>
        <v>0</v>
      </c>
      <c r="L59" s="96" t="str">
        <f t="shared" si="10"/>
        <v/>
      </c>
      <c r="M59" s="81"/>
      <c r="N59" s="8">
        <v>300</v>
      </c>
      <c r="O59" s="8">
        <v>60</v>
      </c>
      <c r="P59" s="96" t="str">
        <f t="shared" si="3"/>
        <v/>
      </c>
      <c r="Q59" s="59">
        <f t="shared" si="4"/>
        <v>0</v>
      </c>
      <c r="R59" s="59">
        <f t="shared" si="11"/>
        <v>0</v>
      </c>
      <c r="S59" s="65"/>
      <c r="T59" s="65"/>
      <c r="U59" s="65"/>
      <c r="V59" s="65"/>
      <c r="W59" s="65"/>
      <c r="X59" s="65"/>
      <c r="Y59" s="65"/>
      <c r="Z59" s="65"/>
      <c r="AA59" s="65"/>
      <c r="AB59" s="65"/>
      <c r="AC59" s="65"/>
      <c r="AD59" s="65"/>
      <c r="AE59" s="65">
        <f t="shared" si="14"/>
        <v>0</v>
      </c>
      <c r="AF59" s="65"/>
      <c r="AG59" s="248">
        <f t="shared" ref="AG59:AG62" si="15">AE59</f>
        <v>0</v>
      </c>
      <c r="AH59" s="95" t="str">
        <f t="shared" si="7"/>
        <v/>
      </c>
      <c r="AI59" s="97" t="str">
        <f t="shared" si="8"/>
        <v/>
      </c>
      <c r="AJ59" s="11"/>
    </row>
    <row r="60" spans="1:37" x14ac:dyDescent="0.25">
      <c r="A60">
        <f t="shared" si="12"/>
        <v>58</v>
      </c>
      <c r="B60" s="241" t="s">
        <v>1777</v>
      </c>
      <c r="C60">
        <v>1</v>
      </c>
      <c r="D60" s="14">
        <v>45719</v>
      </c>
      <c r="E60" s="7">
        <v>45</v>
      </c>
      <c r="F60" s="7"/>
      <c r="G60" s="66"/>
      <c r="H60" s="59"/>
      <c r="I60" s="59">
        <v>510</v>
      </c>
      <c r="J60" s="47">
        <f t="shared" si="0"/>
        <v>510</v>
      </c>
      <c r="K60" s="8">
        <f t="shared" si="9"/>
        <v>465</v>
      </c>
      <c r="L60" s="96">
        <f t="shared" si="10"/>
        <v>0.91176470588235292</v>
      </c>
      <c r="M60" s="81">
        <v>2475</v>
      </c>
      <c r="N60" s="8">
        <v>300</v>
      </c>
      <c r="O60" s="8">
        <v>60</v>
      </c>
      <c r="P60" s="96">
        <f t="shared" si="3"/>
        <v>1.064516129032258</v>
      </c>
      <c r="Q60" s="59">
        <f t="shared" si="4"/>
        <v>2475</v>
      </c>
      <c r="R60" s="59">
        <f t="shared" si="11"/>
        <v>2475</v>
      </c>
      <c r="S60" s="65"/>
      <c r="T60" s="65"/>
      <c r="U60" s="65"/>
      <c r="V60" s="65"/>
      <c r="W60" s="65"/>
      <c r="X60" s="65"/>
      <c r="Y60" s="65"/>
      <c r="Z60" s="65"/>
      <c r="AA60" s="65"/>
      <c r="AB60" s="65"/>
      <c r="AC60" s="65"/>
      <c r="AD60" s="65"/>
      <c r="AE60" s="65">
        <f t="shared" si="14"/>
        <v>0</v>
      </c>
      <c r="AF60" s="65"/>
      <c r="AG60" s="248">
        <f t="shared" si="15"/>
        <v>0</v>
      </c>
      <c r="AH60" s="95">
        <f t="shared" si="7"/>
        <v>1</v>
      </c>
      <c r="AI60" s="97">
        <f t="shared" si="8"/>
        <v>0.97058823529411753</v>
      </c>
      <c r="AJ60" s="11" t="s">
        <v>1796</v>
      </c>
    </row>
    <row r="61" spans="1:37" x14ac:dyDescent="0.25">
      <c r="A61">
        <f t="shared" si="12"/>
        <v>59</v>
      </c>
      <c r="B61" s="241" t="s">
        <v>1777</v>
      </c>
      <c r="C61">
        <v>1</v>
      </c>
      <c r="D61" s="14">
        <v>45720</v>
      </c>
      <c r="E61" s="7">
        <v>45</v>
      </c>
      <c r="F61" s="7"/>
      <c r="G61" s="66"/>
      <c r="H61" s="59"/>
      <c r="I61" s="59">
        <v>510</v>
      </c>
      <c r="J61" s="47">
        <f t="shared" si="0"/>
        <v>510</v>
      </c>
      <c r="K61" s="8">
        <f t="shared" si="9"/>
        <v>465</v>
      </c>
      <c r="L61" s="96">
        <f t="shared" si="10"/>
        <v>0.91176470588235292</v>
      </c>
      <c r="M61" s="81">
        <v>2625</v>
      </c>
      <c r="N61" s="8">
        <v>300</v>
      </c>
      <c r="O61" s="8">
        <v>60</v>
      </c>
      <c r="P61" s="96">
        <f t="shared" si="3"/>
        <v>1.1290322580645162</v>
      </c>
      <c r="Q61" s="59">
        <f t="shared" si="4"/>
        <v>2625</v>
      </c>
      <c r="R61" s="59">
        <f t="shared" si="11"/>
        <v>2640</v>
      </c>
      <c r="S61" s="65"/>
      <c r="T61" s="65"/>
      <c r="U61" s="65"/>
      <c r="V61" s="65"/>
      <c r="W61" s="65">
        <v>15</v>
      </c>
      <c r="X61" s="65"/>
      <c r="Y61" s="65"/>
      <c r="Z61" s="65"/>
      <c r="AA61" s="65"/>
      <c r="AB61" s="65"/>
      <c r="AC61" s="65"/>
      <c r="AD61" s="65"/>
      <c r="AE61" s="65">
        <f t="shared" si="14"/>
        <v>15</v>
      </c>
      <c r="AF61" s="65"/>
      <c r="AG61" s="248">
        <f t="shared" si="15"/>
        <v>15</v>
      </c>
      <c r="AH61" s="95">
        <f t="shared" si="7"/>
        <v>0.99431818181818177</v>
      </c>
      <c r="AI61" s="97">
        <f t="shared" si="8"/>
        <v>1.0235628342245988</v>
      </c>
      <c r="AJ61" s="11" t="s">
        <v>2524</v>
      </c>
    </row>
    <row r="62" spans="1:37" x14ac:dyDescent="0.25">
      <c r="A62">
        <f t="shared" si="12"/>
        <v>60</v>
      </c>
      <c r="B62" s="241" t="s">
        <v>1777</v>
      </c>
      <c r="C62">
        <v>1</v>
      </c>
      <c r="D62" s="14">
        <v>45721</v>
      </c>
      <c r="E62" s="7">
        <v>45</v>
      </c>
      <c r="F62" s="7"/>
      <c r="G62" s="66"/>
      <c r="H62" s="59"/>
      <c r="I62" s="59">
        <v>510</v>
      </c>
      <c r="J62" s="47">
        <f t="shared" si="0"/>
        <v>510</v>
      </c>
      <c r="K62" s="8">
        <f t="shared" si="9"/>
        <v>465</v>
      </c>
      <c r="L62" s="96">
        <f t="shared" si="10"/>
        <v>0.91176470588235292</v>
      </c>
      <c r="M62" s="81">
        <v>2430</v>
      </c>
      <c r="N62" s="8">
        <v>300</v>
      </c>
      <c r="O62" s="8">
        <v>60</v>
      </c>
      <c r="P62" s="96">
        <f t="shared" si="3"/>
        <v>1.0451612903225806</v>
      </c>
      <c r="Q62" s="59">
        <f t="shared" si="4"/>
        <v>2430</v>
      </c>
      <c r="R62" s="59">
        <f t="shared" si="11"/>
        <v>2445</v>
      </c>
      <c r="S62" s="65"/>
      <c r="T62" s="65"/>
      <c r="U62" s="65"/>
      <c r="V62" s="65"/>
      <c r="W62" s="65">
        <v>15</v>
      </c>
      <c r="X62" s="65"/>
      <c r="Y62" s="65"/>
      <c r="Z62" s="65"/>
      <c r="AA62" s="65"/>
      <c r="AB62" s="65"/>
      <c r="AC62" s="65"/>
      <c r="AD62" s="65"/>
      <c r="AE62" s="65">
        <f t="shared" si="14"/>
        <v>15</v>
      </c>
      <c r="AF62" s="65"/>
      <c r="AG62" s="248">
        <f t="shared" si="15"/>
        <v>15</v>
      </c>
      <c r="AH62" s="95">
        <f t="shared" si="7"/>
        <v>0.99386503067484666</v>
      </c>
      <c r="AI62" s="97">
        <f t="shared" si="8"/>
        <v>0.94709491158426562</v>
      </c>
      <c r="AJ62" s="11" t="s">
        <v>2528</v>
      </c>
    </row>
    <row r="63" spans="1:37" x14ac:dyDescent="0.25">
      <c r="A63">
        <f t="shared" si="12"/>
        <v>61</v>
      </c>
      <c r="B63" s="241" t="s">
        <v>1777</v>
      </c>
      <c r="C63">
        <v>1</v>
      </c>
      <c r="D63" s="14">
        <v>45722</v>
      </c>
      <c r="E63" s="7">
        <v>45</v>
      </c>
      <c r="F63" s="7"/>
      <c r="G63" s="66"/>
      <c r="H63" s="59"/>
      <c r="I63" s="59">
        <f>60*4</f>
        <v>240</v>
      </c>
      <c r="J63" s="47">
        <f t="shared" si="0"/>
        <v>240</v>
      </c>
      <c r="K63" s="8">
        <f t="shared" si="9"/>
        <v>195</v>
      </c>
      <c r="L63" s="96">
        <f t="shared" si="10"/>
        <v>0.8125</v>
      </c>
      <c r="M63" s="81">
        <f>350+300+105</f>
        <v>755</v>
      </c>
      <c r="N63" s="8">
        <v>300</v>
      </c>
      <c r="O63" s="8">
        <v>60</v>
      </c>
      <c r="P63" s="96">
        <f t="shared" si="3"/>
        <v>0.77435897435897438</v>
      </c>
      <c r="Q63" s="59">
        <f t="shared" si="4"/>
        <v>755</v>
      </c>
      <c r="R63" s="59">
        <f t="shared" si="11"/>
        <v>770</v>
      </c>
      <c r="S63" s="65"/>
      <c r="T63" s="65"/>
      <c r="U63" s="65"/>
      <c r="V63" s="65"/>
      <c r="W63" s="65">
        <v>15</v>
      </c>
      <c r="X63" s="65"/>
      <c r="Y63" s="65"/>
      <c r="Z63" s="65"/>
      <c r="AA63" s="65"/>
      <c r="AB63" s="65"/>
      <c r="AC63" s="65"/>
      <c r="AD63" s="65"/>
      <c r="AE63" s="65">
        <f t="shared" si="14"/>
        <v>15</v>
      </c>
      <c r="AF63" s="65"/>
      <c r="AG63" s="248">
        <f t="shared" si="13"/>
        <v>15</v>
      </c>
      <c r="AH63" s="95">
        <f t="shared" si="7"/>
        <v>0.98051948051948057</v>
      </c>
      <c r="AI63" s="97">
        <f t="shared" si="8"/>
        <v>0.61691017316017316</v>
      </c>
      <c r="AJ63" s="11" t="s">
        <v>2528</v>
      </c>
    </row>
    <row r="64" spans="1:37" x14ac:dyDescent="0.25">
      <c r="A64">
        <f t="shared" si="12"/>
        <v>62</v>
      </c>
      <c r="B64" s="241" t="s">
        <v>1777</v>
      </c>
      <c r="C64">
        <v>1</v>
      </c>
      <c r="D64" s="14">
        <v>45723</v>
      </c>
      <c r="E64" s="7">
        <v>45</v>
      </c>
      <c r="F64" s="7"/>
      <c r="G64" s="66"/>
      <c r="H64" s="59"/>
      <c r="I64" s="59">
        <f>510+445</f>
        <v>955</v>
      </c>
      <c r="J64" s="47">
        <f t="shared" si="0"/>
        <v>955</v>
      </c>
      <c r="K64" s="8">
        <f t="shared" si="9"/>
        <v>910</v>
      </c>
      <c r="L64" s="96">
        <f t="shared" si="10"/>
        <v>0.95287958115183247</v>
      </c>
      <c r="M64" s="81">
        <f>1890+2250</f>
        <v>4140</v>
      </c>
      <c r="N64" s="8">
        <v>300</v>
      </c>
      <c r="O64" s="8">
        <v>60</v>
      </c>
      <c r="P64" s="96">
        <f t="shared" si="3"/>
        <v>0.90989010989010988</v>
      </c>
      <c r="Q64" s="59">
        <f t="shared" si="4"/>
        <v>4140</v>
      </c>
      <c r="R64" s="59">
        <f t="shared" si="11"/>
        <v>4155</v>
      </c>
      <c r="S64" s="65"/>
      <c r="T64" s="65"/>
      <c r="U64" s="65"/>
      <c r="V64" s="65"/>
      <c r="W64" s="65">
        <v>15</v>
      </c>
      <c r="X64" s="65"/>
      <c r="Y64" s="65"/>
      <c r="Z64" s="65"/>
      <c r="AA64" s="65"/>
      <c r="AB64" s="65"/>
      <c r="AC64" s="65"/>
      <c r="AD64" s="65"/>
      <c r="AE64" s="65">
        <f t="shared" si="14"/>
        <v>15</v>
      </c>
      <c r="AF64" s="65"/>
      <c r="AG64" s="248">
        <f t="shared" si="13"/>
        <v>15</v>
      </c>
      <c r="AH64" s="95">
        <f t="shared" si="7"/>
        <v>0.99638989169675085</v>
      </c>
      <c r="AI64" s="97">
        <f t="shared" si="8"/>
        <v>0.86388568620409401</v>
      </c>
      <c r="AJ64" s="11" t="s">
        <v>2533</v>
      </c>
      <c r="AK64" t="s">
        <v>2514</v>
      </c>
    </row>
    <row r="65" spans="1:37" x14ac:dyDescent="0.25">
      <c r="A65">
        <f t="shared" si="12"/>
        <v>63</v>
      </c>
      <c r="B65" s="241" t="s">
        <v>1777</v>
      </c>
      <c r="C65">
        <v>1</v>
      </c>
      <c r="D65" s="14">
        <v>45724</v>
      </c>
      <c r="E65" s="7">
        <v>45</v>
      </c>
      <c r="F65" s="7"/>
      <c r="G65" s="66"/>
      <c r="H65" s="59"/>
      <c r="I65" s="59">
        <v>510</v>
      </c>
      <c r="J65" s="47">
        <f t="shared" si="0"/>
        <v>510</v>
      </c>
      <c r="K65" s="8">
        <f t="shared" si="9"/>
        <v>465</v>
      </c>
      <c r="L65" s="96">
        <f t="shared" si="10"/>
        <v>0.91176470588235292</v>
      </c>
      <c r="M65" s="81">
        <v>3000</v>
      </c>
      <c r="N65" s="8">
        <v>300</v>
      </c>
      <c r="O65" s="8">
        <v>60</v>
      </c>
      <c r="P65" s="96">
        <f t="shared" si="3"/>
        <v>1.2903225806451613</v>
      </c>
      <c r="Q65" s="59">
        <f t="shared" si="4"/>
        <v>3000</v>
      </c>
      <c r="R65" s="59">
        <f t="shared" si="11"/>
        <v>3015</v>
      </c>
      <c r="S65" s="65"/>
      <c r="T65" s="65"/>
      <c r="U65" s="65"/>
      <c r="V65" s="65"/>
      <c r="W65" s="65">
        <v>15</v>
      </c>
      <c r="X65" s="65"/>
      <c r="Y65" s="65"/>
      <c r="Z65" s="65"/>
      <c r="AA65" s="65"/>
      <c r="AB65" s="65"/>
      <c r="AC65" s="65"/>
      <c r="AD65" s="65"/>
      <c r="AE65" s="65">
        <f t="shared" si="14"/>
        <v>15</v>
      </c>
      <c r="AF65" s="65"/>
      <c r="AG65" s="248">
        <f t="shared" ref="AG65:AG67" si="16">AE65</f>
        <v>15</v>
      </c>
      <c r="AH65" s="95">
        <f t="shared" si="7"/>
        <v>0.99502487562189057</v>
      </c>
      <c r="AI65" s="97">
        <f t="shared" si="8"/>
        <v>1.1706175007316357</v>
      </c>
      <c r="AJ65" s="11" t="s">
        <v>2528</v>
      </c>
    </row>
    <row r="66" spans="1:37" x14ac:dyDescent="0.25">
      <c r="A66">
        <f t="shared" si="12"/>
        <v>64</v>
      </c>
      <c r="D66" s="14">
        <v>45725</v>
      </c>
      <c r="E66" s="7"/>
      <c r="F66" s="7"/>
      <c r="G66" s="66"/>
      <c r="H66" s="59"/>
      <c r="I66" s="59"/>
      <c r="J66" s="47">
        <f t="shared" si="0"/>
        <v>0</v>
      </c>
      <c r="K66" s="8">
        <f t="shared" si="9"/>
        <v>0</v>
      </c>
      <c r="L66" s="96" t="str">
        <f t="shared" si="10"/>
        <v/>
      </c>
      <c r="M66" s="81"/>
      <c r="N66" s="8">
        <v>300</v>
      </c>
      <c r="O66" s="8">
        <v>60</v>
      </c>
      <c r="P66" s="96" t="str">
        <f t="shared" si="3"/>
        <v/>
      </c>
      <c r="Q66" s="59">
        <f t="shared" si="4"/>
        <v>0</v>
      </c>
      <c r="R66" s="59">
        <f t="shared" si="11"/>
        <v>0</v>
      </c>
      <c r="S66" s="65"/>
      <c r="T66" s="65"/>
      <c r="U66" s="65"/>
      <c r="V66" s="65"/>
      <c r="W66" s="65"/>
      <c r="X66" s="65"/>
      <c r="Y66" s="65"/>
      <c r="Z66" s="65"/>
      <c r="AA66" s="65"/>
      <c r="AB66" s="65"/>
      <c r="AC66" s="65"/>
      <c r="AD66" s="65"/>
      <c r="AE66" s="65">
        <f t="shared" si="14"/>
        <v>0</v>
      </c>
      <c r="AF66" s="65"/>
      <c r="AG66" s="248">
        <f t="shared" si="16"/>
        <v>0</v>
      </c>
      <c r="AH66" s="95" t="str">
        <f t="shared" si="7"/>
        <v/>
      </c>
      <c r="AI66" s="97" t="str">
        <f t="shared" si="8"/>
        <v/>
      </c>
      <c r="AJ66" s="11"/>
    </row>
    <row r="67" spans="1:37" x14ac:dyDescent="0.25">
      <c r="A67">
        <f t="shared" si="12"/>
        <v>65</v>
      </c>
      <c r="B67" s="241" t="s">
        <v>1777</v>
      </c>
      <c r="C67">
        <v>1</v>
      </c>
      <c r="D67" s="14">
        <v>45726</v>
      </c>
      <c r="E67" s="7">
        <v>45</v>
      </c>
      <c r="F67" s="7"/>
      <c r="G67" s="66"/>
      <c r="H67" s="59"/>
      <c r="I67" s="59">
        <v>510</v>
      </c>
      <c r="J67" s="47">
        <f t="shared" ref="J67:J130" si="17">I67+H67</f>
        <v>510</v>
      </c>
      <c r="K67" s="8">
        <f t="shared" si="9"/>
        <v>465</v>
      </c>
      <c r="L67" s="96">
        <f t="shared" si="10"/>
        <v>0.91176470588235292</v>
      </c>
      <c r="M67" s="81">
        <v>1347</v>
      </c>
      <c r="N67" s="8">
        <v>300</v>
      </c>
      <c r="O67" s="8">
        <v>60</v>
      </c>
      <c r="P67" s="96">
        <f t="shared" ref="P67:P121" si="18">IFERROR((M67/N67*O67)/K67,"")</f>
        <v>0.57935483870967752</v>
      </c>
      <c r="Q67" s="59">
        <f t="shared" si="4"/>
        <v>1347</v>
      </c>
      <c r="R67" s="59">
        <f t="shared" si="11"/>
        <v>1347</v>
      </c>
      <c r="S67" s="65"/>
      <c r="T67" s="65"/>
      <c r="U67" s="65"/>
      <c r="V67" s="65"/>
      <c r="W67" s="65"/>
      <c r="X67" s="65"/>
      <c r="Y67" s="65"/>
      <c r="Z67" s="65"/>
      <c r="AA67" s="65"/>
      <c r="AB67" s="65"/>
      <c r="AC67" s="65"/>
      <c r="AD67" s="65"/>
      <c r="AE67" s="65">
        <f t="shared" si="14"/>
        <v>0</v>
      </c>
      <c r="AF67" s="65"/>
      <c r="AG67" s="248">
        <f t="shared" si="16"/>
        <v>0</v>
      </c>
      <c r="AH67" s="95">
        <f t="shared" ref="AH67:AH130" si="19">IFERROR(Q67/R67,"")</f>
        <v>1</v>
      </c>
      <c r="AI67" s="97">
        <f t="shared" ref="AI67:AI130" si="20">IFERROR(AH67*P67*L67,"")</f>
        <v>0.52823529411764714</v>
      </c>
      <c r="AJ67" s="11" t="s">
        <v>2503</v>
      </c>
    </row>
    <row r="68" spans="1:37" x14ac:dyDescent="0.25">
      <c r="A68">
        <f t="shared" si="12"/>
        <v>66</v>
      </c>
      <c r="B68" s="241" t="s">
        <v>2535</v>
      </c>
      <c r="C68">
        <v>1</v>
      </c>
      <c r="D68" s="14">
        <v>45727</v>
      </c>
      <c r="E68" s="7">
        <v>45</v>
      </c>
      <c r="F68" s="7"/>
      <c r="G68" s="66"/>
      <c r="H68" s="59"/>
      <c r="I68" s="59">
        <v>510</v>
      </c>
      <c r="J68" s="47">
        <f t="shared" si="17"/>
        <v>510</v>
      </c>
      <c r="K68" s="8">
        <f t="shared" ref="K68:K131" si="21">IFERROR(J68-E68-F68-G68,"")</f>
        <v>465</v>
      </c>
      <c r="L68" s="96">
        <f t="shared" ref="L68:L96" si="22">IFERROR(K68/J68,"")</f>
        <v>0.91176470588235292</v>
      </c>
      <c r="M68" s="81">
        <f>601+1014</f>
        <v>1615</v>
      </c>
      <c r="N68" s="8">
        <v>300</v>
      </c>
      <c r="O68" s="8">
        <v>60</v>
      </c>
      <c r="P68" s="96">
        <f t="shared" si="18"/>
        <v>0.69462365591397845</v>
      </c>
      <c r="Q68" s="59">
        <f t="shared" ref="Q68:Q131" si="23">M68</f>
        <v>1615</v>
      </c>
      <c r="R68" s="59">
        <f t="shared" ref="R68:R131" si="24">Q68+AE68</f>
        <v>1615</v>
      </c>
      <c r="S68" s="65"/>
      <c r="T68" s="65"/>
      <c r="U68" s="65"/>
      <c r="V68" s="65"/>
      <c r="W68" s="65"/>
      <c r="X68" s="65"/>
      <c r="Y68" s="65"/>
      <c r="Z68" s="65"/>
      <c r="AA68" s="65"/>
      <c r="AB68" s="65"/>
      <c r="AC68" s="65"/>
      <c r="AD68" s="65"/>
      <c r="AE68" s="65">
        <f t="shared" si="14"/>
        <v>0</v>
      </c>
      <c r="AF68" s="65"/>
      <c r="AG68" s="248">
        <f t="shared" si="13"/>
        <v>0</v>
      </c>
      <c r="AH68" s="95">
        <f t="shared" si="19"/>
        <v>1</v>
      </c>
      <c r="AI68" s="97">
        <f t="shared" si="20"/>
        <v>0.6333333333333333</v>
      </c>
      <c r="AJ68" s="11" t="s">
        <v>2536</v>
      </c>
    </row>
    <row r="69" spans="1:37" x14ac:dyDescent="0.25">
      <c r="A69">
        <f t="shared" ref="A69:A132" si="25">A68+1</f>
        <v>67</v>
      </c>
      <c r="B69" s="241" t="s">
        <v>2490</v>
      </c>
      <c r="C69" t="s">
        <v>2543</v>
      </c>
      <c r="D69" s="14">
        <v>45728</v>
      </c>
      <c r="E69" s="7">
        <v>45</v>
      </c>
      <c r="F69" s="7"/>
      <c r="G69" s="66"/>
      <c r="H69" s="59"/>
      <c r="I69" s="59">
        <f>510+445</f>
        <v>955</v>
      </c>
      <c r="J69" s="47">
        <f t="shared" si="17"/>
        <v>955</v>
      </c>
      <c r="K69" s="8">
        <f t="shared" si="21"/>
        <v>910</v>
      </c>
      <c r="L69" s="96">
        <f t="shared" si="22"/>
        <v>0.95287958115183247</v>
      </c>
      <c r="M69" s="81">
        <f>2102+1896</f>
        <v>3998</v>
      </c>
      <c r="N69" s="8">
        <v>300</v>
      </c>
      <c r="O69" s="8">
        <v>60</v>
      </c>
      <c r="P69" s="96">
        <f t="shared" si="18"/>
        <v>0.87868131868131871</v>
      </c>
      <c r="Q69" s="59">
        <f t="shared" si="23"/>
        <v>3998</v>
      </c>
      <c r="R69" s="59">
        <f t="shared" si="24"/>
        <v>3998</v>
      </c>
      <c r="S69" s="65"/>
      <c r="T69" s="65"/>
      <c r="U69" s="65"/>
      <c r="V69" s="65"/>
      <c r="W69" s="65"/>
      <c r="X69" s="65"/>
      <c r="Y69" s="65"/>
      <c r="Z69" s="65"/>
      <c r="AA69" s="65"/>
      <c r="AB69" s="65"/>
      <c r="AC69" s="65"/>
      <c r="AD69" s="65"/>
      <c r="AE69" s="65">
        <f t="shared" si="14"/>
        <v>0</v>
      </c>
      <c r="AF69" s="65"/>
      <c r="AG69" s="248">
        <f t="shared" si="13"/>
        <v>0</v>
      </c>
      <c r="AH69" s="95">
        <f t="shared" si="19"/>
        <v>1</v>
      </c>
      <c r="AI69" s="97">
        <f t="shared" si="20"/>
        <v>0.83727748691099479</v>
      </c>
      <c r="AJ69" s="11" t="s">
        <v>2536</v>
      </c>
      <c r="AK69" t="s">
        <v>2514</v>
      </c>
    </row>
    <row r="70" spans="1:37" x14ac:dyDescent="0.25">
      <c r="A70">
        <f t="shared" si="25"/>
        <v>68</v>
      </c>
      <c r="B70" s="241" t="s">
        <v>2490</v>
      </c>
      <c r="C70" t="s">
        <v>2543</v>
      </c>
      <c r="D70" s="14">
        <v>45729</v>
      </c>
      <c r="E70" s="7">
        <v>45</v>
      </c>
      <c r="F70" s="7">
        <v>60</v>
      </c>
      <c r="G70" s="66"/>
      <c r="H70" s="59"/>
      <c r="I70" s="59">
        <v>955</v>
      </c>
      <c r="J70" s="47">
        <f t="shared" si="17"/>
        <v>955</v>
      </c>
      <c r="K70" s="8">
        <f t="shared" si="21"/>
        <v>850</v>
      </c>
      <c r="L70" s="96">
        <f t="shared" si="22"/>
        <v>0.89005235602094246</v>
      </c>
      <c r="M70" s="81">
        <f>2100+2011</f>
        <v>4111</v>
      </c>
      <c r="N70" s="8">
        <v>300</v>
      </c>
      <c r="O70" s="8">
        <v>60</v>
      </c>
      <c r="P70" s="96">
        <f t="shared" si="18"/>
        <v>0.96729411764705886</v>
      </c>
      <c r="Q70" s="59">
        <f t="shared" si="23"/>
        <v>4111</v>
      </c>
      <c r="R70" s="59">
        <f t="shared" si="24"/>
        <v>4111</v>
      </c>
      <c r="S70" s="65"/>
      <c r="T70" s="65"/>
      <c r="U70" s="65"/>
      <c r="V70" s="65"/>
      <c r="W70" s="65"/>
      <c r="X70" s="65"/>
      <c r="Y70" s="65"/>
      <c r="Z70" s="65"/>
      <c r="AA70" s="65"/>
      <c r="AB70" s="65"/>
      <c r="AC70" s="65"/>
      <c r="AD70" s="65"/>
      <c r="AE70" s="65">
        <f t="shared" si="14"/>
        <v>0</v>
      </c>
      <c r="AF70" s="65"/>
      <c r="AG70" s="248">
        <f t="shared" si="13"/>
        <v>0</v>
      </c>
      <c r="AH70" s="95">
        <f t="shared" si="19"/>
        <v>1</v>
      </c>
      <c r="AI70" s="97">
        <f t="shared" si="20"/>
        <v>0.86094240837696345</v>
      </c>
      <c r="AJ70" s="11" t="s">
        <v>2514</v>
      </c>
      <c r="AK70" t="s">
        <v>2544</v>
      </c>
    </row>
    <row r="71" spans="1:37" x14ac:dyDescent="0.25">
      <c r="A71">
        <f t="shared" si="25"/>
        <v>69</v>
      </c>
      <c r="B71" s="241" t="s">
        <v>2491</v>
      </c>
      <c r="C71">
        <v>2</v>
      </c>
      <c r="D71" s="14">
        <v>45730</v>
      </c>
      <c r="E71" s="7"/>
      <c r="F71" s="7"/>
      <c r="G71" s="66"/>
      <c r="H71" s="59"/>
      <c r="I71" s="59">
        <v>445</v>
      </c>
      <c r="J71" s="47">
        <f t="shared" si="17"/>
        <v>445</v>
      </c>
      <c r="K71" s="8">
        <f t="shared" si="21"/>
        <v>445</v>
      </c>
      <c r="L71" s="96">
        <f t="shared" si="22"/>
        <v>1</v>
      </c>
      <c r="M71" s="81">
        <v>2350</v>
      </c>
      <c r="N71" s="8">
        <v>300</v>
      </c>
      <c r="O71" s="8">
        <v>60</v>
      </c>
      <c r="P71" s="96">
        <f t="shared" si="18"/>
        <v>1.0561797752808988</v>
      </c>
      <c r="Q71" s="59">
        <f t="shared" si="23"/>
        <v>2350</v>
      </c>
      <c r="R71" s="59">
        <f t="shared" si="24"/>
        <v>2350</v>
      </c>
      <c r="S71" s="65"/>
      <c r="T71" s="65"/>
      <c r="U71" s="65"/>
      <c r="V71" s="65"/>
      <c r="W71" s="65"/>
      <c r="X71" s="65"/>
      <c r="Y71" s="65"/>
      <c r="Z71" s="65"/>
      <c r="AA71" s="65"/>
      <c r="AB71" s="65"/>
      <c r="AC71" s="65"/>
      <c r="AD71" s="65"/>
      <c r="AE71" s="65">
        <f t="shared" si="14"/>
        <v>0</v>
      </c>
      <c r="AF71" s="65"/>
      <c r="AG71" s="248">
        <f t="shared" si="13"/>
        <v>0</v>
      </c>
      <c r="AH71" s="95">
        <f t="shared" si="19"/>
        <v>1</v>
      </c>
      <c r="AI71" s="97">
        <f t="shared" si="20"/>
        <v>1.0561797752808988</v>
      </c>
      <c r="AJ71" s="11" t="s">
        <v>2514</v>
      </c>
    </row>
    <row r="72" spans="1:37" x14ac:dyDescent="0.25">
      <c r="A72">
        <f t="shared" si="25"/>
        <v>70</v>
      </c>
      <c r="B72" s="241" t="s">
        <v>2491</v>
      </c>
      <c r="D72" s="14">
        <v>45731</v>
      </c>
      <c r="E72" s="7"/>
      <c r="F72" s="7"/>
      <c r="G72" s="66"/>
      <c r="H72" s="59"/>
      <c r="I72" s="59">
        <f>60*5</f>
        <v>300</v>
      </c>
      <c r="J72" s="47">
        <f t="shared" si="17"/>
        <v>300</v>
      </c>
      <c r="K72" s="8">
        <f t="shared" si="21"/>
        <v>300</v>
      </c>
      <c r="L72" s="96">
        <f t="shared" si="22"/>
        <v>1</v>
      </c>
      <c r="M72" s="81">
        <v>1510</v>
      </c>
      <c r="N72" s="8">
        <v>300</v>
      </c>
      <c r="O72" s="8">
        <v>60</v>
      </c>
      <c r="P72" s="96">
        <f t="shared" si="18"/>
        <v>1.0066666666666666</v>
      </c>
      <c r="Q72" s="59">
        <f t="shared" si="23"/>
        <v>1510</v>
      </c>
      <c r="R72" s="59">
        <f t="shared" si="24"/>
        <v>1510</v>
      </c>
      <c r="S72" s="65"/>
      <c r="T72" s="65"/>
      <c r="U72" s="65"/>
      <c r="V72" s="65"/>
      <c r="W72" s="65"/>
      <c r="X72" s="65"/>
      <c r="Y72" s="65"/>
      <c r="Z72" s="65"/>
      <c r="AA72" s="65"/>
      <c r="AB72" s="65"/>
      <c r="AC72" s="65"/>
      <c r="AD72" s="65"/>
      <c r="AE72" s="65">
        <f t="shared" si="14"/>
        <v>0</v>
      </c>
      <c r="AF72" s="65"/>
      <c r="AG72" s="248">
        <f t="shared" si="13"/>
        <v>0</v>
      </c>
      <c r="AH72" s="95">
        <f t="shared" si="19"/>
        <v>1</v>
      </c>
      <c r="AI72" s="97">
        <f t="shared" si="20"/>
        <v>1.0066666666666666</v>
      </c>
      <c r="AJ72" s="11" t="s">
        <v>2533</v>
      </c>
    </row>
    <row r="73" spans="1:37" x14ac:dyDescent="0.25">
      <c r="A73">
        <f t="shared" si="25"/>
        <v>71</v>
      </c>
      <c r="D73" s="14">
        <v>45732</v>
      </c>
      <c r="E73" s="7"/>
      <c r="F73" s="7"/>
      <c r="G73" s="66"/>
      <c r="H73" s="59"/>
      <c r="I73" s="59"/>
      <c r="J73" s="47">
        <f t="shared" si="17"/>
        <v>0</v>
      </c>
      <c r="K73" s="8">
        <f t="shared" si="21"/>
        <v>0</v>
      </c>
      <c r="L73" s="96" t="str">
        <f t="shared" si="22"/>
        <v/>
      </c>
      <c r="M73" s="81"/>
      <c r="N73" s="8">
        <v>300</v>
      </c>
      <c r="O73" s="8">
        <v>60</v>
      </c>
      <c r="P73" s="96" t="str">
        <f t="shared" si="18"/>
        <v/>
      </c>
      <c r="Q73" s="59">
        <f t="shared" si="23"/>
        <v>0</v>
      </c>
      <c r="R73" s="59">
        <f t="shared" si="24"/>
        <v>0</v>
      </c>
      <c r="S73" s="65"/>
      <c r="T73" s="65"/>
      <c r="U73" s="65"/>
      <c r="V73" s="65"/>
      <c r="W73" s="65"/>
      <c r="X73" s="65"/>
      <c r="Y73" s="65"/>
      <c r="Z73" s="65"/>
      <c r="AA73" s="65"/>
      <c r="AB73" s="65"/>
      <c r="AC73" s="65"/>
      <c r="AD73" s="65"/>
      <c r="AE73" s="65">
        <f t="shared" si="14"/>
        <v>0</v>
      </c>
      <c r="AF73" s="65"/>
      <c r="AG73" s="248">
        <f t="shared" si="13"/>
        <v>0</v>
      </c>
      <c r="AH73" s="95" t="str">
        <f t="shared" si="19"/>
        <v/>
      </c>
      <c r="AI73" s="97" t="str">
        <f t="shared" si="20"/>
        <v/>
      </c>
      <c r="AJ73" s="11"/>
    </row>
    <row r="74" spans="1:37" x14ac:dyDescent="0.25">
      <c r="A74">
        <f t="shared" si="25"/>
        <v>72</v>
      </c>
      <c r="D74" s="14">
        <v>45733</v>
      </c>
      <c r="E74" s="7"/>
      <c r="F74" s="7"/>
      <c r="G74" s="66"/>
      <c r="H74" s="59"/>
      <c r="I74" s="59"/>
      <c r="J74" s="47">
        <f t="shared" si="17"/>
        <v>0</v>
      </c>
      <c r="K74" s="8">
        <f t="shared" si="21"/>
        <v>0</v>
      </c>
      <c r="L74" s="96" t="str">
        <f t="shared" si="22"/>
        <v/>
      </c>
      <c r="M74" s="81"/>
      <c r="N74" s="8">
        <v>300</v>
      </c>
      <c r="O74" s="8">
        <v>60</v>
      </c>
      <c r="P74" s="96" t="str">
        <f t="shared" si="18"/>
        <v/>
      </c>
      <c r="Q74" s="59">
        <f t="shared" si="23"/>
        <v>0</v>
      </c>
      <c r="R74" s="59">
        <f t="shared" si="24"/>
        <v>0</v>
      </c>
      <c r="S74" s="65"/>
      <c r="T74" s="65"/>
      <c r="U74" s="65"/>
      <c r="V74" s="65"/>
      <c r="W74" s="65"/>
      <c r="X74" s="65"/>
      <c r="Y74" s="65"/>
      <c r="Z74" s="65"/>
      <c r="AA74" s="65"/>
      <c r="AB74" s="65"/>
      <c r="AC74" s="65"/>
      <c r="AD74" s="65"/>
      <c r="AE74" s="65">
        <f t="shared" si="14"/>
        <v>0</v>
      </c>
      <c r="AF74" s="65"/>
      <c r="AG74" s="248">
        <f t="shared" si="13"/>
        <v>0</v>
      </c>
      <c r="AH74" s="95" t="str">
        <f t="shared" si="19"/>
        <v/>
      </c>
      <c r="AI74" s="97" t="str">
        <f t="shared" si="20"/>
        <v/>
      </c>
      <c r="AJ74" s="11"/>
    </row>
    <row r="75" spans="1:37" x14ac:dyDescent="0.25">
      <c r="A75">
        <f t="shared" si="25"/>
        <v>73</v>
      </c>
      <c r="B75" s="241" t="s">
        <v>1777</v>
      </c>
      <c r="C75" t="s">
        <v>2543</v>
      </c>
      <c r="D75" s="14">
        <v>45734</v>
      </c>
      <c r="E75" s="7">
        <v>45</v>
      </c>
      <c r="F75" s="7">
        <f>60*5</f>
        <v>300</v>
      </c>
      <c r="G75" s="66"/>
      <c r="H75" s="59"/>
      <c r="I75" s="59">
        <v>955</v>
      </c>
      <c r="J75" s="47">
        <f t="shared" si="17"/>
        <v>955</v>
      </c>
      <c r="K75" s="8">
        <f t="shared" si="21"/>
        <v>610</v>
      </c>
      <c r="L75" s="96">
        <f t="shared" si="22"/>
        <v>0.63874345549738221</v>
      </c>
      <c r="M75" s="81">
        <f>800+1776</f>
        <v>2576</v>
      </c>
      <c r="N75" s="8">
        <v>300</v>
      </c>
      <c r="O75" s="8">
        <v>60</v>
      </c>
      <c r="P75" s="96">
        <f t="shared" si="18"/>
        <v>0.8445901639344261</v>
      </c>
      <c r="Q75" s="59">
        <f t="shared" si="23"/>
        <v>2576</v>
      </c>
      <c r="R75" s="59">
        <f t="shared" si="24"/>
        <v>2576</v>
      </c>
      <c r="S75" s="65"/>
      <c r="T75" s="65"/>
      <c r="U75" s="65"/>
      <c r="V75" s="65"/>
      <c r="W75" s="65"/>
      <c r="X75" s="65"/>
      <c r="Y75" s="65"/>
      <c r="Z75" s="65"/>
      <c r="AA75" s="65"/>
      <c r="AB75" s="65"/>
      <c r="AC75" s="65"/>
      <c r="AD75" s="65"/>
      <c r="AE75" s="65">
        <f t="shared" si="14"/>
        <v>0</v>
      </c>
      <c r="AF75" s="65"/>
      <c r="AG75" s="248">
        <f t="shared" si="13"/>
        <v>0</v>
      </c>
      <c r="AH75" s="95">
        <f t="shared" si="19"/>
        <v>1</v>
      </c>
      <c r="AI75" s="97">
        <f t="shared" si="20"/>
        <v>0.5394764397905758</v>
      </c>
      <c r="AJ75" s="11" t="s">
        <v>2524</v>
      </c>
      <c r="AK75" t="s">
        <v>2545</v>
      </c>
    </row>
    <row r="76" spans="1:37" x14ac:dyDescent="0.25">
      <c r="A76">
        <f t="shared" si="25"/>
        <v>74</v>
      </c>
      <c r="B76" s="241" t="s">
        <v>1777</v>
      </c>
      <c r="D76" s="14">
        <v>45735</v>
      </c>
      <c r="E76" s="7">
        <v>45</v>
      </c>
      <c r="F76" s="7"/>
      <c r="G76" s="66"/>
      <c r="H76" s="59"/>
      <c r="I76" s="59">
        <v>955</v>
      </c>
      <c r="J76" s="47">
        <f t="shared" si="17"/>
        <v>955</v>
      </c>
      <c r="K76" s="8">
        <f t="shared" si="21"/>
        <v>910</v>
      </c>
      <c r="L76" s="96">
        <f t="shared" si="22"/>
        <v>0.95287958115183247</v>
      </c>
      <c r="M76" s="81">
        <f>2500+2000</f>
        <v>4500</v>
      </c>
      <c r="N76" s="8">
        <v>300</v>
      </c>
      <c r="O76" s="8">
        <v>60</v>
      </c>
      <c r="P76" s="96">
        <f t="shared" si="18"/>
        <v>0.98901098901098905</v>
      </c>
      <c r="Q76" s="59">
        <f t="shared" si="23"/>
        <v>4500</v>
      </c>
      <c r="R76" s="59">
        <f t="shared" si="24"/>
        <v>4500</v>
      </c>
      <c r="S76" s="65"/>
      <c r="T76" s="65"/>
      <c r="U76" s="65"/>
      <c r="V76" s="65"/>
      <c r="W76" s="65"/>
      <c r="X76" s="65"/>
      <c r="Y76" s="65"/>
      <c r="Z76" s="65"/>
      <c r="AA76" s="65"/>
      <c r="AB76" s="65"/>
      <c r="AC76" s="65"/>
      <c r="AD76" s="65"/>
      <c r="AE76" s="65">
        <f t="shared" si="14"/>
        <v>0</v>
      </c>
      <c r="AF76" s="65"/>
      <c r="AG76" s="248">
        <f t="shared" si="13"/>
        <v>0</v>
      </c>
      <c r="AH76" s="95">
        <f t="shared" si="19"/>
        <v>1</v>
      </c>
      <c r="AI76" s="97">
        <f t="shared" si="20"/>
        <v>0.94240837696335078</v>
      </c>
      <c r="AJ76" s="11" t="s">
        <v>1796</v>
      </c>
      <c r="AK76" t="s">
        <v>2548</v>
      </c>
    </row>
    <row r="77" spans="1:37" x14ac:dyDescent="0.25">
      <c r="A77">
        <f t="shared" si="25"/>
        <v>75</v>
      </c>
      <c r="B77" s="241" t="s">
        <v>1777</v>
      </c>
      <c r="D77" s="14">
        <v>45736</v>
      </c>
      <c r="E77" s="7">
        <v>60</v>
      </c>
      <c r="F77" s="7"/>
      <c r="G77" s="66"/>
      <c r="H77" s="59"/>
      <c r="I77" s="59">
        <v>955</v>
      </c>
      <c r="J77" s="47">
        <f t="shared" si="17"/>
        <v>955</v>
      </c>
      <c r="K77" s="8">
        <f t="shared" si="21"/>
        <v>895</v>
      </c>
      <c r="L77" s="96">
        <f t="shared" si="22"/>
        <v>0.93717277486910999</v>
      </c>
      <c r="M77" s="81">
        <f>2079+2400</f>
        <v>4479</v>
      </c>
      <c r="N77" s="8">
        <v>300</v>
      </c>
      <c r="O77" s="8">
        <v>60</v>
      </c>
      <c r="P77" s="96">
        <f t="shared" si="18"/>
        <v>1.0008938547486033</v>
      </c>
      <c r="Q77" s="59">
        <f t="shared" si="23"/>
        <v>4479</v>
      </c>
      <c r="R77" s="59">
        <f t="shared" si="24"/>
        <v>4479</v>
      </c>
      <c r="S77" s="65"/>
      <c r="T77" s="65"/>
      <c r="U77" s="65"/>
      <c r="V77" s="65"/>
      <c r="W77" s="65"/>
      <c r="X77" s="65"/>
      <c r="Y77" s="65"/>
      <c r="Z77" s="65"/>
      <c r="AA77" s="65"/>
      <c r="AB77" s="65"/>
      <c r="AC77" s="65"/>
      <c r="AD77" s="65"/>
      <c r="AE77" s="65">
        <f t="shared" si="14"/>
        <v>0</v>
      </c>
      <c r="AF77" s="65"/>
      <c r="AG77" s="248">
        <f t="shared" si="13"/>
        <v>0</v>
      </c>
      <c r="AH77" s="95">
        <f t="shared" si="19"/>
        <v>1</v>
      </c>
      <c r="AI77" s="97">
        <f t="shared" si="20"/>
        <v>0.93801047120418846</v>
      </c>
      <c r="AJ77" s="11" t="s">
        <v>1796</v>
      </c>
      <c r="AK77" t="s">
        <v>2548</v>
      </c>
    </row>
    <row r="78" spans="1:37" x14ac:dyDescent="0.25">
      <c r="A78">
        <f t="shared" si="25"/>
        <v>76</v>
      </c>
      <c r="B78" s="241" t="s">
        <v>1777</v>
      </c>
      <c r="D78" s="14">
        <v>45737</v>
      </c>
      <c r="E78" s="7">
        <v>60</v>
      </c>
      <c r="F78" s="7"/>
      <c r="G78" s="66"/>
      <c r="H78" s="59"/>
      <c r="I78" s="59">
        <v>955</v>
      </c>
      <c r="J78" s="47">
        <f t="shared" si="17"/>
        <v>955</v>
      </c>
      <c r="K78" s="8">
        <f t="shared" si="21"/>
        <v>895</v>
      </c>
      <c r="L78" s="96">
        <f t="shared" si="22"/>
        <v>0.93717277486910999</v>
      </c>
      <c r="M78" s="81">
        <f>2080+928</f>
        <v>3008</v>
      </c>
      <c r="N78" s="8">
        <v>300</v>
      </c>
      <c r="O78" s="8">
        <v>60</v>
      </c>
      <c r="P78" s="96">
        <f t="shared" si="18"/>
        <v>0.67217877094972067</v>
      </c>
      <c r="Q78" s="59">
        <f t="shared" si="23"/>
        <v>3008</v>
      </c>
      <c r="R78" s="59">
        <f t="shared" si="24"/>
        <v>3008</v>
      </c>
      <c r="S78" s="65"/>
      <c r="T78" s="65"/>
      <c r="U78" s="65"/>
      <c r="V78" s="65"/>
      <c r="W78" s="65"/>
      <c r="X78" s="65"/>
      <c r="Y78" s="65"/>
      <c r="Z78" s="65"/>
      <c r="AA78" s="65"/>
      <c r="AB78" s="65"/>
      <c r="AC78" s="65"/>
      <c r="AD78" s="65"/>
      <c r="AE78" s="65">
        <f t="shared" si="14"/>
        <v>0</v>
      </c>
      <c r="AF78" s="65"/>
      <c r="AG78" s="248">
        <f t="shared" si="13"/>
        <v>0</v>
      </c>
      <c r="AH78" s="95">
        <f t="shared" si="19"/>
        <v>1</v>
      </c>
      <c r="AI78" s="97">
        <f t="shared" si="20"/>
        <v>0.62994764397905767</v>
      </c>
      <c r="AJ78" s="11" t="s">
        <v>1796</v>
      </c>
      <c r="AK78" t="s">
        <v>2548</v>
      </c>
    </row>
    <row r="79" spans="1:37" x14ac:dyDescent="0.25">
      <c r="A79">
        <f t="shared" si="25"/>
        <v>77</v>
      </c>
      <c r="B79" s="241" t="s">
        <v>1777</v>
      </c>
      <c r="D79" s="14">
        <v>45738</v>
      </c>
      <c r="E79" s="7"/>
      <c r="F79" s="7"/>
      <c r="G79" s="66"/>
      <c r="H79" s="59"/>
      <c r="I79" s="59"/>
      <c r="J79" s="47">
        <f t="shared" si="17"/>
        <v>0</v>
      </c>
      <c r="K79" s="8">
        <f t="shared" si="21"/>
        <v>0</v>
      </c>
      <c r="L79" s="96" t="str">
        <f t="shared" si="22"/>
        <v/>
      </c>
      <c r="M79" s="81"/>
      <c r="N79" s="8">
        <v>300</v>
      </c>
      <c r="O79" s="8">
        <v>60</v>
      </c>
      <c r="P79" s="96" t="str">
        <f t="shared" si="18"/>
        <v/>
      </c>
      <c r="Q79" s="59">
        <f t="shared" si="23"/>
        <v>0</v>
      </c>
      <c r="R79" s="59">
        <f t="shared" si="24"/>
        <v>0</v>
      </c>
      <c r="S79" s="65"/>
      <c r="T79" s="65"/>
      <c r="U79" s="65"/>
      <c r="V79" s="65"/>
      <c r="W79" s="65"/>
      <c r="X79" s="65"/>
      <c r="Y79" s="65"/>
      <c r="Z79" s="65"/>
      <c r="AA79" s="65"/>
      <c r="AB79" s="65"/>
      <c r="AC79" s="65"/>
      <c r="AD79" s="65"/>
      <c r="AE79" s="65">
        <f t="shared" si="14"/>
        <v>0</v>
      </c>
      <c r="AF79" s="65"/>
      <c r="AG79" s="248">
        <f t="shared" si="13"/>
        <v>0</v>
      </c>
      <c r="AH79" s="95" t="str">
        <f t="shared" si="19"/>
        <v/>
      </c>
      <c r="AI79" s="97" t="str">
        <f t="shared" si="20"/>
        <v/>
      </c>
      <c r="AJ79" s="11"/>
    </row>
    <row r="80" spans="1:37" x14ac:dyDescent="0.25">
      <c r="A80">
        <f t="shared" si="25"/>
        <v>78</v>
      </c>
      <c r="B80" s="241" t="s">
        <v>1777</v>
      </c>
      <c r="D80" s="14">
        <v>45739</v>
      </c>
      <c r="E80" s="7"/>
      <c r="F80" s="7"/>
      <c r="G80" s="66"/>
      <c r="H80" s="59"/>
      <c r="I80" s="59"/>
      <c r="J80" s="47">
        <f t="shared" si="17"/>
        <v>0</v>
      </c>
      <c r="K80" s="8">
        <f t="shared" si="21"/>
        <v>0</v>
      </c>
      <c r="L80" s="96" t="str">
        <f t="shared" si="22"/>
        <v/>
      </c>
      <c r="M80" s="81"/>
      <c r="N80" s="8">
        <v>300</v>
      </c>
      <c r="O80" s="8">
        <v>60</v>
      </c>
      <c r="P80" s="96" t="str">
        <f t="shared" si="18"/>
        <v/>
      </c>
      <c r="Q80" s="59">
        <f t="shared" si="23"/>
        <v>0</v>
      </c>
      <c r="R80" s="59">
        <f t="shared" si="24"/>
        <v>0</v>
      </c>
      <c r="S80" s="65"/>
      <c r="T80" s="65"/>
      <c r="U80" s="65"/>
      <c r="V80" s="65"/>
      <c r="W80" s="65"/>
      <c r="X80" s="65"/>
      <c r="Y80" s="65"/>
      <c r="Z80" s="65"/>
      <c r="AA80" s="65"/>
      <c r="AB80" s="65"/>
      <c r="AC80" s="65"/>
      <c r="AD80" s="65"/>
      <c r="AE80" s="65">
        <f t="shared" si="14"/>
        <v>0</v>
      </c>
      <c r="AF80" s="65"/>
      <c r="AG80" s="248">
        <f t="shared" ref="AG80:AG121" si="26">AE80</f>
        <v>0</v>
      </c>
      <c r="AH80" s="95" t="str">
        <f t="shared" si="19"/>
        <v/>
      </c>
      <c r="AI80" s="97" t="str">
        <f t="shared" si="20"/>
        <v/>
      </c>
      <c r="AJ80" s="11"/>
    </row>
    <row r="81" spans="1:37" x14ac:dyDescent="0.25">
      <c r="A81">
        <f t="shared" si="25"/>
        <v>79</v>
      </c>
      <c r="B81" s="241" t="s">
        <v>1777</v>
      </c>
      <c r="C81">
        <v>1</v>
      </c>
      <c r="D81" s="14">
        <v>45740</v>
      </c>
      <c r="E81" s="7"/>
      <c r="F81" s="7"/>
      <c r="G81" s="66"/>
      <c r="H81" s="59"/>
      <c r="I81" s="59"/>
      <c r="J81" s="47">
        <f t="shared" si="17"/>
        <v>0</v>
      </c>
      <c r="K81" s="8">
        <f t="shared" si="21"/>
        <v>0</v>
      </c>
      <c r="L81" s="96" t="str">
        <f t="shared" si="22"/>
        <v/>
      </c>
      <c r="M81" s="81"/>
      <c r="N81" s="8">
        <v>300</v>
      </c>
      <c r="O81" s="8">
        <v>60</v>
      </c>
      <c r="P81" s="96" t="str">
        <f t="shared" si="18"/>
        <v/>
      </c>
      <c r="Q81" s="59">
        <f t="shared" si="23"/>
        <v>0</v>
      </c>
      <c r="R81" s="59">
        <f t="shared" si="24"/>
        <v>0</v>
      </c>
      <c r="S81" s="65"/>
      <c r="T81" s="65"/>
      <c r="U81" s="65"/>
      <c r="V81" s="65"/>
      <c r="W81" s="65"/>
      <c r="X81" s="65"/>
      <c r="Y81" s="65"/>
      <c r="Z81" s="65"/>
      <c r="AA81" s="65"/>
      <c r="AB81" s="65"/>
      <c r="AC81" s="65"/>
      <c r="AD81" s="65"/>
      <c r="AE81" s="65">
        <f t="shared" si="14"/>
        <v>0</v>
      </c>
      <c r="AF81" s="65"/>
      <c r="AG81" s="248">
        <f t="shared" si="26"/>
        <v>0</v>
      </c>
      <c r="AH81" s="95" t="str">
        <f t="shared" si="19"/>
        <v/>
      </c>
      <c r="AI81" s="97" t="str">
        <f t="shared" si="20"/>
        <v/>
      </c>
      <c r="AJ81" s="11"/>
    </row>
    <row r="82" spans="1:37" x14ac:dyDescent="0.25">
      <c r="A82">
        <f t="shared" si="25"/>
        <v>80</v>
      </c>
      <c r="B82" s="241" t="s">
        <v>1777</v>
      </c>
      <c r="C82">
        <v>1</v>
      </c>
      <c r="D82" s="14">
        <v>45741</v>
      </c>
      <c r="E82" s="7">
        <v>60</v>
      </c>
      <c r="F82" s="7">
        <v>60</v>
      </c>
      <c r="G82" s="66"/>
      <c r="H82" s="59"/>
      <c r="I82" s="59">
        <v>510</v>
      </c>
      <c r="J82" s="47">
        <f t="shared" si="17"/>
        <v>510</v>
      </c>
      <c r="K82" s="8">
        <f t="shared" si="21"/>
        <v>390</v>
      </c>
      <c r="L82" s="96">
        <f t="shared" si="22"/>
        <v>0.76470588235294112</v>
      </c>
      <c r="M82" s="81">
        <v>2500</v>
      </c>
      <c r="N82" s="8">
        <v>300</v>
      </c>
      <c r="O82" s="8">
        <v>60</v>
      </c>
      <c r="P82" s="96">
        <f t="shared" si="18"/>
        <v>1.2820512820512822</v>
      </c>
      <c r="Q82" s="59">
        <f t="shared" si="23"/>
        <v>2500</v>
      </c>
      <c r="R82" s="59">
        <f t="shared" si="24"/>
        <v>2515</v>
      </c>
      <c r="S82" s="65"/>
      <c r="T82" s="65"/>
      <c r="U82" s="65"/>
      <c r="V82" s="65"/>
      <c r="W82" s="65">
        <v>15</v>
      </c>
      <c r="X82" s="65"/>
      <c r="Y82" s="65"/>
      <c r="Z82" s="65"/>
      <c r="AA82" s="65"/>
      <c r="AB82" s="65"/>
      <c r="AC82" s="65"/>
      <c r="AD82" s="65"/>
      <c r="AE82" s="65">
        <f t="shared" si="14"/>
        <v>15</v>
      </c>
      <c r="AF82" s="65"/>
      <c r="AG82" s="248">
        <f t="shared" si="26"/>
        <v>15</v>
      </c>
      <c r="AH82" s="95">
        <f t="shared" si="19"/>
        <v>0.99403578528827041</v>
      </c>
      <c r="AI82" s="97">
        <f t="shared" si="20"/>
        <v>0.97454488753752011</v>
      </c>
      <c r="AJ82" s="11" t="s">
        <v>2524</v>
      </c>
    </row>
    <row r="83" spans="1:37" x14ac:dyDescent="0.25">
      <c r="A83">
        <f t="shared" si="25"/>
        <v>81</v>
      </c>
      <c r="B83" s="241" t="s">
        <v>1777</v>
      </c>
      <c r="D83" s="14">
        <v>45742</v>
      </c>
      <c r="E83" s="7">
        <v>60</v>
      </c>
      <c r="F83" s="7"/>
      <c r="G83" s="66"/>
      <c r="H83" s="59"/>
      <c r="I83" s="59">
        <v>510</v>
      </c>
      <c r="J83" s="47">
        <f t="shared" si="17"/>
        <v>510</v>
      </c>
      <c r="K83" s="8">
        <f t="shared" si="21"/>
        <v>450</v>
      </c>
      <c r="L83" s="96">
        <f t="shared" si="22"/>
        <v>0.88235294117647056</v>
      </c>
      <c r="M83" s="81">
        <v>2027</v>
      </c>
      <c r="N83" s="8">
        <v>300</v>
      </c>
      <c r="O83" s="8">
        <v>60</v>
      </c>
      <c r="P83" s="96">
        <f t="shared" si="18"/>
        <v>0.90088888888888896</v>
      </c>
      <c r="Q83" s="59">
        <f t="shared" si="23"/>
        <v>2027</v>
      </c>
      <c r="R83" s="59">
        <f t="shared" si="24"/>
        <v>2042</v>
      </c>
      <c r="S83" s="65"/>
      <c r="T83" s="65"/>
      <c r="U83" s="65"/>
      <c r="V83" s="65"/>
      <c r="W83" s="65">
        <v>15</v>
      </c>
      <c r="X83" s="65"/>
      <c r="Y83" s="65"/>
      <c r="Z83" s="65"/>
      <c r="AA83" s="65"/>
      <c r="AB83" s="65"/>
      <c r="AC83" s="65"/>
      <c r="AD83" s="65"/>
      <c r="AE83" s="65">
        <f t="shared" si="14"/>
        <v>15</v>
      </c>
      <c r="AF83" s="65"/>
      <c r="AG83" s="248">
        <f t="shared" si="26"/>
        <v>15</v>
      </c>
      <c r="AH83" s="95">
        <f t="shared" si="19"/>
        <v>0.99265426052889327</v>
      </c>
      <c r="AI83" s="97">
        <f t="shared" si="20"/>
        <v>0.7890628180753203</v>
      </c>
      <c r="AJ83" s="11" t="s">
        <v>2524</v>
      </c>
    </row>
    <row r="84" spans="1:37" x14ac:dyDescent="0.25">
      <c r="A84">
        <f t="shared" si="25"/>
        <v>82</v>
      </c>
      <c r="B84" s="241" t="s">
        <v>1777</v>
      </c>
      <c r="D84" s="14">
        <v>45743</v>
      </c>
      <c r="E84" s="7">
        <v>60</v>
      </c>
      <c r="F84" s="7"/>
      <c r="G84" s="66"/>
      <c r="H84" s="59"/>
      <c r="I84" s="59">
        <v>955</v>
      </c>
      <c r="J84" s="47">
        <f t="shared" si="17"/>
        <v>955</v>
      </c>
      <c r="K84" s="8">
        <f t="shared" si="21"/>
        <v>895</v>
      </c>
      <c r="L84" s="96">
        <f t="shared" si="22"/>
        <v>0.93717277486910999</v>
      </c>
      <c r="M84" s="81">
        <f>2906+2400</f>
        <v>5306</v>
      </c>
      <c r="N84" s="8">
        <v>300</v>
      </c>
      <c r="O84" s="8">
        <v>60</v>
      </c>
      <c r="P84" s="96">
        <f t="shared" si="18"/>
        <v>1.1856983240223464</v>
      </c>
      <c r="Q84" s="59">
        <f t="shared" si="23"/>
        <v>5306</v>
      </c>
      <c r="R84" s="59">
        <f t="shared" si="24"/>
        <v>5336</v>
      </c>
      <c r="S84" s="65"/>
      <c r="T84" s="65"/>
      <c r="U84" s="65"/>
      <c r="V84" s="65"/>
      <c r="W84" s="65">
        <v>30</v>
      </c>
      <c r="X84" s="65"/>
      <c r="Y84" s="65"/>
      <c r="Z84" s="65"/>
      <c r="AA84" s="65"/>
      <c r="AB84" s="65"/>
      <c r="AC84" s="65"/>
      <c r="AD84" s="65"/>
      <c r="AE84" s="65">
        <f t="shared" si="14"/>
        <v>30</v>
      </c>
      <c r="AF84" s="65"/>
      <c r="AG84" s="248">
        <f t="shared" si="26"/>
        <v>30</v>
      </c>
      <c r="AH84" s="95">
        <f t="shared" si="19"/>
        <v>0.99437781109445278</v>
      </c>
      <c r="AI84" s="97">
        <f t="shared" si="20"/>
        <v>1.1049567886213962</v>
      </c>
      <c r="AJ84" s="11" t="s">
        <v>2524</v>
      </c>
      <c r="AK84">
        <v>461</v>
      </c>
    </row>
    <row r="85" spans="1:37" x14ac:dyDescent="0.25">
      <c r="A85">
        <f t="shared" si="25"/>
        <v>83</v>
      </c>
      <c r="B85" s="241" t="s">
        <v>1777</v>
      </c>
      <c r="D85" s="14">
        <v>45744</v>
      </c>
      <c r="E85" s="7">
        <v>60</v>
      </c>
      <c r="F85" s="7"/>
      <c r="G85" s="66"/>
      <c r="H85" s="59"/>
      <c r="I85" s="59">
        <v>955</v>
      </c>
      <c r="J85" s="47">
        <f t="shared" si="17"/>
        <v>955</v>
      </c>
      <c r="K85" s="8">
        <f t="shared" si="21"/>
        <v>895</v>
      </c>
      <c r="L85" s="96">
        <f t="shared" si="22"/>
        <v>0.93717277486910999</v>
      </c>
      <c r="M85" s="81">
        <f>1900+1770</f>
        <v>3670</v>
      </c>
      <c r="N85" s="8">
        <v>300</v>
      </c>
      <c r="O85" s="8">
        <v>60</v>
      </c>
      <c r="P85" s="96">
        <f t="shared" si="18"/>
        <v>0.82011173184357544</v>
      </c>
      <c r="Q85" s="59">
        <f t="shared" si="23"/>
        <v>3670</v>
      </c>
      <c r="R85" s="59">
        <f t="shared" si="24"/>
        <v>3685</v>
      </c>
      <c r="S85" s="65"/>
      <c r="T85" s="65"/>
      <c r="U85" s="65"/>
      <c r="V85" s="65"/>
      <c r="W85" s="65">
        <v>15</v>
      </c>
      <c r="X85" s="65"/>
      <c r="Y85" s="65"/>
      <c r="Z85" s="65"/>
      <c r="AA85" s="65"/>
      <c r="AB85" s="65"/>
      <c r="AC85" s="65"/>
      <c r="AD85" s="65"/>
      <c r="AE85" s="65">
        <f t="shared" si="14"/>
        <v>15</v>
      </c>
      <c r="AF85" s="65"/>
      <c r="AG85" s="248">
        <f t="shared" si="26"/>
        <v>15</v>
      </c>
      <c r="AH85" s="95">
        <f t="shared" si="19"/>
        <v>0.99592944369063774</v>
      </c>
      <c r="AI85" s="97">
        <f t="shared" si="20"/>
        <v>0.76545781326589335</v>
      </c>
      <c r="AJ85" s="11" t="s">
        <v>2501</v>
      </c>
      <c r="AK85">
        <v>461</v>
      </c>
    </row>
    <row r="86" spans="1:37" x14ac:dyDescent="0.25">
      <c r="A86">
        <f t="shared" si="25"/>
        <v>84</v>
      </c>
      <c r="B86" s="241" t="s">
        <v>1777</v>
      </c>
      <c r="D86" s="14">
        <v>45747</v>
      </c>
      <c r="E86" s="7">
        <v>60</v>
      </c>
      <c r="F86" s="7"/>
      <c r="G86" s="66"/>
      <c r="H86" s="59"/>
      <c r="I86" s="59">
        <v>955</v>
      </c>
      <c r="J86" s="47">
        <f t="shared" si="17"/>
        <v>955</v>
      </c>
      <c r="K86" s="8">
        <f t="shared" si="21"/>
        <v>895</v>
      </c>
      <c r="L86" s="96">
        <f t="shared" si="22"/>
        <v>0.93717277486910999</v>
      </c>
      <c r="M86" s="81">
        <f>1250</f>
        <v>1250</v>
      </c>
      <c r="N86" s="8">
        <v>300</v>
      </c>
      <c r="O86" s="8">
        <v>60</v>
      </c>
      <c r="P86" s="96">
        <f t="shared" si="18"/>
        <v>0.27932960893854752</v>
      </c>
      <c r="Q86" s="59">
        <f t="shared" si="23"/>
        <v>1250</v>
      </c>
      <c r="R86" s="59">
        <f t="shared" si="24"/>
        <v>1258</v>
      </c>
      <c r="S86" s="65"/>
      <c r="T86" s="65"/>
      <c r="U86" s="65"/>
      <c r="V86" s="65"/>
      <c r="W86" s="65">
        <v>8</v>
      </c>
      <c r="X86" s="65"/>
      <c r="Y86" s="65"/>
      <c r="Z86" s="65"/>
      <c r="AA86" s="65"/>
      <c r="AB86" s="65"/>
      <c r="AC86" s="65"/>
      <c r="AD86" s="65"/>
      <c r="AE86" s="65">
        <f t="shared" si="14"/>
        <v>8</v>
      </c>
      <c r="AF86" s="65"/>
      <c r="AG86" s="248">
        <f t="shared" si="26"/>
        <v>8</v>
      </c>
      <c r="AH86" s="95">
        <f t="shared" si="19"/>
        <v>0.99364069952305245</v>
      </c>
      <c r="AI86" s="97">
        <f t="shared" si="20"/>
        <v>0.26011536636729127</v>
      </c>
      <c r="AJ86" s="11" t="s">
        <v>1796</v>
      </c>
    </row>
    <row r="87" spans="1:37" x14ac:dyDescent="0.25">
      <c r="A87">
        <f t="shared" si="25"/>
        <v>85</v>
      </c>
      <c r="B87" s="241" t="s">
        <v>1777</v>
      </c>
      <c r="D87" s="14">
        <v>45748</v>
      </c>
      <c r="E87" s="7">
        <v>60</v>
      </c>
      <c r="F87" s="7"/>
      <c r="G87" s="66"/>
      <c r="H87" s="59"/>
      <c r="I87" s="59">
        <v>955</v>
      </c>
      <c r="J87" s="47">
        <f t="shared" si="17"/>
        <v>955</v>
      </c>
      <c r="K87" s="8">
        <f t="shared" si="21"/>
        <v>895</v>
      </c>
      <c r="L87" s="96">
        <f t="shared" si="22"/>
        <v>0.93717277486910999</v>
      </c>
      <c r="M87" s="81">
        <f>1900+2000</f>
        <v>3900</v>
      </c>
      <c r="N87" s="8">
        <v>300</v>
      </c>
      <c r="O87" s="8">
        <v>60</v>
      </c>
      <c r="P87" s="96">
        <f t="shared" si="18"/>
        <v>0.87150837988826813</v>
      </c>
      <c r="Q87" s="59">
        <f t="shared" si="23"/>
        <v>3900</v>
      </c>
      <c r="R87" s="59">
        <f t="shared" si="24"/>
        <v>3922</v>
      </c>
      <c r="S87" s="65"/>
      <c r="T87" s="65"/>
      <c r="U87" s="65"/>
      <c r="V87" s="65"/>
      <c r="W87" s="65">
        <f>11+11</f>
        <v>22</v>
      </c>
      <c r="X87" s="65"/>
      <c r="Y87" s="65"/>
      <c r="Z87" s="65"/>
      <c r="AA87" s="65"/>
      <c r="AB87" s="65"/>
      <c r="AC87" s="65"/>
      <c r="AD87" s="65"/>
      <c r="AE87" s="65">
        <f t="shared" si="14"/>
        <v>22</v>
      </c>
      <c r="AF87" s="65"/>
      <c r="AG87" s="248">
        <f t="shared" si="26"/>
        <v>22</v>
      </c>
      <c r="AH87" s="95">
        <f t="shared" si="19"/>
        <v>0.9943906170321265</v>
      </c>
      <c r="AI87" s="97">
        <f t="shared" si="20"/>
        <v>0.81217244113618714</v>
      </c>
      <c r="AJ87" s="11" t="s">
        <v>1796</v>
      </c>
      <c r="AK87" t="s">
        <v>2548</v>
      </c>
    </row>
    <row r="88" spans="1:37" x14ac:dyDescent="0.25">
      <c r="A88">
        <f t="shared" si="25"/>
        <v>86</v>
      </c>
      <c r="B88" s="241" t="s">
        <v>1777</v>
      </c>
      <c r="D88" s="14">
        <v>45749</v>
      </c>
      <c r="E88" s="7">
        <v>60</v>
      </c>
      <c r="F88" s="7"/>
      <c r="G88" s="66"/>
      <c r="H88" s="59"/>
      <c r="I88" s="59">
        <f>510+120</f>
        <v>630</v>
      </c>
      <c r="J88" s="47">
        <f t="shared" si="17"/>
        <v>630</v>
      </c>
      <c r="K88" s="8">
        <f t="shared" si="21"/>
        <v>570</v>
      </c>
      <c r="L88" s="96">
        <f t="shared" si="22"/>
        <v>0.90476190476190477</v>
      </c>
      <c r="M88" s="81">
        <f>501+2450</f>
        <v>2951</v>
      </c>
      <c r="N88" s="8">
        <v>300</v>
      </c>
      <c r="O88" s="8">
        <v>60</v>
      </c>
      <c r="P88" s="96">
        <f t="shared" si="18"/>
        <v>1.035438596491228</v>
      </c>
      <c r="Q88" s="59">
        <f t="shared" si="23"/>
        <v>2951</v>
      </c>
      <c r="R88" s="59">
        <f t="shared" si="24"/>
        <v>2970</v>
      </c>
      <c r="S88" s="65"/>
      <c r="T88" s="65"/>
      <c r="U88" s="65"/>
      <c r="V88" s="65"/>
      <c r="W88" s="65">
        <f>14+5</f>
        <v>19</v>
      </c>
      <c r="X88" s="65"/>
      <c r="Y88" s="65"/>
      <c r="Z88" s="65"/>
      <c r="AA88" s="65"/>
      <c r="AB88" s="65"/>
      <c r="AC88" s="65"/>
      <c r="AD88" s="65"/>
      <c r="AE88" s="65">
        <f t="shared" si="14"/>
        <v>19</v>
      </c>
      <c r="AF88" s="65"/>
      <c r="AG88" s="248">
        <f t="shared" si="26"/>
        <v>19</v>
      </c>
      <c r="AH88" s="95">
        <f t="shared" si="19"/>
        <v>0.9936026936026936</v>
      </c>
      <c r="AI88" s="97">
        <f t="shared" si="20"/>
        <v>0.93083223772112655</v>
      </c>
      <c r="AJ88" s="11" t="s">
        <v>1796</v>
      </c>
    </row>
    <row r="89" spans="1:37" x14ac:dyDescent="0.25">
      <c r="A89">
        <f t="shared" si="25"/>
        <v>87</v>
      </c>
      <c r="B89" s="241" t="s">
        <v>2551</v>
      </c>
      <c r="D89" s="14">
        <v>45750</v>
      </c>
      <c r="E89" s="7">
        <v>60</v>
      </c>
      <c r="F89" s="7">
        <v>60</v>
      </c>
      <c r="G89" s="66"/>
      <c r="H89" s="59"/>
      <c r="I89" s="59">
        <v>955</v>
      </c>
      <c r="J89" s="47">
        <f t="shared" si="17"/>
        <v>955</v>
      </c>
      <c r="K89" s="8">
        <f t="shared" si="21"/>
        <v>835</v>
      </c>
      <c r="L89" s="96">
        <f t="shared" si="22"/>
        <v>0.87434554973821987</v>
      </c>
      <c r="M89" s="81">
        <f>653+1170+2100</f>
        <v>3923</v>
      </c>
      <c r="N89" s="8">
        <v>300</v>
      </c>
      <c r="O89" s="8">
        <v>60</v>
      </c>
      <c r="P89" s="96">
        <f t="shared" si="18"/>
        <v>0.93964071856287423</v>
      </c>
      <c r="Q89" s="59">
        <f t="shared" si="23"/>
        <v>3923</v>
      </c>
      <c r="R89" s="59">
        <f t="shared" si="24"/>
        <v>3933</v>
      </c>
      <c r="S89" s="65"/>
      <c r="T89" s="65"/>
      <c r="U89" s="65"/>
      <c r="V89" s="65"/>
      <c r="W89" s="65">
        <v>10</v>
      </c>
      <c r="X89" s="65"/>
      <c r="Y89" s="65"/>
      <c r="Z89" s="65"/>
      <c r="AA89" s="65"/>
      <c r="AB89" s="65"/>
      <c r="AC89" s="65"/>
      <c r="AD89" s="65"/>
      <c r="AE89" s="65">
        <f t="shared" si="14"/>
        <v>10</v>
      </c>
      <c r="AF89" s="65"/>
      <c r="AG89" s="248">
        <f t="shared" si="26"/>
        <v>10</v>
      </c>
      <c r="AH89" s="95">
        <f t="shared" si="19"/>
        <v>0.99745741164505464</v>
      </c>
      <c r="AI89" s="97">
        <f t="shared" si="20"/>
        <v>0.8194817645829422</v>
      </c>
      <c r="AJ89" s="11" t="s">
        <v>2524</v>
      </c>
      <c r="AK89" t="s">
        <v>2521</v>
      </c>
    </row>
    <row r="90" spans="1:37" x14ac:dyDescent="0.25">
      <c r="A90">
        <f t="shared" si="25"/>
        <v>88</v>
      </c>
      <c r="B90" s="241" t="s">
        <v>1777</v>
      </c>
      <c r="D90" s="14">
        <v>45754</v>
      </c>
      <c r="E90" s="7"/>
      <c r="F90" s="7"/>
      <c r="G90" s="66"/>
      <c r="H90" s="59"/>
      <c r="I90" s="59"/>
      <c r="J90" s="47">
        <f t="shared" si="17"/>
        <v>0</v>
      </c>
      <c r="K90" s="8">
        <f t="shared" si="21"/>
        <v>0</v>
      </c>
      <c r="L90" s="96" t="str">
        <f t="shared" si="22"/>
        <v/>
      </c>
      <c r="M90" s="81"/>
      <c r="N90" s="8">
        <v>300</v>
      </c>
      <c r="O90" s="8">
        <v>60</v>
      </c>
      <c r="P90" s="96" t="str">
        <f t="shared" si="18"/>
        <v/>
      </c>
      <c r="Q90" s="59">
        <f t="shared" si="23"/>
        <v>0</v>
      </c>
      <c r="R90" s="59">
        <f t="shared" si="24"/>
        <v>0</v>
      </c>
      <c r="S90" s="65"/>
      <c r="T90" s="65"/>
      <c r="U90" s="65"/>
      <c r="V90" s="65"/>
      <c r="W90" s="65"/>
      <c r="X90" s="65"/>
      <c r="Y90" s="65"/>
      <c r="Z90" s="65"/>
      <c r="AA90" s="65"/>
      <c r="AB90" s="65"/>
      <c r="AC90" s="65"/>
      <c r="AD90" s="65"/>
      <c r="AE90" s="65">
        <f t="shared" si="14"/>
        <v>0</v>
      </c>
      <c r="AF90" s="65"/>
      <c r="AG90" s="248">
        <f t="shared" si="26"/>
        <v>0</v>
      </c>
      <c r="AH90" s="95" t="str">
        <f t="shared" si="19"/>
        <v/>
      </c>
      <c r="AI90" s="97" t="str">
        <f t="shared" si="20"/>
        <v/>
      </c>
      <c r="AJ90" s="11"/>
    </row>
    <row r="91" spans="1:37" x14ac:dyDescent="0.25">
      <c r="A91">
        <f t="shared" si="25"/>
        <v>89</v>
      </c>
      <c r="B91" s="241" t="s">
        <v>1777</v>
      </c>
      <c r="D91" s="14">
        <v>45755</v>
      </c>
      <c r="E91" s="7">
        <v>30</v>
      </c>
      <c r="F91" s="7"/>
      <c r="G91" s="66"/>
      <c r="H91" s="59"/>
      <c r="I91" s="59">
        <f>60*5</f>
        <v>300</v>
      </c>
      <c r="J91" s="47">
        <f t="shared" si="17"/>
        <v>300</v>
      </c>
      <c r="K91" s="8">
        <f t="shared" si="21"/>
        <v>270</v>
      </c>
      <c r="L91" s="96">
        <f t="shared" si="22"/>
        <v>0.9</v>
      </c>
      <c r="M91" s="81">
        <v>1101</v>
      </c>
      <c r="N91" s="8">
        <v>300</v>
      </c>
      <c r="O91" s="8">
        <v>60</v>
      </c>
      <c r="P91" s="96">
        <f t="shared" si="18"/>
        <v>0.81555555555555548</v>
      </c>
      <c r="Q91" s="59">
        <f t="shared" si="23"/>
        <v>1101</v>
      </c>
      <c r="R91" s="59">
        <f t="shared" si="24"/>
        <v>1101</v>
      </c>
      <c r="S91" s="65"/>
      <c r="T91" s="65"/>
      <c r="U91" s="65"/>
      <c r="V91" s="65"/>
      <c r="W91" s="65"/>
      <c r="X91" s="65"/>
      <c r="Y91" s="65"/>
      <c r="Z91" s="65"/>
      <c r="AA91" s="65"/>
      <c r="AB91" s="65"/>
      <c r="AC91" s="65"/>
      <c r="AD91" s="65"/>
      <c r="AE91" s="65">
        <f t="shared" si="14"/>
        <v>0</v>
      </c>
      <c r="AF91" s="65"/>
      <c r="AG91" s="248">
        <f t="shared" si="26"/>
        <v>0</v>
      </c>
      <c r="AH91" s="95">
        <f t="shared" si="19"/>
        <v>1</v>
      </c>
      <c r="AI91" s="97">
        <f t="shared" si="20"/>
        <v>0.73399999999999999</v>
      </c>
      <c r="AJ91" s="11" t="s">
        <v>2536</v>
      </c>
    </row>
    <row r="92" spans="1:37" x14ac:dyDescent="0.25">
      <c r="A92">
        <f t="shared" si="25"/>
        <v>90</v>
      </c>
      <c r="B92" s="241" t="s">
        <v>1777</v>
      </c>
      <c r="D92" s="14">
        <v>45756</v>
      </c>
      <c r="E92" s="7">
        <v>30</v>
      </c>
      <c r="F92" s="7"/>
      <c r="G92" s="66"/>
      <c r="H92" s="59"/>
      <c r="I92" s="59">
        <v>540</v>
      </c>
      <c r="J92" s="47">
        <f t="shared" si="17"/>
        <v>540</v>
      </c>
      <c r="K92" s="8">
        <f t="shared" si="21"/>
        <v>510</v>
      </c>
      <c r="L92" s="96">
        <f t="shared" si="22"/>
        <v>0.94444444444444442</v>
      </c>
      <c r="M92" s="81">
        <v>2200</v>
      </c>
      <c r="N92" s="8">
        <v>300</v>
      </c>
      <c r="O92" s="8">
        <v>60</v>
      </c>
      <c r="P92" s="96">
        <f t="shared" si="18"/>
        <v>0.86274509803921573</v>
      </c>
      <c r="Q92" s="59">
        <f t="shared" si="23"/>
        <v>2200</v>
      </c>
      <c r="R92" s="59">
        <f t="shared" si="24"/>
        <v>2200</v>
      </c>
      <c r="S92" s="65"/>
      <c r="T92" s="65"/>
      <c r="U92" s="65"/>
      <c r="V92" s="65"/>
      <c r="W92" s="65"/>
      <c r="X92" s="65"/>
      <c r="Y92" s="65"/>
      <c r="Z92" s="65"/>
      <c r="AA92" s="65"/>
      <c r="AB92" s="65"/>
      <c r="AC92" s="65"/>
      <c r="AD92" s="65"/>
      <c r="AE92" s="65">
        <f t="shared" si="14"/>
        <v>0</v>
      </c>
      <c r="AF92" s="65"/>
      <c r="AG92" s="248">
        <f t="shared" si="26"/>
        <v>0</v>
      </c>
      <c r="AH92" s="95">
        <f t="shared" si="19"/>
        <v>1</v>
      </c>
      <c r="AI92" s="97">
        <f t="shared" si="20"/>
        <v>0.81481481481481488</v>
      </c>
      <c r="AJ92" s="11">
        <v>464</v>
      </c>
    </row>
    <row r="93" spans="1:37" x14ac:dyDescent="0.25">
      <c r="A93">
        <f t="shared" si="25"/>
        <v>91</v>
      </c>
      <c r="B93" s="241" t="s">
        <v>1777</v>
      </c>
      <c r="D93" s="14">
        <v>45757</v>
      </c>
      <c r="E93" s="7">
        <v>30</v>
      </c>
      <c r="F93" s="7"/>
      <c r="G93" s="66"/>
      <c r="H93" s="59"/>
      <c r="I93" s="59">
        <v>540</v>
      </c>
      <c r="J93" s="47">
        <f t="shared" si="17"/>
        <v>540</v>
      </c>
      <c r="K93" s="8">
        <f t="shared" si="21"/>
        <v>510</v>
      </c>
      <c r="L93" s="96">
        <f t="shared" si="22"/>
        <v>0.94444444444444442</v>
      </c>
      <c r="M93" s="81">
        <v>2350</v>
      </c>
      <c r="N93" s="8">
        <v>300</v>
      </c>
      <c r="O93" s="8">
        <v>60</v>
      </c>
      <c r="P93" s="96">
        <f t="shared" si="18"/>
        <v>0.92156862745098034</v>
      </c>
      <c r="Q93" s="59">
        <f t="shared" si="23"/>
        <v>2350</v>
      </c>
      <c r="R93" s="59">
        <f t="shared" si="24"/>
        <v>2350</v>
      </c>
      <c r="S93" s="65"/>
      <c r="T93" s="65"/>
      <c r="U93" s="65"/>
      <c r="V93" s="65"/>
      <c r="W93" s="65"/>
      <c r="X93" s="65"/>
      <c r="Y93" s="65"/>
      <c r="Z93" s="65"/>
      <c r="AA93" s="65"/>
      <c r="AB93" s="65"/>
      <c r="AC93" s="65"/>
      <c r="AD93" s="65"/>
      <c r="AE93" s="65">
        <f t="shared" si="14"/>
        <v>0</v>
      </c>
      <c r="AF93" s="65"/>
      <c r="AG93" s="248">
        <f t="shared" si="26"/>
        <v>0</v>
      </c>
      <c r="AH93" s="95">
        <f t="shared" si="19"/>
        <v>1</v>
      </c>
      <c r="AI93" s="97">
        <f t="shared" si="20"/>
        <v>0.87037037037037035</v>
      </c>
      <c r="AJ93" s="11" t="s">
        <v>2501</v>
      </c>
    </row>
    <row r="94" spans="1:37" x14ac:dyDescent="0.25">
      <c r="A94">
        <f t="shared" si="25"/>
        <v>92</v>
      </c>
      <c r="B94" s="241" t="s">
        <v>1777</v>
      </c>
      <c r="D94" s="14">
        <v>45758</v>
      </c>
      <c r="E94" s="7">
        <v>30</v>
      </c>
      <c r="F94" s="7"/>
      <c r="G94" s="66"/>
      <c r="H94" s="59"/>
      <c r="I94" s="59">
        <f>60*9</f>
        <v>540</v>
      </c>
      <c r="J94" s="47">
        <f t="shared" si="17"/>
        <v>540</v>
      </c>
      <c r="K94" s="8">
        <f t="shared" si="21"/>
        <v>510</v>
      </c>
      <c r="L94" s="96">
        <f t="shared" si="22"/>
        <v>0.94444444444444442</v>
      </c>
      <c r="M94" s="81">
        <v>2231</v>
      </c>
      <c r="N94" s="8">
        <v>300</v>
      </c>
      <c r="O94" s="8">
        <v>60</v>
      </c>
      <c r="P94" s="96">
        <f t="shared" si="18"/>
        <v>0.8749019607843137</v>
      </c>
      <c r="Q94" s="59">
        <f t="shared" si="23"/>
        <v>2231</v>
      </c>
      <c r="R94" s="59">
        <f t="shared" si="24"/>
        <v>2231</v>
      </c>
      <c r="S94" s="65"/>
      <c r="T94" s="65"/>
      <c r="U94" s="65"/>
      <c r="V94" s="65"/>
      <c r="W94" s="65"/>
      <c r="X94" s="65"/>
      <c r="Y94" s="65"/>
      <c r="Z94" s="65"/>
      <c r="AA94" s="65"/>
      <c r="AB94" s="65"/>
      <c r="AC94" s="65"/>
      <c r="AD94" s="65"/>
      <c r="AE94" s="65">
        <f t="shared" si="14"/>
        <v>0</v>
      </c>
      <c r="AF94" s="65"/>
      <c r="AG94" s="248">
        <f t="shared" si="26"/>
        <v>0</v>
      </c>
      <c r="AH94" s="95">
        <f t="shared" si="19"/>
        <v>1</v>
      </c>
      <c r="AI94" s="97">
        <f t="shared" si="20"/>
        <v>0.82629629629629631</v>
      </c>
      <c r="AJ94" s="11">
        <v>464</v>
      </c>
    </row>
    <row r="95" spans="1:37" x14ac:dyDescent="0.25">
      <c r="A95">
        <f t="shared" si="25"/>
        <v>93</v>
      </c>
      <c r="B95" s="241" t="s">
        <v>1777</v>
      </c>
      <c r="D95" s="14">
        <v>45759</v>
      </c>
      <c r="E95" s="7"/>
      <c r="F95" s="7"/>
      <c r="G95" s="66"/>
      <c r="H95" s="59"/>
      <c r="I95" s="59"/>
      <c r="J95" s="47">
        <f t="shared" si="17"/>
        <v>0</v>
      </c>
      <c r="K95" s="8">
        <f t="shared" si="21"/>
        <v>0</v>
      </c>
      <c r="L95" s="96" t="str">
        <f t="shared" si="22"/>
        <v/>
      </c>
      <c r="M95" s="81"/>
      <c r="N95" s="8">
        <v>300</v>
      </c>
      <c r="O95" s="8">
        <v>60</v>
      </c>
      <c r="P95" s="96" t="str">
        <f t="shared" si="18"/>
        <v/>
      </c>
      <c r="Q95" s="59">
        <f t="shared" si="23"/>
        <v>0</v>
      </c>
      <c r="R95" s="59">
        <f t="shared" si="24"/>
        <v>0</v>
      </c>
      <c r="S95" s="65"/>
      <c r="T95" s="65"/>
      <c r="U95" s="65"/>
      <c r="V95" s="65"/>
      <c r="W95" s="65"/>
      <c r="X95" s="65"/>
      <c r="Y95" s="65"/>
      <c r="Z95" s="65"/>
      <c r="AA95" s="65"/>
      <c r="AB95" s="65"/>
      <c r="AC95" s="65"/>
      <c r="AD95" s="65"/>
      <c r="AE95" s="65">
        <f t="shared" si="14"/>
        <v>0</v>
      </c>
      <c r="AF95" s="65"/>
      <c r="AG95" s="248">
        <f t="shared" si="26"/>
        <v>0</v>
      </c>
      <c r="AH95" s="95" t="str">
        <f t="shared" si="19"/>
        <v/>
      </c>
      <c r="AI95" s="97" t="str">
        <f t="shared" si="20"/>
        <v/>
      </c>
      <c r="AJ95" s="11"/>
    </row>
    <row r="96" spans="1:37" x14ac:dyDescent="0.25">
      <c r="A96">
        <f t="shared" si="25"/>
        <v>94</v>
      </c>
      <c r="B96" s="241" t="s">
        <v>1777</v>
      </c>
      <c r="D96" s="14">
        <v>45760</v>
      </c>
      <c r="E96" s="7"/>
      <c r="F96" s="7"/>
      <c r="G96" s="66"/>
      <c r="H96" s="59"/>
      <c r="I96" s="59"/>
      <c r="J96" s="47">
        <f t="shared" si="17"/>
        <v>0</v>
      </c>
      <c r="K96" s="8">
        <f t="shared" si="21"/>
        <v>0</v>
      </c>
      <c r="L96" s="96" t="str">
        <f t="shared" si="22"/>
        <v/>
      </c>
      <c r="M96" s="81"/>
      <c r="N96" s="8">
        <v>300</v>
      </c>
      <c r="O96" s="8">
        <v>60</v>
      </c>
      <c r="P96" s="96" t="str">
        <f t="shared" si="18"/>
        <v/>
      </c>
      <c r="Q96" s="59">
        <f t="shared" si="23"/>
        <v>0</v>
      </c>
      <c r="R96" s="59">
        <f t="shared" si="24"/>
        <v>0</v>
      </c>
      <c r="S96" s="65"/>
      <c r="T96" s="65"/>
      <c r="U96" s="65"/>
      <c r="V96" s="65"/>
      <c r="W96" s="65"/>
      <c r="X96" s="65"/>
      <c r="Y96" s="65"/>
      <c r="Z96" s="65"/>
      <c r="AA96" s="65"/>
      <c r="AB96" s="65"/>
      <c r="AC96" s="65"/>
      <c r="AD96" s="65"/>
      <c r="AE96" s="65">
        <f t="shared" si="14"/>
        <v>0</v>
      </c>
      <c r="AF96" s="65"/>
      <c r="AG96" s="248">
        <f t="shared" si="26"/>
        <v>0</v>
      </c>
      <c r="AH96" s="95" t="str">
        <f t="shared" si="19"/>
        <v/>
      </c>
      <c r="AI96" s="97" t="str">
        <f t="shared" si="20"/>
        <v/>
      </c>
      <c r="AJ96" s="11"/>
    </row>
    <row r="97" spans="1:36" x14ac:dyDescent="0.25">
      <c r="A97">
        <f t="shared" si="25"/>
        <v>95</v>
      </c>
      <c r="B97" s="241" t="s">
        <v>1777</v>
      </c>
      <c r="D97" s="14">
        <v>45761</v>
      </c>
      <c r="E97" s="7"/>
      <c r="F97" s="7"/>
      <c r="G97" s="66"/>
      <c r="H97" s="59"/>
      <c r="I97" s="59"/>
      <c r="J97" s="47">
        <f t="shared" si="17"/>
        <v>0</v>
      </c>
      <c r="K97" s="8">
        <f t="shared" si="21"/>
        <v>0</v>
      </c>
      <c r="L97" s="96" t="str">
        <f t="shared" ref="L97:L98" si="27">IFERROR(K97/J97,"")</f>
        <v/>
      </c>
      <c r="M97" s="81"/>
      <c r="N97" s="8">
        <v>300</v>
      </c>
      <c r="O97" s="8">
        <v>60</v>
      </c>
      <c r="P97" s="96" t="str">
        <f t="shared" si="18"/>
        <v/>
      </c>
      <c r="Q97" s="59">
        <f t="shared" si="23"/>
        <v>0</v>
      </c>
      <c r="R97" s="59">
        <f t="shared" si="24"/>
        <v>0</v>
      </c>
      <c r="S97" s="65"/>
      <c r="T97" s="65"/>
      <c r="U97" s="65"/>
      <c r="V97" s="65"/>
      <c r="W97" s="65"/>
      <c r="X97" s="65"/>
      <c r="Y97" s="65"/>
      <c r="Z97" s="65"/>
      <c r="AA97" s="65"/>
      <c r="AB97" s="65"/>
      <c r="AC97" s="65"/>
      <c r="AD97" s="65"/>
      <c r="AE97" s="65">
        <f t="shared" si="14"/>
        <v>0</v>
      </c>
      <c r="AF97" s="65"/>
      <c r="AG97" s="248">
        <f t="shared" si="26"/>
        <v>0</v>
      </c>
      <c r="AH97" s="95" t="str">
        <f t="shared" si="19"/>
        <v/>
      </c>
      <c r="AI97" s="97" t="str">
        <f t="shared" si="20"/>
        <v/>
      </c>
      <c r="AJ97" s="11"/>
    </row>
    <row r="98" spans="1:36" x14ac:dyDescent="0.25">
      <c r="A98">
        <f t="shared" si="25"/>
        <v>96</v>
      </c>
      <c r="B98" s="241" t="s">
        <v>1777</v>
      </c>
      <c r="D98" s="14">
        <v>45762</v>
      </c>
      <c r="E98" s="7"/>
      <c r="F98" s="7"/>
      <c r="G98" s="66"/>
      <c r="H98" s="59"/>
      <c r="I98" s="59"/>
      <c r="J98" s="47">
        <f t="shared" si="17"/>
        <v>0</v>
      </c>
      <c r="K98" s="8">
        <f t="shared" si="21"/>
        <v>0</v>
      </c>
      <c r="L98" s="96" t="str">
        <f t="shared" si="27"/>
        <v/>
      </c>
      <c r="M98" s="81"/>
      <c r="N98" s="8">
        <v>300</v>
      </c>
      <c r="O98" s="8">
        <v>60</v>
      </c>
      <c r="P98" s="96" t="str">
        <f t="shared" si="18"/>
        <v/>
      </c>
      <c r="Q98" s="59">
        <f t="shared" si="23"/>
        <v>0</v>
      </c>
      <c r="R98" s="59">
        <f t="shared" si="24"/>
        <v>0</v>
      </c>
      <c r="S98" s="65"/>
      <c r="T98" s="65"/>
      <c r="U98" s="65"/>
      <c r="V98" s="65"/>
      <c r="W98" s="65"/>
      <c r="X98" s="65"/>
      <c r="Y98" s="65"/>
      <c r="Z98" s="65"/>
      <c r="AA98" s="65"/>
      <c r="AB98" s="65"/>
      <c r="AC98" s="65"/>
      <c r="AD98" s="65"/>
      <c r="AE98" s="65">
        <f t="shared" si="14"/>
        <v>0</v>
      </c>
      <c r="AF98" s="65"/>
      <c r="AG98" s="248">
        <f t="shared" si="26"/>
        <v>0</v>
      </c>
      <c r="AH98" s="95" t="str">
        <f t="shared" si="19"/>
        <v/>
      </c>
      <c r="AI98" s="97" t="str">
        <f t="shared" si="20"/>
        <v/>
      </c>
      <c r="AJ98" s="11"/>
    </row>
    <row r="99" spans="1:36" x14ac:dyDescent="0.25">
      <c r="A99">
        <f t="shared" si="25"/>
        <v>97</v>
      </c>
      <c r="B99" s="241" t="s">
        <v>1777</v>
      </c>
      <c r="C99">
        <v>2</v>
      </c>
      <c r="D99" s="14">
        <v>45763</v>
      </c>
      <c r="E99" s="7">
        <v>30</v>
      </c>
      <c r="F99" s="7"/>
      <c r="G99" s="66"/>
      <c r="H99" s="59"/>
      <c r="I99" s="59">
        <f>8*60</f>
        <v>480</v>
      </c>
      <c r="J99" s="47">
        <f t="shared" si="17"/>
        <v>480</v>
      </c>
      <c r="K99" s="8">
        <f t="shared" si="21"/>
        <v>450</v>
      </c>
      <c r="L99" s="96">
        <f t="shared" ref="L99:L121" si="28">IFERROR(K99/J99,"")</f>
        <v>0.9375</v>
      </c>
      <c r="M99" s="81">
        <v>2010</v>
      </c>
      <c r="N99" s="8">
        <v>300</v>
      </c>
      <c r="O99" s="8">
        <v>60</v>
      </c>
      <c r="P99" s="96">
        <f t="shared" si="18"/>
        <v>0.89333333333333331</v>
      </c>
      <c r="Q99" s="59">
        <f t="shared" si="23"/>
        <v>2010</v>
      </c>
      <c r="R99" s="59">
        <f t="shared" si="24"/>
        <v>2010</v>
      </c>
      <c r="S99" s="65"/>
      <c r="T99" s="65"/>
      <c r="U99" s="65"/>
      <c r="V99" s="65"/>
      <c r="W99" s="65"/>
      <c r="X99" s="65"/>
      <c r="Y99" s="65"/>
      <c r="Z99" s="65"/>
      <c r="AA99" s="65"/>
      <c r="AB99" s="65"/>
      <c r="AC99" s="65"/>
      <c r="AD99" s="65"/>
      <c r="AE99" s="65">
        <f t="shared" si="14"/>
        <v>0</v>
      </c>
      <c r="AF99" s="65"/>
      <c r="AG99" s="248">
        <f t="shared" si="26"/>
        <v>0</v>
      </c>
      <c r="AH99" s="95">
        <f t="shared" si="19"/>
        <v>1</v>
      </c>
      <c r="AI99" s="97">
        <f t="shared" si="20"/>
        <v>0.83750000000000002</v>
      </c>
      <c r="AJ99" s="11" t="s">
        <v>2500</v>
      </c>
    </row>
    <row r="100" spans="1:36" x14ac:dyDescent="0.25">
      <c r="A100">
        <f t="shared" si="25"/>
        <v>98</v>
      </c>
      <c r="B100" s="241" t="s">
        <v>1777</v>
      </c>
      <c r="C100">
        <v>1</v>
      </c>
      <c r="D100" s="14">
        <v>45764</v>
      </c>
      <c r="E100" s="7">
        <v>30</v>
      </c>
      <c r="F100" s="7"/>
      <c r="G100" s="66"/>
      <c r="H100" s="59"/>
      <c r="I100" s="59">
        <f>60*5</f>
        <v>300</v>
      </c>
      <c r="J100" s="47">
        <f t="shared" si="17"/>
        <v>300</v>
      </c>
      <c r="K100" s="8">
        <f t="shared" si="21"/>
        <v>270</v>
      </c>
      <c r="L100" s="96">
        <f t="shared" si="28"/>
        <v>0.9</v>
      </c>
      <c r="M100" s="81">
        <v>1550</v>
      </c>
      <c r="N100" s="8">
        <v>300</v>
      </c>
      <c r="O100" s="8">
        <v>60</v>
      </c>
      <c r="P100" s="96">
        <f t="shared" si="18"/>
        <v>1.1481481481481481</v>
      </c>
      <c r="Q100" s="59">
        <f t="shared" si="23"/>
        <v>1550</v>
      </c>
      <c r="R100" s="59">
        <f t="shared" si="24"/>
        <v>1550</v>
      </c>
      <c r="S100" s="65"/>
      <c r="T100" s="65"/>
      <c r="U100" s="65"/>
      <c r="V100" s="65"/>
      <c r="W100" s="65"/>
      <c r="X100" s="65"/>
      <c r="Y100" s="65"/>
      <c r="Z100" s="65"/>
      <c r="AA100" s="65"/>
      <c r="AB100" s="65"/>
      <c r="AC100" s="65"/>
      <c r="AD100" s="65"/>
      <c r="AE100" s="65">
        <f t="shared" si="14"/>
        <v>0</v>
      </c>
      <c r="AF100" s="65"/>
      <c r="AG100" s="248">
        <f t="shared" si="26"/>
        <v>0</v>
      </c>
      <c r="AH100" s="95">
        <f t="shared" si="19"/>
        <v>1</v>
      </c>
      <c r="AI100" s="97">
        <f t="shared" si="20"/>
        <v>1.0333333333333334</v>
      </c>
      <c r="AJ100" s="11" t="s">
        <v>2564</v>
      </c>
    </row>
    <row r="101" spans="1:36" x14ac:dyDescent="0.25">
      <c r="A101">
        <f t="shared" si="25"/>
        <v>99</v>
      </c>
      <c r="D101" s="14">
        <v>45765</v>
      </c>
      <c r="E101" s="7"/>
      <c r="F101" s="7"/>
      <c r="G101" s="66"/>
      <c r="H101" s="59"/>
      <c r="I101" s="59"/>
      <c r="J101" s="47">
        <f t="shared" si="17"/>
        <v>0</v>
      </c>
      <c r="K101" s="8">
        <f t="shared" si="21"/>
        <v>0</v>
      </c>
      <c r="L101" s="96" t="str">
        <f t="shared" si="28"/>
        <v/>
      </c>
      <c r="M101" s="81"/>
      <c r="N101" s="8">
        <v>300</v>
      </c>
      <c r="O101" s="8">
        <v>60</v>
      </c>
      <c r="P101" s="96" t="str">
        <f t="shared" si="18"/>
        <v/>
      </c>
      <c r="Q101" s="59">
        <f t="shared" si="23"/>
        <v>0</v>
      </c>
      <c r="R101" s="59">
        <f t="shared" si="24"/>
        <v>0</v>
      </c>
      <c r="S101" s="65"/>
      <c r="T101" s="65"/>
      <c r="U101" s="65"/>
      <c r="V101" s="65"/>
      <c r="W101" s="65"/>
      <c r="X101" s="65"/>
      <c r="Y101" s="65"/>
      <c r="Z101" s="65"/>
      <c r="AA101" s="65"/>
      <c r="AB101" s="65"/>
      <c r="AC101" s="65"/>
      <c r="AD101" s="65"/>
      <c r="AE101" s="65">
        <f t="shared" si="14"/>
        <v>0</v>
      </c>
      <c r="AF101" s="65"/>
      <c r="AG101" s="248">
        <f t="shared" si="26"/>
        <v>0</v>
      </c>
      <c r="AH101" s="95" t="str">
        <f t="shared" si="19"/>
        <v/>
      </c>
      <c r="AI101" s="97" t="str">
        <f t="shared" si="20"/>
        <v/>
      </c>
      <c r="AJ101" s="11"/>
    </row>
    <row r="102" spans="1:36" x14ac:dyDescent="0.25">
      <c r="A102">
        <f t="shared" si="25"/>
        <v>100</v>
      </c>
      <c r="D102" s="14">
        <v>45766</v>
      </c>
      <c r="E102" s="7"/>
      <c r="F102" s="7"/>
      <c r="G102" s="66"/>
      <c r="H102" s="59"/>
      <c r="I102" s="59"/>
      <c r="J102" s="47">
        <f t="shared" si="17"/>
        <v>0</v>
      </c>
      <c r="K102" s="8">
        <f t="shared" si="21"/>
        <v>0</v>
      </c>
      <c r="L102" s="96" t="str">
        <f t="shared" si="28"/>
        <v/>
      </c>
      <c r="M102" s="81"/>
      <c r="N102" s="8">
        <v>300</v>
      </c>
      <c r="O102" s="8">
        <v>60</v>
      </c>
      <c r="P102" s="96" t="str">
        <f t="shared" si="18"/>
        <v/>
      </c>
      <c r="Q102" s="59">
        <f t="shared" si="23"/>
        <v>0</v>
      </c>
      <c r="R102" s="59">
        <f t="shared" si="24"/>
        <v>0</v>
      </c>
      <c r="S102" s="65"/>
      <c r="T102" s="65"/>
      <c r="U102" s="65"/>
      <c r="V102" s="65"/>
      <c r="W102" s="65"/>
      <c r="X102" s="65"/>
      <c r="Y102" s="65"/>
      <c r="Z102" s="65"/>
      <c r="AA102" s="65"/>
      <c r="AB102" s="65"/>
      <c r="AC102" s="65"/>
      <c r="AD102" s="65"/>
      <c r="AE102" s="65">
        <f t="shared" si="14"/>
        <v>0</v>
      </c>
      <c r="AF102" s="65"/>
      <c r="AG102" s="248">
        <f t="shared" si="26"/>
        <v>0</v>
      </c>
      <c r="AH102" s="95" t="str">
        <f t="shared" si="19"/>
        <v/>
      </c>
      <c r="AI102" s="97" t="str">
        <f t="shared" si="20"/>
        <v/>
      </c>
      <c r="AJ102" s="11"/>
    </row>
    <row r="103" spans="1:36" x14ac:dyDescent="0.25">
      <c r="A103">
        <f t="shared" si="25"/>
        <v>101</v>
      </c>
      <c r="D103" s="14">
        <v>45767</v>
      </c>
      <c r="E103" s="7"/>
      <c r="F103" s="7"/>
      <c r="G103" s="66"/>
      <c r="H103" s="59"/>
      <c r="I103" s="59"/>
      <c r="J103" s="47">
        <f t="shared" si="17"/>
        <v>0</v>
      </c>
      <c r="K103" s="8">
        <f t="shared" si="21"/>
        <v>0</v>
      </c>
      <c r="L103" s="96" t="str">
        <f t="shared" si="28"/>
        <v/>
      </c>
      <c r="M103" s="81"/>
      <c r="N103" s="8">
        <v>300</v>
      </c>
      <c r="O103" s="8">
        <v>60</v>
      </c>
      <c r="P103" s="96" t="str">
        <f t="shared" si="18"/>
        <v/>
      </c>
      <c r="Q103" s="59">
        <f t="shared" si="23"/>
        <v>0</v>
      </c>
      <c r="R103" s="59">
        <f t="shared" si="24"/>
        <v>0</v>
      </c>
      <c r="S103" s="65"/>
      <c r="T103" s="65"/>
      <c r="U103" s="65"/>
      <c r="V103" s="65"/>
      <c r="W103" s="65"/>
      <c r="X103" s="65"/>
      <c r="Y103" s="65"/>
      <c r="Z103" s="65"/>
      <c r="AA103" s="65"/>
      <c r="AB103" s="65"/>
      <c r="AC103" s="65"/>
      <c r="AD103" s="65"/>
      <c r="AE103" s="65">
        <f t="shared" si="14"/>
        <v>0</v>
      </c>
      <c r="AF103" s="65"/>
      <c r="AG103" s="248">
        <f t="shared" si="26"/>
        <v>0</v>
      </c>
      <c r="AH103" s="95" t="str">
        <f t="shared" si="19"/>
        <v/>
      </c>
      <c r="AI103" s="97" t="str">
        <f t="shared" si="20"/>
        <v/>
      </c>
      <c r="AJ103" s="11"/>
    </row>
    <row r="104" spans="1:36" x14ac:dyDescent="0.25">
      <c r="A104">
        <f t="shared" si="25"/>
        <v>102</v>
      </c>
      <c r="B104" s="241" t="s">
        <v>1777</v>
      </c>
      <c r="C104" t="s">
        <v>2565</v>
      </c>
      <c r="D104" s="14">
        <v>45768</v>
      </c>
      <c r="E104" s="7">
        <v>40</v>
      </c>
      <c r="F104" s="7"/>
      <c r="G104" s="66"/>
      <c r="H104" s="59"/>
      <c r="I104" s="59">
        <f>510+455</f>
        <v>965</v>
      </c>
      <c r="J104" s="47">
        <f t="shared" si="17"/>
        <v>965</v>
      </c>
      <c r="K104" s="8">
        <f t="shared" si="21"/>
        <v>925</v>
      </c>
      <c r="L104" s="96">
        <f t="shared" si="28"/>
        <v>0.95854922279792742</v>
      </c>
      <c r="M104" s="81">
        <f>2202+2100</f>
        <v>4302</v>
      </c>
      <c r="N104" s="8">
        <v>300</v>
      </c>
      <c r="O104" s="8">
        <v>60</v>
      </c>
      <c r="P104" s="96">
        <f t="shared" si="18"/>
        <v>0.93016216216216219</v>
      </c>
      <c r="Q104" s="59">
        <f t="shared" si="23"/>
        <v>4302</v>
      </c>
      <c r="R104" s="59">
        <f t="shared" si="24"/>
        <v>4328</v>
      </c>
      <c r="S104" s="65"/>
      <c r="T104" s="65"/>
      <c r="U104" s="65"/>
      <c r="V104" s="65"/>
      <c r="W104" s="65">
        <f>13*2</f>
        <v>26</v>
      </c>
      <c r="X104" s="65"/>
      <c r="Y104" s="65"/>
      <c r="Z104" s="65"/>
      <c r="AA104" s="65"/>
      <c r="AB104" s="65"/>
      <c r="AC104" s="65"/>
      <c r="AD104" s="65"/>
      <c r="AE104" s="65">
        <f t="shared" si="14"/>
        <v>26</v>
      </c>
      <c r="AF104" s="65"/>
      <c r="AG104" s="248">
        <f t="shared" si="26"/>
        <v>26</v>
      </c>
      <c r="AH104" s="95">
        <f t="shared" si="19"/>
        <v>0.99399260628465802</v>
      </c>
      <c r="AI104" s="97">
        <f t="shared" si="20"/>
        <v>0.88624998802831068</v>
      </c>
      <c r="AJ104" s="11" t="s">
        <v>1796</v>
      </c>
    </row>
    <row r="105" spans="1:36" x14ac:dyDescent="0.25">
      <c r="A105">
        <f t="shared" si="25"/>
        <v>103</v>
      </c>
      <c r="B105" s="241" t="s">
        <v>1777</v>
      </c>
      <c r="C105">
        <v>1</v>
      </c>
      <c r="D105" s="14">
        <v>45769</v>
      </c>
      <c r="E105" s="7">
        <v>40</v>
      </c>
      <c r="F105" s="7"/>
      <c r="G105" s="66"/>
      <c r="H105" s="59"/>
      <c r="I105" s="59">
        <f>6*60</f>
        <v>360</v>
      </c>
      <c r="J105" s="47">
        <f t="shared" si="17"/>
        <v>360</v>
      </c>
      <c r="K105" s="8">
        <f t="shared" si="21"/>
        <v>320</v>
      </c>
      <c r="L105" s="96">
        <f t="shared" si="28"/>
        <v>0.88888888888888884</v>
      </c>
      <c r="M105" s="81">
        <v>1758</v>
      </c>
      <c r="N105" s="8">
        <v>300</v>
      </c>
      <c r="O105" s="8">
        <v>60</v>
      </c>
      <c r="P105" s="96">
        <f t="shared" si="18"/>
        <v>1.0987500000000001</v>
      </c>
      <c r="Q105" s="59">
        <f t="shared" si="23"/>
        <v>1758</v>
      </c>
      <c r="R105" s="59">
        <f t="shared" si="24"/>
        <v>1769</v>
      </c>
      <c r="S105" s="65"/>
      <c r="T105" s="65"/>
      <c r="U105" s="65"/>
      <c r="V105" s="65"/>
      <c r="W105" s="65">
        <v>11</v>
      </c>
      <c r="X105" s="65"/>
      <c r="Y105" s="65"/>
      <c r="Z105" s="65"/>
      <c r="AA105" s="65"/>
      <c r="AB105" s="65"/>
      <c r="AC105" s="65"/>
      <c r="AD105" s="65"/>
      <c r="AE105" s="65">
        <f t="shared" si="14"/>
        <v>11</v>
      </c>
      <c r="AF105" s="65"/>
      <c r="AG105" s="248">
        <f t="shared" si="26"/>
        <v>11</v>
      </c>
      <c r="AH105" s="95">
        <f t="shared" si="19"/>
        <v>0.99378179762577723</v>
      </c>
      <c r="AI105" s="97">
        <f t="shared" si="20"/>
        <v>0.97059355568117578</v>
      </c>
      <c r="AJ105" s="11" t="s">
        <v>1796</v>
      </c>
    </row>
    <row r="106" spans="1:36" x14ac:dyDescent="0.25">
      <c r="A106">
        <f t="shared" si="25"/>
        <v>104</v>
      </c>
      <c r="B106" s="241" t="s">
        <v>1777</v>
      </c>
      <c r="C106">
        <v>1</v>
      </c>
      <c r="D106" s="14">
        <v>45770</v>
      </c>
      <c r="E106" s="7">
        <v>40</v>
      </c>
      <c r="F106" s="7"/>
      <c r="G106" s="66"/>
      <c r="H106" s="59"/>
      <c r="I106" s="59">
        <v>510</v>
      </c>
      <c r="J106" s="47">
        <f t="shared" si="17"/>
        <v>510</v>
      </c>
      <c r="K106" s="8">
        <f t="shared" si="21"/>
        <v>470</v>
      </c>
      <c r="L106" s="96">
        <f t="shared" si="28"/>
        <v>0.92156862745098034</v>
      </c>
      <c r="M106" s="81">
        <v>2000</v>
      </c>
      <c r="N106" s="8">
        <v>300</v>
      </c>
      <c r="O106" s="8">
        <v>60</v>
      </c>
      <c r="P106" s="96">
        <f t="shared" si="18"/>
        <v>0.85106382978723405</v>
      </c>
      <c r="Q106" s="59">
        <f t="shared" si="23"/>
        <v>2000</v>
      </c>
      <c r="R106" s="59">
        <f t="shared" si="24"/>
        <v>2012</v>
      </c>
      <c r="S106" s="65"/>
      <c r="T106" s="65"/>
      <c r="U106" s="65"/>
      <c r="V106" s="65"/>
      <c r="W106" s="65">
        <v>12</v>
      </c>
      <c r="X106" s="65"/>
      <c r="Y106" s="65"/>
      <c r="Z106" s="65"/>
      <c r="AA106" s="65"/>
      <c r="AB106" s="65"/>
      <c r="AC106" s="65"/>
      <c r="AD106" s="65"/>
      <c r="AE106" s="65">
        <f t="shared" si="14"/>
        <v>12</v>
      </c>
      <c r="AF106" s="65"/>
      <c r="AG106" s="248">
        <f t="shared" si="26"/>
        <v>12</v>
      </c>
      <c r="AH106" s="95">
        <f t="shared" si="19"/>
        <v>0.99403578528827041</v>
      </c>
      <c r="AI106" s="97">
        <f t="shared" si="20"/>
        <v>0.77963591003001598</v>
      </c>
      <c r="AJ106" s="11" t="s">
        <v>2524</v>
      </c>
    </row>
    <row r="107" spans="1:36" x14ac:dyDescent="0.25">
      <c r="A107">
        <f t="shared" si="25"/>
        <v>105</v>
      </c>
      <c r="B107" s="241" t="s">
        <v>1777</v>
      </c>
      <c r="C107">
        <v>1</v>
      </c>
      <c r="D107" s="14">
        <v>45771</v>
      </c>
      <c r="E107" s="7">
        <v>40</v>
      </c>
      <c r="F107" s="7"/>
      <c r="G107" s="66"/>
      <c r="H107" s="59"/>
      <c r="I107" s="59">
        <v>510</v>
      </c>
      <c r="J107" s="47">
        <f t="shared" si="17"/>
        <v>510</v>
      </c>
      <c r="K107" s="8">
        <f t="shared" si="21"/>
        <v>470</v>
      </c>
      <c r="L107" s="96">
        <f t="shared" si="28"/>
        <v>0.92156862745098034</v>
      </c>
      <c r="M107" s="81">
        <v>2216</v>
      </c>
      <c r="N107" s="8">
        <v>300</v>
      </c>
      <c r="O107" s="8">
        <v>60</v>
      </c>
      <c r="P107" s="96">
        <f t="shared" si="18"/>
        <v>0.94297872340425526</v>
      </c>
      <c r="Q107" s="59">
        <f t="shared" si="23"/>
        <v>2216</v>
      </c>
      <c r="R107" s="59">
        <f t="shared" si="24"/>
        <v>2228</v>
      </c>
      <c r="S107" s="65"/>
      <c r="T107" s="65"/>
      <c r="U107" s="65"/>
      <c r="V107" s="65"/>
      <c r="W107" s="65">
        <v>12</v>
      </c>
      <c r="X107" s="65"/>
      <c r="Y107" s="65"/>
      <c r="Z107" s="65"/>
      <c r="AA107" s="65"/>
      <c r="AB107" s="65"/>
      <c r="AC107" s="65"/>
      <c r="AD107" s="65"/>
      <c r="AE107" s="65">
        <f t="shared" si="14"/>
        <v>12</v>
      </c>
      <c r="AF107" s="65"/>
      <c r="AG107" s="248">
        <f t="shared" si="26"/>
        <v>12</v>
      </c>
      <c r="AH107" s="95">
        <f t="shared" si="19"/>
        <v>0.99461400359066432</v>
      </c>
      <c r="AI107" s="97">
        <f t="shared" si="20"/>
        <v>0.86433907135565169</v>
      </c>
      <c r="AJ107" s="11" t="s">
        <v>2566</v>
      </c>
    </row>
    <row r="108" spans="1:36" x14ac:dyDescent="0.25">
      <c r="A108">
        <f t="shared" si="25"/>
        <v>106</v>
      </c>
      <c r="B108" s="241" t="s">
        <v>1777</v>
      </c>
      <c r="D108" s="14">
        <v>45772</v>
      </c>
      <c r="E108" s="7">
        <v>40</v>
      </c>
      <c r="F108" s="7">
        <f>60*3</f>
        <v>180</v>
      </c>
      <c r="G108" s="66"/>
      <c r="H108" s="59"/>
      <c r="I108" s="59">
        <v>510</v>
      </c>
      <c r="J108" s="47">
        <f t="shared" si="17"/>
        <v>510</v>
      </c>
      <c r="K108" s="8">
        <f t="shared" si="21"/>
        <v>290</v>
      </c>
      <c r="L108" s="96">
        <f t="shared" si="28"/>
        <v>0.56862745098039214</v>
      </c>
      <c r="M108" s="81">
        <v>1215</v>
      </c>
      <c r="N108" s="8">
        <v>300</v>
      </c>
      <c r="O108" s="8">
        <v>60</v>
      </c>
      <c r="P108" s="96">
        <f t="shared" si="18"/>
        <v>0.83793103448275863</v>
      </c>
      <c r="Q108" s="59">
        <f t="shared" si="23"/>
        <v>1215</v>
      </c>
      <c r="R108" s="59">
        <f t="shared" si="24"/>
        <v>1222</v>
      </c>
      <c r="S108" s="65"/>
      <c r="T108" s="65"/>
      <c r="U108" s="65"/>
      <c r="V108" s="65"/>
      <c r="W108" s="65">
        <v>7</v>
      </c>
      <c r="X108" s="65"/>
      <c r="Y108" s="65"/>
      <c r="Z108" s="65"/>
      <c r="AA108" s="65"/>
      <c r="AB108" s="65"/>
      <c r="AC108" s="65"/>
      <c r="AD108" s="65"/>
      <c r="AE108" s="65">
        <f t="shared" si="14"/>
        <v>7</v>
      </c>
      <c r="AF108" s="65"/>
      <c r="AG108" s="248">
        <f t="shared" si="26"/>
        <v>7</v>
      </c>
      <c r="AH108" s="95">
        <f t="shared" si="19"/>
        <v>0.99427168576104741</v>
      </c>
      <c r="AI108" s="97">
        <f t="shared" si="20"/>
        <v>0.47374121498026373</v>
      </c>
      <c r="AJ108" s="11" t="s">
        <v>1796</v>
      </c>
    </row>
    <row r="109" spans="1:36" x14ac:dyDescent="0.25">
      <c r="A109">
        <f t="shared" si="25"/>
        <v>107</v>
      </c>
      <c r="B109" s="241" t="s">
        <v>1777</v>
      </c>
      <c r="D109" s="14">
        <v>45773</v>
      </c>
      <c r="E109" s="7">
        <v>40</v>
      </c>
      <c r="F109" s="7"/>
      <c r="G109" s="66"/>
      <c r="H109" s="59"/>
      <c r="I109" s="59">
        <v>510</v>
      </c>
      <c r="J109" s="47">
        <f t="shared" si="17"/>
        <v>510</v>
      </c>
      <c r="K109" s="8">
        <f t="shared" si="21"/>
        <v>470</v>
      </c>
      <c r="L109" s="96">
        <f t="shared" si="28"/>
        <v>0.92156862745098034</v>
      </c>
      <c r="M109" s="81">
        <v>2200</v>
      </c>
      <c r="N109" s="8">
        <v>300</v>
      </c>
      <c r="O109" s="8">
        <v>60</v>
      </c>
      <c r="P109" s="96">
        <f t="shared" si="18"/>
        <v>0.93617021276595747</v>
      </c>
      <c r="Q109" s="59">
        <f t="shared" si="23"/>
        <v>2200</v>
      </c>
      <c r="R109" s="59">
        <f t="shared" si="24"/>
        <v>2200</v>
      </c>
      <c r="S109" s="65"/>
      <c r="T109" s="65"/>
      <c r="U109" s="65"/>
      <c r="V109" s="65"/>
      <c r="W109" s="65"/>
      <c r="X109" s="65"/>
      <c r="Y109" s="65"/>
      <c r="Z109" s="65"/>
      <c r="AA109" s="65"/>
      <c r="AB109" s="65"/>
      <c r="AC109" s="65"/>
      <c r="AD109" s="65"/>
      <c r="AE109" s="65">
        <f t="shared" ref="AE109:AE142" si="29">SUM(S109:AD109)</f>
        <v>0</v>
      </c>
      <c r="AF109" s="65"/>
      <c r="AG109" s="248">
        <f t="shared" si="26"/>
        <v>0</v>
      </c>
      <c r="AH109" s="95">
        <f t="shared" si="19"/>
        <v>1</v>
      </c>
      <c r="AI109" s="97">
        <f t="shared" si="20"/>
        <v>0.86274509803921562</v>
      </c>
      <c r="AJ109" s="11" t="s">
        <v>2532</v>
      </c>
    </row>
    <row r="110" spans="1:36" x14ac:dyDescent="0.25">
      <c r="A110">
        <f t="shared" si="25"/>
        <v>108</v>
      </c>
      <c r="B110" s="241" t="s">
        <v>1777</v>
      </c>
      <c r="D110" s="14">
        <v>45774</v>
      </c>
      <c r="E110" s="7"/>
      <c r="F110" s="7"/>
      <c r="G110" s="66"/>
      <c r="H110" s="59"/>
      <c r="I110" s="59"/>
      <c r="J110" s="47">
        <f t="shared" si="17"/>
        <v>0</v>
      </c>
      <c r="K110" s="8">
        <f t="shared" si="21"/>
        <v>0</v>
      </c>
      <c r="L110" s="96" t="str">
        <f t="shared" si="28"/>
        <v/>
      </c>
      <c r="M110" s="81"/>
      <c r="N110" s="8">
        <v>300</v>
      </c>
      <c r="O110" s="8">
        <v>60</v>
      </c>
      <c r="P110" s="96" t="str">
        <f t="shared" si="18"/>
        <v/>
      </c>
      <c r="Q110" s="59">
        <f t="shared" si="23"/>
        <v>0</v>
      </c>
      <c r="R110" s="59">
        <f t="shared" si="24"/>
        <v>0</v>
      </c>
      <c r="S110" s="65"/>
      <c r="T110" s="65"/>
      <c r="U110" s="65"/>
      <c r="V110" s="65"/>
      <c r="W110" s="65"/>
      <c r="X110" s="65"/>
      <c r="Y110" s="65"/>
      <c r="Z110" s="65"/>
      <c r="AA110" s="65"/>
      <c r="AB110" s="65"/>
      <c r="AC110" s="65"/>
      <c r="AD110" s="65"/>
      <c r="AE110" s="65">
        <f t="shared" si="29"/>
        <v>0</v>
      </c>
      <c r="AF110" s="65"/>
      <c r="AG110" s="248">
        <f t="shared" si="26"/>
        <v>0</v>
      </c>
      <c r="AH110" s="95" t="str">
        <f t="shared" si="19"/>
        <v/>
      </c>
      <c r="AI110" s="97" t="str">
        <f t="shared" si="20"/>
        <v/>
      </c>
      <c r="AJ110" s="11"/>
    </row>
    <row r="111" spans="1:36" x14ac:dyDescent="0.25">
      <c r="A111">
        <f t="shared" si="25"/>
        <v>109</v>
      </c>
      <c r="B111" s="241" t="s">
        <v>1777</v>
      </c>
      <c r="D111" s="14">
        <v>45775</v>
      </c>
      <c r="E111" s="7">
        <v>40</v>
      </c>
      <c r="F111" s="7"/>
      <c r="G111" s="66"/>
      <c r="H111" s="59"/>
      <c r="I111" s="59">
        <v>510</v>
      </c>
      <c r="J111" s="47">
        <f t="shared" si="17"/>
        <v>510</v>
      </c>
      <c r="K111" s="8">
        <f t="shared" si="21"/>
        <v>470</v>
      </c>
      <c r="L111" s="96">
        <f t="shared" si="28"/>
        <v>0.92156862745098034</v>
      </c>
      <c r="M111" s="81">
        <v>2325</v>
      </c>
      <c r="N111" s="8">
        <v>300</v>
      </c>
      <c r="O111" s="8">
        <v>60</v>
      </c>
      <c r="P111" s="96">
        <f t="shared" si="18"/>
        <v>0.98936170212765961</v>
      </c>
      <c r="Q111" s="59">
        <f t="shared" si="23"/>
        <v>2325</v>
      </c>
      <c r="R111" s="59">
        <f t="shared" si="24"/>
        <v>2338</v>
      </c>
      <c r="S111" s="65"/>
      <c r="T111" s="65"/>
      <c r="U111" s="65"/>
      <c r="V111" s="65"/>
      <c r="W111" s="65">
        <v>13</v>
      </c>
      <c r="X111" s="65"/>
      <c r="Y111" s="65"/>
      <c r="Z111" s="65"/>
      <c r="AA111" s="65"/>
      <c r="AB111" s="65"/>
      <c r="AC111" s="65"/>
      <c r="AD111" s="65"/>
      <c r="AE111" s="65">
        <f t="shared" si="29"/>
        <v>13</v>
      </c>
      <c r="AF111" s="65"/>
      <c r="AG111" s="248">
        <f t="shared" si="26"/>
        <v>13</v>
      </c>
      <c r="AH111" s="95">
        <f t="shared" si="19"/>
        <v>0.99443969204448246</v>
      </c>
      <c r="AI111" s="97">
        <f t="shared" si="20"/>
        <v>0.90669501333467517</v>
      </c>
      <c r="AJ111" s="11" t="s">
        <v>1796</v>
      </c>
    </row>
    <row r="112" spans="1:36" x14ac:dyDescent="0.25">
      <c r="A112">
        <f t="shared" si="25"/>
        <v>110</v>
      </c>
      <c r="B112" s="241" t="s">
        <v>1777</v>
      </c>
      <c r="D112" s="14">
        <v>45776</v>
      </c>
      <c r="E112" s="7">
        <v>40</v>
      </c>
      <c r="F112" s="7"/>
      <c r="G112" s="66"/>
      <c r="H112" s="59"/>
      <c r="I112" s="59">
        <v>510</v>
      </c>
      <c r="J112" s="47">
        <f t="shared" si="17"/>
        <v>510</v>
      </c>
      <c r="K112" s="8">
        <f t="shared" si="21"/>
        <v>470</v>
      </c>
      <c r="L112" s="96">
        <f t="shared" si="28"/>
        <v>0.92156862745098034</v>
      </c>
      <c r="M112" s="81">
        <v>2515</v>
      </c>
      <c r="N112" s="8">
        <v>300</v>
      </c>
      <c r="O112" s="8">
        <v>60</v>
      </c>
      <c r="P112" s="96">
        <f t="shared" si="18"/>
        <v>1.0702127659574467</v>
      </c>
      <c r="Q112" s="59">
        <f t="shared" si="23"/>
        <v>2515</v>
      </c>
      <c r="R112" s="59">
        <f t="shared" si="24"/>
        <v>2530</v>
      </c>
      <c r="S112" s="65"/>
      <c r="T112" s="65"/>
      <c r="U112" s="65"/>
      <c r="V112" s="65"/>
      <c r="W112" s="65">
        <v>15</v>
      </c>
      <c r="X112" s="65"/>
      <c r="Y112" s="65"/>
      <c r="Z112" s="65"/>
      <c r="AA112" s="65"/>
      <c r="AB112" s="65"/>
      <c r="AC112" s="65"/>
      <c r="AD112" s="65"/>
      <c r="AE112" s="65">
        <f t="shared" si="29"/>
        <v>15</v>
      </c>
      <c r="AF112" s="65"/>
      <c r="AG112" s="248">
        <f t="shared" si="26"/>
        <v>15</v>
      </c>
      <c r="AH112" s="95">
        <f t="shared" si="19"/>
        <v>0.99407114624505932</v>
      </c>
      <c r="AI112" s="97">
        <f t="shared" si="20"/>
        <v>0.98042703247306828</v>
      </c>
      <c r="AJ112" s="11" t="s">
        <v>1796</v>
      </c>
    </row>
    <row r="113" spans="1:41" x14ac:dyDescent="0.25">
      <c r="A113">
        <f t="shared" si="25"/>
        <v>111</v>
      </c>
      <c r="B113" s="241" t="s">
        <v>1777</v>
      </c>
      <c r="D113" s="14">
        <v>45777</v>
      </c>
      <c r="E113" s="7">
        <v>45</v>
      </c>
      <c r="F113" s="7"/>
      <c r="G113" s="66"/>
      <c r="H113" s="59"/>
      <c r="I113" s="59">
        <v>510</v>
      </c>
      <c r="J113" s="47">
        <f t="shared" si="17"/>
        <v>510</v>
      </c>
      <c r="K113" s="8">
        <f t="shared" si="21"/>
        <v>465</v>
      </c>
      <c r="L113" s="96">
        <f t="shared" si="28"/>
        <v>0.91176470588235292</v>
      </c>
      <c r="M113" s="81">
        <f>1325+875</f>
        <v>2200</v>
      </c>
      <c r="N113" s="8">
        <v>300</v>
      </c>
      <c r="O113" s="8">
        <v>60</v>
      </c>
      <c r="P113" s="96">
        <f t="shared" si="18"/>
        <v>0.94623655913978499</v>
      </c>
      <c r="Q113" s="59">
        <f t="shared" si="23"/>
        <v>2200</v>
      </c>
      <c r="R113" s="59">
        <f t="shared" si="24"/>
        <v>2212</v>
      </c>
      <c r="S113" s="65"/>
      <c r="T113" s="65"/>
      <c r="U113" s="65"/>
      <c r="V113" s="65"/>
      <c r="W113" s="65">
        <v>12</v>
      </c>
      <c r="X113" s="65"/>
      <c r="Y113" s="65"/>
      <c r="Z113" s="65"/>
      <c r="AA113" s="65"/>
      <c r="AB113" s="65"/>
      <c r="AC113" s="65"/>
      <c r="AD113" s="65"/>
      <c r="AE113" s="65">
        <f t="shared" si="29"/>
        <v>12</v>
      </c>
      <c r="AF113" s="65"/>
      <c r="AG113" s="248">
        <f t="shared" si="26"/>
        <v>12</v>
      </c>
      <c r="AH113" s="95">
        <f t="shared" si="19"/>
        <v>0.99457504520795659</v>
      </c>
      <c r="AI113" s="97">
        <f t="shared" si="20"/>
        <v>0.85806474488529594</v>
      </c>
      <c r="AJ113" s="11" t="s">
        <v>1796</v>
      </c>
    </row>
    <row r="114" spans="1:41" x14ac:dyDescent="0.25">
      <c r="A114">
        <f t="shared" si="25"/>
        <v>112</v>
      </c>
      <c r="B114" s="241" t="s">
        <v>1777</v>
      </c>
      <c r="D114" s="14">
        <v>45778</v>
      </c>
      <c r="E114" s="7"/>
      <c r="F114" s="7"/>
      <c r="G114" s="66"/>
      <c r="H114" s="59"/>
      <c r="I114" s="59"/>
      <c r="J114" s="47">
        <f t="shared" si="17"/>
        <v>0</v>
      </c>
      <c r="K114" s="8">
        <f t="shared" si="21"/>
        <v>0</v>
      </c>
      <c r="L114" s="96" t="str">
        <f t="shared" si="28"/>
        <v/>
      </c>
      <c r="M114" s="81"/>
      <c r="N114" s="8">
        <v>300</v>
      </c>
      <c r="O114" s="8">
        <v>60</v>
      </c>
      <c r="P114" s="96" t="str">
        <f t="shared" si="18"/>
        <v/>
      </c>
      <c r="Q114" s="59">
        <f t="shared" si="23"/>
        <v>0</v>
      </c>
      <c r="R114" s="59">
        <f t="shared" si="24"/>
        <v>0</v>
      </c>
      <c r="S114" s="65"/>
      <c r="T114" s="65"/>
      <c r="U114" s="65"/>
      <c r="V114" s="65"/>
      <c r="W114" s="65"/>
      <c r="X114" s="65"/>
      <c r="Y114" s="65"/>
      <c r="Z114" s="65"/>
      <c r="AA114" s="65"/>
      <c r="AB114" s="65"/>
      <c r="AC114" s="65"/>
      <c r="AD114" s="65"/>
      <c r="AE114" s="65">
        <f t="shared" si="29"/>
        <v>0</v>
      </c>
      <c r="AF114" s="65"/>
      <c r="AG114" s="248">
        <f t="shared" si="26"/>
        <v>0</v>
      </c>
      <c r="AH114" s="95" t="str">
        <f t="shared" si="19"/>
        <v/>
      </c>
      <c r="AI114" s="97" t="str">
        <f t="shared" si="20"/>
        <v/>
      </c>
      <c r="AJ114" s="11"/>
    </row>
    <row r="115" spans="1:41" x14ac:dyDescent="0.25">
      <c r="A115">
        <f t="shared" si="25"/>
        <v>113</v>
      </c>
      <c r="B115" s="241" t="s">
        <v>1777</v>
      </c>
      <c r="D115" s="14">
        <v>45779</v>
      </c>
      <c r="E115" s="7"/>
      <c r="F115" s="7"/>
      <c r="G115" s="66"/>
      <c r="H115" s="59"/>
      <c r="I115" s="59"/>
      <c r="J115" s="47">
        <f t="shared" si="17"/>
        <v>0</v>
      </c>
      <c r="K115" s="8">
        <f t="shared" si="21"/>
        <v>0</v>
      </c>
      <c r="L115" s="96" t="str">
        <f t="shared" si="28"/>
        <v/>
      </c>
      <c r="M115" s="81"/>
      <c r="N115" s="8">
        <v>300</v>
      </c>
      <c r="O115" s="8">
        <v>60</v>
      </c>
      <c r="P115" s="96" t="str">
        <f t="shared" si="18"/>
        <v/>
      </c>
      <c r="Q115" s="59">
        <f t="shared" si="23"/>
        <v>0</v>
      </c>
      <c r="R115" s="59">
        <f t="shared" si="24"/>
        <v>0</v>
      </c>
      <c r="S115" s="65"/>
      <c r="T115" s="65"/>
      <c r="U115" s="65"/>
      <c r="V115" s="65"/>
      <c r="W115" s="65"/>
      <c r="X115" s="65"/>
      <c r="Y115" s="65"/>
      <c r="Z115" s="65"/>
      <c r="AA115" s="65"/>
      <c r="AB115" s="65"/>
      <c r="AC115" s="65"/>
      <c r="AD115" s="65"/>
      <c r="AE115" s="65">
        <f t="shared" si="29"/>
        <v>0</v>
      </c>
      <c r="AF115" s="65"/>
      <c r="AG115" s="248">
        <f t="shared" si="26"/>
        <v>0</v>
      </c>
      <c r="AH115" s="95" t="str">
        <f t="shared" si="19"/>
        <v/>
      </c>
      <c r="AI115" s="97" t="str">
        <f t="shared" si="20"/>
        <v/>
      </c>
      <c r="AJ115" s="11"/>
    </row>
    <row r="116" spans="1:41" x14ac:dyDescent="0.25">
      <c r="A116">
        <f t="shared" si="25"/>
        <v>114</v>
      </c>
      <c r="B116" s="241" t="s">
        <v>1777</v>
      </c>
      <c r="D116" s="14">
        <v>45780</v>
      </c>
      <c r="E116" s="7">
        <v>60</v>
      </c>
      <c r="F116" s="7"/>
      <c r="G116" s="66"/>
      <c r="H116" s="59"/>
      <c r="I116" s="59">
        <f>8*60</f>
        <v>480</v>
      </c>
      <c r="J116" s="47">
        <f t="shared" si="17"/>
        <v>480</v>
      </c>
      <c r="K116" s="8">
        <f t="shared" si="21"/>
        <v>420</v>
      </c>
      <c r="L116" s="96">
        <f t="shared" si="28"/>
        <v>0.875</v>
      </c>
      <c r="M116" s="81">
        <v>1950</v>
      </c>
      <c r="N116" s="8">
        <v>300</v>
      </c>
      <c r="O116" s="8">
        <v>60</v>
      </c>
      <c r="P116" s="96">
        <f t="shared" si="18"/>
        <v>0.9285714285714286</v>
      </c>
      <c r="Q116" s="59">
        <f t="shared" si="23"/>
        <v>1950</v>
      </c>
      <c r="R116" s="59">
        <f t="shared" si="24"/>
        <v>1958</v>
      </c>
      <c r="S116" s="65"/>
      <c r="T116" s="65"/>
      <c r="U116" s="65"/>
      <c r="V116" s="65"/>
      <c r="W116" s="65">
        <v>8</v>
      </c>
      <c r="X116" s="65"/>
      <c r="Y116" s="65"/>
      <c r="Z116" s="65"/>
      <c r="AA116" s="65"/>
      <c r="AB116" s="65"/>
      <c r="AC116" s="65"/>
      <c r="AD116" s="65"/>
      <c r="AE116" s="65">
        <f t="shared" si="29"/>
        <v>8</v>
      </c>
      <c r="AF116" s="65"/>
      <c r="AG116" s="248">
        <f t="shared" si="26"/>
        <v>8</v>
      </c>
      <c r="AH116" s="95">
        <f t="shared" si="19"/>
        <v>0.99591419816138915</v>
      </c>
      <c r="AI116" s="97">
        <f t="shared" si="20"/>
        <v>0.80918028600612868</v>
      </c>
      <c r="AJ116" s="11" t="s">
        <v>2516</v>
      </c>
    </row>
    <row r="117" spans="1:41" x14ac:dyDescent="0.25">
      <c r="A117">
        <f t="shared" si="25"/>
        <v>115</v>
      </c>
      <c r="B117" s="241" t="s">
        <v>1777</v>
      </c>
      <c r="D117" s="14">
        <v>45781</v>
      </c>
      <c r="E117" s="7"/>
      <c r="F117" s="7"/>
      <c r="G117" s="66"/>
      <c r="H117" s="59"/>
      <c r="I117" s="59"/>
      <c r="J117" s="47">
        <f t="shared" si="17"/>
        <v>0</v>
      </c>
      <c r="K117" s="8">
        <f t="shared" si="21"/>
        <v>0</v>
      </c>
      <c r="L117" s="96" t="str">
        <f t="shared" ref="L117" si="30">IFERROR(K117/J117,"")</f>
        <v/>
      </c>
      <c r="M117" s="81"/>
      <c r="N117" s="8">
        <v>300</v>
      </c>
      <c r="O117" s="8">
        <v>60</v>
      </c>
      <c r="P117" s="96" t="str">
        <f t="shared" ref="P117" si="31">IFERROR((M117/N117*O117)/K117,"")</f>
        <v/>
      </c>
      <c r="Q117" s="59">
        <f t="shared" si="23"/>
        <v>0</v>
      </c>
      <c r="R117" s="59">
        <f t="shared" si="24"/>
        <v>0</v>
      </c>
      <c r="S117" s="65"/>
      <c r="T117" s="65"/>
      <c r="U117" s="65"/>
      <c r="V117" s="65"/>
      <c r="W117" s="65"/>
      <c r="X117" s="65"/>
      <c r="Y117" s="65"/>
      <c r="Z117" s="65"/>
      <c r="AA117" s="65"/>
      <c r="AB117" s="65"/>
      <c r="AC117" s="65"/>
      <c r="AD117" s="65"/>
      <c r="AE117" s="65">
        <f t="shared" si="29"/>
        <v>0</v>
      </c>
      <c r="AF117" s="65"/>
      <c r="AG117" s="248">
        <f t="shared" ref="AG117" si="32">AE117</f>
        <v>0</v>
      </c>
      <c r="AH117" s="95" t="str">
        <f t="shared" si="19"/>
        <v/>
      </c>
      <c r="AI117" s="97" t="str">
        <f t="shared" si="20"/>
        <v/>
      </c>
      <c r="AJ117" s="11"/>
    </row>
    <row r="118" spans="1:41" x14ac:dyDescent="0.25">
      <c r="A118">
        <f t="shared" si="25"/>
        <v>116</v>
      </c>
      <c r="B118" s="241" t="s">
        <v>1777</v>
      </c>
      <c r="D118" s="14">
        <v>45782</v>
      </c>
      <c r="E118" s="7">
        <v>60</v>
      </c>
      <c r="F118" s="7"/>
      <c r="G118" s="66"/>
      <c r="H118" s="59"/>
      <c r="I118" s="59">
        <f>510+455</f>
        <v>965</v>
      </c>
      <c r="J118" s="47">
        <f t="shared" si="17"/>
        <v>965</v>
      </c>
      <c r="K118" s="8">
        <f t="shared" si="21"/>
        <v>905</v>
      </c>
      <c r="L118" s="96">
        <f t="shared" si="28"/>
        <v>0.93782383419689119</v>
      </c>
      <c r="M118" s="81">
        <f>2530+1175+300</f>
        <v>4005</v>
      </c>
      <c r="N118" s="8">
        <v>300</v>
      </c>
      <c r="O118" s="8">
        <v>60</v>
      </c>
      <c r="P118" s="96">
        <f t="shared" si="18"/>
        <v>0.88508287292817678</v>
      </c>
      <c r="Q118" s="59">
        <f t="shared" si="23"/>
        <v>4005</v>
      </c>
      <c r="R118" s="59">
        <f t="shared" si="24"/>
        <v>4023</v>
      </c>
      <c r="S118" s="65"/>
      <c r="T118" s="65"/>
      <c r="U118" s="65"/>
      <c r="V118" s="65"/>
      <c r="W118" s="65">
        <v>18</v>
      </c>
      <c r="X118" s="65"/>
      <c r="Y118" s="65"/>
      <c r="Z118" s="65"/>
      <c r="AA118" s="65"/>
      <c r="AB118" s="65"/>
      <c r="AC118" s="65"/>
      <c r="AD118" s="65"/>
      <c r="AE118" s="65">
        <f t="shared" si="29"/>
        <v>18</v>
      </c>
      <c r="AF118" s="65"/>
      <c r="AG118" s="248">
        <f t="shared" si="26"/>
        <v>18</v>
      </c>
      <c r="AH118" s="95">
        <f t="shared" si="19"/>
        <v>0.99552572706935127</v>
      </c>
      <c r="AI118" s="97">
        <f t="shared" si="20"/>
        <v>0.82633793511145115</v>
      </c>
      <c r="AJ118" s="11" t="s">
        <v>2571</v>
      </c>
      <c r="AK118" t="s">
        <v>2572</v>
      </c>
    </row>
    <row r="119" spans="1:41" x14ac:dyDescent="0.25">
      <c r="A119">
        <f t="shared" si="25"/>
        <v>117</v>
      </c>
      <c r="B119" s="241" t="s">
        <v>1777</v>
      </c>
      <c r="D119" s="14">
        <v>45783</v>
      </c>
      <c r="E119" s="7">
        <v>60</v>
      </c>
      <c r="F119" s="7"/>
      <c r="G119" s="66">
        <f>60+120</f>
        <v>180</v>
      </c>
      <c r="H119" s="59"/>
      <c r="I119" s="59">
        <v>510</v>
      </c>
      <c r="J119" s="47">
        <f t="shared" si="17"/>
        <v>510</v>
      </c>
      <c r="K119" s="8">
        <f t="shared" si="21"/>
        <v>270</v>
      </c>
      <c r="L119" s="96">
        <f t="shared" si="28"/>
        <v>0.52941176470588236</v>
      </c>
      <c r="M119" s="81">
        <f>1715-200</f>
        <v>1515</v>
      </c>
      <c r="N119" s="8">
        <v>300</v>
      </c>
      <c r="O119" s="8">
        <v>60</v>
      </c>
      <c r="P119" s="96">
        <f t="shared" si="18"/>
        <v>1.1222222222222222</v>
      </c>
      <c r="Q119" s="59">
        <f t="shared" si="23"/>
        <v>1515</v>
      </c>
      <c r="R119" s="59">
        <f t="shared" si="24"/>
        <v>1523</v>
      </c>
      <c r="S119" s="65"/>
      <c r="T119" s="65"/>
      <c r="U119" s="65"/>
      <c r="V119" s="65"/>
      <c r="W119" s="65">
        <v>8</v>
      </c>
      <c r="X119" s="65"/>
      <c r="Y119" s="65"/>
      <c r="Z119" s="65"/>
      <c r="AA119" s="65"/>
      <c r="AB119" s="65"/>
      <c r="AC119" s="65"/>
      <c r="AD119" s="65"/>
      <c r="AE119" s="65">
        <f t="shared" si="29"/>
        <v>8</v>
      </c>
      <c r="AF119" s="65"/>
      <c r="AG119" s="248">
        <f t="shared" si="26"/>
        <v>8</v>
      </c>
      <c r="AH119" s="95">
        <f t="shared" si="19"/>
        <v>0.99474720945502293</v>
      </c>
      <c r="AI119" s="97">
        <f t="shared" si="20"/>
        <v>0.590996871499749</v>
      </c>
      <c r="AJ119" s="11" t="s">
        <v>2524</v>
      </c>
    </row>
    <row r="120" spans="1:41" x14ac:dyDescent="0.25">
      <c r="A120">
        <f t="shared" si="25"/>
        <v>118</v>
      </c>
      <c r="B120" s="241" t="s">
        <v>1777</v>
      </c>
      <c r="D120" s="14">
        <v>45784</v>
      </c>
      <c r="E120" s="7">
        <v>60</v>
      </c>
      <c r="F120" s="7"/>
      <c r="G120" s="66"/>
      <c r="H120" s="59"/>
      <c r="I120" s="59">
        <v>510</v>
      </c>
      <c r="J120" s="47">
        <f t="shared" si="17"/>
        <v>510</v>
      </c>
      <c r="K120" s="8">
        <f t="shared" si="21"/>
        <v>450</v>
      </c>
      <c r="L120" s="96">
        <f t="shared" si="28"/>
        <v>0.88235294117647056</v>
      </c>
      <c r="M120" s="81">
        <v>2530</v>
      </c>
      <c r="N120" s="8">
        <v>300</v>
      </c>
      <c r="O120" s="8">
        <v>60</v>
      </c>
      <c r="P120" s="96">
        <f t="shared" si="18"/>
        <v>1.1244444444444444</v>
      </c>
      <c r="Q120" s="59">
        <f t="shared" si="23"/>
        <v>2530</v>
      </c>
      <c r="R120" s="59">
        <f t="shared" si="24"/>
        <v>2545</v>
      </c>
      <c r="S120" s="65"/>
      <c r="T120" s="65"/>
      <c r="U120" s="65"/>
      <c r="V120" s="65"/>
      <c r="W120" s="65">
        <v>15</v>
      </c>
      <c r="X120" s="65"/>
      <c r="Y120" s="65"/>
      <c r="Z120" s="65"/>
      <c r="AA120" s="65"/>
      <c r="AB120" s="65"/>
      <c r="AC120" s="65"/>
      <c r="AD120" s="65"/>
      <c r="AE120" s="65">
        <f t="shared" si="29"/>
        <v>15</v>
      </c>
      <c r="AF120" s="65"/>
      <c r="AG120" s="248">
        <f t="shared" si="26"/>
        <v>15</v>
      </c>
      <c r="AH120" s="95">
        <f t="shared" si="19"/>
        <v>0.9941060903732809</v>
      </c>
      <c r="AI120" s="97">
        <f t="shared" si="20"/>
        <v>0.98630917986054911</v>
      </c>
      <c r="AJ120" s="11" t="s">
        <v>2524</v>
      </c>
    </row>
    <row r="121" spans="1:41" x14ac:dyDescent="0.25">
      <c r="A121">
        <f t="shared" si="25"/>
        <v>119</v>
      </c>
      <c r="B121" s="241" t="s">
        <v>1777</v>
      </c>
      <c r="D121" s="14">
        <v>45785</v>
      </c>
      <c r="E121" s="7">
        <v>60</v>
      </c>
      <c r="F121" s="7"/>
      <c r="G121" s="66"/>
      <c r="H121" s="59"/>
      <c r="I121" s="59">
        <v>510</v>
      </c>
      <c r="J121" s="47">
        <f t="shared" si="17"/>
        <v>510</v>
      </c>
      <c r="K121" s="8">
        <f t="shared" si="21"/>
        <v>450</v>
      </c>
      <c r="L121" s="96">
        <f t="shared" si="28"/>
        <v>0.88235294117647056</v>
      </c>
      <c r="M121" s="81">
        <v>2450</v>
      </c>
      <c r="N121" s="8">
        <v>300</v>
      </c>
      <c r="O121" s="8">
        <v>60</v>
      </c>
      <c r="P121" s="96">
        <f t="shared" si="18"/>
        <v>1.0888888888888888</v>
      </c>
      <c r="Q121" s="59">
        <f t="shared" si="23"/>
        <v>2450</v>
      </c>
      <c r="R121" s="59">
        <f t="shared" si="24"/>
        <v>2464</v>
      </c>
      <c r="S121" s="65"/>
      <c r="T121" s="65"/>
      <c r="U121" s="65"/>
      <c r="V121" s="65"/>
      <c r="W121" s="65">
        <v>14</v>
      </c>
      <c r="X121" s="65"/>
      <c r="Y121" s="65"/>
      <c r="Z121" s="65"/>
      <c r="AA121" s="65"/>
      <c r="AB121" s="65"/>
      <c r="AC121" s="65"/>
      <c r="AD121" s="65"/>
      <c r="AE121" s="65">
        <f t="shared" si="29"/>
        <v>14</v>
      </c>
      <c r="AF121" s="65"/>
      <c r="AG121" s="248">
        <f t="shared" si="26"/>
        <v>14</v>
      </c>
      <c r="AH121" s="95">
        <f t="shared" si="19"/>
        <v>0.99431818181818177</v>
      </c>
      <c r="AI121" s="97">
        <f t="shared" si="20"/>
        <v>0.95532531194295889</v>
      </c>
      <c r="AJ121" s="11" t="s">
        <v>2524</v>
      </c>
    </row>
    <row r="122" spans="1:41" x14ac:dyDescent="0.25">
      <c r="A122">
        <f t="shared" si="25"/>
        <v>120</v>
      </c>
      <c r="B122" s="241" t="s">
        <v>1777</v>
      </c>
      <c r="D122" s="14">
        <v>45786</v>
      </c>
      <c r="E122" s="7">
        <v>60</v>
      </c>
      <c r="F122" s="7"/>
      <c r="G122" s="66"/>
      <c r="H122" s="59"/>
      <c r="I122" s="59">
        <v>510</v>
      </c>
      <c r="J122" s="47">
        <f t="shared" si="17"/>
        <v>510</v>
      </c>
      <c r="K122" s="8">
        <f t="shared" si="21"/>
        <v>450</v>
      </c>
      <c r="L122" s="96">
        <f t="shared" ref="L122:L185" si="33">IFERROR(K122/J122,"")</f>
        <v>0.88235294117647056</v>
      </c>
      <c r="M122" s="81">
        <v>2545</v>
      </c>
      <c r="N122" s="8">
        <v>300</v>
      </c>
      <c r="O122" s="8">
        <v>60</v>
      </c>
      <c r="P122" s="96">
        <f t="shared" ref="P122:P185" si="34">IFERROR((M122/N122*O122)/K122,"")</f>
        <v>1.131111111111111</v>
      </c>
      <c r="Q122" s="59">
        <f t="shared" si="23"/>
        <v>2545</v>
      </c>
      <c r="R122" s="59">
        <f t="shared" si="24"/>
        <v>2559</v>
      </c>
      <c r="S122" s="65"/>
      <c r="T122" s="65"/>
      <c r="U122" s="65"/>
      <c r="V122" s="65"/>
      <c r="W122" s="65">
        <v>14</v>
      </c>
      <c r="X122" s="65"/>
      <c r="Y122" s="65"/>
      <c r="Z122" s="65"/>
      <c r="AA122" s="65"/>
      <c r="AB122" s="65"/>
      <c r="AC122" s="65"/>
      <c r="AD122" s="65"/>
      <c r="AE122" s="65">
        <f t="shared" si="29"/>
        <v>14</v>
      </c>
      <c r="AF122" s="65"/>
      <c r="AG122" s="248">
        <f t="shared" ref="AG122:AG185" si="35">AE122</f>
        <v>14</v>
      </c>
      <c r="AH122" s="95">
        <f t="shared" si="19"/>
        <v>0.99452911293474011</v>
      </c>
      <c r="AI122" s="97">
        <f t="shared" si="20"/>
        <v>0.99257905585055417</v>
      </c>
      <c r="AJ122" s="11" t="s">
        <v>2524</v>
      </c>
    </row>
    <row r="123" spans="1:41" x14ac:dyDescent="0.25">
      <c r="A123">
        <f t="shared" si="25"/>
        <v>121</v>
      </c>
      <c r="B123" s="241" t="s">
        <v>1777</v>
      </c>
      <c r="D123" s="14">
        <v>45790</v>
      </c>
      <c r="E123" s="7">
        <v>30</v>
      </c>
      <c r="F123" s="7"/>
      <c r="G123" s="66"/>
      <c r="H123" s="59"/>
      <c r="I123" s="59">
        <v>510</v>
      </c>
      <c r="J123" s="47">
        <f t="shared" si="17"/>
        <v>510</v>
      </c>
      <c r="K123" s="8">
        <f t="shared" si="21"/>
        <v>480</v>
      </c>
      <c r="L123" s="96">
        <f t="shared" si="33"/>
        <v>0.94117647058823528</v>
      </c>
      <c r="M123" s="81">
        <v>2630</v>
      </c>
      <c r="N123" s="8">
        <v>300</v>
      </c>
      <c r="O123" s="8">
        <v>60</v>
      </c>
      <c r="P123" s="96">
        <f t="shared" si="34"/>
        <v>1.0958333333333334</v>
      </c>
      <c r="Q123" s="59">
        <f t="shared" si="23"/>
        <v>2630</v>
      </c>
      <c r="R123" s="59">
        <f t="shared" si="24"/>
        <v>2645</v>
      </c>
      <c r="S123" s="65"/>
      <c r="T123" s="65"/>
      <c r="U123" s="65"/>
      <c r="V123" s="65"/>
      <c r="W123" s="65">
        <v>15</v>
      </c>
      <c r="X123" s="65"/>
      <c r="Y123" s="65"/>
      <c r="Z123" s="65"/>
      <c r="AA123" s="65"/>
      <c r="AB123" s="65"/>
      <c r="AC123" s="65"/>
      <c r="AD123" s="65"/>
      <c r="AE123" s="65">
        <f t="shared" si="29"/>
        <v>15</v>
      </c>
      <c r="AF123" s="65"/>
      <c r="AG123" s="248">
        <f t="shared" si="35"/>
        <v>15</v>
      </c>
      <c r="AH123" s="95">
        <f t="shared" si="19"/>
        <v>0.99432892249527405</v>
      </c>
      <c r="AI123" s="97">
        <f t="shared" si="20"/>
        <v>1.025523555357871</v>
      </c>
      <c r="AJ123" s="11" t="s">
        <v>2524</v>
      </c>
    </row>
    <row r="124" spans="1:41" x14ac:dyDescent="0.25">
      <c r="A124">
        <f t="shared" si="25"/>
        <v>122</v>
      </c>
      <c r="B124" s="241" t="s">
        <v>1777</v>
      </c>
      <c r="D124" s="14">
        <v>45791</v>
      </c>
      <c r="E124" s="7">
        <v>30</v>
      </c>
      <c r="F124" s="7"/>
      <c r="G124" s="66"/>
      <c r="H124" s="59">
        <v>60</v>
      </c>
      <c r="I124" s="59">
        <v>510</v>
      </c>
      <c r="J124" s="47">
        <f t="shared" si="17"/>
        <v>570</v>
      </c>
      <c r="K124" s="8">
        <f t="shared" si="21"/>
        <v>540</v>
      </c>
      <c r="L124" s="96">
        <f t="shared" si="33"/>
        <v>0.94736842105263153</v>
      </c>
      <c r="M124" s="81">
        <f>373+3000</f>
        <v>3373</v>
      </c>
      <c r="N124" s="8">
        <v>300</v>
      </c>
      <c r="O124" s="8">
        <v>60</v>
      </c>
      <c r="P124" s="96">
        <f t="shared" si="34"/>
        <v>1.2492592592592593</v>
      </c>
      <c r="Q124" s="59">
        <f t="shared" si="23"/>
        <v>3373</v>
      </c>
      <c r="R124" s="59">
        <f t="shared" si="24"/>
        <v>3391</v>
      </c>
      <c r="S124" s="65"/>
      <c r="T124" s="65"/>
      <c r="U124" s="65"/>
      <c r="V124" s="65"/>
      <c r="W124" s="65">
        <v>18</v>
      </c>
      <c r="X124" s="65"/>
      <c r="Y124" s="65"/>
      <c r="Z124" s="65"/>
      <c r="AA124" s="65"/>
      <c r="AB124" s="65"/>
      <c r="AC124" s="65"/>
      <c r="AD124" s="65"/>
      <c r="AE124" s="65">
        <f t="shared" si="29"/>
        <v>18</v>
      </c>
      <c r="AF124" s="65"/>
      <c r="AG124" s="248">
        <f t="shared" si="35"/>
        <v>18</v>
      </c>
      <c r="AH124" s="95">
        <f t="shared" si="19"/>
        <v>0.99469183131819527</v>
      </c>
      <c r="AI124" s="97">
        <f t="shared" si="20"/>
        <v>1.1772265077320254</v>
      </c>
      <c r="AJ124" s="11" t="s">
        <v>2524</v>
      </c>
      <c r="AK124" t="s">
        <v>2533</v>
      </c>
    </row>
    <row r="125" spans="1:41" x14ac:dyDescent="0.25">
      <c r="A125">
        <f t="shared" si="25"/>
        <v>123</v>
      </c>
      <c r="B125" s="241" t="s">
        <v>1777</v>
      </c>
      <c r="D125" s="14">
        <v>45792</v>
      </c>
      <c r="E125" s="7">
        <v>30</v>
      </c>
      <c r="F125" s="7">
        <f>60*3</f>
        <v>180</v>
      </c>
      <c r="G125" s="66"/>
      <c r="H125" s="59"/>
      <c r="I125" s="59">
        <f>510+180+120</f>
        <v>810</v>
      </c>
      <c r="J125" s="47">
        <f t="shared" si="17"/>
        <v>810</v>
      </c>
      <c r="K125" s="8">
        <f t="shared" si="21"/>
        <v>600</v>
      </c>
      <c r="L125" s="96">
        <f t="shared" si="33"/>
        <v>0.7407407407407407</v>
      </c>
      <c r="M125" s="81">
        <f>590+350+2180</f>
        <v>3120</v>
      </c>
      <c r="N125" s="8">
        <v>300</v>
      </c>
      <c r="O125" s="8">
        <v>60</v>
      </c>
      <c r="P125" s="96">
        <f t="shared" si="34"/>
        <v>1.04</v>
      </c>
      <c r="Q125" s="59">
        <f t="shared" si="23"/>
        <v>3120</v>
      </c>
      <c r="R125" s="59">
        <f t="shared" si="24"/>
        <v>3120</v>
      </c>
      <c r="S125" s="65"/>
      <c r="T125" s="65"/>
      <c r="U125" s="65"/>
      <c r="V125" s="65"/>
      <c r="W125" s="65"/>
      <c r="X125" s="65"/>
      <c r="Y125" s="65"/>
      <c r="Z125" s="65"/>
      <c r="AA125" s="65"/>
      <c r="AB125" s="65"/>
      <c r="AC125" s="65"/>
      <c r="AD125" s="65"/>
      <c r="AE125" s="65">
        <f t="shared" si="29"/>
        <v>0</v>
      </c>
      <c r="AF125" s="65"/>
      <c r="AG125" s="248">
        <f t="shared" si="35"/>
        <v>0</v>
      </c>
      <c r="AH125" s="95">
        <f t="shared" si="19"/>
        <v>1</v>
      </c>
      <c r="AI125" s="97">
        <f t="shared" si="20"/>
        <v>0.77037037037037037</v>
      </c>
      <c r="AJ125" s="11" t="s">
        <v>2524</v>
      </c>
      <c r="AK125" t="s">
        <v>2575</v>
      </c>
    </row>
    <row r="126" spans="1:41" x14ac:dyDescent="0.25">
      <c r="A126">
        <f t="shared" si="25"/>
        <v>124</v>
      </c>
      <c r="B126" s="241" t="s">
        <v>1777</v>
      </c>
      <c r="D126" s="14">
        <v>45793</v>
      </c>
      <c r="E126" s="7">
        <v>60</v>
      </c>
      <c r="F126" s="7"/>
      <c r="G126" s="66"/>
      <c r="H126" s="59"/>
      <c r="I126" s="59">
        <f>510+455</f>
        <v>965</v>
      </c>
      <c r="J126" s="47">
        <f t="shared" si="17"/>
        <v>965</v>
      </c>
      <c r="K126" s="8">
        <f t="shared" si="21"/>
        <v>905</v>
      </c>
      <c r="L126" s="96">
        <f t="shared" si="33"/>
        <v>0.93782383419689119</v>
      </c>
      <c r="M126" s="81">
        <f>2600+2900</f>
        <v>5500</v>
      </c>
      <c r="N126" s="8">
        <v>300</v>
      </c>
      <c r="O126" s="8">
        <v>60</v>
      </c>
      <c r="P126" s="96">
        <f t="shared" si="34"/>
        <v>1.2154696132596685</v>
      </c>
      <c r="Q126" s="59">
        <f t="shared" si="23"/>
        <v>5500</v>
      </c>
      <c r="R126" s="59">
        <f t="shared" si="24"/>
        <v>5515</v>
      </c>
      <c r="S126" s="65"/>
      <c r="T126" s="65"/>
      <c r="U126" s="65"/>
      <c r="V126" s="65"/>
      <c r="W126" s="65">
        <v>15</v>
      </c>
      <c r="X126" s="65"/>
      <c r="Y126" s="65"/>
      <c r="Z126" s="65"/>
      <c r="AA126" s="65"/>
      <c r="AB126" s="65"/>
      <c r="AC126" s="65"/>
      <c r="AD126" s="65"/>
      <c r="AE126" s="65">
        <f t="shared" si="29"/>
        <v>15</v>
      </c>
      <c r="AF126" s="65"/>
      <c r="AG126" s="248">
        <f t="shared" si="35"/>
        <v>15</v>
      </c>
      <c r="AH126" s="95">
        <f t="shared" si="19"/>
        <v>0.99728014505893015</v>
      </c>
      <c r="AI126" s="97">
        <f t="shared" si="20"/>
        <v>1.1367960202744283</v>
      </c>
      <c r="AJ126" s="11" t="s">
        <v>1796</v>
      </c>
      <c r="AK126">
        <v>434</v>
      </c>
    </row>
    <row r="127" spans="1:41" x14ac:dyDescent="0.25">
      <c r="A127">
        <f t="shared" si="25"/>
        <v>125</v>
      </c>
      <c r="B127" s="241" t="s">
        <v>1777</v>
      </c>
      <c r="D127" s="14">
        <v>45794</v>
      </c>
      <c r="E127" s="7"/>
      <c r="F127" s="7"/>
      <c r="G127" s="66"/>
      <c r="H127" s="59"/>
      <c r="I127" s="59">
        <f>60*7</f>
        <v>420</v>
      </c>
      <c r="J127" s="47">
        <f t="shared" si="17"/>
        <v>420</v>
      </c>
      <c r="K127" s="8">
        <f t="shared" si="21"/>
        <v>420</v>
      </c>
      <c r="L127" s="96">
        <f t="shared" si="33"/>
        <v>1</v>
      </c>
      <c r="M127" s="81">
        <v>2000</v>
      </c>
      <c r="N127" s="8">
        <v>300</v>
      </c>
      <c r="O127" s="8">
        <v>60</v>
      </c>
      <c r="P127" s="96">
        <f t="shared" si="34"/>
        <v>0.95238095238095233</v>
      </c>
      <c r="Q127" s="59">
        <f t="shared" si="23"/>
        <v>2000</v>
      </c>
      <c r="R127" s="59">
        <f t="shared" si="24"/>
        <v>2015</v>
      </c>
      <c r="S127" s="65"/>
      <c r="T127" s="65"/>
      <c r="U127" s="65"/>
      <c r="V127" s="65"/>
      <c r="W127" s="65">
        <v>15</v>
      </c>
      <c r="X127" s="65"/>
      <c r="Y127" s="65"/>
      <c r="Z127" s="65"/>
      <c r="AA127" s="65"/>
      <c r="AB127" s="65"/>
      <c r="AC127" s="65"/>
      <c r="AD127" s="65"/>
      <c r="AE127" s="65">
        <f t="shared" si="29"/>
        <v>15</v>
      </c>
      <c r="AF127" s="65"/>
      <c r="AG127" s="248">
        <f t="shared" si="35"/>
        <v>15</v>
      </c>
      <c r="AH127" s="95">
        <f t="shared" si="19"/>
        <v>0.99255583126550873</v>
      </c>
      <c r="AI127" s="97">
        <f t="shared" si="20"/>
        <v>0.94529126787191298</v>
      </c>
      <c r="AJ127" s="11" t="s">
        <v>2516</v>
      </c>
      <c r="AO127">
        <f ca="1">AO127</f>
        <v>0</v>
      </c>
    </row>
    <row r="128" spans="1:41" x14ac:dyDescent="0.25">
      <c r="A128">
        <f t="shared" si="25"/>
        <v>126</v>
      </c>
      <c r="B128" s="241" t="s">
        <v>1777</v>
      </c>
      <c r="D128" s="14">
        <v>45796</v>
      </c>
      <c r="E128" s="7">
        <v>60</v>
      </c>
      <c r="F128" s="7"/>
      <c r="G128" s="66"/>
      <c r="H128" s="59"/>
      <c r="I128" s="59">
        <f>510+445</f>
        <v>955</v>
      </c>
      <c r="J128" s="47">
        <f t="shared" si="17"/>
        <v>955</v>
      </c>
      <c r="K128" s="8">
        <f t="shared" si="21"/>
        <v>895</v>
      </c>
      <c r="L128" s="96">
        <f t="shared" si="33"/>
        <v>0.93717277486910999</v>
      </c>
      <c r="M128" s="81">
        <f>2300+2160</f>
        <v>4460</v>
      </c>
      <c r="N128" s="8">
        <v>300</v>
      </c>
      <c r="O128" s="8">
        <v>60</v>
      </c>
      <c r="P128" s="96">
        <f t="shared" si="34"/>
        <v>0.99664804469273738</v>
      </c>
      <c r="Q128" s="59">
        <f t="shared" si="23"/>
        <v>4460</v>
      </c>
      <c r="R128" s="59">
        <f t="shared" si="24"/>
        <v>4493</v>
      </c>
      <c r="S128" s="65">
        <v>1</v>
      </c>
      <c r="T128" s="65">
        <v>6</v>
      </c>
      <c r="U128" s="65"/>
      <c r="V128" s="65"/>
      <c r="W128" s="65">
        <f>13+13</f>
        <v>26</v>
      </c>
      <c r="X128" s="65"/>
      <c r="Y128" s="65"/>
      <c r="Z128" s="65"/>
      <c r="AA128" s="65"/>
      <c r="AB128" s="65"/>
      <c r="AC128" s="65"/>
      <c r="AD128" s="65"/>
      <c r="AE128" s="65">
        <f t="shared" si="29"/>
        <v>33</v>
      </c>
      <c r="AF128" s="65"/>
      <c r="AG128" s="248">
        <f t="shared" si="35"/>
        <v>33</v>
      </c>
      <c r="AH128" s="95">
        <f t="shared" si="19"/>
        <v>0.99265524148675721</v>
      </c>
      <c r="AI128" s="97">
        <f t="shared" si="20"/>
        <v>0.92717117843579833</v>
      </c>
      <c r="AJ128" s="11" t="s">
        <v>2524</v>
      </c>
      <c r="AK128" t="s">
        <v>2572</v>
      </c>
    </row>
    <row r="129" spans="1:38" x14ac:dyDescent="0.25">
      <c r="A129">
        <f t="shared" si="25"/>
        <v>127</v>
      </c>
      <c r="B129" s="241" t="s">
        <v>1777</v>
      </c>
      <c r="D129" s="14">
        <v>45797</v>
      </c>
      <c r="E129" s="7">
        <v>40</v>
      </c>
      <c r="F129" s="7"/>
      <c r="G129" s="66"/>
      <c r="H129" s="59"/>
      <c r="I129" s="59">
        <f>510+360</f>
        <v>870</v>
      </c>
      <c r="J129" s="47">
        <f t="shared" si="17"/>
        <v>870</v>
      </c>
      <c r="K129" s="8">
        <f t="shared" si="21"/>
        <v>830</v>
      </c>
      <c r="L129" s="96">
        <f t="shared" si="33"/>
        <v>0.95402298850574707</v>
      </c>
      <c r="M129" s="81">
        <f>2750+1635</f>
        <v>4385</v>
      </c>
      <c r="N129" s="8">
        <v>300</v>
      </c>
      <c r="O129" s="8">
        <v>60</v>
      </c>
      <c r="P129" s="96">
        <f t="shared" si="34"/>
        <v>1.0566265060240965</v>
      </c>
      <c r="Q129" s="59">
        <f t="shared" si="23"/>
        <v>4385</v>
      </c>
      <c r="R129" s="59">
        <f t="shared" si="24"/>
        <v>4409</v>
      </c>
      <c r="S129" s="65"/>
      <c r="T129" s="65"/>
      <c r="U129" s="65"/>
      <c r="V129" s="65"/>
      <c r="W129" s="65">
        <f>16+8</f>
        <v>24</v>
      </c>
      <c r="X129" s="65"/>
      <c r="Y129" s="65"/>
      <c r="Z129" s="65"/>
      <c r="AA129" s="65"/>
      <c r="AB129" s="65"/>
      <c r="AC129" s="65"/>
      <c r="AD129" s="65"/>
      <c r="AE129" s="65">
        <f t="shared" si="29"/>
        <v>24</v>
      </c>
      <c r="AF129" s="65"/>
      <c r="AG129" s="248">
        <f t="shared" si="35"/>
        <v>24</v>
      </c>
      <c r="AH129" s="95">
        <f t="shared" si="19"/>
        <v>0.99455658879564524</v>
      </c>
      <c r="AI129" s="97">
        <f t="shared" si="20"/>
        <v>1.0025587682457251</v>
      </c>
      <c r="AJ129" s="11" t="s">
        <v>1796</v>
      </c>
      <c r="AK129" t="s">
        <v>2576</v>
      </c>
    </row>
    <row r="130" spans="1:38" x14ac:dyDescent="0.25">
      <c r="A130">
        <f t="shared" si="25"/>
        <v>128</v>
      </c>
      <c r="B130" s="241" t="s">
        <v>1777</v>
      </c>
      <c r="D130" s="14">
        <v>45798</v>
      </c>
      <c r="E130" s="7">
        <v>40</v>
      </c>
      <c r="F130" s="7"/>
      <c r="G130" s="66"/>
      <c r="H130" s="59"/>
      <c r="I130" s="59">
        <v>510</v>
      </c>
      <c r="J130" s="47">
        <f t="shared" si="17"/>
        <v>510</v>
      </c>
      <c r="K130" s="8">
        <f t="shared" si="21"/>
        <v>470</v>
      </c>
      <c r="L130" s="96">
        <f t="shared" si="33"/>
        <v>0.92156862745098034</v>
      </c>
      <c r="M130" s="81">
        <v>2360</v>
      </c>
      <c r="N130" s="8">
        <v>300</v>
      </c>
      <c r="O130" s="8">
        <v>60</v>
      </c>
      <c r="P130" s="96">
        <f t="shared" si="34"/>
        <v>1.0042553191489361</v>
      </c>
      <c r="Q130" s="59">
        <f t="shared" si="23"/>
        <v>2360</v>
      </c>
      <c r="R130" s="59">
        <f t="shared" si="24"/>
        <v>2373</v>
      </c>
      <c r="S130" s="65"/>
      <c r="T130" s="65"/>
      <c r="U130" s="65"/>
      <c r="V130" s="65"/>
      <c r="W130" s="65">
        <v>13</v>
      </c>
      <c r="X130" s="65"/>
      <c r="Y130" s="65"/>
      <c r="Z130" s="65"/>
      <c r="AA130" s="65"/>
      <c r="AB130" s="65"/>
      <c r="AC130" s="65"/>
      <c r="AD130" s="65"/>
      <c r="AE130" s="65">
        <f t="shared" si="29"/>
        <v>13</v>
      </c>
      <c r="AF130" s="65"/>
      <c r="AG130" s="248">
        <f t="shared" si="35"/>
        <v>13</v>
      </c>
      <c r="AH130" s="95">
        <f t="shared" si="19"/>
        <v>0.99452170248630423</v>
      </c>
      <c r="AI130" s="97">
        <f t="shared" si="20"/>
        <v>0.92042008543830489</v>
      </c>
      <c r="AJ130" s="11" t="s">
        <v>2577</v>
      </c>
    </row>
    <row r="131" spans="1:38" x14ac:dyDescent="0.25">
      <c r="A131">
        <f t="shared" si="25"/>
        <v>129</v>
      </c>
      <c r="B131" s="241" t="s">
        <v>1777</v>
      </c>
      <c r="D131" s="14">
        <v>45799</v>
      </c>
      <c r="E131" s="7">
        <v>30</v>
      </c>
      <c r="F131" s="7"/>
      <c r="G131" s="66"/>
      <c r="H131" s="59"/>
      <c r="I131" s="59">
        <v>510</v>
      </c>
      <c r="J131" s="47">
        <f t="shared" ref="J131:J194" si="36">I131+H131</f>
        <v>510</v>
      </c>
      <c r="K131" s="8">
        <f t="shared" si="21"/>
        <v>480</v>
      </c>
      <c r="L131" s="96">
        <f t="shared" si="33"/>
        <v>0.94117647058823528</v>
      </c>
      <c r="M131" s="81">
        <v>1600</v>
      </c>
      <c r="N131" s="8">
        <v>300</v>
      </c>
      <c r="O131" s="8">
        <v>60</v>
      </c>
      <c r="P131" s="96">
        <f t="shared" si="34"/>
        <v>0.66666666666666663</v>
      </c>
      <c r="Q131" s="59">
        <f t="shared" si="23"/>
        <v>1600</v>
      </c>
      <c r="R131" s="59">
        <f t="shared" si="24"/>
        <v>1612</v>
      </c>
      <c r="S131" s="65"/>
      <c r="T131" s="65"/>
      <c r="U131" s="65"/>
      <c r="V131" s="65">
        <v>5</v>
      </c>
      <c r="W131" s="65">
        <v>7</v>
      </c>
      <c r="X131" s="65"/>
      <c r="Y131" s="65"/>
      <c r="Z131" s="65"/>
      <c r="AA131" s="65"/>
      <c r="AB131" s="65"/>
      <c r="AC131" s="65"/>
      <c r="AD131" s="65"/>
      <c r="AE131" s="65">
        <f t="shared" si="29"/>
        <v>12</v>
      </c>
      <c r="AF131" s="65"/>
      <c r="AG131" s="248">
        <f t="shared" si="35"/>
        <v>12</v>
      </c>
      <c r="AH131" s="95">
        <f t="shared" ref="AH131:AH194" si="37">IFERROR(Q131/R131,"")</f>
        <v>0.99255583126550873</v>
      </c>
      <c r="AI131" s="97">
        <f t="shared" ref="AI131:AI194" si="38">IFERROR(AH131*P131*L131,"")</f>
        <v>0.62278012942149563</v>
      </c>
      <c r="AJ131" s="11" t="s">
        <v>2524</v>
      </c>
    </row>
    <row r="132" spans="1:38" x14ac:dyDescent="0.25">
      <c r="A132">
        <f t="shared" si="25"/>
        <v>130</v>
      </c>
      <c r="B132" s="241" t="s">
        <v>1777</v>
      </c>
      <c r="D132" s="14">
        <v>45800</v>
      </c>
      <c r="E132" s="7">
        <v>30</v>
      </c>
      <c r="F132" s="7"/>
      <c r="G132" s="66"/>
      <c r="H132" s="59"/>
      <c r="I132" s="59">
        <f>510+445</f>
        <v>955</v>
      </c>
      <c r="J132" s="47">
        <f t="shared" si="36"/>
        <v>955</v>
      </c>
      <c r="K132" s="8">
        <f t="shared" ref="K132:K195" si="39">IFERROR(J132-E132-F132-G132,"")</f>
        <v>925</v>
      </c>
      <c r="L132" s="96">
        <f t="shared" si="33"/>
        <v>0.96858638743455494</v>
      </c>
      <c r="M132" s="81">
        <f>1750+2501</f>
        <v>4251</v>
      </c>
      <c r="N132" s="8">
        <v>300</v>
      </c>
      <c r="O132" s="8">
        <v>60</v>
      </c>
      <c r="P132" s="96">
        <f t="shared" si="34"/>
        <v>0.91913513513513523</v>
      </c>
      <c r="Q132" s="59">
        <f t="shared" ref="Q132:Q195" si="40">M132</f>
        <v>4251</v>
      </c>
      <c r="R132" s="59">
        <f t="shared" ref="R132:R195" si="41">Q132+AE132</f>
        <v>4267</v>
      </c>
      <c r="S132" s="65"/>
      <c r="T132" s="65"/>
      <c r="U132" s="65"/>
      <c r="V132" s="65"/>
      <c r="W132" s="65">
        <v>16</v>
      </c>
      <c r="X132" s="65"/>
      <c r="Y132" s="65"/>
      <c r="Z132" s="65"/>
      <c r="AA132" s="65"/>
      <c r="AB132" s="65"/>
      <c r="AC132" s="65"/>
      <c r="AD132" s="65"/>
      <c r="AE132" s="65">
        <f t="shared" si="29"/>
        <v>16</v>
      </c>
      <c r="AF132" s="65"/>
      <c r="AG132" s="248">
        <f t="shared" si="35"/>
        <v>16</v>
      </c>
      <c r="AH132" s="95">
        <f t="shared" si="37"/>
        <v>0.99625029294586365</v>
      </c>
      <c r="AI132" s="97">
        <f t="shared" si="38"/>
        <v>0.8869235592278254</v>
      </c>
      <c r="AJ132" s="11" t="s">
        <v>2524</v>
      </c>
      <c r="AK132" t="s">
        <v>2572</v>
      </c>
    </row>
    <row r="133" spans="1:38" x14ac:dyDescent="0.25">
      <c r="A133">
        <f t="shared" ref="A133:A196" si="42">A132+1</f>
        <v>131</v>
      </c>
      <c r="B133" s="241" t="s">
        <v>1777</v>
      </c>
      <c r="D133" s="14">
        <v>45801</v>
      </c>
      <c r="E133" s="7"/>
      <c r="F133" s="7"/>
      <c r="G133" s="66"/>
      <c r="H133" s="59"/>
      <c r="I133" s="59"/>
      <c r="J133" s="47">
        <f t="shared" si="36"/>
        <v>0</v>
      </c>
      <c r="K133" s="8">
        <f t="shared" si="39"/>
        <v>0</v>
      </c>
      <c r="L133" s="96" t="str">
        <f t="shared" si="33"/>
        <v/>
      </c>
      <c r="M133" s="81"/>
      <c r="N133" s="8">
        <v>300</v>
      </c>
      <c r="O133" s="8">
        <v>60</v>
      </c>
      <c r="P133" s="96" t="str">
        <f t="shared" si="34"/>
        <v/>
      </c>
      <c r="Q133" s="59">
        <f t="shared" si="40"/>
        <v>0</v>
      </c>
      <c r="R133" s="59">
        <f t="shared" si="41"/>
        <v>0</v>
      </c>
      <c r="S133" s="65"/>
      <c r="T133" s="65"/>
      <c r="U133" s="65"/>
      <c r="V133" s="65"/>
      <c r="W133" s="65"/>
      <c r="X133" s="65"/>
      <c r="Y133" s="65"/>
      <c r="Z133" s="65"/>
      <c r="AA133" s="65"/>
      <c r="AB133" s="65"/>
      <c r="AC133" s="65"/>
      <c r="AD133" s="65"/>
      <c r="AE133" s="65">
        <f t="shared" si="29"/>
        <v>0</v>
      </c>
      <c r="AF133" s="65"/>
      <c r="AG133" s="248">
        <f t="shared" si="35"/>
        <v>0</v>
      </c>
      <c r="AH133" s="95" t="str">
        <f t="shared" si="37"/>
        <v/>
      </c>
      <c r="AI133" s="97" t="str">
        <f t="shared" si="38"/>
        <v/>
      </c>
      <c r="AJ133" s="11"/>
    </row>
    <row r="134" spans="1:38" x14ac:dyDescent="0.25">
      <c r="A134">
        <f t="shared" si="42"/>
        <v>132</v>
      </c>
      <c r="B134" s="241" t="s">
        <v>1777</v>
      </c>
      <c r="D134" s="14">
        <v>45802</v>
      </c>
      <c r="E134" s="7"/>
      <c r="F134" s="7"/>
      <c r="G134" s="66"/>
      <c r="H134" s="59"/>
      <c r="I134" s="59"/>
      <c r="J134" s="47">
        <f t="shared" si="36"/>
        <v>0</v>
      </c>
      <c r="K134" s="8">
        <f t="shared" si="39"/>
        <v>0</v>
      </c>
      <c r="L134" s="96" t="str">
        <f t="shared" si="33"/>
        <v/>
      </c>
      <c r="M134" s="81"/>
      <c r="N134" s="8">
        <v>300</v>
      </c>
      <c r="O134" s="8">
        <v>60</v>
      </c>
      <c r="P134" s="96" t="str">
        <f t="shared" si="34"/>
        <v/>
      </c>
      <c r="Q134" s="59">
        <f t="shared" si="40"/>
        <v>0</v>
      </c>
      <c r="R134" s="59">
        <f t="shared" si="41"/>
        <v>0</v>
      </c>
      <c r="S134" s="65"/>
      <c r="T134" s="65"/>
      <c r="U134" s="65"/>
      <c r="V134" s="65"/>
      <c r="W134" s="65"/>
      <c r="X134" s="65"/>
      <c r="Y134" s="65"/>
      <c r="Z134" s="65"/>
      <c r="AA134" s="65"/>
      <c r="AB134" s="65"/>
      <c r="AC134" s="65"/>
      <c r="AD134" s="65"/>
      <c r="AE134" s="65">
        <f t="shared" si="29"/>
        <v>0</v>
      </c>
      <c r="AF134" s="65"/>
      <c r="AG134" s="248">
        <f t="shared" si="35"/>
        <v>0</v>
      </c>
      <c r="AH134" s="95" t="str">
        <f t="shared" si="37"/>
        <v/>
      </c>
      <c r="AI134" s="97" t="str">
        <f t="shared" si="38"/>
        <v/>
      </c>
      <c r="AJ134" s="11"/>
    </row>
    <row r="135" spans="1:38" x14ac:dyDescent="0.25">
      <c r="A135">
        <f t="shared" si="42"/>
        <v>133</v>
      </c>
      <c r="B135" s="241" t="s">
        <v>1777</v>
      </c>
      <c r="D135" s="14">
        <v>45803</v>
      </c>
      <c r="E135" s="7"/>
      <c r="F135" s="7"/>
      <c r="G135" s="66"/>
      <c r="H135" s="59"/>
      <c r="I135" s="59"/>
      <c r="J135" s="47">
        <f t="shared" si="36"/>
        <v>0</v>
      </c>
      <c r="K135" s="8">
        <f t="shared" si="39"/>
        <v>0</v>
      </c>
      <c r="L135" s="96" t="str">
        <f t="shared" si="33"/>
        <v/>
      </c>
      <c r="M135" s="81"/>
      <c r="N135" s="8">
        <v>300</v>
      </c>
      <c r="O135" s="8">
        <v>60</v>
      </c>
      <c r="P135" s="96" t="str">
        <f t="shared" si="34"/>
        <v/>
      </c>
      <c r="Q135" s="59">
        <f t="shared" si="40"/>
        <v>0</v>
      </c>
      <c r="R135" s="59">
        <f t="shared" si="41"/>
        <v>0</v>
      </c>
      <c r="S135" s="65"/>
      <c r="T135" s="65"/>
      <c r="U135" s="65"/>
      <c r="V135" s="65"/>
      <c r="W135" s="65"/>
      <c r="X135" s="65"/>
      <c r="Y135" s="65"/>
      <c r="Z135" s="65"/>
      <c r="AA135" s="65"/>
      <c r="AB135" s="65"/>
      <c r="AC135" s="65"/>
      <c r="AD135" s="65"/>
      <c r="AE135" s="65">
        <f t="shared" si="29"/>
        <v>0</v>
      </c>
      <c r="AF135" s="65"/>
      <c r="AG135" s="248">
        <f t="shared" si="35"/>
        <v>0</v>
      </c>
      <c r="AH135" s="95" t="str">
        <f t="shared" si="37"/>
        <v/>
      </c>
      <c r="AI135" s="97" t="str">
        <f t="shared" si="38"/>
        <v/>
      </c>
      <c r="AJ135" s="11"/>
    </row>
    <row r="136" spans="1:38" x14ac:dyDescent="0.25">
      <c r="A136">
        <f t="shared" si="42"/>
        <v>134</v>
      </c>
      <c r="B136" s="241" t="s">
        <v>1777</v>
      </c>
      <c r="D136" s="14">
        <v>45804</v>
      </c>
      <c r="E136" s="7">
        <v>30</v>
      </c>
      <c r="F136" s="7"/>
      <c r="G136" s="66"/>
      <c r="H136" s="59"/>
      <c r="I136" s="59">
        <f>510</f>
        <v>510</v>
      </c>
      <c r="J136" s="47">
        <f t="shared" si="36"/>
        <v>510</v>
      </c>
      <c r="K136" s="8">
        <f t="shared" si="39"/>
        <v>480</v>
      </c>
      <c r="L136" s="96">
        <f t="shared" si="33"/>
        <v>0.94117647058823528</v>
      </c>
      <c r="M136" s="81">
        <f>2450</f>
        <v>2450</v>
      </c>
      <c r="N136" s="8">
        <v>300</v>
      </c>
      <c r="O136" s="8">
        <v>60</v>
      </c>
      <c r="P136" s="96">
        <f t="shared" si="34"/>
        <v>1.0208333333333333</v>
      </c>
      <c r="Q136" s="59">
        <f t="shared" si="40"/>
        <v>2450</v>
      </c>
      <c r="R136" s="59">
        <f t="shared" si="41"/>
        <v>2464</v>
      </c>
      <c r="S136" s="65"/>
      <c r="T136" s="65"/>
      <c r="U136" s="65"/>
      <c r="V136" s="65"/>
      <c r="W136" s="65">
        <v>14</v>
      </c>
      <c r="X136" s="65"/>
      <c r="Y136" s="65"/>
      <c r="Z136" s="65"/>
      <c r="AA136" s="65"/>
      <c r="AB136" s="65"/>
      <c r="AC136" s="65"/>
      <c r="AD136" s="65"/>
      <c r="AE136" s="65">
        <f t="shared" si="29"/>
        <v>14</v>
      </c>
      <c r="AF136" s="65"/>
      <c r="AG136" s="248">
        <f t="shared" si="35"/>
        <v>14</v>
      </c>
      <c r="AH136" s="95">
        <f t="shared" si="37"/>
        <v>0.99431818181818177</v>
      </c>
      <c r="AI136" s="97">
        <f t="shared" si="38"/>
        <v>0.95532531194295889</v>
      </c>
      <c r="AJ136" s="11" t="s">
        <v>2524</v>
      </c>
    </row>
    <row r="137" spans="1:38" x14ac:dyDescent="0.25">
      <c r="A137">
        <f t="shared" si="42"/>
        <v>135</v>
      </c>
      <c r="B137" s="241" t="s">
        <v>1777</v>
      </c>
      <c r="D137" s="14">
        <v>45805</v>
      </c>
      <c r="E137" s="7">
        <v>60</v>
      </c>
      <c r="F137" s="7"/>
      <c r="G137" s="66"/>
      <c r="H137" s="59"/>
      <c r="I137" s="59">
        <v>510</v>
      </c>
      <c r="J137" s="47">
        <f t="shared" si="36"/>
        <v>510</v>
      </c>
      <c r="K137" s="8">
        <f t="shared" si="39"/>
        <v>450</v>
      </c>
      <c r="L137" s="96">
        <f t="shared" si="33"/>
        <v>0.88235294117647056</v>
      </c>
      <c r="M137" s="81">
        <v>2550</v>
      </c>
      <c r="N137" s="8">
        <v>300</v>
      </c>
      <c r="O137" s="8">
        <v>60</v>
      </c>
      <c r="P137" s="96">
        <f t="shared" si="34"/>
        <v>1.1333333333333333</v>
      </c>
      <c r="Q137" s="59">
        <f t="shared" si="40"/>
        <v>2550</v>
      </c>
      <c r="R137" s="59">
        <f t="shared" si="41"/>
        <v>2565</v>
      </c>
      <c r="S137" s="65"/>
      <c r="T137" s="65"/>
      <c r="U137" s="65"/>
      <c r="V137" s="65"/>
      <c r="W137" s="65">
        <v>15</v>
      </c>
      <c r="X137" s="65"/>
      <c r="Y137" s="65"/>
      <c r="Z137" s="65"/>
      <c r="AA137" s="65"/>
      <c r="AB137" s="65"/>
      <c r="AC137" s="65"/>
      <c r="AD137" s="65"/>
      <c r="AE137" s="65">
        <f t="shared" si="29"/>
        <v>15</v>
      </c>
      <c r="AF137" s="65"/>
      <c r="AG137" s="248">
        <f t="shared" si="35"/>
        <v>15</v>
      </c>
      <c r="AH137" s="95">
        <f t="shared" si="37"/>
        <v>0.99415204678362568</v>
      </c>
      <c r="AI137" s="97">
        <f t="shared" si="38"/>
        <v>0.99415204678362556</v>
      </c>
      <c r="AJ137" s="11" t="s">
        <v>1796</v>
      </c>
    </row>
    <row r="138" spans="1:38" x14ac:dyDescent="0.25">
      <c r="A138">
        <f t="shared" si="42"/>
        <v>136</v>
      </c>
      <c r="B138" s="241" t="s">
        <v>1777</v>
      </c>
      <c r="D138" s="14">
        <v>45806</v>
      </c>
      <c r="E138" s="7">
        <v>60</v>
      </c>
      <c r="F138" s="7"/>
      <c r="G138" s="66">
        <v>60</v>
      </c>
      <c r="H138" s="59"/>
      <c r="I138" s="59">
        <v>510</v>
      </c>
      <c r="J138" s="47">
        <f t="shared" si="36"/>
        <v>510</v>
      </c>
      <c r="K138" s="8">
        <f t="shared" si="39"/>
        <v>390</v>
      </c>
      <c r="L138" s="96">
        <f t="shared" si="33"/>
        <v>0.76470588235294112</v>
      </c>
      <c r="M138" s="81">
        <v>2500</v>
      </c>
      <c r="N138" s="8">
        <v>300</v>
      </c>
      <c r="O138" s="8">
        <v>60</v>
      </c>
      <c r="P138" s="96">
        <f t="shared" si="34"/>
        <v>1.2820512820512822</v>
      </c>
      <c r="Q138" s="59">
        <f t="shared" si="40"/>
        <v>2500</v>
      </c>
      <c r="R138" s="59">
        <f t="shared" si="41"/>
        <v>2515</v>
      </c>
      <c r="S138" s="65"/>
      <c r="T138" s="65"/>
      <c r="U138" s="65"/>
      <c r="V138" s="65"/>
      <c r="W138" s="65">
        <v>15</v>
      </c>
      <c r="X138" s="65"/>
      <c r="Y138" s="65"/>
      <c r="Z138" s="65"/>
      <c r="AA138" s="65"/>
      <c r="AB138" s="65"/>
      <c r="AC138" s="65"/>
      <c r="AD138" s="65"/>
      <c r="AE138" s="65">
        <f t="shared" si="29"/>
        <v>15</v>
      </c>
      <c r="AF138" s="65"/>
      <c r="AG138" s="248">
        <f t="shared" si="35"/>
        <v>15</v>
      </c>
      <c r="AH138" s="95">
        <f t="shared" si="37"/>
        <v>0.99403578528827041</v>
      </c>
      <c r="AI138" s="97">
        <f t="shared" si="38"/>
        <v>0.97454488753752011</v>
      </c>
      <c r="AJ138" s="11" t="s">
        <v>2580</v>
      </c>
    </row>
    <row r="139" spans="1:38" x14ac:dyDescent="0.25">
      <c r="A139">
        <f t="shared" si="42"/>
        <v>137</v>
      </c>
      <c r="B139" s="241" t="s">
        <v>1777</v>
      </c>
      <c r="D139" s="14">
        <v>45807</v>
      </c>
      <c r="E139" s="7">
        <v>60</v>
      </c>
      <c r="F139" s="7"/>
      <c r="G139" s="66">
        <v>60</v>
      </c>
      <c r="H139" s="59"/>
      <c r="I139" s="59">
        <v>510</v>
      </c>
      <c r="J139" s="47">
        <f t="shared" si="36"/>
        <v>510</v>
      </c>
      <c r="K139" s="8">
        <f t="shared" si="39"/>
        <v>390</v>
      </c>
      <c r="L139" s="96">
        <f t="shared" si="33"/>
        <v>0.76470588235294112</v>
      </c>
      <c r="M139" s="81">
        <v>2215</v>
      </c>
      <c r="N139" s="8">
        <v>300</v>
      </c>
      <c r="O139" s="8">
        <v>60</v>
      </c>
      <c r="P139" s="96">
        <f t="shared" si="34"/>
        <v>1.1358974358974359</v>
      </c>
      <c r="Q139" s="59">
        <f t="shared" si="40"/>
        <v>2215</v>
      </c>
      <c r="R139" s="59">
        <f t="shared" si="41"/>
        <v>2227</v>
      </c>
      <c r="S139" s="65"/>
      <c r="T139" s="65"/>
      <c r="U139" s="65"/>
      <c r="V139" s="65"/>
      <c r="W139" s="65">
        <v>12</v>
      </c>
      <c r="X139" s="65"/>
      <c r="Y139" s="65"/>
      <c r="Z139" s="65"/>
      <c r="AA139" s="65"/>
      <c r="AB139" s="65"/>
      <c r="AC139" s="65"/>
      <c r="AD139" s="65"/>
      <c r="AE139" s="65">
        <f t="shared" si="29"/>
        <v>12</v>
      </c>
      <c r="AF139" s="65"/>
      <c r="AG139" s="248">
        <f t="shared" si="35"/>
        <v>12</v>
      </c>
      <c r="AH139" s="95">
        <f t="shared" si="37"/>
        <v>0.99461158509205205</v>
      </c>
      <c r="AI139" s="97">
        <f t="shared" si="38"/>
        <v>0.8639469258740764</v>
      </c>
      <c r="AJ139" s="11" t="s">
        <v>1796</v>
      </c>
    </row>
    <row r="140" spans="1:38" x14ac:dyDescent="0.25">
      <c r="A140">
        <f t="shared" si="42"/>
        <v>138</v>
      </c>
      <c r="B140" s="241" t="s">
        <v>1777</v>
      </c>
      <c r="D140" s="14">
        <v>45808</v>
      </c>
      <c r="E140" s="7"/>
      <c r="F140" s="7"/>
      <c r="G140" s="66"/>
      <c r="H140" s="59"/>
      <c r="I140" s="59"/>
      <c r="J140" s="47">
        <f t="shared" si="36"/>
        <v>0</v>
      </c>
      <c r="K140" s="8">
        <f t="shared" si="39"/>
        <v>0</v>
      </c>
      <c r="L140" s="96" t="str">
        <f t="shared" si="33"/>
        <v/>
      </c>
      <c r="M140" s="81"/>
      <c r="N140" s="8">
        <v>300</v>
      </c>
      <c r="O140" s="8">
        <v>60</v>
      </c>
      <c r="P140" s="96" t="str">
        <f t="shared" si="34"/>
        <v/>
      </c>
      <c r="Q140" s="59">
        <f t="shared" si="40"/>
        <v>0</v>
      </c>
      <c r="R140" s="59">
        <f t="shared" si="41"/>
        <v>0</v>
      </c>
      <c r="S140" s="65"/>
      <c r="T140" s="65"/>
      <c r="U140" s="65"/>
      <c r="V140" s="65"/>
      <c r="W140" s="65"/>
      <c r="X140" s="65"/>
      <c r="Y140" s="65"/>
      <c r="Z140" s="65"/>
      <c r="AA140" s="65"/>
      <c r="AB140" s="65"/>
      <c r="AC140" s="65"/>
      <c r="AD140" s="65"/>
      <c r="AE140" s="65">
        <f t="shared" si="29"/>
        <v>0</v>
      </c>
      <c r="AF140" s="65"/>
      <c r="AG140" s="248">
        <f t="shared" si="35"/>
        <v>0</v>
      </c>
      <c r="AH140" s="95" t="str">
        <f t="shared" si="37"/>
        <v/>
      </c>
      <c r="AI140" s="97" t="str">
        <f t="shared" si="38"/>
        <v/>
      </c>
      <c r="AJ140" s="11"/>
    </row>
    <row r="141" spans="1:38" x14ac:dyDescent="0.25">
      <c r="A141">
        <f t="shared" si="42"/>
        <v>139</v>
      </c>
      <c r="B141" s="241" t="s">
        <v>1777</v>
      </c>
      <c r="D141" s="14">
        <v>45809</v>
      </c>
      <c r="E141" s="7"/>
      <c r="F141" s="7"/>
      <c r="G141" s="66"/>
      <c r="H141" s="59"/>
      <c r="I141" s="59"/>
      <c r="J141" s="47">
        <f t="shared" si="36"/>
        <v>0</v>
      </c>
      <c r="K141" s="8">
        <f t="shared" si="39"/>
        <v>0</v>
      </c>
      <c r="L141" s="96" t="str">
        <f t="shared" si="33"/>
        <v/>
      </c>
      <c r="M141" s="81"/>
      <c r="N141" s="8">
        <v>300</v>
      </c>
      <c r="O141" s="8">
        <v>60</v>
      </c>
      <c r="P141" s="96" t="str">
        <f t="shared" si="34"/>
        <v/>
      </c>
      <c r="Q141" s="59">
        <f t="shared" si="40"/>
        <v>0</v>
      </c>
      <c r="R141" s="59">
        <f t="shared" si="41"/>
        <v>0</v>
      </c>
      <c r="S141" s="65"/>
      <c r="T141" s="65"/>
      <c r="U141" s="65"/>
      <c r="V141" s="65"/>
      <c r="W141" s="65"/>
      <c r="X141" s="65"/>
      <c r="Y141" s="65"/>
      <c r="Z141" s="65"/>
      <c r="AA141" s="65"/>
      <c r="AB141" s="65"/>
      <c r="AC141" s="65"/>
      <c r="AD141" s="65"/>
      <c r="AE141" s="65">
        <f t="shared" si="29"/>
        <v>0</v>
      </c>
      <c r="AF141" s="65"/>
      <c r="AG141" s="248">
        <f t="shared" si="35"/>
        <v>0</v>
      </c>
      <c r="AH141" s="95" t="str">
        <f t="shared" si="37"/>
        <v/>
      </c>
      <c r="AI141" s="97" t="str">
        <f t="shared" si="38"/>
        <v/>
      </c>
      <c r="AJ141" s="11"/>
    </row>
    <row r="142" spans="1:38" x14ac:dyDescent="0.25">
      <c r="A142">
        <f t="shared" si="42"/>
        <v>140</v>
      </c>
      <c r="B142" s="241" t="s">
        <v>1777</v>
      </c>
      <c r="D142" s="14">
        <v>45810</v>
      </c>
      <c r="E142" s="7">
        <v>45</v>
      </c>
      <c r="F142" s="7"/>
      <c r="G142" s="66"/>
      <c r="H142" s="59"/>
      <c r="I142" s="59">
        <f>510+445</f>
        <v>955</v>
      </c>
      <c r="J142" s="47">
        <f t="shared" si="36"/>
        <v>955</v>
      </c>
      <c r="K142" s="8">
        <f t="shared" si="39"/>
        <v>910</v>
      </c>
      <c r="L142" s="96">
        <f t="shared" si="33"/>
        <v>0.95287958115183247</v>
      </c>
      <c r="M142" s="81">
        <f>1760+2164</f>
        <v>3924</v>
      </c>
      <c r="N142" s="8">
        <v>300</v>
      </c>
      <c r="O142" s="8">
        <v>60</v>
      </c>
      <c r="P142" s="96">
        <f t="shared" si="34"/>
        <v>0.86241758241758237</v>
      </c>
      <c r="Q142" s="59">
        <f t="shared" si="40"/>
        <v>3924</v>
      </c>
      <c r="R142" s="59">
        <f t="shared" si="41"/>
        <v>3954</v>
      </c>
      <c r="S142" s="65"/>
      <c r="T142" s="65"/>
      <c r="U142" s="65"/>
      <c r="V142" s="65"/>
      <c r="W142" s="65">
        <v>30</v>
      </c>
      <c r="X142" s="65"/>
      <c r="Y142" s="65"/>
      <c r="Z142" s="65"/>
      <c r="AA142" s="65"/>
      <c r="AB142" s="65"/>
      <c r="AC142" s="65"/>
      <c r="AD142" s="65"/>
      <c r="AE142" s="65">
        <f t="shared" si="29"/>
        <v>30</v>
      </c>
      <c r="AF142" s="65"/>
      <c r="AG142" s="248">
        <f t="shared" si="35"/>
        <v>30</v>
      </c>
      <c r="AH142" s="95">
        <f t="shared" si="37"/>
        <v>0.99241274658573597</v>
      </c>
      <c r="AI142" s="97">
        <f t="shared" si="38"/>
        <v>0.81554505080679118</v>
      </c>
      <c r="AJ142" s="11" t="s">
        <v>1796</v>
      </c>
      <c r="AK142" t="s">
        <v>2581</v>
      </c>
      <c r="AL142" t="s">
        <v>2582</v>
      </c>
    </row>
    <row r="143" spans="1:38" x14ac:dyDescent="0.25">
      <c r="A143">
        <f t="shared" si="42"/>
        <v>141</v>
      </c>
      <c r="B143" s="241" t="s">
        <v>1777</v>
      </c>
      <c r="D143" s="14">
        <v>45811</v>
      </c>
      <c r="E143" s="7">
        <v>45</v>
      </c>
      <c r="F143" s="7"/>
      <c r="G143" s="66"/>
      <c r="H143" s="59"/>
      <c r="I143" s="59">
        <v>510</v>
      </c>
      <c r="J143" s="47">
        <f t="shared" si="36"/>
        <v>510</v>
      </c>
      <c r="K143" s="8">
        <f t="shared" si="39"/>
        <v>465</v>
      </c>
      <c r="L143" s="96">
        <f t="shared" si="33"/>
        <v>0.91176470588235292</v>
      </c>
      <c r="M143" s="81">
        <v>2000</v>
      </c>
      <c r="N143" s="8">
        <v>300</v>
      </c>
      <c r="O143" s="8">
        <v>60</v>
      </c>
      <c r="P143" s="96">
        <f t="shared" si="34"/>
        <v>0.86021505376344087</v>
      </c>
      <c r="Q143" s="59">
        <f t="shared" si="40"/>
        <v>2000</v>
      </c>
      <c r="R143" s="59">
        <f t="shared" si="41"/>
        <v>2015</v>
      </c>
      <c r="S143" s="65"/>
      <c r="T143" s="65"/>
      <c r="U143" s="65"/>
      <c r="V143" s="65"/>
      <c r="W143" s="65">
        <v>15</v>
      </c>
      <c r="X143" s="65"/>
      <c r="Y143" s="65"/>
      <c r="Z143" s="65"/>
      <c r="AA143" s="65"/>
      <c r="AB143" s="65"/>
      <c r="AC143" s="65"/>
      <c r="AD143" s="65"/>
      <c r="AE143" s="65">
        <f>SUM(S143:AD143)</f>
        <v>15</v>
      </c>
      <c r="AF143" s="65"/>
      <c r="AG143" s="248">
        <f t="shared" si="35"/>
        <v>15</v>
      </c>
      <c r="AH143" s="95">
        <f t="shared" si="37"/>
        <v>0.99255583126550873</v>
      </c>
      <c r="AI143" s="97">
        <f t="shared" si="38"/>
        <v>0.7784751617768696</v>
      </c>
      <c r="AJ143" s="11" t="s">
        <v>2501</v>
      </c>
    </row>
    <row r="144" spans="1:38" x14ac:dyDescent="0.25">
      <c r="A144">
        <f t="shared" si="42"/>
        <v>142</v>
      </c>
      <c r="B144" s="241" t="s">
        <v>1777</v>
      </c>
      <c r="D144" s="14">
        <v>45812</v>
      </c>
      <c r="E144" s="7"/>
      <c r="F144" s="7"/>
      <c r="G144" s="66"/>
      <c r="H144" s="59"/>
      <c r="I144" s="59">
        <v>445</v>
      </c>
      <c r="J144" s="47">
        <f t="shared" si="36"/>
        <v>445</v>
      </c>
      <c r="K144" s="8">
        <f t="shared" si="39"/>
        <v>445</v>
      </c>
      <c r="L144" s="96">
        <f t="shared" si="33"/>
        <v>1</v>
      </c>
      <c r="M144" s="81">
        <v>1487</v>
      </c>
      <c r="N144" s="8">
        <v>300</v>
      </c>
      <c r="O144" s="8">
        <v>60</v>
      </c>
      <c r="P144" s="96">
        <f t="shared" si="34"/>
        <v>0.66831460674157306</v>
      </c>
      <c r="Q144" s="59">
        <f t="shared" si="40"/>
        <v>1487</v>
      </c>
      <c r="R144" s="59">
        <f t="shared" si="41"/>
        <v>1494</v>
      </c>
      <c r="S144" s="65"/>
      <c r="T144" s="65"/>
      <c r="U144" s="65"/>
      <c r="V144" s="65"/>
      <c r="W144" s="65">
        <v>7</v>
      </c>
      <c r="X144" s="65"/>
      <c r="Y144" s="65"/>
      <c r="Z144" s="65"/>
      <c r="AA144" s="65"/>
      <c r="AB144" s="65"/>
      <c r="AC144" s="65"/>
      <c r="AD144" s="65"/>
      <c r="AE144" s="65">
        <f>SUM(S144:AD144)</f>
        <v>7</v>
      </c>
      <c r="AF144" s="65"/>
      <c r="AG144" s="248">
        <f t="shared" si="35"/>
        <v>7</v>
      </c>
      <c r="AH144" s="95">
        <f t="shared" si="37"/>
        <v>0.99531459170013392</v>
      </c>
      <c r="AI144" s="97">
        <f t="shared" si="38"/>
        <v>0.66518327993622439</v>
      </c>
      <c r="AJ144" s="11" t="s">
        <v>2583</v>
      </c>
    </row>
    <row r="145" spans="1:37" x14ac:dyDescent="0.25">
      <c r="A145">
        <f t="shared" si="42"/>
        <v>143</v>
      </c>
      <c r="B145" s="241" t="s">
        <v>1777</v>
      </c>
      <c r="D145" s="14">
        <v>45813</v>
      </c>
      <c r="E145" s="7">
        <v>45</v>
      </c>
      <c r="F145" s="7"/>
      <c r="G145" s="66"/>
      <c r="H145" s="59"/>
      <c r="I145" s="59">
        <v>510</v>
      </c>
      <c r="J145" s="47">
        <f t="shared" si="36"/>
        <v>510</v>
      </c>
      <c r="K145" s="8">
        <f t="shared" si="39"/>
        <v>465</v>
      </c>
      <c r="L145" s="96">
        <f t="shared" si="33"/>
        <v>0.91176470588235292</v>
      </c>
      <c r="M145" s="81">
        <v>2250</v>
      </c>
      <c r="N145" s="8">
        <v>300</v>
      </c>
      <c r="O145" s="8">
        <v>60</v>
      </c>
      <c r="P145" s="96">
        <f t="shared" si="34"/>
        <v>0.967741935483871</v>
      </c>
      <c r="Q145" s="59">
        <f t="shared" si="40"/>
        <v>2250</v>
      </c>
      <c r="R145" s="59">
        <f t="shared" si="41"/>
        <v>2265</v>
      </c>
      <c r="S145" s="65"/>
      <c r="T145" s="65"/>
      <c r="U145" s="65"/>
      <c r="V145" s="65"/>
      <c r="W145" s="65">
        <v>15</v>
      </c>
      <c r="X145" s="65"/>
      <c r="Y145" s="65"/>
      <c r="Z145" s="65"/>
      <c r="AA145" s="65"/>
      <c r="AB145" s="65"/>
      <c r="AC145" s="65"/>
      <c r="AD145" s="65"/>
      <c r="AE145" s="65">
        <f>SUM(S145:AD145)</f>
        <v>15</v>
      </c>
      <c r="AF145" s="65"/>
      <c r="AG145" s="248">
        <f t="shared" si="35"/>
        <v>15</v>
      </c>
      <c r="AH145" s="95">
        <f t="shared" si="37"/>
        <v>0.99337748344370858</v>
      </c>
      <c r="AI145" s="97">
        <f t="shared" si="38"/>
        <v>0.87650954421503702</v>
      </c>
      <c r="AJ145" s="11" t="s">
        <v>2524</v>
      </c>
    </row>
    <row r="146" spans="1:37" x14ac:dyDescent="0.25">
      <c r="A146">
        <f t="shared" si="42"/>
        <v>144</v>
      </c>
      <c r="B146" s="241" t="s">
        <v>1777</v>
      </c>
      <c r="D146" s="14">
        <v>45814</v>
      </c>
      <c r="E146" s="7">
        <v>45</v>
      </c>
      <c r="F146" s="7"/>
      <c r="G146" s="66"/>
      <c r="H146" s="59"/>
      <c r="I146" s="59">
        <v>955</v>
      </c>
      <c r="J146" s="47">
        <f t="shared" si="36"/>
        <v>955</v>
      </c>
      <c r="K146" s="8">
        <f t="shared" si="39"/>
        <v>910</v>
      </c>
      <c r="L146" s="96">
        <f t="shared" si="33"/>
        <v>0.95287958115183247</v>
      </c>
      <c r="M146" s="81">
        <f>2600+1660</f>
        <v>4260</v>
      </c>
      <c r="N146" s="8">
        <v>300</v>
      </c>
      <c r="O146" s="8">
        <v>60</v>
      </c>
      <c r="P146" s="96">
        <f t="shared" si="34"/>
        <v>0.93626373626373627</v>
      </c>
      <c r="Q146" s="59">
        <f t="shared" si="40"/>
        <v>4260</v>
      </c>
      <c r="R146" s="59">
        <f t="shared" si="41"/>
        <v>4288</v>
      </c>
      <c r="S146" s="65">
        <v>1</v>
      </c>
      <c r="T146" s="65"/>
      <c r="U146" s="65"/>
      <c r="V146" s="65"/>
      <c r="W146" s="65">
        <f>15+12</f>
        <v>27</v>
      </c>
      <c r="X146" s="65"/>
      <c r="Y146" s="65"/>
      <c r="Z146" s="65"/>
      <c r="AA146" s="65"/>
      <c r="AB146" s="65"/>
      <c r="AC146" s="65"/>
      <c r="AD146" s="65"/>
      <c r="AE146" s="65">
        <f t="shared" ref="AE146:AE205" si="43">SUM(S146:AD146)</f>
        <v>28</v>
      </c>
      <c r="AF146" s="65"/>
      <c r="AG146" s="248">
        <f t="shared" si="35"/>
        <v>28</v>
      </c>
      <c r="AH146" s="95">
        <f t="shared" si="37"/>
        <v>0.99347014925373134</v>
      </c>
      <c r="AI146" s="97">
        <f t="shared" si="38"/>
        <v>0.88632101273736041</v>
      </c>
      <c r="AJ146" s="11" t="s">
        <v>2524</v>
      </c>
      <c r="AK146" t="s">
        <v>2572</v>
      </c>
    </row>
    <row r="147" spans="1:37" x14ac:dyDescent="0.25">
      <c r="A147">
        <f t="shared" si="42"/>
        <v>145</v>
      </c>
      <c r="B147" s="241" t="s">
        <v>1777</v>
      </c>
      <c r="D147" s="14">
        <v>45815</v>
      </c>
      <c r="E147" s="7"/>
      <c r="F147" s="7"/>
      <c r="G147" s="66"/>
      <c r="H147" s="59"/>
      <c r="I147" s="59"/>
      <c r="J147" s="47">
        <f t="shared" si="36"/>
        <v>0</v>
      </c>
      <c r="K147" s="8">
        <f t="shared" si="39"/>
        <v>0</v>
      </c>
      <c r="L147" s="96" t="str">
        <f t="shared" si="33"/>
        <v/>
      </c>
      <c r="M147" s="81"/>
      <c r="N147" s="8">
        <v>300</v>
      </c>
      <c r="O147" s="8">
        <v>60</v>
      </c>
      <c r="P147" s="96" t="str">
        <f t="shared" si="34"/>
        <v/>
      </c>
      <c r="Q147" s="59">
        <f t="shared" si="40"/>
        <v>0</v>
      </c>
      <c r="R147" s="59">
        <f t="shared" si="41"/>
        <v>0</v>
      </c>
      <c r="S147" s="65"/>
      <c r="T147" s="65"/>
      <c r="U147" s="65"/>
      <c r="V147" s="65"/>
      <c r="W147" s="65"/>
      <c r="X147" s="65"/>
      <c r="Y147" s="65"/>
      <c r="Z147" s="65"/>
      <c r="AA147" s="65"/>
      <c r="AB147" s="65"/>
      <c r="AC147" s="65"/>
      <c r="AD147" s="65"/>
      <c r="AE147" s="65">
        <f t="shared" si="43"/>
        <v>0</v>
      </c>
      <c r="AF147" s="65"/>
      <c r="AG147" s="248">
        <f t="shared" si="35"/>
        <v>0</v>
      </c>
      <c r="AH147" s="95" t="str">
        <f t="shared" si="37"/>
        <v/>
      </c>
      <c r="AI147" s="97" t="str">
        <f t="shared" si="38"/>
        <v/>
      </c>
      <c r="AJ147" s="11"/>
    </row>
    <row r="148" spans="1:37" x14ac:dyDescent="0.25">
      <c r="A148">
        <f t="shared" si="42"/>
        <v>146</v>
      </c>
      <c r="B148" s="241" t="s">
        <v>1777</v>
      </c>
      <c r="D148" s="14">
        <v>45816</v>
      </c>
      <c r="E148" s="7"/>
      <c r="F148" s="7"/>
      <c r="G148" s="66"/>
      <c r="H148" s="59"/>
      <c r="I148" s="59"/>
      <c r="J148" s="47">
        <f t="shared" si="36"/>
        <v>0</v>
      </c>
      <c r="K148" s="8">
        <f t="shared" si="39"/>
        <v>0</v>
      </c>
      <c r="L148" s="96" t="str">
        <f t="shared" si="33"/>
        <v/>
      </c>
      <c r="M148" s="81"/>
      <c r="N148" s="8">
        <v>300</v>
      </c>
      <c r="O148" s="8">
        <v>60</v>
      </c>
      <c r="P148" s="96" t="str">
        <f t="shared" si="34"/>
        <v/>
      </c>
      <c r="Q148" s="59">
        <f t="shared" si="40"/>
        <v>0</v>
      </c>
      <c r="R148" s="59">
        <f t="shared" si="41"/>
        <v>0</v>
      </c>
      <c r="S148" s="65"/>
      <c r="T148" s="65"/>
      <c r="U148" s="65"/>
      <c r="V148" s="65"/>
      <c r="W148" s="65"/>
      <c r="X148" s="65"/>
      <c r="Y148" s="65"/>
      <c r="Z148" s="65"/>
      <c r="AA148" s="65"/>
      <c r="AB148" s="65"/>
      <c r="AC148" s="65"/>
      <c r="AD148" s="65"/>
      <c r="AE148" s="65">
        <f t="shared" si="43"/>
        <v>0</v>
      </c>
      <c r="AF148" s="65"/>
      <c r="AG148" s="248">
        <f t="shared" si="35"/>
        <v>0</v>
      </c>
      <c r="AH148" s="95" t="str">
        <f t="shared" si="37"/>
        <v/>
      </c>
      <c r="AI148" s="97" t="str">
        <f t="shared" si="38"/>
        <v/>
      </c>
      <c r="AJ148" s="11"/>
    </row>
    <row r="149" spans="1:37" x14ac:dyDescent="0.25">
      <c r="A149">
        <f t="shared" si="42"/>
        <v>147</v>
      </c>
      <c r="B149" s="241" t="s">
        <v>1777</v>
      </c>
      <c r="D149" s="14">
        <v>45817</v>
      </c>
      <c r="E149" s="7">
        <v>30</v>
      </c>
      <c r="F149" s="7"/>
      <c r="G149" s="66"/>
      <c r="H149" s="59"/>
      <c r="I149" s="59">
        <v>450</v>
      </c>
      <c r="J149" s="47">
        <f t="shared" si="36"/>
        <v>450</v>
      </c>
      <c r="K149" s="8">
        <f t="shared" si="39"/>
        <v>420</v>
      </c>
      <c r="L149" s="96">
        <f t="shared" si="33"/>
        <v>0.93333333333333335</v>
      </c>
      <c r="M149" s="81">
        <v>2270</v>
      </c>
      <c r="N149" s="8">
        <v>300</v>
      </c>
      <c r="O149" s="8">
        <v>60</v>
      </c>
      <c r="P149" s="96">
        <f t="shared" si="34"/>
        <v>1.0809523809523809</v>
      </c>
      <c r="Q149" s="59">
        <f t="shared" si="40"/>
        <v>2270</v>
      </c>
      <c r="R149" s="59">
        <f t="shared" si="41"/>
        <v>2285</v>
      </c>
      <c r="S149" s="65"/>
      <c r="T149" s="65"/>
      <c r="U149" s="65"/>
      <c r="V149" s="65"/>
      <c r="W149" s="65">
        <v>15</v>
      </c>
      <c r="X149" s="65"/>
      <c r="Y149" s="65"/>
      <c r="Z149" s="65"/>
      <c r="AA149" s="65"/>
      <c r="AB149" s="65"/>
      <c r="AC149" s="65"/>
      <c r="AD149" s="65"/>
      <c r="AE149" s="65">
        <f t="shared" si="43"/>
        <v>15</v>
      </c>
      <c r="AF149" s="65"/>
      <c r="AG149" s="248">
        <f t="shared" si="35"/>
        <v>15</v>
      </c>
      <c r="AH149" s="95">
        <f t="shared" si="37"/>
        <v>0.99343544857768051</v>
      </c>
      <c r="AI149" s="97">
        <f t="shared" si="38"/>
        <v>1.0022659858983709</v>
      </c>
      <c r="AJ149" s="11">
        <v>406</v>
      </c>
    </row>
    <row r="150" spans="1:37" x14ac:dyDescent="0.25">
      <c r="A150">
        <f t="shared" si="42"/>
        <v>148</v>
      </c>
      <c r="B150" s="241" t="s">
        <v>1777</v>
      </c>
      <c r="D150" s="14">
        <v>45818</v>
      </c>
      <c r="E150" s="7">
        <v>30</v>
      </c>
      <c r="F150" s="7"/>
      <c r="G150" s="66"/>
      <c r="H150" s="59"/>
      <c r="I150" s="59">
        <v>450</v>
      </c>
      <c r="J150" s="47">
        <f t="shared" ref="J150" si="44">I150+H150</f>
        <v>450</v>
      </c>
      <c r="K150" s="8">
        <f t="shared" ref="K150" si="45">IFERROR(J150-E150-F150-G150,"")</f>
        <v>420</v>
      </c>
      <c r="L150" s="96">
        <f t="shared" ref="L150" si="46">IFERROR(K150/J150,"")</f>
        <v>0.93333333333333335</v>
      </c>
      <c r="M150" s="81">
        <f>2217</f>
        <v>2217</v>
      </c>
      <c r="N150" s="8">
        <v>300</v>
      </c>
      <c r="O150" s="8">
        <v>60</v>
      </c>
      <c r="P150" s="96">
        <f t="shared" ref="P150" si="47">IFERROR((M150/N150*O150)/K150,"")</f>
        <v>1.0557142857142856</v>
      </c>
      <c r="Q150" s="59">
        <f t="shared" ref="Q150" si="48">M150</f>
        <v>2217</v>
      </c>
      <c r="R150" s="59">
        <f t="shared" ref="R150" si="49">Q150+AE150</f>
        <v>2232</v>
      </c>
      <c r="S150" s="65"/>
      <c r="T150" s="65"/>
      <c r="U150" s="65"/>
      <c r="V150" s="65"/>
      <c r="W150" s="65">
        <v>15</v>
      </c>
      <c r="X150" s="65"/>
      <c r="Y150" s="65"/>
      <c r="Z150" s="65"/>
      <c r="AA150" s="65"/>
      <c r="AB150" s="65"/>
      <c r="AC150" s="65"/>
      <c r="AD150" s="65"/>
      <c r="AE150" s="65">
        <f t="shared" ref="AE150" si="50">SUM(S150:AD150)</f>
        <v>15</v>
      </c>
      <c r="AF150" s="65"/>
      <c r="AG150" s="248">
        <f t="shared" ref="AG150" si="51">AE150</f>
        <v>15</v>
      </c>
      <c r="AH150" s="95">
        <f t="shared" ref="AH150" si="52">IFERROR(Q150/R150,"")</f>
        <v>0.99327956989247312</v>
      </c>
      <c r="AI150" s="97">
        <f t="shared" ref="AI150" si="53">IFERROR(AH150*P150*L150,"")</f>
        <v>0.97871146953405008</v>
      </c>
      <c r="AJ150" s="11">
        <v>406</v>
      </c>
    </row>
    <row r="151" spans="1:37" x14ac:dyDescent="0.25">
      <c r="A151">
        <f t="shared" si="42"/>
        <v>149</v>
      </c>
      <c r="B151" s="241" t="s">
        <v>1777</v>
      </c>
      <c r="D151" s="14">
        <v>45819</v>
      </c>
      <c r="E151" s="7">
        <v>30</v>
      </c>
      <c r="F151" s="7"/>
      <c r="G151" s="66"/>
      <c r="H151" s="59"/>
      <c r="I151" s="59">
        <v>450</v>
      </c>
      <c r="J151" s="47">
        <f t="shared" si="36"/>
        <v>450</v>
      </c>
      <c r="K151" s="8">
        <f t="shared" si="39"/>
        <v>420</v>
      </c>
      <c r="L151" s="96">
        <f t="shared" si="33"/>
        <v>0.93333333333333335</v>
      </c>
      <c r="M151" s="81">
        <f>2415</f>
        <v>2415</v>
      </c>
      <c r="N151" s="8">
        <v>300</v>
      </c>
      <c r="O151" s="8">
        <v>60</v>
      </c>
      <c r="P151" s="96">
        <f t="shared" si="34"/>
        <v>1.1500000000000001</v>
      </c>
      <c r="Q151" s="59">
        <f t="shared" si="40"/>
        <v>2415</v>
      </c>
      <c r="R151" s="59">
        <f t="shared" si="41"/>
        <v>2430</v>
      </c>
      <c r="S151" s="65"/>
      <c r="T151" s="65"/>
      <c r="U151" s="65"/>
      <c r="V151" s="65"/>
      <c r="W151" s="65">
        <v>15</v>
      </c>
      <c r="X151" s="65"/>
      <c r="Y151" s="65"/>
      <c r="Z151" s="65"/>
      <c r="AA151" s="65"/>
      <c r="AB151" s="65"/>
      <c r="AC151" s="65"/>
      <c r="AD151" s="65"/>
      <c r="AE151" s="65">
        <f t="shared" si="43"/>
        <v>15</v>
      </c>
      <c r="AF151" s="65"/>
      <c r="AG151" s="248">
        <f t="shared" si="35"/>
        <v>15</v>
      </c>
      <c r="AH151" s="95">
        <f t="shared" si="37"/>
        <v>0.99382716049382713</v>
      </c>
      <c r="AI151" s="97">
        <f t="shared" si="38"/>
        <v>1.0667078189300412</v>
      </c>
      <c r="AJ151" s="11"/>
    </row>
    <row r="152" spans="1:37" x14ac:dyDescent="0.25">
      <c r="A152">
        <f t="shared" si="42"/>
        <v>150</v>
      </c>
      <c r="B152" s="241" t="s">
        <v>1777</v>
      </c>
      <c r="D152" s="14">
        <v>45820</v>
      </c>
      <c r="E152" s="7">
        <v>30</v>
      </c>
      <c r="F152" s="7"/>
      <c r="G152" s="66"/>
      <c r="H152" s="59"/>
      <c r="I152" s="59">
        <f>510-60</f>
        <v>450</v>
      </c>
      <c r="J152" s="47">
        <f t="shared" si="36"/>
        <v>450</v>
      </c>
      <c r="K152" s="8">
        <f t="shared" si="39"/>
        <v>420</v>
      </c>
      <c r="L152" s="96">
        <f t="shared" si="33"/>
        <v>0.93333333333333335</v>
      </c>
      <c r="M152" s="81">
        <v>2050</v>
      </c>
      <c r="N152" s="8">
        <v>300</v>
      </c>
      <c r="O152" s="8">
        <v>60</v>
      </c>
      <c r="P152" s="96">
        <f t="shared" si="34"/>
        <v>0.97619047619047616</v>
      </c>
      <c r="Q152" s="59">
        <f t="shared" si="40"/>
        <v>2050</v>
      </c>
      <c r="R152" s="59">
        <f t="shared" si="41"/>
        <v>2065</v>
      </c>
      <c r="S152" s="65"/>
      <c r="T152" s="65"/>
      <c r="U152" s="65"/>
      <c r="V152" s="65"/>
      <c r="W152" s="65">
        <v>15</v>
      </c>
      <c r="X152" s="65"/>
      <c r="Y152" s="65"/>
      <c r="Z152" s="65"/>
      <c r="AA152" s="65"/>
      <c r="AB152" s="65"/>
      <c r="AC152" s="65"/>
      <c r="AD152" s="65"/>
      <c r="AE152" s="65">
        <f t="shared" si="43"/>
        <v>15</v>
      </c>
      <c r="AF152" s="65"/>
      <c r="AG152" s="248">
        <f t="shared" si="35"/>
        <v>15</v>
      </c>
      <c r="AH152" s="95">
        <f t="shared" si="37"/>
        <v>0.99273607748184023</v>
      </c>
      <c r="AI152" s="97">
        <f t="shared" si="38"/>
        <v>0.90449287059456551</v>
      </c>
      <c r="AJ152" s="11">
        <v>406</v>
      </c>
    </row>
    <row r="153" spans="1:37" x14ac:dyDescent="0.25">
      <c r="A153">
        <f t="shared" si="42"/>
        <v>151</v>
      </c>
      <c r="B153" s="241" t="s">
        <v>1777</v>
      </c>
      <c r="D153" s="14">
        <v>45821</v>
      </c>
      <c r="E153" s="7">
        <v>30</v>
      </c>
      <c r="F153" s="7"/>
      <c r="G153" s="66"/>
      <c r="H153" s="59"/>
      <c r="I153" s="59">
        <f>455+120</f>
        <v>575</v>
      </c>
      <c r="J153" s="47">
        <f t="shared" si="36"/>
        <v>575</v>
      </c>
      <c r="K153" s="8">
        <f t="shared" si="39"/>
        <v>545</v>
      </c>
      <c r="L153" s="96">
        <f t="shared" si="33"/>
        <v>0.94782608695652171</v>
      </c>
      <c r="M153" s="81">
        <f>270+290+2550</f>
        <v>3110</v>
      </c>
      <c r="N153" s="8">
        <v>300</v>
      </c>
      <c r="O153" s="8">
        <v>60</v>
      </c>
      <c r="P153" s="96">
        <f t="shared" si="34"/>
        <v>1.1412844036697247</v>
      </c>
      <c r="Q153" s="59">
        <f t="shared" si="40"/>
        <v>3110</v>
      </c>
      <c r="R153" s="59">
        <f t="shared" si="41"/>
        <v>3125</v>
      </c>
      <c r="S153" s="65"/>
      <c r="T153" s="65"/>
      <c r="U153" s="65"/>
      <c r="V153" s="65"/>
      <c r="W153" s="65">
        <v>15</v>
      </c>
      <c r="X153" s="65"/>
      <c r="Y153" s="65"/>
      <c r="Z153" s="65"/>
      <c r="AA153" s="65"/>
      <c r="AB153" s="65"/>
      <c r="AC153" s="65"/>
      <c r="AD153" s="65"/>
      <c r="AE153" s="65">
        <f t="shared" si="43"/>
        <v>15</v>
      </c>
      <c r="AF153" s="65"/>
      <c r="AG153" s="248">
        <f t="shared" si="35"/>
        <v>15</v>
      </c>
      <c r="AH153" s="95">
        <f t="shared" si="37"/>
        <v>0.99519999999999997</v>
      </c>
      <c r="AI153" s="97">
        <f t="shared" si="38"/>
        <v>1.0765467826086954</v>
      </c>
      <c r="AJ153" s="11" t="s">
        <v>2482</v>
      </c>
      <c r="AK153" t="s">
        <v>2514</v>
      </c>
    </row>
    <row r="154" spans="1:37" x14ac:dyDescent="0.25">
      <c r="A154">
        <f t="shared" si="42"/>
        <v>152</v>
      </c>
      <c r="B154" s="241" t="s">
        <v>1777</v>
      </c>
      <c r="D154" s="14">
        <v>45822</v>
      </c>
      <c r="E154" s="7"/>
      <c r="F154" s="7"/>
      <c r="G154" s="66"/>
      <c r="H154" s="59"/>
      <c r="I154" s="59"/>
      <c r="J154" s="47">
        <f t="shared" si="36"/>
        <v>0</v>
      </c>
      <c r="K154" s="8">
        <f t="shared" si="39"/>
        <v>0</v>
      </c>
      <c r="L154" s="96" t="str">
        <f t="shared" si="33"/>
        <v/>
      </c>
      <c r="M154" s="81"/>
      <c r="N154" s="8">
        <v>300</v>
      </c>
      <c r="O154" s="8">
        <v>60</v>
      </c>
      <c r="P154" s="96" t="str">
        <f t="shared" si="34"/>
        <v/>
      </c>
      <c r="Q154" s="59">
        <f t="shared" si="40"/>
        <v>0</v>
      </c>
      <c r="R154" s="59">
        <f t="shared" si="41"/>
        <v>0</v>
      </c>
      <c r="S154" s="65"/>
      <c r="T154" s="65"/>
      <c r="U154" s="65"/>
      <c r="V154" s="65"/>
      <c r="W154" s="65"/>
      <c r="X154" s="65"/>
      <c r="Y154" s="65"/>
      <c r="Z154" s="65"/>
      <c r="AA154" s="65"/>
      <c r="AB154" s="65"/>
      <c r="AC154" s="65"/>
      <c r="AD154" s="65"/>
      <c r="AE154" s="65">
        <f t="shared" si="43"/>
        <v>0</v>
      </c>
      <c r="AF154" s="65"/>
      <c r="AG154" s="248">
        <f t="shared" si="35"/>
        <v>0</v>
      </c>
      <c r="AH154" s="95" t="str">
        <f t="shared" si="37"/>
        <v/>
      </c>
      <c r="AI154" s="97" t="str">
        <f t="shared" si="38"/>
        <v/>
      </c>
      <c r="AJ154" s="11"/>
    </row>
    <row r="155" spans="1:37" x14ac:dyDescent="0.25">
      <c r="A155">
        <f t="shared" si="42"/>
        <v>153</v>
      </c>
      <c r="B155" s="241" t="s">
        <v>1777</v>
      </c>
      <c r="D155" s="14">
        <v>45823</v>
      </c>
      <c r="E155" s="7"/>
      <c r="F155" s="7"/>
      <c r="G155" s="66"/>
      <c r="H155" s="59"/>
      <c r="I155" s="59"/>
      <c r="J155" s="47">
        <f t="shared" si="36"/>
        <v>0</v>
      </c>
      <c r="K155" s="8">
        <f t="shared" si="39"/>
        <v>0</v>
      </c>
      <c r="L155" s="96" t="str">
        <f t="shared" si="33"/>
        <v/>
      </c>
      <c r="M155" s="81"/>
      <c r="N155" s="8">
        <v>300</v>
      </c>
      <c r="O155" s="8">
        <v>60</v>
      </c>
      <c r="P155" s="96" t="str">
        <f t="shared" si="34"/>
        <v/>
      </c>
      <c r="Q155" s="59">
        <f t="shared" si="40"/>
        <v>0</v>
      </c>
      <c r="R155" s="59">
        <f t="shared" si="41"/>
        <v>0</v>
      </c>
      <c r="S155" s="65"/>
      <c r="T155" s="65"/>
      <c r="U155" s="65"/>
      <c r="V155" s="65"/>
      <c r="W155" s="65"/>
      <c r="X155" s="65"/>
      <c r="Y155" s="65"/>
      <c r="Z155" s="65"/>
      <c r="AA155" s="65"/>
      <c r="AB155" s="65"/>
      <c r="AC155" s="65"/>
      <c r="AD155" s="65"/>
      <c r="AE155" s="65">
        <f t="shared" si="43"/>
        <v>0</v>
      </c>
      <c r="AF155" s="65"/>
      <c r="AG155" s="248">
        <f t="shared" si="35"/>
        <v>0</v>
      </c>
      <c r="AH155" s="95" t="str">
        <f t="shared" si="37"/>
        <v/>
      </c>
      <c r="AI155" s="97" t="str">
        <f t="shared" si="38"/>
        <v/>
      </c>
      <c r="AJ155" s="11"/>
    </row>
    <row r="156" spans="1:37" x14ac:dyDescent="0.25">
      <c r="A156">
        <f t="shared" si="42"/>
        <v>154</v>
      </c>
      <c r="B156" s="241" t="s">
        <v>1777</v>
      </c>
      <c r="D156" s="14">
        <v>45824</v>
      </c>
      <c r="E156" s="7">
        <v>30</v>
      </c>
      <c r="F156" s="7"/>
      <c r="G156" s="66"/>
      <c r="H156" s="59"/>
      <c r="I156" s="59">
        <v>955</v>
      </c>
      <c r="J156" s="47">
        <f t="shared" si="36"/>
        <v>955</v>
      </c>
      <c r="K156" s="8">
        <f t="shared" si="39"/>
        <v>925</v>
      </c>
      <c r="L156" s="96">
        <f t="shared" si="33"/>
        <v>0.96858638743455494</v>
      </c>
      <c r="M156" s="81">
        <f>2000+1900</f>
        <v>3900</v>
      </c>
      <c r="N156" s="8">
        <v>300</v>
      </c>
      <c r="O156" s="8">
        <v>60</v>
      </c>
      <c r="P156" s="96">
        <f t="shared" si="34"/>
        <v>0.84324324324324329</v>
      </c>
      <c r="Q156" s="59">
        <f t="shared" si="40"/>
        <v>3900</v>
      </c>
      <c r="R156" s="59">
        <f t="shared" si="41"/>
        <v>3915</v>
      </c>
      <c r="S156" s="65"/>
      <c r="T156" s="65"/>
      <c r="U156" s="65"/>
      <c r="V156" s="65"/>
      <c r="W156" s="65">
        <v>15</v>
      </c>
      <c r="X156" s="65"/>
      <c r="Y156" s="65"/>
      <c r="Z156" s="65"/>
      <c r="AA156" s="65"/>
      <c r="AB156" s="65"/>
      <c r="AC156" s="65"/>
      <c r="AD156" s="65"/>
      <c r="AE156" s="65">
        <f t="shared" si="43"/>
        <v>15</v>
      </c>
      <c r="AF156" s="65"/>
      <c r="AG156" s="248">
        <f t="shared" si="35"/>
        <v>15</v>
      </c>
      <c r="AH156" s="95">
        <f t="shared" si="37"/>
        <v>0.99616858237547889</v>
      </c>
      <c r="AI156" s="97">
        <f t="shared" si="38"/>
        <v>0.8136246013119095</v>
      </c>
      <c r="AJ156" s="11" t="s">
        <v>2584</v>
      </c>
      <c r="AK156" t="s">
        <v>2517</v>
      </c>
    </row>
    <row r="157" spans="1:37" x14ac:dyDescent="0.25">
      <c r="A157">
        <f t="shared" si="42"/>
        <v>155</v>
      </c>
      <c r="B157" s="241" t="s">
        <v>1777</v>
      </c>
      <c r="D157" s="14">
        <v>45825</v>
      </c>
      <c r="E157" s="7">
        <v>30</v>
      </c>
      <c r="F157" s="7"/>
      <c r="G157" s="66"/>
      <c r="H157" s="59"/>
      <c r="I157" s="59">
        <v>510</v>
      </c>
      <c r="J157" s="47">
        <f t="shared" si="36"/>
        <v>510</v>
      </c>
      <c r="K157" s="8">
        <f t="shared" si="39"/>
        <v>480</v>
      </c>
      <c r="L157" s="96">
        <f t="shared" si="33"/>
        <v>0.94117647058823528</v>
      </c>
      <c r="M157" s="81">
        <v>2225</v>
      </c>
      <c r="N157" s="8">
        <v>300</v>
      </c>
      <c r="O157" s="8">
        <v>60</v>
      </c>
      <c r="P157" s="96">
        <f t="shared" si="34"/>
        <v>0.92708333333333337</v>
      </c>
      <c r="Q157" s="59">
        <f t="shared" si="40"/>
        <v>2225</v>
      </c>
      <c r="R157" s="59">
        <f t="shared" si="41"/>
        <v>2240</v>
      </c>
      <c r="S157" s="65"/>
      <c r="T157" s="65"/>
      <c r="U157" s="65"/>
      <c r="V157" s="65"/>
      <c r="W157" s="65">
        <v>15</v>
      </c>
      <c r="X157" s="65"/>
      <c r="Y157" s="65"/>
      <c r="Z157" s="65"/>
      <c r="AA157" s="65"/>
      <c r="AB157" s="65"/>
      <c r="AC157" s="65"/>
      <c r="AD157" s="65"/>
      <c r="AE157" s="65">
        <f t="shared" si="43"/>
        <v>15</v>
      </c>
      <c r="AF157" s="65"/>
      <c r="AG157" s="248">
        <f t="shared" si="35"/>
        <v>15</v>
      </c>
      <c r="AH157" s="95">
        <f t="shared" si="37"/>
        <v>0.9933035714285714</v>
      </c>
      <c r="AI157" s="97">
        <f t="shared" si="38"/>
        <v>0.86670605742296913</v>
      </c>
      <c r="AJ157" s="11" t="s">
        <v>2586</v>
      </c>
    </row>
    <row r="158" spans="1:37" x14ac:dyDescent="0.25">
      <c r="A158">
        <f t="shared" si="42"/>
        <v>156</v>
      </c>
      <c r="B158" s="241" t="s">
        <v>1777</v>
      </c>
      <c r="C158">
        <v>1</v>
      </c>
      <c r="D158" s="14">
        <v>45826</v>
      </c>
      <c r="E158" s="7">
        <v>30</v>
      </c>
      <c r="F158" s="7"/>
      <c r="G158" s="66"/>
      <c r="H158" s="59"/>
      <c r="I158" s="59">
        <v>510</v>
      </c>
      <c r="J158" s="47">
        <f t="shared" si="36"/>
        <v>510</v>
      </c>
      <c r="K158" s="8">
        <f t="shared" si="39"/>
        <v>480</v>
      </c>
      <c r="L158" s="96">
        <f t="shared" si="33"/>
        <v>0.94117647058823528</v>
      </c>
      <c r="M158" s="81">
        <v>1700</v>
      </c>
      <c r="N158" s="8">
        <v>300</v>
      </c>
      <c r="O158" s="8">
        <v>60</v>
      </c>
      <c r="P158" s="96">
        <f t="shared" si="34"/>
        <v>0.70833333333333337</v>
      </c>
      <c r="Q158" s="59">
        <f t="shared" si="40"/>
        <v>1700</v>
      </c>
      <c r="R158" s="59">
        <f t="shared" si="41"/>
        <v>1700</v>
      </c>
      <c r="S158" s="65"/>
      <c r="T158" s="65"/>
      <c r="U158" s="65"/>
      <c r="V158" s="65"/>
      <c r="W158" s="65"/>
      <c r="X158" s="65"/>
      <c r="Y158" s="65"/>
      <c r="Z158" s="65"/>
      <c r="AA158" s="65"/>
      <c r="AB158" s="65"/>
      <c r="AC158" s="65"/>
      <c r="AD158" s="65"/>
      <c r="AE158" s="65">
        <f t="shared" si="43"/>
        <v>0</v>
      </c>
      <c r="AF158" s="65"/>
      <c r="AG158" s="248">
        <f t="shared" si="35"/>
        <v>0</v>
      </c>
      <c r="AH158" s="95">
        <f t="shared" si="37"/>
        <v>1</v>
      </c>
      <c r="AI158" s="97">
        <f t="shared" si="38"/>
        <v>0.66666666666666674</v>
      </c>
      <c r="AJ158" s="11" t="s">
        <v>2584</v>
      </c>
    </row>
    <row r="159" spans="1:37" x14ac:dyDescent="0.25">
      <c r="A159">
        <f t="shared" si="42"/>
        <v>157</v>
      </c>
      <c r="B159" s="241" t="s">
        <v>2490</v>
      </c>
      <c r="C159">
        <v>2</v>
      </c>
      <c r="D159" s="14">
        <v>45826</v>
      </c>
      <c r="E159" s="7"/>
      <c r="F159" s="7">
        <v>120</v>
      </c>
      <c r="G159" s="66"/>
      <c r="H159" s="59"/>
      <c r="I159" s="59">
        <v>445</v>
      </c>
      <c r="J159" s="47">
        <f t="shared" si="36"/>
        <v>445</v>
      </c>
      <c r="K159" s="8">
        <f t="shared" si="39"/>
        <v>325</v>
      </c>
      <c r="L159" s="96">
        <f t="shared" si="33"/>
        <v>0.7303370786516854</v>
      </c>
      <c r="M159" s="81">
        <f>830+1309</f>
        <v>2139</v>
      </c>
      <c r="N159" s="8">
        <v>300</v>
      </c>
      <c r="O159" s="8">
        <v>60</v>
      </c>
      <c r="P159" s="96">
        <f t="shared" si="34"/>
        <v>1.3163076923076924</v>
      </c>
      <c r="Q159" s="59">
        <f t="shared" si="40"/>
        <v>2139</v>
      </c>
      <c r="R159" s="59">
        <f t="shared" si="41"/>
        <v>2154</v>
      </c>
      <c r="S159" s="65"/>
      <c r="T159" s="65"/>
      <c r="U159" s="65"/>
      <c r="V159" s="65"/>
      <c r="W159" s="65">
        <v>15</v>
      </c>
      <c r="X159" s="65"/>
      <c r="Y159" s="65"/>
      <c r="Z159" s="65"/>
      <c r="AA159" s="65"/>
      <c r="AB159" s="65"/>
      <c r="AC159" s="65"/>
      <c r="AD159" s="65"/>
      <c r="AE159" s="65">
        <f t="shared" si="43"/>
        <v>15</v>
      </c>
      <c r="AF159" s="65"/>
      <c r="AG159" s="248">
        <f t="shared" si="35"/>
        <v>15</v>
      </c>
      <c r="AH159" s="95">
        <f t="shared" si="37"/>
        <v>0.99303621169916434</v>
      </c>
      <c r="AI159" s="97">
        <f t="shared" si="38"/>
        <v>0.95465368846045517</v>
      </c>
      <c r="AJ159" s="11" t="s">
        <v>2583</v>
      </c>
      <c r="AK159" t="s">
        <v>2516</v>
      </c>
    </row>
    <row r="160" spans="1:37" x14ac:dyDescent="0.25">
      <c r="A160">
        <f t="shared" si="42"/>
        <v>158</v>
      </c>
      <c r="B160" s="241" t="s">
        <v>2592</v>
      </c>
      <c r="D160" s="14">
        <v>45827</v>
      </c>
      <c r="E160" s="7">
        <v>60</v>
      </c>
      <c r="F160" s="7"/>
      <c r="G160" s="66"/>
      <c r="H160" s="59"/>
      <c r="I160" s="59">
        <f>510+445</f>
        <v>955</v>
      </c>
      <c r="J160" s="47">
        <f t="shared" si="36"/>
        <v>955</v>
      </c>
      <c r="K160" s="8">
        <f t="shared" si="39"/>
        <v>895</v>
      </c>
      <c r="L160" s="96">
        <f t="shared" si="33"/>
        <v>0.93717277486910999</v>
      </c>
      <c r="M160" s="81">
        <f>1800+1720</f>
        <v>3520</v>
      </c>
      <c r="N160" s="8">
        <v>300</v>
      </c>
      <c r="O160" s="8">
        <v>60</v>
      </c>
      <c r="P160" s="96">
        <f t="shared" si="34"/>
        <v>0.78659217877094967</v>
      </c>
      <c r="Q160" s="59">
        <f t="shared" si="40"/>
        <v>3520</v>
      </c>
      <c r="R160" s="59">
        <f t="shared" si="41"/>
        <v>3535</v>
      </c>
      <c r="S160" s="65"/>
      <c r="T160" s="65"/>
      <c r="U160" s="65"/>
      <c r="V160" s="65"/>
      <c r="W160" s="65">
        <v>15</v>
      </c>
      <c r="X160" s="65"/>
      <c r="Y160" s="65"/>
      <c r="Z160" s="65"/>
      <c r="AA160" s="65"/>
      <c r="AB160" s="65"/>
      <c r="AC160" s="65"/>
      <c r="AD160" s="65"/>
      <c r="AE160" s="65">
        <f t="shared" si="43"/>
        <v>15</v>
      </c>
      <c r="AF160" s="65"/>
      <c r="AG160" s="248">
        <f t="shared" si="35"/>
        <v>15</v>
      </c>
      <c r="AH160" s="95">
        <f t="shared" si="37"/>
        <v>0.99575671852899572</v>
      </c>
      <c r="AI160" s="97">
        <f t="shared" si="38"/>
        <v>0.73404474329257907</v>
      </c>
      <c r="AJ160" s="11" t="s">
        <v>2516</v>
      </c>
      <c r="AK160" t="s">
        <v>2583</v>
      </c>
    </row>
    <row r="161" spans="1:37" x14ac:dyDescent="0.25">
      <c r="A161">
        <f t="shared" si="42"/>
        <v>159</v>
      </c>
      <c r="B161" s="241" t="s">
        <v>1777</v>
      </c>
      <c r="D161" s="14">
        <v>45828</v>
      </c>
      <c r="E161" s="7">
        <v>45</v>
      </c>
      <c r="F161" s="7"/>
      <c r="G161" s="66"/>
      <c r="H161" s="59"/>
      <c r="I161" s="59">
        <v>955</v>
      </c>
      <c r="J161" s="47">
        <f t="shared" si="36"/>
        <v>955</v>
      </c>
      <c r="K161" s="8">
        <f t="shared" si="39"/>
        <v>910</v>
      </c>
      <c r="L161" s="96">
        <f t="shared" si="33"/>
        <v>0.95287958115183247</v>
      </c>
      <c r="M161" s="81">
        <f>2500+2400</f>
        <v>4900</v>
      </c>
      <c r="N161" s="8">
        <v>300</v>
      </c>
      <c r="O161" s="8">
        <v>60</v>
      </c>
      <c r="P161" s="96">
        <f t="shared" si="34"/>
        <v>1.0769230769230769</v>
      </c>
      <c r="Q161" s="59">
        <f t="shared" si="40"/>
        <v>4900</v>
      </c>
      <c r="R161" s="59">
        <f t="shared" si="41"/>
        <v>4915</v>
      </c>
      <c r="S161" s="65"/>
      <c r="T161" s="65"/>
      <c r="U161" s="65"/>
      <c r="V161" s="65"/>
      <c r="W161" s="65">
        <v>15</v>
      </c>
      <c r="X161" s="65"/>
      <c r="Y161" s="65"/>
      <c r="Z161" s="65"/>
      <c r="AA161" s="65"/>
      <c r="AB161" s="65"/>
      <c r="AC161" s="65"/>
      <c r="AD161" s="65"/>
      <c r="AE161" s="65">
        <f t="shared" si="43"/>
        <v>15</v>
      </c>
      <c r="AF161" s="65"/>
      <c r="AG161" s="248">
        <f t="shared" si="35"/>
        <v>15</v>
      </c>
      <c r="AH161" s="95">
        <f t="shared" si="37"/>
        <v>0.99694811800610372</v>
      </c>
      <c r="AI161" s="97">
        <f t="shared" si="38"/>
        <v>1.0230462362785149</v>
      </c>
      <c r="AJ161" s="11" t="s">
        <v>1796</v>
      </c>
      <c r="AK161" t="s">
        <v>2583</v>
      </c>
    </row>
    <row r="162" spans="1:37" x14ac:dyDescent="0.25">
      <c r="A162">
        <f t="shared" si="42"/>
        <v>160</v>
      </c>
      <c r="B162" s="241" t="s">
        <v>1777</v>
      </c>
      <c r="D162" s="14">
        <v>45831</v>
      </c>
      <c r="E162" s="7">
        <v>60</v>
      </c>
      <c r="F162" s="7"/>
      <c r="G162" s="66"/>
      <c r="H162" s="59"/>
      <c r="I162" s="59">
        <v>510</v>
      </c>
      <c r="J162" s="47">
        <f t="shared" si="36"/>
        <v>510</v>
      </c>
      <c r="K162" s="8">
        <f t="shared" si="39"/>
        <v>450</v>
      </c>
      <c r="L162" s="96">
        <f t="shared" si="33"/>
        <v>0.88235294117647056</v>
      </c>
      <c r="M162" s="81">
        <v>2800</v>
      </c>
      <c r="N162" s="8">
        <v>300</v>
      </c>
      <c r="O162" s="8">
        <v>60</v>
      </c>
      <c r="P162" s="96">
        <f t="shared" si="34"/>
        <v>1.2444444444444445</v>
      </c>
      <c r="Q162" s="59">
        <f t="shared" si="40"/>
        <v>2800</v>
      </c>
      <c r="R162" s="59">
        <f t="shared" si="41"/>
        <v>2815</v>
      </c>
      <c r="S162" s="65"/>
      <c r="T162" s="65"/>
      <c r="U162" s="65"/>
      <c r="V162" s="65"/>
      <c r="W162" s="65">
        <v>15</v>
      </c>
      <c r="X162" s="65"/>
      <c r="Y162" s="65"/>
      <c r="Z162" s="65"/>
      <c r="AA162" s="65"/>
      <c r="AB162" s="65"/>
      <c r="AC162" s="65"/>
      <c r="AD162" s="65"/>
      <c r="AE162" s="65">
        <f t="shared" si="43"/>
        <v>15</v>
      </c>
      <c r="AF162" s="65"/>
      <c r="AG162" s="248">
        <f t="shared" si="35"/>
        <v>15</v>
      </c>
      <c r="AH162" s="95">
        <f t="shared" si="37"/>
        <v>0.99467140319715808</v>
      </c>
      <c r="AI162" s="97">
        <f t="shared" si="38"/>
        <v>1.0921882074321736</v>
      </c>
      <c r="AJ162" s="11" t="s">
        <v>2501</v>
      </c>
    </row>
    <row r="163" spans="1:37" x14ac:dyDescent="0.25">
      <c r="A163">
        <f t="shared" si="42"/>
        <v>161</v>
      </c>
      <c r="B163" s="241" t="s">
        <v>1777</v>
      </c>
      <c r="D163" s="14">
        <v>45832</v>
      </c>
      <c r="E163" s="7">
        <v>30</v>
      </c>
      <c r="F163" s="7"/>
      <c r="G163" s="66"/>
      <c r="H163" s="59"/>
      <c r="I163" s="59">
        <v>510</v>
      </c>
      <c r="J163" s="47">
        <f t="shared" si="36"/>
        <v>510</v>
      </c>
      <c r="K163" s="8">
        <f t="shared" si="39"/>
        <v>480</v>
      </c>
      <c r="L163" s="96">
        <f t="shared" si="33"/>
        <v>0.94117647058823528</v>
      </c>
      <c r="M163" s="81">
        <v>2000</v>
      </c>
      <c r="N163" s="8">
        <v>300</v>
      </c>
      <c r="O163" s="8">
        <v>60</v>
      </c>
      <c r="P163" s="96">
        <f t="shared" si="34"/>
        <v>0.83333333333333337</v>
      </c>
      <c r="Q163" s="59">
        <f t="shared" si="40"/>
        <v>2000</v>
      </c>
      <c r="R163" s="59">
        <f t="shared" si="41"/>
        <v>2009</v>
      </c>
      <c r="S163" s="65"/>
      <c r="T163" s="65"/>
      <c r="U163" s="65"/>
      <c r="V163" s="65"/>
      <c r="W163" s="65">
        <v>9</v>
      </c>
      <c r="X163" s="65"/>
      <c r="Y163" s="65"/>
      <c r="Z163" s="65"/>
      <c r="AA163" s="65"/>
      <c r="AB163" s="65"/>
      <c r="AC163" s="65"/>
      <c r="AD163" s="65"/>
      <c r="AE163" s="65">
        <f t="shared" si="43"/>
        <v>9</v>
      </c>
      <c r="AF163" s="65"/>
      <c r="AG163" s="248">
        <f t="shared" si="35"/>
        <v>9</v>
      </c>
      <c r="AH163" s="95">
        <f t="shared" si="37"/>
        <v>0.99552015928322546</v>
      </c>
      <c r="AI163" s="97">
        <f t="shared" si="38"/>
        <v>0.78080012492801998</v>
      </c>
      <c r="AJ163" s="11" t="s">
        <v>2501</v>
      </c>
    </row>
    <row r="164" spans="1:37" x14ac:dyDescent="0.25">
      <c r="A164">
        <f t="shared" si="42"/>
        <v>162</v>
      </c>
      <c r="B164" s="241" t="s">
        <v>1777</v>
      </c>
      <c r="D164" s="14">
        <v>45833</v>
      </c>
      <c r="E164" s="7">
        <v>30</v>
      </c>
      <c r="F164" s="7"/>
      <c r="G164" s="66"/>
      <c r="H164" s="59"/>
      <c r="I164" s="59">
        <v>955</v>
      </c>
      <c r="J164" s="47">
        <f t="shared" si="36"/>
        <v>955</v>
      </c>
      <c r="K164" s="8">
        <f t="shared" si="39"/>
        <v>925</v>
      </c>
      <c r="L164" s="96">
        <f t="shared" si="33"/>
        <v>0.96858638743455494</v>
      </c>
      <c r="M164" s="81">
        <f>2600+2450</f>
        <v>5050</v>
      </c>
      <c r="N164" s="8">
        <v>300</v>
      </c>
      <c r="O164" s="8">
        <v>60</v>
      </c>
      <c r="P164" s="96">
        <f t="shared" si="34"/>
        <v>1.0918918918918918</v>
      </c>
      <c r="Q164" s="59">
        <f t="shared" si="40"/>
        <v>5050</v>
      </c>
      <c r="R164" s="59">
        <f t="shared" si="41"/>
        <v>5065</v>
      </c>
      <c r="S164" s="65"/>
      <c r="T164" s="65"/>
      <c r="U164" s="65"/>
      <c r="V164" s="65"/>
      <c r="W164" s="65">
        <v>15</v>
      </c>
      <c r="X164" s="65"/>
      <c r="Y164" s="65"/>
      <c r="Z164" s="65"/>
      <c r="AA164" s="65"/>
      <c r="AB164" s="65"/>
      <c r="AC164" s="65"/>
      <c r="AD164" s="65"/>
      <c r="AE164" s="65">
        <f t="shared" si="43"/>
        <v>15</v>
      </c>
      <c r="AF164" s="65"/>
      <c r="AG164" s="248">
        <f t="shared" si="35"/>
        <v>15</v>
      </c>
      <c r="AH164" s="95">
        <f t="shared" si="37"/>
        <v>0.99703849950641654</v>
      </c>
      <c r="AI164" s="97">
        <f t="shared" si="38"/>
        <v>1.0544595649230162</v>
      </c>
      <c r="AJ164" s="11" t="s">
        <v>2501</v>
      </c>
    </row>
    <row r="165" spans="1:37" x14ac:dyDescent="0.25">
      <c r="A165">
        <f t="shared" si="42"/>
        <v>163</v>
      </c>
      <c r="B165" s="241" t="s">
        <v>1777</v>
      </c>
      <c r="D165" s="14">
        <v>45834</v>
      </c>
      <c r="E165" s="7">
        <v>30</v>
      </c>
      <c r="F165" s="7"/>
      <c r="G165" s="66"/>
      <c r="H165" s="59"/>
      <c r="I165" s="59">
        <v>510</v>
      </c>
      <c r="J165" s="47">
        <f t="shared" si="36"/>
        <v>510</v>
      </c>
      <c r="K165" s="8">
        <f t="shared" si="39"/>
        <v>480</v>
      </c>
      <c r="L165" s="96">
        <f t="shared" si="33"/>
        <v>0.94117647058823528</v>
      </c>
      <c r="M165" s="81">
        <f>300+220+340+340+333+367+230</f>
        <v>2130</v>
      </c>
      <c r="N165" s="8">
        <v>300</v>
      </c>
      <c r="O165" s="8">
        <v>60</v>
      </c>
      <c r="P165" s="96">
        <f t="shared" si="34"/>
        <v>0.88749999999999996</v>
      </c>
      <c r="Q165" s="59">
        <f t="shared" si="40"/>
        <v>2130</v>
      </c>
      <c r="R165" s="59">
        <f t="shared" si="41"/>
        <v>2145</v>
      </c>
      <c r="S165" s="65"/>
      <c r="T165" s="65"/>
      <c r="U165" s="65"/>
      <c r="V165" s="65"/>
      <c r="W165" s="65">
        <v>15</v>
      </c>
      <c r="X165" s="65"/>
      <c r="Y165" s="65"/>
      <c r="Z165" s="65"/>
      <c r="AA165" s="65"/>
      <c r="AB165" s="65"/>
      <c r="AC165" s="65"/>
      <c r="AD165" s="65"/>
      <c r="AE165" s="65">
        <f t="shared" si="43"/>
        <v>15</v>
      </c>
      <c r="AF165" s="65"/>
      <c r="AG165" s="248">
        <f t="shared" si="35"/>
        <v>15</v>
      </c>
      <c r="AH165" s="95">
        <f t="shared" si="37"/>
        <v>0.99300699300699302</v>
      </c>
      <c r="AI165" s="97">
        <f t="shared" si="38"/>
        <v>0.82945290004113537</v>
      </c>
      <c r="AJ165" s="11" t="s">
        <v>2516</v>
      </c>
    </row>
    <row r="166" spans="1:37" x14ac:dyDescent="0.25">
      <c r="A166">
        <f t="shared" si="42"/>
        <v>164</v>
      </c>
      <c r="B166" s="241" t="s">
        <v>2594</v>
      </c>
      <c r="D166" s="14">
        <v>45835</v>
      </c>
      <c r="E166" s="7">
        <v>30</v>
      </c>
      <c r="F166" s="7">
        <v>30</v>
      </c>
      <c r="G166" s="66">
        <v>20</v>
      </c>
      <c r="H166" s="59"/>
      <c r="I166" s="59">
        <v>955</v>
      </c>
      <c r="J166" s="47">
        <f t="shared" si="36"/>
        <v>955</v>
      </c>
      <c r="K166" s="8">
        <f t="shared" si="39"/>
        <v>875</v>
      </c>
      <c r="L166" s="96">
        <f t="shared" si="33"/>
        <v>0.91623036649214662</v>
      </c>
      <c r="M166" s="81">
        <f>1352+662+2241</f>
        <v>4255</v>
      </c>
      <c r="N166" s="8">
        <v>300</v>
      </c>
      <c r="O166" s="8">
        <v>60</v>
      </c>
      <c r="P166" s="96">
        <f t="shared" si="34"/>
        <v>0.97257142857142853</v>
      </c>
      <c r="Q166" s="59">
        <f t="shared" si="40"/>
        <v>4255</v>
      </c>
      <c r="R166" s="59">
        <f t="shared" si="41"/>
        <v>4270</v>
      </c>
      <c r="S166" s="65"/>
      <c r="T166" s="65"/>
      <c r="U166" s="65"/>
      <c r="V166" s="65"/>
      <c r="W166" s="65">
        <v>15</v>
      </c>
      <c r="X166" s="65"/>
      <c r="Y166" s="65"/>
      <c r="Z166" s="65"/>
      <c r="AA166" s="65"/>
      <c r="AB166" s="65"/>
      <c r="AC166" s="65"/>
      <c r="AD166" s="65"/>
      <c r="AE166" s="65">
        <f t="shared" si="43"/>
        <v>15</v>
      </c>
      <c r="AF166" s="65"/>
      <c r="AG166" s="248">
        <f t="shared" si="35"/>
        <v>15</v>
      </c>
      <c r="AH166" s="95">
        <f t="shared" si="37"/>
        <v>0.99648711943793911</v>
      </c>
      <c r="AI166" s="97">
        <f t="shared" si="38"/>
        <v>0.88796915041014257</v>
      </c>
      <c r="AJ166" s="11" t="s">
        <v>2501</v>
      </c>
      <c r="AK166">
        <v>473</v>
      </c>
    </row>
    <row r="167" spans="1:37" x14ac:dyDescent="0.25">
      <c r="A167">
        <f t="shared" si="42"/>
        <v>165</v>
      </c>
      <c r="B167" s="241" t="s">
        <v>2491</v>
      </c>
      <c r="D167" s="14">
        <v>45836</v>
      </c>
      <c r="E167" s="7">
        <v>60</v>
      </c>
      <c r="F167" s="7">
        <v>60</v>
      </c>
      <c r="G167" s="66"/>
      <c r="H167" s="59"/>
      <c r="I167" s="59">
        <v>955</v>
      </c>
      <c r="J167" s="47">
        <f t="shared" si="36"/>
        <v>955</v>
      </c>
      <c r="K167" s="8">
        <f t="shared" si="39"/>
        <v>835</v>
      </c>
      <c r="L167" s="96">
        <f t="shared" si="33"/>
        <v>0.87434554973821987</v>
      </c>
      <c r="M167" s="81"/>
      <c r="N167" s="8">
        <v>300</v>
      </c>
      <c r="O167" s="8">
        <v>60</v>
      </c>
      <c r="P167" s="96">
        <f t="shared" si="34"/>
        <v>0</v>
      </c>
      <c r="Q167" s="59">
        <f t="shared" si="40"/>
        <v>0</v>
      </c>
      <c r="R167" s="59">
        <f t="shared" si="41"/>
        <v>0</v>
      </c>
      <c r="S167" s="65"/>
      <c r="T167" s="65"/>
      <c r="U167" s="65"/>
      <c r="V167" s="65"/>
      <c r="W167" s="65"/>
      <c r="X167" s="65"/>
      <c r="Y167" s="65"/>
      <c r="Z167" s="65"/>
      <c r="AA167" s="65"/>
      <c r="AB167" s="65"/>
      <c r="AC167" s="65"/>
      <c r="AD167" s="65"/>
      <c r="AE167" s="65">
        <f t="shared" si="43"/>
        <v>0</v>
      </c>
      <c r="AF167" s="65"/>
      <c r="AG167" s="248">
        <f t="shared" si="35"/>
        <v>0</v>
      </c>
      <c r="AH167" s="95" t="str">
        <f t="shared" si="37"/>
        <v/>
      </c>
      <c r="AI167" s="97" t="str">
        <f t="shared" si="38"/>
        <v/>
      </c>
      <c r="AJ167" s="11"/>
    </row>
    <row r="168" spans="1:37" x14ac:dyDescent="0.25">
      <c r="A168">
        <f t="shared" si="42"/>
        <v>166</v>
      </c>
      <c r="B168" s="241" t="s">
        <v>2491</v>
      </c>
      <c r="D168" s="14">
        <v>45838</v>
      </c>
      <c r="E168" s="7">
        <f>60*2</f>
        <v>120</v>
      </c>
      <c r="F168" s="7"/>
      <c r="G168" s="66"/>
      <c r="H168" s="59"/>
      <c r="I168" s="59">
        <v>955</v>
      </c>
      <c r="J168" s="47">
        <f t="shared" si="36"/>
        <v>955</v>
      </c>
      <c r="K168" s="8">
        <f t="shared" si="39"/>
        <v>835</v>
      </c>
      <c r="L168" s="96">
        <f t="shared" si="33"/>
        <v>0.87434554973821987</v>
      </c>
      <c r="M168" s="81">
        <f>1470+2630</f>
        <v>4100</v>
      </c>
      <c r="N168" s="8">
        <v>300</v>
      </c>
      <c r="O168" s="8">
        <v>60</v>
      </c>
      <c r="P168" s="96">
        <f t="shared" si="34"/>
        <v>0.98203592814371254</v>
      </c>
      <c r="Q168" s="59">
        <f t="shared" si="40"/>
        <v>4100</v>
      </c>
      <c r="R168" s="59">
        <f t="shared" si="41"/>
        <v>4115</v>
      </c>
      <c r="S168" s="65"/>
      <c r="T168" s="65"/>
      <c r="U168" s="65"/>
      <c r="V168" s="65"/>
      <c r="W168" s="65">
        <v>15</v>
      </c>
      <c r="X168" s="65"/>
      <c r="Y168" s="65"/>
      <c r="Z168" s="65"/>
      <c r="AA168" s="65"/>
      <c r="AB168" s="65"/>
      <c r="AC168" s="65"/>
      <c r="AD168" s="65"/>
      <c r="AE168" s="65">
        <f t="shared" si="43"/>
        <v>15</v>
      </c>
      <c r="AF168" s="65"/>
      <c r="AG168" s="248">
        <f t="shared" si="35"/>
        <v>15</v>
      </c>
      <c r="AH168" s="95">
        <f t="shared" si="37"/>
        <v>0.99635479951397332</v>
      </c>
      <c r="AI168" s="97">
        <f t="shared" si="38"/>
        <v>0.85550883309053194</v>
      </c>
      <c r="AJ168" s="11" t="s">
        <v>2583</v>
      </c>
      <c r="AK168">
        <v>347</v>
      </c>
    </row>
    <row r="169" spans="1:37" x14ac:dyDescent="0.25">
      <c r="A169">
        <f t="shared" si="42"/>
        <v>167</v>
      </c>
      <c r="B169" s="241" t="s">
        <v>2597</v>
      </c>
      <c r="D169" s="14">
        <v>45839</v>
      </c>
      <c r="E169" s="7">
        <v>60</v>
      </c>
      <c r="F169" s="7">
        <v>60</v>
      </c>
      <c r="G169" s="66"/>
      <c r="H169" s="59"/>
      <c r="I169" s="59">
        <v>955</v>
      </c>
      <c r="J169" s="47">
        <f t="shared" si="36"/>
        <v>955</v>
      </c>
      <c r="K169" s="8">
        <f t="shared" si="39"/>
        <v>835</v>
      </c>
      <c r="L169" s="96">
        <f t="shared" si="33"/>
        <v>0.87434554973821987</v>
      </c>
      <c r="M169" s="81">
        <f>1116+2800</f>
        <v>3916</v>
      </c>
      <c r="N169" s="8">
        <v>300</v>
      </c>
      <c r="O169" s="8">
        <v>60</v>
      </c>
      <c r="P169" s="96">
        <f t="shared" si="34"/>
        <v>0.93796407185628738</v>
      </c>
      <c r="Q169" s="59">
        <f t="shared" si="40"/>
        <v>3916</v>
      </c>
      <c r="R169" s="59">
        <f t="shared" si="41"/>
        <v>3931</v>
      </c>
      <c r="S169" s="65"/>
      <c r="T169" s="65"/>
      <c r="U169" s="65"/>
      <c r="V169" s="65"/>
      <c r="W169" s="65">
        <v>15</v>
      </c>
      <c r="X169" s="65"/>
      <c r="Y169" s="65"/>
      <c r="Z169" s="65"/>
      <c r="AA169" s="65"/>
      <c r="AB169" s="65"/>
      <c r="AC169" s="65"/>
      <c r="AD169" s="65"/>
      <c r="AE169" s="65">
        <f t="shared" si="43"/>
        <v>15</v>
      </c>
      <c r="AF169" s="65"/>
      <c r="AG169" s="248">
        <f t="shared" si="35"/>
        <v>15</v>
      </c>
      <c r="AH169" s="95">
        <f t="shared" si="37"/>
        <v>0.99618417705418472</v>
      </c>
      <c r="AI169" s="97">
        <f t="shared" si="38"/>
        <v>0.81697533766370412</v>
      </c>
      <c r="AJ169" s="11" t="s">
        <v>2501</v>
      </c>
      <c r="AK169" t="s">
        <v>2514</v>
      </c>
    </row>
    <row r="170" spans="1:37" x14ac:dyDescent="0.25">
      <c r="A170">
        <f t="shared" si="42"/>
        <v>168</v>
      </c>
      <c r="B170" s="241" t="s">
        <v>1777</v>
      </c>
      <c r="D170" s="14">
        <v>45840</v>
      </c>
      <c r="E170" s="7">
        <v>45</v>
      </c>
      <c r="F170" s="7"/>
      <c r="G170" s="66"/>
      <c r="H170" s="59"/>
      <c r="I170" s="59">
        <v>955</v>
      </c>
      <c r="J170" s="47">
        <f t="shared" si="36"/>
        <v>955</v>
      </c>
      <c r="K170" s="8">
        <f t="shared" si="39"/>
        <v>910</v>
      </c>
      <c r="L170" s="96">
        <f t="shared" si="33"/>
        <v>0.95287958115183247</v>
      </c>
      <c r="M170" s="81">
        <f>2625</f>
        <v>2625</v>
      </c>
      <c r="N170" s="8">
        <v>300</v>
      </c>
      <c r="O170" s="8">
        <v>60</v>
      </c>
      <c r="P170" s="96">
        <f t="shared" si="34"/>
        <v>0.57692307692307687</v>
      </c>
      <c r="Q170" s="59">
        <f t="shared" si="40"/>
        <v>2625</v>
      </c>
      <c r="R170" s="59">
        <f t="shared" si="41"/>
        <v>2640</v>
      </c>
      <c r="S170" s="65"/>
      <c r="T170" s="65"/>
      <c r="U170" s="65"/>
      <c r="V170" s="65"/>
      <c r="W170" s="65">
        <v>15</v>
      </c>
      <c r="X170" s="65"/>
      <c r="Y170" s="65"/>
      <c r="Z170" s="65"/>
      <c r="AA170" s="65"/>
      <c r="AB170" s="65"/>
      <c r="AC170" s="65"/>
      <c r="AD170" s="65"/>
      <c r="AE170" s="65">
        <f t="shared" si="43"/>
        <v>15</v>
      </c>
      <c r="AF170" s="65"/>
      <c r="AG170" s="248">
        <f t="shared" si="35"/>
        <v>15</v>
      </c>
      <c r="AH170" s="95">
        <f t="shared" si="37"/>
        <v>0.99431818181818177</v>
      </c>
      <c r="AI170" s="97">
        <f t="shared" si="38"/>
        <v>0.54661470728224648</v>
      </c>
      <c r="AJ170" s="11" t="s">
        <v>2524</v>
      </c>
    </row>
    <row r="171" spans="1:37" x14ac:dyDescent="0.25">
      <c r="A171">
        <f t="shared" si="42"/>
        <v>169</v>
      </c>
      <c r="B171" s="241" t="s">
        <v>1777</v>
      </c>
      <c r="D171" s="14">
        <v>45841</v>
      </c>
      <c r="E171" s="7">
        <v>45</v>
      </c>
      <c r="F171" s="7"/>
      <c r="G171" s="66"/>
      <c r="H171" s="59"/>
      <c r="I171" s="59">
        <v>955</v>
      </c>
      <c r="J171" s="47">
        <f t="shared" si="36"/>
        <v>955</v>
      </c>
      <c r="K171" s="8">
        <f t="shared" si="39"/>
        <v>910</v>
      </c>
      <c r="L171" s="96">
        <f t="shared" si="33"/>
        <v>0.95287958115183247</v>
      </c>
      <c r="M171" s="81">
        <f>2225</f>
        <v>2225</v>
      </c>
      <c r="N171" s="8">
        <v>300</v>
      </c>
      <c r="O171" s="8">
        <v>60</v>
      </c>
      <c r="P171" s="96">
        <f t="shared" si="34"/>
        <v>0.48901098901098899</v>
      </c>
      <c r="Q171" s="59">
        <f t="shared" si="40"/>
        <v>2225</v>
      </c>
      <c r="R171" s="59">
        <f t="shared" si="41"/>
        <v>2240</v>
      </c>
      <c r="S171" s="65"/>
      <c r="T171" s="65"/>
      <c r="U171" s="65"/>
      <c r="V171" s="65"/>
      <c r="W171" s="65">
        <v>15</v>
      </c>
      <c r="X171" s="65"/>
      <c r="Y171" s="65"/>
      <c r="Z171" s="65"/>
      <c r="AA171" s="65"/>
      <c r="AB171" s="65"/>
      <c r="AC171" s="65"/>
      <c r="AD171" s="65"/>
      <c r="AE171" s="65">
        <f t="shared" si="43"/>
        <v>15</v>
      </c>
      <c r="AF171" s="65"/>
      <c r="AG171" s="248">
        <f t="shared" si="35"/>
        <v>15</v>
      </c>
      <c r="AH171" s="95">
        <f t="shared" si="37"/>
        <v>0.9933035714285714</v>
      </c>
      <c r="AI171" s="97">
        <f t="shared" si="38"/>
        <v>0.46284826103216153</v>
      </c>
      <c r="AJ171" s="11" t="s">
        <v>2524</v>
      </c>
    </row>
    <row r="172" spans="1:37" x14ac:dyDescent="0.25">
      <c r="A172">
        <f t="shared" si="42"/>
        <v>170</v>
      </c>
      <c r="B172" s="241" t="s">
        <v>1777</v>
      </c>
      <c r="D172" s="14">
        <v>45842</v>
      </c>
      <c r="E172" s="7">
        <v>45</v>
      </c>
      <c r="F172" s="7"/>
      <c r="G172" s="66"/>
      <c r="H172" s="59"/>
      <c r="I172" s="59">
        <v>955</v>
      </c>
      <c r="J172" s="47">
        <f t="shared" si="36"/>
        <v>955</v>
      </c>
      <c r="K172" s="8">
        <f t="shared" si="39"/>
        <v>910</v>
      </c>
      <c r="L172" s="96">
        <f t="shared" si="33"/>
        <v>0.95287958115183247</v>
      </c>
      <c r="M172" s="81">
        <f>2850+2050</f>
        <v>4900</v>
      </c>
      <c r="N172" s="8">
        <v>300</v>
      </c>
      <c r="O172" s="8">
        <v>60</v>
      </c>
      <c r="P172" s="96">
        <f t="shared" si="34"/>
        <v>1.0769230769230769</v>
      </c>
      <c r="Q172" s="59">
        <f t="shared" si="40"/>
        <v>4900</v>
      </c>
      <c r="R172" s="59">
        <f t="shared" si="41"/>
        <v>4915</v>
      </c>
      <c r="S172" s="65"/>
      <c r="T172" s="65"/>
      <c r="U172" s="65"/>
      <c r="V172" s="65"/>
      <c r="W172" s="65">
        <v>15</v>
      </c>
      <c r="X172" s="65"/>
      <c r="Y172" s="65"/>
      <c r="Z172" s="65"/>
      <c r="AA172" s="65"/>
      <c r="AB172" s="65"/>
      <c r="AC172" s="65"/>
      <c r="AD172" s="65"/>
      <c r="AE172" s="65">
        <f t="shared" si="43"/>
        <v>15</v>
      </c>
      <c r="AF172" s="65"/>
      <c r="AG172" s="248">
        <f t="shared" si="35"/>
        <v>15</v>
      </c>
      <c r="AH172" s="95">
        <f t="shared" si="37"/>
        <v>0.99694811800610372</v>
      </c>
      <c r="AI172" s="97">
        <f t="shared" si="38"/>
        <v>1.0230462362785149</v>
      </c>
      <c r="AJ172" s="11" t="s">
        <v>2521</v>
      </c>
      <c r="AK172" t="s">
        <v>2524</v>
      </c>
    </row>
    <row r="173" spans="1:37" x14ac:dyDescent="0.25">
      <c r="A173">
        <f t="shared" si="42"/>
        <v>171</v>
      </c>
      <c r="B173" s="241" t="s">
        <v>1777</v>
      </c>
      <c r="D173" s="14">
        <v>45843</v>
      </c>
      <c r="E173" s="7"/>
      <c r="F173" s="7"/>
      <c r="G173" s="66"/>
      <c r="H173" s="59"/>
      <c r="I173" s="59"/>
      <c r="J173" s="47">
        <f t="shared" si="36"/>
        <v>0</v>
      </c>
      <c r="K173" s="8">
        <f t="shared" si="39"/>
        <v>0</v>
      </c>
      <c r="L173" s="96" t="str">
        <f t="shared" si="33"/>
        <v/>
      </c>
      <c r="M173" s="81"/>
      <c r="N173" s="8">
        <v>300</v>
      </c>
      <c r="O173" s="8">
        <v>60</v>
      </c>
      <c r="P173" s="96" t="str">
        <f t="shared" si="34"/>
        <v/>
      </c>
      <c r="Q173" s="59">
        <f t="shared" si="40"/>
        <v>0</v>
      </c>
      <c r="R173" s="59">
        <f t="shared" si="41"/>
        <v>0</v>
      </c>
      <c r="S173" s="65"/>
      <c r="T173" s="65"/>
      <c r="U173" s="65"/>
      <c r="V173" s="65"/>
      <c r="W173" s="65"/>
      <c r="X173" s="65"/>
      <c r="Y173" s="65"/>
      <c r="Z173" s="65"/>
      <c r="AA173" s="65"/>
      <c r="AB173" s="65"/>
      <c r="AC173" s="65"/>
      <c r="AD173" s="65"/>
      <c r="AE173" s="65">
        <f t="shared" si="43"/>
        <v>0</v>
      </c>
      <c r="AF173" s="65"/>
      <c r="AG173" s="248">
        <f t="shared" si="35"/>
        <v>0</v>
      </c>
      <c r="AH173" s="95" t="str">
        <f t="shared" si="37"/>
        <v/>
      </c>
      <c r="AI173" s="97" t="str">
        <f t="shared" si="38"/>
        <v/>
      </c>
      <c r="AJ173" s="11"/>
    </row>
    <row r="174" spans="1:37" x14ac:dyDescent="0.25">
      <c r="A174">
        <f t="shared" si="42"/>
        <v>172</v>
      </c>
      <c r="B174" s="241" t="s">
        <v>1777</v>
      </c>
      <c r="D174" s="14">
        <v>45844</v>
      </c>
      <c r="E174" s="7"/>
      <c r="F174" s="7"/>
      <c r="G174" s="66"/>
      <c r="H174" s="59"/>
      <c r="I174" s="59"/>
      <c r="J174" s="47">
        <f t="shared" si="36"/>
        <v>0</v>
      </c>
      <c r="K174" s="8">
        <f t="shared" si="39"/>
        <v>0</v>
      </c>
      <c r="L174" s="96" t="str">
        <f t="shared" si="33"/>
        <v/>
      </c>
      <c r="M174" s="81"/>
      <c r="N174" s="8">
        <v>300</v>
      </c>
      <c r="O174" s="8">
        <v>60</v>
      </c>
      <c r="P174" s="96" t="str">
        <f t="shared" si="34"/>
        <v/>
      </c>
      <c r="Q174" s="59">
        <f t="shared" si="40"/>
        <v>0</v>
      </c>
      <c r="R174" s="59">
        <f t="shared" si="41"/>
        <v>0</v>
      </c>
      <c r="S174" s="65"/>
      <c r="T174" s="65"/>
      <c r="U174" s="65"/>
      <c r="V174" s="65"/>
      <c r="W174" s="65"/>
      <c r="X174" s="65"/>
      <c r="Y174" s="65"/>
      <c r="Z174" s="65"/>
      <c r="AA174" s="65"/>
      <c r="AB174" s="65"/>
      <c r="AC174" s="65"/>
      <c r="AD174" s="65"/>
      <c r="AE174" s="65">
        <f t="shared" si="43"/>
        <v>0</v>
      </c>
      <c r="AF174" s="65"/>
      <c r="AG174" s="248">
        <f t="shared" si="35"/>
        <v>0</v>
      </c>
      <c r="AH174" s="95" t="str">
        <f t="shared" si="37"/>
        <v/>
      </c>
      <c r="AI174" s="97" t="str">
        <f t="shared" si="38"/>
        <v/>
      </c>
      <c r="AJ174" s="11"/>
    </row>
    <row r="175" spans="1:37" x14ac:dyDescent="0.25">
      <c r="A175">
        <f t="shared" si="42"/>
        <v>173</v>
      </c>
      <c r="B175" s="241" t="s">
        <v>1777</v>
      </c>
      <c r="D175" s="14">
        <v>45845</v>
      </c>
      <c r="E175" s="7">
        <v>60</v>
      </c>
      <c r="F175" s="7"/>
      <c r="G175" s="66"/>
      <c r="H175" s="59"/>
      <c r="I175" s="59">
        <v>510</v>
      </c>
      <c r="J175" s="47">
        <f t="shared" si="36"/>
        <v>510</v>
      </c>
      <c r="K175" s="8">
        <f t="shared" si="39"/>
        <v>450</v>
      </c>
      <c r="L175" s="96">
        <f t="shared" si="33"/>
        <v>0.88235294117647056</v>
      </c>
      <c r="M175" s="81">
        <v>2450</v>
      </c>
      <c r="N175" s="8">
        <v>300</v>
      </c>
      <c r="O175" s="8">
        <v>60</v>
      </c>
      <c r="P175" s="96">
        <f t="shared" si="34"/>
        <v>1.0888888888888888</v>
      </c>
      <c r="Q175" s="59">
        <f t="shared" si="40"/>
        <v>2450</v>
      </c>
      <c r="R175" s="59">
        <f t="shared" si="41"/>
        <v>2463</v>
      </c>
      <c r="S175" s="65"/>
      <c r="T175" s="65"/>
      <c r="U175" s="65"/>
      <c r="V175" s="65"/>
      <c r="W175" s="65">
        <v>13</v>
      </c>
      <c r="X175" s="65"/>
      <c r="Y175" s="65"/>
      <c r="Z175" s="65"/>
      <c r="AA175" s="65"/>
      <c r="AB175" s="65"/>
      <c r="AC175" s="65"/>
      <c r="AD175" s="65"/>
      <c r="AE175" s="65">
        <f t="shared" si="43"/>
        <v>13</v>
      </c>
      <c r="AF175" s="65"/>
      <c r="AG175" s="248">
        <f t="shared" si="35"/>
        <v>13</v>
      </c>
      <c r="AH175" s="95">
        <f t="shared" si="37"/>
        <v>0.99472188388144545</v>
      </c>
      <c r="AI175" s="97">
        <f t="shared" si="38"/>
        <v>0.95571318255276128</v>
      </c>
      <c r="AJ175" s="11" t="s">
        <v>2524</v>
      </c>
    </row>
    <row r="176" spans="1:37" x14ac:dyDescent="0.25">
      <c r="A176">
        <f t="shared" si="42"/>
        <v>174</v>
      </c>
      <c r="B176" s="241" t="s">
        <v>1777</v>
      </c>
      <c r="D176" s="14">
        <v>45846</v>
      </c>
      <c r="E176" s="7">
        <v>60</v>
      </c>
      <c r="F176" s="7"/>
      <c r="G176" s="66"/>
      <c r="H176" s="59"/>
      <c r="I176" s="59">
        <v>510</v>
      </c>
      <c r="J176" s="47">
        <f t="shared" si="36"/>
        <v>510</v>
      </c>
      <c r="K176" s="8">
        <f t="shared" si="39"/>
        <v>450</v>
      </c>
      <c r="L176" s="96">
        <f t="shared" si="33"/>
        <v>0.88235294117647056</v>
      </c>
      <c r="M176" s="81">
        <v>2010</v>
      </c>
      <c r="N176" s="8">
        <v>300</v>
      </c>
      <c r="O176" s="8">
        <v>60</v>
      </c>
      <c r="P176" s="96">
        <f t="shared" si="34"/>
        <v>0.89333333333333331</v>
      </c>
      <c r="Q176" s="59">
        <f t="shared" si="40"/>
        <v>2010</v>
      </c>
      <c r="R176" s="59">
        <f t="shared" si="41"/>
        <v>2022</v>
      </c>
      <c r="S176" s="65"/>
      <c r="T176" s="65"/>
      <c r="U176" s="65"/>
      <c r="V176" s="65"/>
      <c r="W176" s="65">
        <v>12</v>
      </c>
      <c r="X176" s="65"/>
      <c r="Y176" s="65"/>
      <c r="Z176" s="65"/>
      <c r="AA176" s="65"/>
      <c r="AB176" s="65"/>
      <c r="AC176" s="65"/>
      <c r="AD176" s="65"/>
      <c r="AE176" s="65">
        <f t="shared" si="43"/>
        <v>12</v>
      </c>
      <c r="AF176" s="65"/>
      <c r="AG176" s="248">
        <f t="shared" si="35"/>
        <v>12</v>
      </c>
      <c r="AH176" s="95">
        <f t="shared" si="37"/>
        <v>0.99406528189910981</v>
      </c>
      <c r="AI176" s="97">
        <f t="shared" si="38"/>
        <v>0.78355733984988651</v>
      </c>
      <c r="AJ176" s="11" t="s">
        <v>1796</v>
      </c>
    </row>
    <row r="177" spans="1:37" x14ac:dyDescent="0.25">
      <c r="A177">
        <f t="shared" si="42"/>
        <v>175</v>
      </c>
      <c r="B177" s="241" t="s">
        <v>1777</v>
      </c>
      <c r="D177" s="14">
        <v>45847</v>
      </c>
      <c r="E177" s="7">
        <v>60</v>
      </c>
      <c r="F177" s="7"/>
      <c r="G177" s="66"/>
      <c r="H177" s="59"/>
      <c r="I177" s="59">
        <v>510</v>
      </c>
      <c r="J177" s="47">
        <f t="shared" si="36"/>
        <v>510</v>
      </c>
      <c r="K177" s="8">
        <f t="shared" si="39"/>
        <v>450</v>
      </c>
      <c r="L177" s="96">
        <f t="shared" si="33"/>
        <v>0.88235294117647056</v>
      </c>
      <c r="M177" s="81">
        <v>2500</v>
      </c>
      <c r="N177" s="8">
        <v>300</v>
      </c>
      <c r="O177" s="8">
        <v>60</v>
      </c>
      <c r="P177" s="96">
        <f t="shared" si="34"/>
        <v>1.1111111111111112</v>
      </c>
      <c r="Q177" s="59">
        <f t="shared" si="40"/>
        <v>2500</v>
      </c>
      <c r="R177" s="59">
        <f t="shared" si="41"/>
        <v>2515</v>
      </c>
      <c r="S177" s="65"/>
      <c r="T177" s="65"/>
      <c r="U177" s="65"/>
      <c r="V177" s="65"/>
      <c r="W177" s="65">
        <v>15</v>
      </c>
      <c r="X177" s="65"/>
      <c r="Y177" s="65"/>
      <c r="Z177" s="65"/>
      <c r="AA177" s="65"/>
      <c r="AB177" s="65"/>
      <c r="AC177" s="65"/>
      <c r="AD177" s="65"/>
      <c r="AE177" s="65">
        <f t="shared" si="43"/>
        <v>15</v>
      </c>
      <c r="AF177" s="65"/>
      <c r="AG177" s="248">
        <f t="shared" si="35"/>
        <v>15</v>
      </c>
      <c r="AH177" s="95">
        <f t="shared" si="37"/>
        <v>0.99403578528827041</v>
      </c>
      <c r="AI177" s="97">
        <f t="shared" si="38"/>
        <v>0.97454488753752011</v>
      </c>
      <c r="AJ177" s="11" t="s">
        <v>1796</v>
      </c>
    </row>
    <row r="178" spans="1:37" x14ac:dyDescent="0.25">
      <c r="A178">
        <f t="shared" si="42"/>
        <v>176</v>
      </c>
      <c r="B178" s="241" t="s">
        <v>1777</v>
      </c>
      <c r="D178" s="14">
        <v>45848</v>
      </c>
      <c r="E178" s="7">
        <v>45</v>
      </c>
      <c r="F178" s="7"/>
      <c r="G178" s="66"/>
      <c r="H178" s="59"/>
      <c r="I178" s="59">
        <v>510</v>
      </c>
      <c r="J178" s="47">
        <f t="shared" si="36"/>
        <v>510</v>
      </c>
      <c r="K178" s="8">
        <f t="shared" si="39"/>
        <v>465</v>
      </c>
      <c r="L178" s="96">
        <f t="shared" si="33"/>
        <v>0.91176470588235292</v>
      </c>
      <c r="M178" s="81">
        <v>2400</v>
      </c>
      <c r="N178" s="8">
        <v>300</v>
      </c>
      <c r="O178" s="8">
        <v>60</v>
      </c>
      <c r="P178" s="96">
        <f t="shared" si="34"/>
        <v>1.032258064516129</v>
      </c>
      <c r="Q178" s="59">
        <f t="shared" si="40"/>
        <v>2400</v>
      </c>
      <c r="R178" s="59">
        <f t="shared" si="41"/>
        <v>2414</v>
      </c>
      <c r="S178" s="65"/>
      <c r="T178" s="65"/>
      <c r="U178" s="65"/>
      <c r="V178" s="65"/>
      <c r="W178" s="65">
        <v>14</v>
      </c>
      <c r="X178" s="65"/>
      <c r="Y178" s="65"/>
      <c r="Z178" s="65"/>
      <c r="AA178" s="65"/>
      <c r="AB178" s="65"/>
      <c r="AC178" s="65"/>
      <c r="AD178" s="65"/>
      <c r="AE178" s="65">
        <f t="shared" si="43"/>
        <v>14</v>
      </c>
      <c r="AF178" s="65"/>
      <c r="AG178" s="248">
        <f t="shared" si="35"/>
        <v>14</v>
      </c>
      <c r="AH178" s="95">
        <f t="shared" si="37"/>
        <v>0.9942004971002486</v>
      </c>
      <c r="AI178" s="97">
        <f t="shared" si="38"/>
        <v>0.93571811491788104</v>
      </c>
      <c r="AJ178" s="11" t="s">
        <v>1796</v>
      </c>
    </row>
    <row r="179" spans="1:37" x14ac:dyDescent="0.25">
      <c r="A179">
        <f t="shared" si="42"/>
        <v>177</v>
      </c>
      <c r="B179" s="295" t="s">
        <v>2599</v>
      </c>
      <c r="C179">
        <v>1</v>
      </c>
      <c r="D179" s="14">
        <v>45849</v>
      </c>
      <c r="E179" s="7">
        <v>45</v>
      </c>
      <c r="F179" s="7"/>
      <c r="G179" s="66"/>
      <c r="H179" s="59"/>
      <c r="I179" s="59">
        <v>510</v>
      </c>
      <c r="J179" s="47">
        <f t="shared" si="36"/>
        <v>510</v>
      </c>
      <c r="K179" s="8">
        <f t="shared" si="39"/>
        <v>465</v>
      </c>
      <c r="L179" s="96">
        <f t="shared" si="33"/>
        <v>0.91176470588235292</v>
      </c>
      <c r="M179" s="81">
        <f>1106</f>
        <v>1106</v>
      </c>
      <c r="N179" s="8">
        <v>300</v>
      </c>
      <c r="O179" s="8">
        <v>60</v>
      </c>
      <c r="P179" s="96">
        <f t="shared" si="34"/>
        <v>0.47569892473118275</v>
      </c>
      <c r="Q179" s="59">
        <f t="shared" si="40"/>
        <v>1106</v>
      </c>
      <c r="R179" s="59">
        <f t="shared" si="41"/>
        <v>1112</v>
      </c>
      <c r="S179" s="65"/>
      <c r="T179" s="65"/>
      <c r="U179" s="65"/>
      <c r="V179" s="65"/>
      <c r="W179" s="65">
        <v>6</v>
      </c>
      <c r="X179" s="65"/>
      <c r="Y179" s="65"/>
      <c r="Z179" s="65"/>
      <c r="AA179" s="65"/>
      <c r="AB179" s="65"/>
      <c r="AC179" s="65"/>
      <c r="AD179" s="65"/>
      <c r="AE179" s="65">
        <f t="shared" si="43"/>
        <v>6</v>
      </c>
      <c r="AF179" s="65"/>
      <c r="AG179" s="248">
        <f t="shared" si="35"/>
        <v>6</v>
      </c>
      <c r="AH179" s="95">
        <f t="shared" si="37"/>
        <v>0.99460431654676262</v>
      </c>
      <c r="AI179" s="97">
        <f t="shared" si="38"/>
        <v>0.43138524474538015</v>
      </c>
      <c r="AJ179" s="11" t="s">
        <v>1796</v>
      </c>
    </row>
    <row r="180" spans="1:37" x14ac:dyDescent="0.25">
      <c r="A180">
        <f t="shared" si="42"/>
        <v>178</v>
      </c>
      <c r="B180" s="241" t="s">
        <v>2490</v>
      </c>
      <c r="C180">
        <v>2</v>
      </c>
      <c r="D180" s="14">
        <v>45849</v>
      </c>
      <c r="E180" s="7">
        <v>45</v>
      </c>
      <c r="F180" s="7"/>
      <c r="G180" s="66"/>
      <c r="H180" s="59"/>
      <c r="I180" s="59">
        <v>445</v>
      </c>
      <c r="J180" s="47">
        <f t="shared" si="36"/>
        <v>445</v>
      </c>
      <c r="K180" s="8">
        <f t="shared" si="39"/>
        <v>400</v>
      </c>
      <c r="L180" s="96">
        <f t="shared" si="33"/>
        <v>0.898876404494382</v>
      </c>
      <c r="M180" s="81">
        <v>1650</v>
      </c>
      <c r="N180" s="8">
        <v>300</v>
      </c>
      <c r="O180" s="8">
        <v>60</v>
      </c>
      <c r="P180" s="96">
        <f t="shared" si="34"/>
        <v>0.82499999999999996</v>
      </c>
      <c r="Q180" s="59">
        <f t="shared" si="40"/>
        <v>1650</v>
      </c>
      <c r="R180" s="59">
        <f t="shared" si="41"/>
        <v>1656</v>
      </c>
      <c r="S180" s="65"/>
      <c r="T180" s="65"/>
      <c r="U180" s="65"/>
      <c r="V180" s="65"/>
      <c r="W180" s="65">
        <v>6</v>
      </c>
      <c r="X180" s="65"/>
      <c r="Y180" s="65"/>
      <c r="Z180" s="65"/>
      <c r="AA180" s="65"/>
      <c r="AB180" s="65"/>
      <c r="AC180" s="65"/>
      <c r="AD180" s="65"/>
      <c r="AE180" s="65">
        <f t="shared" si="43"/>
        <v>6</v>
      </c>
      <c r="AF180" s="65"/>
      <c r="AG180" s="248">
        <f t="shared" si="35"/>
        <v>6</v>
      </c>
      <c r="AH180" s="95">
        <f t="shared" si="37"/>
        <v>0.99637681159420288</v>
      </c>
      <c r="AI180" s="97">
        <f t="shared" si="38"/>
        <v>0.7388861748900829</v>
      </c>
      <c r="AJ180" s="11" t="s">
        <v>2583</v>
      </c>
    </row>
    <row r="181" spans="1:37" x14ac:dyDescent="0.25">
      <c r="A181">
        <f t="shared" si="42"/>
        <v>179</v>
      </c>
      <c r="B181" s="241" t="s">
        <v>2490</v>
      </c>
      <c r="C181">
        <v>1</v>
      </c>
      <c r="D181" s="14">
        <v>45852</v>
      </c>
      <c r="E181" s="7">
        <v>30</v>
      </c>
      <c r="F181" s="7"/>
      <c r="G181" s="66"/>
      <c r="H181" s="59"/>
      <c r="I181" s="59">
        <v>510</v>
      </c>
      <c r="J181" s="47">
        <f t="shared" si="36"/>
        <v>510</v>
      </c>
      <c r="K181" s="8">
        <f t="shared" si="39"/>
        <v>480</v>
      </c>
      <c r="L181" s="96">
        <f t="shared" si="33"/>
        <v>0.94117647058823528</v>
      </c>
      <c r="M181" s="81">
        <v>2362</v>
      </c>
      <c r="N181" s="8">
        <v>300</v>
      </c>
      <c r="O181" s="8">
        <v>60</v>
      </c>
      <c r="P181" s="96">
        <f t="shared" si="34"/>
        <v>0.98416666666666663</v>
      </c>
      <c r="Q181" s="59">
        <f t="shared" si="40"/>
        <v>2362</v>
      </c>
      <c r="R181" s="59">
        <f t="shared" si="41"/>
        <v>2377</v>
      </c>
      <c r="S181" s="65"/>
      <c r="T181" s="65"/>
      <c r="U181" s="65"/>
      <c r="V181" s="65"/>
      <c r="W181" s="65">
        <v>15</v>
      </c>
      <c r="X181" s="65"/>
      <c r="Y181" s="65"/>
      <c r="Z181" s="65"/>
      <c r="AA181" s="65"/>
      <c r="AB181" s="65"/>
      <c r="AC181" s="65"/>
      <c r="AD181" s="65"/>
      <c r="AE181" s="65">
        <f t="shared" si="43"/>
        <v>15</v>
      </c>
      <c r="AF181" s="65"/>
      <c r="AG181" s="248">
        <f t="shared" si="35"/>
        <v>15</v>
      </c>
      <c r="AH181" s="95">
        <f t="shared" si="37"/>
        <v>0.99368952461085402</v>
      </c>
      <c r="AI181" s="97">
        <f t="shared" si="38"/>
        <v>0.9204292773062106</v>
      </c>
      <c r="AJ181" s="11" t="s">
        <v>2601</v>
      </c>
    </row>
    <row r="182" spans="1:37" x14ac:dyDescent="0.25">
      <c r="A182">
        <f t="shared" si="42"/>
        <v>180</v>
      </c>
      <c r="B182" s="241" t="s">
        <v>2602</v>
      </c>
      <c r="C182">
        <v>1</v>
      </c>
      <c r="D182" s="14">
        <v>45853</v>
      </c>
      <c r="E182" s="7">
        <v>30</v>
      </c>
      <c r="F182" s="7"/>
      <c r="G182" s="66"/>
      <c r="H182" s="59"/>
      <c r="I182" s="59">
        <v>510</v>
      </c>
      <c r="J182" s="47">
        <f t="shared" si="36"/>
        <v>510</v>
      </c>
      <c r="K182" s="8">
        <f t="shared" si="39"/>
        <v>480</v>
      </c>
      <c r="L182" s="96">
        <f t="shared" si="33"/>
        <v>0.94117647058823528</v>
      </c>
      <c r="M182" s="81">
        <f>1300+907</f>
        <v>2207</v>
      </c>
      <c r="N182" s="8">
        <v>300</v>
      </c>
      <c r="O182" s="8">
        <v>60</v>
      </c>
      <c r="P182" s="96">
        <f t="shared" si="34"/>
        <v>0.91958333333333331</v>
      </c>
      <c r="Q182" s="59">
        <f t="shared" si="40"/>
        <v>2207</v>
      </c>
      <c r="R182" s="59">
        <f t="shared" si="41"/>
        <v>2222</v>
      </c>
      <c r="S182" s="65"/>
      <c r="T182" s="65"/>
      <c r="U182" s="65"/>
      <c r="V182" s="65"/>
      <c r="W182" s="65">
        <v>15</v>
      </c>
      <c r="X182" s="65"/>
      <c r="Y182" s="65"/>
      <c r="Z182" s="65"/>
      <c r="AA182" s="65"/>
      <c r="AB182" s="65"/>
      <c r="AC182" s="65"/>
      <c r="AD182" s="65"/>
      <c r="AE182" s="65">
        <f t="shared" si="43"/>
        <v>15</v>
      </c>
      <c r="AF182" s="65"/>
      <c r="AG182" s="248">
        <f t="shared" si="35"/>
        <v>15</v>
      </c>
      <c r="AH182" s="95">
        <f t="shared" si="37"/>
        <v>0.99324932493249329</v>
      </c>
      <c r="AI182" s="97">
        <f t="shared" si="38"/>
        <v>0.85964755299059326</v>
      </c>
      <c r="AJ182" s="11" t="s">
        <v>2601</v>
      </c>
    </row>
    <row r="183" spans="1:37" x14ac:dyDescent="0.25">
      <c r="A183">
        <f t="shared" si="42"/>
        <v>181</v>
      </c>
      <c r="B183" s="241" t="s">
        <v>1777</v>
      </c>
      <c r="C183">
        <v>1</v>
      </c>
      <c r="D183" s="14">
        <v>45854</v>
      </c>
      <c r="E183" s="7">
        <v>30</v>
      </c>
      <c r="F183" s="7"/>
      <c r="G183" s="66"/>
      <c r="H183" s="59"/>
      <c r="I183" s="59">
        <v>955</v>
      </c>
      <c r="J183" s="47">
        <f t="shared" si="36"/>
        <v>955</v>
      </c>
      <c r="K183" s="8">
        <f t="shared" si="39"/>
        <v>925</v>
      </c>
      <c r="L183" s="96">
        <f t="shared" si="33"/>
        <v>0.96858638743455494</v>
      </c>
      <c r="M183" s="81">
        <f>2213+2600</f>
        <v>4813</v>
      </c>
      <c r="N183" s="8">
        <v>300</v>
      </c>
      <c r="O183" s="8">
        <v>60</v>
      </c>
      <c r="P183" s="96">
        <f t="shared" si="34"/>
        <v>1.0406486486486486</v>
      </c>
      <c r="Q183" s="59">
        <f t="shared" si="40"/>
        <v>4813</v>
      </c>
      <c r="R183" s="59">
        <f t="shared" si="41"/>
        <v>4813</v>
      </c>
      <c r="S183" s="65"/>
      <c r="T183" s="65"/>
      <c r="U183" s="65"/>
      <c r="V183" s="65"/>
      <c r="W183" s="65"/>
      <c r="X183" s="65"/>
      <c r="Y183" s="65"/>
      <c r="Z183" s="65"/>
      <c r="AA183" s="65"/>
      <c r="AB183" s="65"/>
      <c r="AC183" s="65"/>
      <c r="AD183" s="65"/>
      <c r="AE183" s="65">
        <f t="shared" si="43"/>
        <v>0</v>
      </c>
      <c r="AF183" s="65"/>
      <c r="AG183" s="248">
        <f t="shared" si="35"/>
        <v>0</v>
      </c>
      <c r="AH183" s="95">
        <f t="shared" si="37"/>
        <v>1</v>
      </c>
      <c r="AI183" s="97">
        <f t="shared" si="38"/>
        <v>1.007958115183246</v>
      </c>
      <c r="AJ183" s="11" t="s">
        <v>2601</v>
      </c>
      <c r="AK183" t="s">
        <v>2521</v>
      </c>
    </row>
    <row r="184" spans="1:37" x14ac:dyDescent="0.25">
      <c r="A184">
        <f t="shared" si="42"/>
        <v>182</v>
      </c>
      <c r="B184" s="241" t="s">
        <v>1777</v>
      </c>
      <c r="C184">
        <v>1</v>
      </c>
      <c r="D184" s="14">
        <v>45855</v>
      </c>
      <c r="E184" s="7">
        <v>30</v>
      </c>
      <c r="F184" s="7"/>
      <c r="G184" s="66"/>
      <c r="H184" s="59"/>
      <c r="I184" s="59">
        <v>510</v>
      </c>
      <c r="J184" s="47">
        <f t="shared" si="36"/>
        <v>510</v>
      </c>
      <c r="K184" s="8">
        <f t="shared" si="39"/>
        <v>480</v>
      </c>
      <c r="L184" s="96">
        <f t="shared" si="33"/>
        <v>0.94117647058823528</v>
      </c>
      <c r="M184" s="81">
        <v>2250</v>
      </c>
      <c r="N184" s="8">
        <v>300</v>
      </c>
      <c r="O184" s="8">
        <v>60</v>
      </c>
      <c r="P184" s="96">
        <f t="shared" si="34"/>
        <v>0.9375</v>
      </c>
      <c r="Q184" s="59">
        <f t="shared" si="40"/>
        <v>2250</v>
      </c>
      <c r="R184" s="59">
        <f t="shared" si="41"/>
        <v>2263</v>
      </c>
      <c r="S184" s="65"/>
      <c r="T184" s="65"/>
      <c r="U184" s="65"/>
      <c r="V184" s="65"/>
      <c r="W184" s="65">
        <v>13</v>
      </c>
      <c r="X184" s="65"/>
      <c r="Y184" s="65"/>
      <c r="Z184" s="65"/>
      <c r="AA184" s="65"/>
      <c r="AB184" s="65"/>
      <c r="AC184" s="65"/>
      <c r="AD184" s="65"/>
      <c r="AE184" s="65">
        <f t="shared" si="43"/>
        <v>13</v>
      </c>
      <c r="AF184" s="65"/>
      <c r="AG184" s="248">
        <f t="shared" si="35"/>
        <v>13</v>
      </c>
      <c r="AH184" s="95">
        <f t="shared" si="37"/>
        <v>0.99425541316836064</v>
      </c>
      <c r="AI184" s="97">
        <f t="shared" si="38"/>
        <v>0.87728418808972997</v>
      </c>
      <c r="AJ184" s="11" t="s">
        <v>2601</v>
      </c>
    </row>
    <row r="185" spans="1:37" x14ac:dyDescent="0.25">
      <c r="A185">
        <f t="shared" si="42"/>
        <v>183</v>
      </c>
      <c r="B185" s="241" t="s">
        <v>1777</v>
      </c>
      <c r="C185">
        <v>1</v>
      </c>
      <c r="D185" s="14">
        <v>45856</v>
      </c>
      <c r="E185" s="7">
        <v>30</v>
      </c>
      <c r="F185" s="7"/>
      <c r="G185" s="66"/>
      <c r="H185" s="59"/>
      <c r="I185" s="59">
        <f>955</f>
        <v>955</v>
      </c>
      <c r="J185" s="47">
        <f t="shared" si="36"/>
        <v>955</v>
      </c>
      <c r="K185" s="8">
        <f t="shared" si="39"/>
        <v>925</v>
      </c>
      <c r="L185" s="96">
        <f t="shared" si="33"/>
        <v>0.96858638743455494</v>
      </c>
      <c r="M185" s="81">
        <f>2407+2800</f>
        <v>5207</v>
      </c>
      <c r="N185" s="8">
        <v>300</v>
      </c>
      <c r="O185" s="8">
        <v>60</v>
      </c>
      <c r="P185" s="96">
        <f t="shared" si="34"/>
        <v>1.1258378378378378</v>
      </c>
      <c r="Q185" s="59">
        <f t="shared" si="40"/>
        <v>5207</v>
      </c>
      <c r="R185" s="59">
        <f t="shared" si="41"/>
        <v>5244</v>
      </c>
      <c r="S185" s="65">
        <v>23</v>
      </c>
      <c r="T185" s="65"/>
      <c r="U185" s="65"/>
      <c r="V185" s="65"/>
      <c r="W185" s="65">
        <v>14</v>
      </c>
      <c r="X185" s="65"/>
      <c r="Y185" s="65"/>
      <c r="Z185" s="65"/>
      <c r="AA185" s="65"/>
      <c r="AB185" s="65"/>
      <c r="AC185" s="65"/>
      <c r="AD185" s="65"/>
      <c r="AE185" s="65">
        <f t="shared" si="43"/>
        <v>37</v>
      </c>
      <c r="AF185" s="65"/>
      <c r="AG185" s="248">
        <f t="shared" si="35"/>
        <v>37</v>
      </c>
      <c r="AH185" s="95">
        <f t="shared" si="37"/>
        <v>0.99294431731502675</v>
      </c>
      <c r="AI185" s="97">
        <f t="shared" si="38"/>
        <v>1.0827771853946269</v>
      </c>
      <c r="AJ185" s="11" t="s">
        <v>2603</v>
      </c>
      <c r="AK185" t="s">
        <v>2521</v>
      </c>
    </row>
    <row r="186" spans="1:37" x14ac:dyDescent="0.25">
      <c r="A186">
        <f t="shared" si="42"/>
        <v>184</v>
      </c>
      <c r="B186" s="241" t="s">
        <v>1777</v>
      </c>
      <c r="C186">
        <v>1</v>
      </c>
      <c r="D186" s="14">
        <v>45857</v>
      </c>
      <c r="E186" s="7"/>
      <c r="F186" s="7"/>
      <c r="G186" s="66"/>
      <c r="H186" s="59"/>
      <c r="I186" s="59"/>
      <c r="J186" s="47">
        <f t="shared" si="36"/>
        <v>0</v>
      </c>
      <c r="K186" s="8">
        <f t="shared" si="39"/>
        <v>0</v>
      </c>
      <c r="L186" s="96" t="str">
        <f t="shared" ref="L186:L205" si="54">IFERROR(K186/J186,"")</f>
        <v/>
      </c>
      <c r="M186" s="81"/>
      <c r="N186" s="8">
        <v>300</v>
      </c>
      <c r="O186" s="8">
        <v>60</v>
      </c>
      <c r="P186" s="96" t="str">
        <f t="shared" ref="P186:P205" si="55">IFERROR((M186/N186*O186)/K186,"")</f>
        <v/>
      </c>
      <c r="Q186" s="59">
        <f t="shared" si="40"/>
        <v>0</v>
      </c>
      <c r="R186" s="59">
        <f t="shared" si="41"/>
        <v>0</v>
      </c>
      <c r="S186" s="65"/>
      <c r="T186" s="65"/>
      <c r="U186" s="65"/>
      <c r="V186" s="65"/>
      <c r="W186" s="65"/>
      <c r="X186" s="65"/>
      <c r="Y186" s="65"/>
      <c r="Z186" s="65"/>
      <c r="AA186" s="65"/>
      <c r="AB186" s="65"/>
      <c r="AC186" s="65"/>
      <c r="AD186" s="65"/>
      <c r="AE186" s="65">
        <f t="shared" si="43"/>
        <v>0</v>
      </c>
      <c r="AF186" s="65"/>
      <c r="AG186" s="248">
        <f t="shared" ref="AG186:AG205" si="56">AE186</f>
        <v>0</v>
      </c>
      <c r="AH186" s="95" t="str">
        <f t="shared" si="37"/>
        <v/>
      </c>
      <c r="AI186" s="97" t="str">
        <f t="shared" si="38"/>
        <v/>
      </c>
      <c r="AJ186" s="11"/>
    </row>
    <row r="187" spans="1:37" x14ac:dyDescent="0.25">
      <c r="A187">
        <f t="shared" si="42"/>
        <v>185</v>
      </c>
      <c r="B187" s="241" t="s">
        <v>1777</v>
      </c>
      <c r="C187">
        <v>1</v>
      </c>
      <c r="D187" s="14">
        <v>45858</v>
      </c>
      <c r="E187" s="7"/>
      <c r="F187" s="7"/>
      <c r="G187" s="66"/>
      <c r="H187" s="59"/>
      <c r="I187" s="59"/>
      <c r="J187" s="47">
        <f t="shared" si="36"/>
        <v>0</v>
      </c>
      <c r="K187" s="8">
        <f t="shared" si="39"/>
        <v>0</v>
      </c>
      <c r="L187" s="96" t="str">
        <f t="shared" si="54"/>
        <v/>
      </c>
      <c r="M187" s="81"/>
      <c r="N187" s="8">
        <v>300</v>
      </c>
      <c r="O187" s="8">
        <v>60</v>
      </c>
      <c r="P187" s="96" t="str">
        <f t="shared" si="55"/>
        <v/>
      </c>
      <c r="Q187" s="59">
        <f t="shared" si="40"/>
        <v>0</v>
      </c>
      <c r="R187" s="59">
        <f t="shared" si="41"/>
        <v>0</v>
      </c>
      <c r="S187" s="65"/>
      <c r="T187" s="65"/>
      <c r="U187" s="65"/>
      <c r="V187" s="65"/>
      <c r="W187" s="65"/>
      <c r="X187" s="65"/>
      <c r="Y187" s="65"/>
      <c r="Z187" s="65"/>
      <c r="AA187" s="65"/>
      <c r="AB187" s="65"/>
      <c r="AC187" s="65"/>
      <c r="AD187" s="65"/>
      <c r="AE187" s="65">
        <f t="shared" si="43"/>
        <v>0</v>
      </c>
      <c r="AF187" s="65"/>
      <c r="AG187" s="248">
        <f t="shared" si="56"/>
        <v>0</v>
      </c>
      <c r="AH187" s="95" t="str">
        <f t="shared" si="37"/>
        <v/>
      </c>
      <c r="AI187" s="97" t="str">
        <f t="shared" si="38"/>
        <v/>
      </c>
      <c r="AJ187" s="11"/>
    </row>
    <row r="188" spans="1:37" x14ac:dyDescent="0.25">
      <c r="A188">
        <f t="shared" si="42"/>
        <v>186</v>
      </c>
      <c r="B188" s="337" t="s">
        <v>2606</v>
      </c>
      <c r="C188">
        <v>1</v>
      </c>
      <c r="D188" s="14">
        <v>45859</v>
      </c>
      <c r="E188" s="7">
        <v>60</v>
      </c>
      <c r="F188" s="7"/>
      <c r="G188" s="66"/>
      <c r="H188" s="59"/>
      <c r="I188" s="59">
        <v>510</v>
      </c>
      <c r="J188" s="47">
        <f t="shared" si="36"/>
        <v>510</v>
      </c>
      <c r="K188" s="8">
        <f t="shared" si="39"/>
        <v>450</v>
      </c>
      <c r="L188" s="96">
        <f t="shared" si="54"/>
        <v>0.88235294117647056</v>
      </c>
      <c r="M188" s="81">
        <v>2478</v>
      </c>
      <c r="N188" s="8">
        <v>300</v>
      </c>
      <c r="O188" s="8">
        <v>60</v>
      </c>
      <c r="P188" s="96">
        <f t="shared" si="55"/>
        <v>1.1013333333333333</v>
      </c>
      <c r="Q188" s="59">
        <f t="shared" si="40"/>
        <v>2478</v>
      </c>
      <c r="R188" s="59">
        <f t="shared" si="41"/>
        <v>2500</v>
      </c>
      <c r="S188" s="65"/>
      <c r="T188" s="65"/>
      <c r="U188" s="65"/>
      <c r="V188" s="65"/>
      <c r="W188" s="65">
        <v>22</v>
      </c>
      <c r="X188" s="65"/>
      <c r="Y188" s="65"/>
      <c r="Z188" s="65"/>
      <c r="AA188" s="65"/>
      <c r="AB188" s="65"/>
      <c r="AC188" s="65"/>
      <c r="AD188" s="65"/>
      <c r="AE188" s="65">
        <f t="shared" si="43"/>
        <v>22</v>
      </c>
      <c r="AF188" s="65"/>
      <c r="AG188" s="248">
        <f t="shared" si="56"/>
        <v>22</v>
      </c>
      <c r="AH188" s="95">
        <f t="shared" si="37"/>
        <v>0.99119999999999997</v>
      </c>
      <c r="AI188" s="97">
        <f t="shared" si="38"/>
        <v>0.96321317647058824</v>
      </c>
      <c r="AJ188" s="11"/>
    </row>
    <row r="189" spans="1:37" x14ac:dyDescent="0.25">
      <c r="A189">
        <f t="shared" si="42"/>
        <v>187</v>
      </c>
      <c r="B189" s="241" t="s">
        <v>2490</v>
      </c>
      <c r="C189">
        <v>1</v>
      </c>
      <c r="D189" s="14">
        <v>45860</v>
      </c>
      <c r="E189" s="7"/>
      <c r="F189" s="7"/>
      <c r="G189" s="66"/>
      <c r="H189" s="59"/>
      <c r="I189" s="59"/>
      <c r="J189" s="47">
        <f t="shared" si="36"/>
        <v>0</v>
      </c>
      <c r="K189" s="8">
        <f t="shared" si="39"/>
        <v>0</v>
      </c>
      <c r="L189" s="96" t="str">
        <f t="shared" si="54"/>
        <v/>
      </c>
      <c r="M189" s="81"/>
      <c r="N189" s="8">
        <v>300</v>
      </c>
      <c r="O189" s="8">
        <v>60</v>
      </c>
      <c r="P189" s="96" t="str">
        <f t="shared" si="55"/>
        <v/>
      </c>
      <c r="Q189" s="59">
        <f t="shared" si="40"/>
        <v>0</v>
      </c>
      <c r="R189" s="59">
        <f t="shared" si="41"/>
        <v>0</v>
      </c>
      <c r="S189" s="65"/>
      <c r="T189" s="65"/>
      <c r="U189" s="65"/>
      <c r="V189" s="65"/>
      <c r="W189" s="65"/>
      <c r="X189" s="65"/>
      <c r="Y189" s="65"/>
      <c r="Z189" s="65"/>
      <c r="AA189" s="65"/>
      <c r="AB189" s="65"/>
      <c r="AC189" s="65"/>
      <c r="AD189" s="65"/>
      <c r="AE189" s="65">
        <f t="shared" si="43"/>
        <v>0</v>
      </c>
      <c r="AF189" s="65"/>
      <c r="AG189" s="248">
        <f t="shared" si="56"/>
        <v>0</v>
      </c>
      <c r="AH189" s="95" t="str">
        <f t="shared" si="37"/>
        <v/>
      </c>
      <c r="AI189" s="97" t="str">
        <f t="shared" si="38"/>
        <v/>
      </c>
      <c r="AJ189" s="11"/>
    </row>
    <row r="190" spans="1:37" x14ac:dyDescent="0.25">
      <c r="A190">
        <f t="shared" si="42"/>
        <v>188</v>
      </c>
      <c r="B190" s="241" t="s">
        <v>2490</v>
      </c>
      <c r="C190">
        <v>1</v>
      </c>
      <c r="D190" s="14">
        <v>45861</v>
      </c>
      <c r="E190" s="7"/>
      <c r="F190" s="7"/>
      <c r="G190" s="66"/>
      <c r="H190" s="59"/>
      <c r="I190" s="59"/>
      <c r="J190" s="47">
        <f t="shared" si="36"/>
        <v>0</v>
      </c>
      <c r="K190" s="8">
        <f t="shared" si="39"/>
        <v>0</v>
      </c>
      <c r="L190" s="96" t="str">
        <f t="shared" si="54"/>
        <v/>
      </c>
      <c r="M190" s="81"/>
      <c r="N190" s="8">
        <v>300</v>
      </c>
      <c r="O190" s="8">
        <v>60</v>
      </c>
      <c r="P190" s="96" t="str">
        <f t="shared" si="55"/>
        <v/>
      </c>
      <c r="Q190" s="59">
        <f t="shared" si="40"/>
        <v>0</v>
      </c>
      <c r="R190" s="59">
        <f t="shared" si="41"/>
        <v>0</v>
      </c>
      <c r="S190" s="65"/>
      <c r="T190" s="65"/>
      <c r="U190" s="65"/>
      <c r="V190" s="65"/>
      <c r="W190" s="65"/>
      <c r="X190" s="65"/>
      <c r="Y190" s="65"/>
      <c r="Z190" s="65"/>
      <c r="AA190" s="65"/>
      <c r="AB190" s="65"/>
      <c r="AC190" s="65"/>
      <c r="AD190" s="65"/>
      <c r="AE190" s="65">
        <f t="shared" si="43"/>
        <v>0</v>
      </c>
      <c r="AF190" s="65"/>
      <c r="AG190" s="248">
        <f t="shared" si="56"/>
        <v>0</v>
      </c>
      <c r="AH190" s="95" t="str">
        <f t="shared" si="37"/>
        <v/>
      </c>
      <c r="AI190" s="97" t="str">
        <f t="shared" si="38"/>
        <v/>
      </c>
      <c r="AJ190" s="11"/>
    </row>
    <row r="191" spans="1:37" x14ac:dyDescent="0.25">
      <c r="A191">
        <f t="shared" si="42"/>
        <v>189</v>
      </c>
      <c r="B191" s="241" t="s">
        <v>2490</v>
      </c>
      <c r="C191">
        <v>1</v>
      </c>
      <c r="D191" s="14">
        <v>45862</v>
      </c>
      <c r="E191" s="7">
        <v>30</v>
      </c>
      <c r="F191" s="7"/>
      <c r="G191" s="66"/>
      <c r="H191" s="59"/>
      <c r="I191" s="59">
        <v>510</v>
      </c>
      <c r="J191" s="47">
        <f t="shared" si="36"/>
        <v>510</v>
      </c>
      <c r="K191" s="8">
        <f t="shared" si="39"/>
        <v>480</v>
      </c>
      <c r="L191" s="96">
        <f t="shared" si="54"/>
        <v>0.94117647058823528</v>
      </c>
      <c r="M191" s="81">
        <v>2215</v>
      </c>
      <c r="N191" s="8">
        <v>300</v>
      </c>
      <c r="O191" s="8">
        <v>60</v>
      </c>
      <c r="P191" s="96">
        <f t="shared" si="55"/>
        <v>0.92291666666666672</v>
      </c>
      <c r="Q191" s="59">
        <f t="shared" si="40"/>
        <v>2215</v>
      </c>
      <c r="R191" s="59">
        <f t="shared" si="41"/>
        <v>2227</v>
      </c>
      <c r="S191" s="65"/>
      <c r="T191" s="65"/>
      <c r="U191" s="65"/>
      <c r="V191" s="65"/>
      <c r="W191" s="65">
        <v>12</v>
      </c>
      <c r="X191" s="65"/>
      <c r="Y191" s="65"/>
      <c r="Z191" s="65"/>
      <c r="AA191" s="65"/>
      <c r="AB191" s="65"/>
      <c r="AC191" s="65"/>
      <c r="AD191" s="65"/>
      <c r="AE191" s="65">
        <f t="shared" si="43"/>
        <v>12</v>
      </c>
      <c r="AF191" s="65"/>
      <c r="AG191" s="248">
        <f t="shared" si="56"/>
        <v>12</v>
      </c>
      <c r="AH191" s="95">
        <f t="shared" si="37"/>
        <v>0.99461158509205205</v>
      </c>
      <c r="AI191" s="97">
        <f t="shared" si="38"/>
        <v>0.86394692587407662</v>
      </c>
      <c r="AJ191" s="11" t="s">
        <v>2601</v>
      </c>
    </row>
    <row r="192" spans="1:37" x14ac:dyDescent="0.25">
      <c r="A192">
        <f t="shared" si="42"/>
        <v>190</v>
      </c>
      <c r="B192" s="241" t="s">
        <v>2602</v>
      </c>
      <c r="C192">
        <v>1</v>
      </c>
      <c r="D192" s="14">
        <v>45863</v>
      </c>
      <c r="E192" s="7">
        <v>30</v>
      </c>
      <c r="F192" s="7">
        <v>120</v>
      </c>
      <c r="G192" s="66"/>
      <c r="H192" s="59"/>
      <c r="I192" s="59">
        <v>955</v>
      </c>
      <c r="J192" s="47">
        <f t="shared" si="36"/>
        <v>955</v>
      </c>
      <c r="K192" s="8">
        <f t="shared" si="39"/>
        <v>805</v>
      </c>
      <c r="L192" s="96">
        <f t="shared" si="54"/>
        <v>0.84293193717277481</v>
      </c>
      <c r="M192" s="81">
        <f>1817+2800</f>
        <v>4617</v>
      </c>
      <c r="N192" s="8">
        <v>300</v>
      </c>
      <c r="O192" s="8">
        <v>60</v>
      </c>
      <c r="P192" s="96">
        <f t="shared" si="55"/>
        <v>1.147080745341615</v>
      </c>
      <c r="Q192" s="59">
        <f t="shared" si="40"/>
        <v>4617</v>
      </c>
      <c r="R192" s="59">
        <f t="shared" si="41"/>
        <v>4632</v>
      </c>
      <c r="S192" s="65"/>
      <c r="T192" s="65"/>
      <c r="U192" s="65"/>
      <c r="V192" s="65"/>
      <c r="W192" s="65">
        <v>15</v>
      </c>
      <c r="X192" s="65"/>
      <c r="Y192" s="65"/>
      <c r="Z192" s="65"/>
      <c r="AA192" s="65"/>
      <c r="AB192" s="65"/>
      <c r="AC192" s="65"/>
      <c r="AD192" s="65"/>
      <c r="AE192" s="65">
        <f t="shared" si="43"/>
        <v>15</v>
      </c>
      <c r="AF192" s="65"/>
      <c r="AG192" s="248">
        <f t="shared" si="56"/>
        <v>15</v>
      </c>
      <c r="AH192" s="95">
        <f t="shared" si="37"/>
        <v>0.99676165803108807</v>
      </c>
      <c r="AI192" s="97">
        <f t="shared" si="38"/>
        <v>0.96377980630984994</v>
      </c>
      <c r="AJ192" s="11" t="s">
        <v>2603</v>
      </c>
      <c r="AK192" t="s">
        <v>2521</v>
      </c>
    </row>
    <row r="193" spans="1:36" x14ac:dyDescent="0.25">
      <c r="A193">
        <f t="shared" si="42"/>
        <v>191</v>
      </c>
      <c r="B193" s="241" t="s">
        <v>1777</v>
      </c>
      <c r="C193">
        <v>1</v>
      </c>
      <c r="D193" s="14">
        <v>45866</v>
      </c>
      <c r="E193" s="7">
        <v>30</v>
      </c>
      <c r="F193" s="7"/>
      <c r="G193" s="66"/>
      <c r="H193" s="59"/>
      <c r="I193" s="59">
        <v>510</v>
      </c>
      <c r="J193" s="47">
        <f t="shared" si="36"/>
        <v>510</v>
      </c>
      <c r="K193" s="8">
        <f t="shared" si="39"/>
        <v>480</v>
      </c>
      <c r="L193" s="96">
        <f t="shared" si="54"/>
        <v>0.94117647058823528</v>
      </c>
      <c r="M193" s="81">
        <f>2611</f>
        <v>2611</v>
      </c>
      <c r="N193" s="8">
        <v>300</v>
      </c>
      <c r="O193" s="8">
        <v>60</v>
      </c>
      <c r="P193" s="96">
        <f t="shared" si="55"/>
        <v>1.0879166666666669</v>
      </c>
      <c r="Q193" s="59">
        <f t="shared" si="40"/>
        <v>2611</v>
      </c>
      <c r="R193" s="59">
        <f t="shared" si="41"/>
        <v>2631</v>
      </c>
      <c r="S193" s="65"/>
      <c r="T193" s="65"/>
      <c r="U193" s="65"/>
      <c r="V193" s="65">
        <v>5</v>
      </c>
      <c r="W193" s="65">
        <v>15</v>
      </c>
      <c r="X193" s="65"/>
      <c r="Y193" s="65"/>
      <c r="Z193" s="65"/>
      <c r="AA193" s="65"/>
      <c r="AB193" s="65"/>
      <c r="AC193" s="65"/>
      <c r="AD193" s="65"/>
      <c r="AE193" s="65">
        <f t="shared" si="43"/>
        <v>20</v>
      </c>
      <c r="AF193" s="65"/>
      <c r="AG193" s="248">
        <f t="shared" si="56"/>
        <v>20</v>
      </c>
      <c r="AH193" s="95">
        <f t="shared" si="37"/>
        <v>0.99239832763207902</v>
      </c>
      <c r="AI193" s="97">
        <f t="shared" si="38"/>
        <v>1.0161380523322976</v>
      </c>
      <c r="AJ193" s="11" t="s">
        <v>2601</v>
      </c>
    </row>
    <row r="194" spans="1:36" x14ac:dyDescent="0.25">
      <c r="A194">
        <f t="shared" si="42"/>
        <v>192</v>
      </c>
      <c r="B194" s="241" t="s">
        <v>1777</v>
      </c>
      <c r="C194">
        <v>1</v>
      </c>
      <c r="D194" s="14">
        <v>45867</v>
      </c>
      <c r="E194" s="7">
        <v>30</v>
      </c>
      <c r="F194" s="7"/>
      <c r="G194" s="66"/>
      <c r="H194" s="59"/>
      <c r="I194" s="59">
        <v>510</v>
      </c>
      <c r="J194" s="47">
        <f t="shared" si="36"/>
        <v>510</v>
      </c>
      <c r="K194" s="8">
        <f t="shared" si="39"/>
        <v>480</v>
      </c>
      <c r="L194" s="96">
        <f t="shared" si="54"/>
        <v>0.94117647058823528</v>
      </c>
      <c r="M194" s="81">
        <v>2670</v>
      </c>
      <c r="N194" s="8">
        <v>300</v>
      </c>
      <c r="O194" s="8">
        <v>60</v>
      </c>
      <c r="P194" s="96">
        <f t="shared" si="55"/>
        <v>1.1125</v>
      </c>
      <c r="Q194" s="59">
        <f t="shared" si="40"/>
        <v>2670</v>
      </c>
      <c r="R194" s="59">
        <f t="shared" si="41"/>
        <v>2686</v>
      </c>
      <c r="S194" s="65"/>
      <c r="T194" s="65"/>
      <c r="U194" s="65"/>
      <c r="V194" s="65">
        <v>1</v>
      </c>
      <c r="W194" s="65">
        <v>15</v>
      </c>
      <c r="X194" s="65"/>
      <c r="Y194" s="65"/>
      <c r="Z194" s="65"/>
      <c r="AA194" s="65"/>
      <c r="AB194" s="65"/>
      <c r="AC194" s="65"/>
      <c r="AD194" s="65"/>
      <c r="AE194" s="65">
        <f t="shared" si="43"/>
        <v>16</v>
      </c>
      <c r="AF194" s="65"/>
      <c r="AG194" s="248">
        <f t="shared" si="56"/>
        <v>16</v>
      </c>
      <c r="AH194" s="95">
        <f t="shared" si="37"/>
        <v>0.99404318689501114</v>
      </c>
      <c r="AI194" s="97">
        <f t="shared" si="38"/>
        <v>1.0408216898077176</v>
      </c>
      <c r="AJ194" s="11" t="s">
        <v>2601</v>
      </c>
    </row>
    <row r="195" spans="1:36" x14ac:dyDescent="0.25">
      <c r="A195">
        <f t="shared" si="42"/>
        <v>193</v>
      </c>
      <c r="B195" s="241" t="s">
        <v>1777</v>
      </c>
      <c r="C195">
        <v>1</v>
      </c>
      <c r="D195" s="14">
        <v>45868</v>
      </c>
      <c r="E195" s="7">
        <v>60</v>
      </c>
      <c r="F195" s="7">
        <v>60</v>
      </c>
      <c r="G195" s="66"/>
      <c r="H195" s="59"/>
      <c r="I195" s="59">
        <v>510</v>
      </c>
      <c r="J195" s="47">
        <f t="shared" ref="J195:J205" si="57">I195+H195</f>
        <v>510</v>
      </c>
      <c r="K195" s="8">
        <f t="shared" si="39"/>
        <v>390</v>
      </c>
      <c r="L195" s="96">
        <f t="shared" si="54"/>
        <v>0.76470588235294112</v>
      </c>
      <c r="M195" s="81">
        <v>2200</v>
      </c>
      <c r="N195" s="8">
        <v>300</v>
      </c>
      <c r="O195" s="8">
        <v>60</v>
      </c>
      <c r="P195" s="96">
        <f t="shared" si="55"/>
        <v>1.1282051282051282</v>
      </c>
      <c r="Q195" s="59">
        <f t="shared" si="40"/>
        <v>2200</v>
      </c>
      <c r="R195" s="59">
        <f t="shared" si="41"/>
        <v>2212</v>
      </c>
      <c r="S195" s="65"/>
      <c r="T195" s="65"/>
      <c r="U195" s="65"/>
      <c r="V195" s="65"/>
      <c r="W195" s="65">
        <v>12</v>
      </c>
      <c r="X195" s="65"/>
      <c r="Y195" s="65"/>
      <c r="Z195" s="65"/>
      <c r="AA195" s="65"/>
      <c r="AB195" s="65"/>
      <c r="AC195" s="65"/>
      <c r="AD195" s="65"/>
      <c r="AE195" s="65">
        <f t="shared" si="43"/>
        <v>12</v>
      </c>
      <c r="AF195" s="65"/>
      <c r="AG195" s="248">
        <f t="shared" si="56"/>
        <v>12</v>
      </c>
      <c r="AH195" s="95">
        <f t="shared" ref="AH195:AH205" si="58">IFERROR(Q195/R195,"")</f>
        <v>0.99457504520795659</v>
      </c>
      <c r="AI195" s="97">
        <f t="shared" ref="AI195:AI205" si="59">IFERROR(AH195*P195*L195,"")</f>
        <v>0.85806474488529583</v>
      </c>
      <c r="AJ195" s="11" t="s">
        <v>2601</v>
      </c>
    </row>
    <row r="196" spans="1:36" x14ac:dyDescent="0.25">
      <c r="A196">
        <f t="shared" si="42"/>
        <v>194</v>
      </c>
      <c r="B196" s="241" t="s">
        <v>1777</v>
      </c>
      <c r="C196">
        <v>1</v>
      </c>
      <c r="D196" s="14">
        <v>45869</v>
      </c>
      <c r="E196" s="7">
        <v>15</v>
      </c>
      <c r="F196" s="7"/>
      <c r="G196" s="66"/>
      <c r="H196" s="59"/>
      <c r="I196" s="59">
        <v>510</v>
      </c>
      <c r="J196" s="47">
        <f t="shared" si="57"/>
        <v>510</v>
      </c>
      <c r="K196" s="8">
        <f t="shared" ref="K196:K203" si="60">IFERROR(J196-E196-F196-G196,"")</f>
        <v>495</v>
      </c>
      <c r="L196" s="96">
        <f t="shared" si="54"/>
        <v>0.97058823529411764</v>
      </c>
      <c r="M196" s="81">
        <v>2489</v>
      </c>
      <c r="N196" s="8">
        <v>300</v>
      </c>
      <c r="O196" s="8">
        <v>60</v>
      </c>
      <c r="P196" s="96">
        <f t="shared" si="55"/>
        <v>1.0056565656565657</v>
      </c>
      <c r="Q196" s="59">
        <f t="shared" ref="Q196:Q205" si="61">M196</f>
        <v>2489</v>
      </c>
      <c r="R196" s="59">
        <f t="shared" ref="R196:R205" si="62">Q196+AE196</f>
        <v>2503</v>
      </c>
      <c r="S196" s="65"/>
      <c r="T196" s="65"/>
      <c r="U196" s="65"/>
      <c r="V196" s="65"/>
      <c r="W196" s="65">
        <v>14</v>
      </c>
      <c r="X196" s="65"/>
      <c r="Y196" s="65"/>
      <c r="Z196" s="65"/>
      <c r="AA196" s="65"/>
      <c r="AB196" s="65"/>
      <c r="AC196" s="65"/>
      <c r="AD196" s="65"/>
      <c r="AE196" s="65">
        <f t="shared" si="43"/>
        <v>14</v>
      </c>
      <c r="AF196" s="65"/>
      <c r="AG196" s="248">
        <f t="shared" si="56"/>
        <v>14</v>
      </c>
      <c r="AH196" s="95">
        <f t="shared" si="58"/>
        <v>0.99440671194566521</v>
      </c>
      <c r="AI196" s="97">
        <f t="shared" si="59"/>
        <v>0.97061894354225908</v>
      </c>
      <c r="AJ196" s="11" t="s">
        <v>2601</v>
      </c>
    </row>
    <row r="197" spans="1:36" x14ac:dyDescent="0.25">
      <c r="A197">
        <f t="shared" ref="A197:A260" si="63">A196+1</f>
        <v>195</v>
      </c>
      <c r="B197" s="241" t="s">
        <v>1777</v>
      </c>
      <c r="C197">
        <v>1</v>
      </c>
      <c r="D197" s="14">
        <v>45870</v>
      </c>
      <c r="E197" s="7"/>
      <c r="F197" s="7"/>
      <c r="G197" s="66"/>
      <c r="H197" s="59"/>
      <c r="I197" s="59"/>
      <c r="J197" s="47">
        <f t="shared" si="57"/>
        <v>0</v>
      </c>
      <c r="K197" s="8">
        <f t="shared" si="60"/>
        <v>0</v>
      </c>
      <c r="L197" s="96" t="str">
        <f t="shared" si="54"/>
        <v/>
      </c>
      <c r="M197" s="81"/>
      <c r="N197" s="8">
        <v>300</v>
      </c>
      <c r="O197" s="8">
        <v>60</v>
      </c>
      <c r="P197" s="96" t="str">
        <f t="shared" si="55"/>
        <v/>
      </c>
      <c r="Q197" s="59">
        <f t="shared" si="61"/>
        <v>0</v>
      </c>
      <c r="R197" s="59">
        <f t="shared" si="62"/>
        <v>0</v>
      </c>
      <c r="S197" s="65"/>
      <c r="T197" s="65"/>
      <c r="U197" s="65"/>
      <c r="V197" s="65"/>
      <c r="W197" s="65"/>
      <c r="X197" s="65"/>
      <c r="Y197" s="65"/>
      <c r="Z197" s="65"/>
      <c r="AA197" s="65"/>
      <c r="AB197" s="65"/>
      <c r="AC197" s="65"/>
      <c r="AD197" s="65"/>
      <c r="AE197" s="65">
        <f t="shared" si="43"/>
        <v>0</v>
      </c>
      <c r="AF197" s="65"/>
      <c r="AG197" s="248">
        <f t="shared" si="56"/>
        <v>0</v>
      </c>
      <c r="AH197" s="95" t="str">
        <f t="shared" si="58"/>
        <v/>
      </c>
      <c r="AI197" s="97" t="str">
        <f t="shared" si="59"/>
        <v/>
      </c>
      <c r="AJ197" s="11"/>
    </row>
    <row r="198" spans="1:36" x14ac:dyDescent="0.25">
      <c r="A198">
        <f t="shared" si="63"/>
        <v>196</v>
      </c>
      <c r="B198" s="241" t="s">
        <v>1777</v>
      </c>
      <c r="C198">
        <v>1</v>
      </c>
      <c r="D198" s="14">
        <v>45871</v>
      </c>
      <c r="E198" s="7"/>
      <c r="F198" s="7"/>
      <c r="G198" s="66"/>
      <c r="H198" s="59"/>
      <c r="I198" s="59"/>
      <c r="J198" s="47">
        <f t="shared" si="57"/>
        <v>0</v>
      </c>
      <c r="K198" s="8">
        <f t="shared" si="60"/>
        <v>0</v>
      </c>
      <c r="L198" s="96" t="str">
        <f t="shared" si="54"/>
        <v/>
      </c>
      <c r="M198" s="81"/>
      <c r="N198" s="8">
        <v>300</v>
      </c>
      <c r="O198" s="8">
        <v>60</v>
      </c>
      <c r="P198" s="96" t="str">
        <f t="shared" si="55"/>
        <v/>
      </c>
      <c r="Q198" s="59">
        <f t="shared" si="61"/>
        <v>0</v>
      </c>
      <c r="R198" s="59">
        <f t="shared" si="62"/>
        <v>0</v>
      </c>
      <c r="S198" s="65"/>
      <c r="T198" s="65"/>
      <c r="U198" s="65"/>
      <c r="V198" s="65"/>
      <c r="W198" s="65"/>
      <c r="X198" s="65"/>
      <c r="Y198" s="65"/>
      <c r="Z198" s="65"/>
      <c r="AA198" s="65"/>
      <c r="AB198" s="65"/>
      <c r="AC198" s="65"/>
      <c r="AD198" s="65"/>
      <c r="AE198" s="65">
        <f t="shared" si="43"/>
        <v>0</v>
      </c>
      <c r="AF198" s="65"/>
      <c r="AG198" s="248">
        <f t="shared" si="56"/>
        <v>0</v>
      </c>
      <c r="AH198" s="95" t="str">
        <f t="shared" si="58"/>
        <v/>
      </c>
      <c r="AI198" s="97" t="str">
        <f t="shared" si="59"/>
        <v/>
      </c>
      <c r="AJ198" s="11"/>
    </row>
    <row r="199" spans="1:36" x14ac:dyDescent="0.25">
      <c r="A199">
        <f t="shared" si="63"/>
        <v>197</v>
      </c>
      <c r="D199" s="14">
        <v>45872</v>
      </c>
      <c r="E199" s="7"/>
      <c r="F199" s="7"/>
      <c r="G199" s="66"/>
      <c r="H199" s="59"/>
      <c r="I199" s="59"/>
      <c r="J199" s="47">
        <f t="shared" si="57"/>
        <v>0</v>
      </c>
      <c r="K199" s="8">
        <f t="shared" si="60"/>
        <v>0</v>
      </c>
      <c r="L199" s="96" t="str">
        <f t="shared" si="54"/>
        <v/>
      </c>
      <c r="M199" s="81"/>
      <c r="N199" s="8">
        <v>300</v>
      </c>
      <c r="O199" s="8">
        <v>60</v>
      </c>
      <c r="P199" s="96" t="str">
        <f t="shared" si="55"/>
        <v/>
      </c>
      <c r="Q199" s="59">
        <f t="shared" si="61"/>
        <v>0</v>
      </c>
      <c r="R199" s="59">
        <f t="shared" si="62"/>
        <v>0</v>
      </c>
      <c r="S199" s="65"/>
      <c r="T199" s="65"/>
      <c r="U199" s="65"/>
      <c r="V199" s="65"/>
      <c r="W199" s="65"/>
      <c r="X199" s="65"/>
      <c r="Y199" s="65"/>
      <c r="Z199" s="65"/>
      <c r="AA199" s="65"/>
      <c r="AB199" s="65"/>
      <c r="AC199" s="65"/>
      <c r="AD199" s="65"/>
      <c r="AE199" s="65">
        <f t="shared" si="43"/>
        <v>0</v>
      </c>
      <c r="AF199" s="65"/>
      <c r="AG199" s="248">
        <f t="shared" si="56"/>
        <v>0</v>
      </c>
      <c r="AH199" s="95" t="str">
        <f t="shared" si="58"/>
        <v/>
      </c>
      <c r="AI199" s="97" t="str">
        <f t="shared" si="59"/>
        <v/>
      </c>
      <c r="AJ199" s="11"/>
    </row>
    <row r="200" spans="1:36" x14ac:dyDescent="0.25">
      <c r="A200">
        <f t="shared" si="63"/>
        <v>198</v>
      </c>
      <c r="D200" s="14">
        <v>45873</v>
      </c>
      <c r="E200" s="7"/>
      <c r="F200" s="7"/>
      <c r="G200" s="66"/>
      <c r="H200" s="59"/>
      <c r="I200" s="59"/>
      <c r="J200" s="47">
        <f t="shared" si="57"/>
        <v>0</v>
      </c>
      <c r="K200" s="8">
        <f t="shared" si="60"/>
        <v>0</v>
      </c>
      <c r="L200" s="96" t="str">
        <f t="shared" si="54"/>
        <v/>
      </c>
      <c r="M200" s="81"/>
      <c r="N200" s="8">
        <v>300</v>
      </c>
      <c r="O200" s="8">
        <v>60</v>
      </c>
      <c r="P200" s="96" t="str">
        <f t="shared" si="55"/>
        <v/>
      </c>
      <c r="Q200" s="59">
        <f t="shared" si="61"/>
        <v>0</v>
      </c>
      <c r="R200" s="59">
        <f t="shared" si="62"/>
        <v>0</v>
      </c>
      <c r="S200" s="65"/>
      <c r="T200" s="65"/>
      <c r="U200" s="65"/>
      <c r="V200" s="65"/>
      <c r="W200" s="65"/>
      <c r="X200" s="65"/>
      <c r="Y200" s="65"/>
      <c r="Z200" s="65"/>
      <c r="AA200" s="65"/>
      <c r="AB200" s="65"/>
      <c r="AC200" s="65"/>
      <c r="AD200" s="65"/>
      <c r="AE200" s="65">
        <f t="shared" si="43"/>
        <v>0</v>
      </c>
      <c r="AF200" s="65"/>
      <c r="AG200" s="248">
        <f t="shared" si="56"/>
        <v>0</v>
      </c>
      <c r="AH200" s="95" t="str">
        <f t="shared" si="58"/>
        <v/>
      </c>
      <c r="AI200" s="97" t="str">
        <f t="shared" si="59"/>
        <v/>
      </c>
      <c r="AJ200" s="11"/>
    </row>
    <row r="201" spans="1:36" x14ac:dyDescent="0.25">
      <c r="A201">
        <f t="shared" si="63"/>
        <v>199</v>
      </c>
      <c r="D201" s="14">
        <v>45874</v>
      </c>
      <c r="E201" s="7"/>
      <c r="F201" s="7"/>
      <c r="G201" s="66"/>
      <c r="H201" s="59"/>
      <c r="I201" s="59"/>
      <c r="J201" s="47">
        <f t="shared" si="57"/>
        <v>0</v>
      </c>
      <c r="K201" s="8">
        <f t="shared" si="60"/>
        <v>0</v>
      </c>
      <c r="L201" s="96" t="str">
        <f t="shared" si="54"/>
        <v/>
      </c>
      <c r="M201" s="81"/>
      <c r="N201" s="8">
        <v>300</v>
      </c>
      <c r="O201" s="8">
        <v>60</v>
      </c>
      <c r="P201" s="96" t="str">
        <f t="shared" si="55"/>
        <v/>
      </c>
      <c r="Q201" s="59">
        <f t="shared" si="61"/>
        <v>0</v>
      </c>
      <c r="R201" s="59">
        <f t="shared" si="62"/>
        <v>0</v>
      </c>
      <c r="S201" s="65"/>
      <c r="T201" s="65"/>
      <c r="U201" s="65"/>
      <c r="V201" s="65"/>
      <c r="W201" s="65"/>
      <c r="X201" s="65"/>
      <c r="Y201" s="65"/>
      <c r="Z201" s="65"/>
      <c r="AA201" s="65"/>
      <c r="AB201" s="65"/>
      <c r="AC201" s="65"/>
      <c r="AD201" s="65"/>
      <c r="AE201" s="65">
        <f t="shared" si="43"/>
        <v>0</v>
      </c>
      <c r="AF201" s="65"/>
      <c r="AG201" s="248">
        <f t="shared" si="56"/>
        <v>0</v>
      </c>
      <c r="AH201" s="95" t="str">
        <f t="shared" si="58"/>
        <v/>
      </c>
      <c r="AI201" s="97" t="str">
        <f t="shared" si="59"/>
        <v/>
      </c>
      <c r="AJ201" s="11"/>
    </row>
    <row r="202" spans="1:36" x14ac:dyDescent="0.25">
      <c r="A202">
        <f t="shared" si="63"/>
        <v>200</v>
      </c>
      <c r="D202" s="14">
        <v>45875</v>
      </c>
      <c r="E202" s="7"/>
      <c r="F202" s="7"/>
      <c r="G202" s="66"/>
      <c r="H202" s="59"/>
      <c r="I202" s="59"/>
      <c r="J202" s="47">
        <f t="shared" si="57"/>
        <v>0</v>
      </c>
      <c r="K202" s="8">
        <f t="shared" si="60"/>
        <v>0</v>
      </c>
      <c r="L202" s="96" t="str">
        <f t="shared" si="54"/>
        <v/>
      </c>
      <c r="M202" s="81"/>
      <c r="N202" s="8">
        <v>300</v>
      </c>
      <c r="O202" s="8">
        <v>60</v>
      </c>
      <c r="P202" s="96" t="str">
        <f t="shared" si="55"/>
        <v/>
      </c>
      <c r="Q202" s="59">
        <f t="shared" si="61"/>
        <v>0</v>
      </c>
      <c r="R202" s="59">
        <f t="shared" si="62"/>
        <v>0</v>
      </c>
      <c r="S202" s="65"/>
      <c r="T202" s="65"/>
      <c r="U202" s="65"/>
      <c r="V202" s="65"/>
      <c r="W202" s="65"/>
      <c r="X202" s="65"/>
      <c r="Y202" s="65"/>
      <c r="Z202" s="65"/>
      <c r="AA202" s="65"/>
      <c r="AB202" s="65"/>
      <c r="AC202" s="65"/>
      <c r="AD202" s="65"/>
      <c r="AE202" s="65">
        <f t="shared" si="43"/>
        <v>0</v>
      </c>
      <c r="AF202" s="65"/>
      <c r="AG202" s="248">
        <f t="shared" si="56"/>
        <v>0</v>
      </c>
      <c r="AH202" s="95" t="str">
        <f t="shared" si="58"/>
        <v/>
      </c>
      <c r="AI202" s="97" t="str">
        <f t="shared" si="59"/>
        <v/>
      </c>
      <c r="AJ202" s="11"/>
    </row>
    <row r="203" spans="1:36" x14ac:dyDescent="0.25">
      <c r="A203">
        <f t="shared" si="63"/>
        <v>201</v>
      </c>
      <c r="D203" s="14">
        <v>45876</v>
      </c>
      <c r="E203" s="7"/>
      <c r="F203" s="7"/>
      <c r="G203" s="66"/>
      <c r="H203" s="59"/>
      <c r="I203" s="59"/>
      <c r="J203" s="47">
        <f t="shared" si="57"/>
        <v>0</v>
      </c>
      <c r="K203" s="8">
        <f t="shared" si="60"/>
        <v>0</v>
      </c>
      <c r="L203" s="96" t="str">
        <f t="shared" si="54"/>
        <v/>
      </c>
      <c r="M203" s="81"/>
      <c r="N203" s="8">
        <v>300</v>
      </c>
      <c r="O203" s="8">
        <v>60</v>
      </c>
      <c r="P203" s="96" t="str">
        <f t="shared" si="55"/>
        <v/>
      </c>
      <c r="Q203" s="59">
        <f t="shared" si="61"/>
        <v>0</v>
      </c>
      <c r="R203" s="59">
        <f t="shared" si="62"/>
        <v>0</v>
      </c>
      <c r="S203" s="65"/>
      <c r="T203" s="65"/>
      <c r="U203" s="65"/>
      <c r="V203" s="65"/>
      <c r="W203" s="65"/>
      <c r="X203" s="65"/>
      <c r="Y203" s="65"/>
      <c r="Z203" s="65"/>
      <c r="AA203" s="65"/>
      <c r="AB203" s="65"/>
      <c r="AC203" s="65"/>
      <c r="AD203" s="65"/>
      <c r="AE203" s="65">
        <f t="shared" si="43"/>
        <v>0</v>
      </c>
      <c r="AF203" s="65"/>
      <c r="AG203" s="248">
        <f t="shared" si="56"/>
        <v>0</v>
      </c>
      <c r="AH203" s="95" t="str">
        <f t="shared" si="58"/>
        <v/>
      </c>
      <c r="AI203" s="97" t="str">
        <f t="shared" si="59"/>
        <v/>
      </c>
      <c r="AJ203" s="11"/>
    </row>
    <row r="204" spans="1:36" x14ac:dyDescent="0.25">
      <c r="A204">
        <f t="shared" si="63"/>
        <v>202</v>
      </c>
      <c r="D204" s="14">
        <v>45877</v>
      </c>
      <c r="E204" s="7"/>
      <c r="F204" s="7"/>
      <c r="G204" s="66"/>
      <c r="H204" s="59"/>
      <c r="I204" s="59"/>
      <c r="J204" s="47">
        <f t="shared" si="57"/>
        <v>0</v>
      </c>
      <c r="K204" s="8">
        <f t="shared" ref="K204:K205" si="64">IFERROR(J204-E204-F204-G204,"")</f>
        <v>0</v>
      </c>
      <c r="L204" s="96" t="str">
        <f t="shared" si="54"/>
        <v/>
      </c>
      <c r="M204" s="81"/>
      <c r="N204" s="8">
        <v>300</v>
      </c>
      <c r="O204" s="8">
        <v>60</v>
      </c>
      <c r="P204" s="96" t="str">
        <f t="shared" si="55"/>
        <v/>
      </c>
      <c r="Q204" s="59">
        <f t="shared" si="61"/>
        <v>0</v>
      </c>
      <c r="R204" s="59">
        <f t="shared" si="62"/>
        <v>0</v>
      </c>
      <c r="S204" s="65"/>
      <c r="T204" s="65"/>
      <c r="U204" s="65"/>
      <c r="V204" s="65"/>
      <c r="W204" s="65"/>
      <c r="X204" s="65"/>
      <c r="Y204" s="65"/>
      <c r="Z204" s="65"/>
      <c r="AA204" s="65"/>
      <c r="AB204" s="65"/>
      <c r="AC204" s="65"/>
      <c r="AD204" s="65"/>
      <c r="AE204" s="65">
        <f t="shared" si="43"/>
        <v>0</v>
      </c>
      <c r="AF204" s="65"/>
      <c r="AG204" s="248">
        <f t="shared" si="56"/>
        <v>0</v>
      </c>
      <c r="AH204" s="95" t="str">
        <f t="shared" si="58"/>
        <v/>
      </c>
      <c r="AI204" s="97" t="str">
        <f t="shared" si="59"/>
        <v/>
      </c>
      <c r="AJ204" s="11"/>
    </row>
    <row r="205" spans="1:36" x14ac:dyDescent="0.25">
      <c r="A205">
        <f t="shared" si="63"/>
        <v>203</v>
      </c>
      <c r="D205" s="14">
        <v>45878</v>
      </c>
      <c r="E205" s="7"/>
      <c r="F205" s="7"/>
      <c r="G205" s="66"/>
      <c r="H205" s="59"/>
      <c r="I205" s="59"/>
      <c r="J205" s="47">
        <f t="shared" si="57"/>
        <v>0</v>
      </c>
      <c r="K205" s="8">
        <f t="shared" si="64"/>
        <v>0</v>
      </c>
      <c r="L205" s="96" t="str">
        <f t="shared" si="54"/>
        <v/>
      </c>
      <c r="M205" s="81"/>
      <c r="N205" s="8">
        <v>300</v>
      </c>
      <c r="O205" s="8">
        <v>60</v>
      </c>
      <c r="P205" s="96" t="str">
        <f t="shared" si="55"/>
        <v/>
      </c>
      <c r="Q205" s="59">
        <f t="shared" si="61"/>
        <v>0</v>
      </c>
      <c r="R205" s="59">
        <f t="shared" si="62"/>
        <v>0</v>
      </c>
      <c r="S205" s="65"/>
      <c r="T205" s="65"/>
      <c r="U205" s="65"/>
      <c r="V205" s="65"/>
      <c r="W205" s="65"/>
      <c r="X205" s="65"/>
      <c r="Y205" s="65"/>
      <c r="Z205" s="65"/>
      <c r="AA205" s="65"/>
      <c r="AB205" s="65"/>
      <c r="AC205" s="65"/>
      <c r="AD205" s="65"/>
      <c r="AE205" s="65">
        <f t="shared" si="43"/>
        <v>0</v>
      </c>
      <c r="AF205" s="65"/>
      <c r="AG205" s="248">
        <f t="shared" si="56"/>
        <v>0</v>
      </c>
      <c r="AH205" s="95" t="str">
        <f t="shared" si="58"/>
        <v/>
      </c>
      <c r="AI205" s="97" t="str">
        <f t="shared" si="59"/>
        <v/>
      </c>
      <c r="AJ205" s="11"/>
    </row>
    <row r="206" spans="1:36" x14ac:dyDescent="0.25">
      <c r="A206">
        <f t="shared" si="63"/>
        <v>204</v>
      </c>
      <c r="D206" s="14">
        <v>45879</v>
      </c>
      <c r="E206" s="7"/>
      <c r="F206" s="7"/>
      <c r="G206" s="66"/>
      <c r="H206" s="59"/>
      <c r="I206" s="59"/>
      <c r="J206" s="47">
        <f t="shared" ref="J206:J269" si="65">I206+H206</f>
        <v>0</v>
      </c>
      <c r="K206" s="8">
        <f t="shared" ref="K206:K269" si="66">IFERROR(J206-E206-F206-G206,"")</f>
        <v>0</v>
      </c>
      <c r="L206" s="96" t="str">
        <f t="shared" ref="L206:L269" si="67">IFERROR(K206/J206,"")</f>
        <v/>
      </c>
      <c r="M206" s="81"/>
      <c r="N206" s="8">
        <v>300</v>
      </c>
      <c r="O206" s="8">
        <v>60</v>
      </c>
      <c r="P206" s="96" t="str">
        <f t="shared" ref="P206:P269" si="68">IFERROR((M206/N206*O206)/K206,"")</f>
        <v/>
      </c>
      <c r="Q206" s="59">
        <f t="shared" ref="Q206:Q269" si="69">M206</f>
        <v>0</v>
      </c>
      <c r="R206" s="59">
        <f t="shared" ref="R206:R269" si="70">Q206+AE206</f>
        <v>0</v>
      </c>
      <c r="S206" s="65"/>
      <c r="T206" s="65"/>
      <c r="U206" s="65"/>
      <c r="V206" s="65"/>
      <c r="W206" s="65"/>
      <c r="X206" s="65"/>
      <c r="Y206" s="65"/>
      <c r="Z206" s="65"/>
      <c r="AA206" s="65"/>
      <c r="AB206" s="65"/>
      <c r="AC206" s="65"/>
      <c r="AD206" s="65"/>
      <c r="AE206" s="65">
        <f t="shared" ref="AE206:AE269" si="71">SUM(S206:AD206)</f>
        <v>0</v>
      </c>
      <c r="AF206" s="65"/>
      <c r="AG206" s="248">
        <f t="shared" ref="AG206:AG269" si="72">AE206</f>
        <v>0</v>
      </c>
      <c r="AH206" s="95" t="str">
        <f t="shared" ref="AH206:AH269" si="73">IFERROR(Q206/R206,"")</f>
        <v/>
      </c>
      <c r="AI206" s="97" t="str">
        <f t="shared" ref="AI206:AI269" si="74">IFERROR(AH206*P206*L206,"")</f>
        <v/>
      </c>
      <c r="AJ206" s="11"/>
    </row>
    <row r="207" spans="1:36" x14ac:dyDescent="0.25">
      <c r="A207">
        <f t="shared" si="63"/>
        <v>205</v>
      </c>
      <c r="D207" s="14">
        <v>45880</v>
      </c>
      <c r="E207" s="7"/>
      <c r="F207" s="7"/>
      <c r="G207" s="66"/>
      <c r="H207" s="59"/>
      <c r="I207" s="59"/>
      <c r="J207" s="47">
        <f t="shared" si="65"/>
        <v>0</v>
      </c>
      <c r="K207" s="8">
        <f t="shared" si="66"/>
        <v>0</v>
      </c>
      <c r="L207" s="96" t="str">
        <f t="shared" si="67"/>
        <v/>
      </c>
      <c r="M207" s="81"/>
      <c r="N207" s="8">
        <v>300</v>
      </c>
      <c r="O207" s="8">
        <v>60</v>
      </c>
      <c r="P207" s="96" t="str">
        <f t="shared" si="68"/>
        <v/>
      </c>
      <c r="Q207" s="59">
        <f t="shared" si="69"/>
        <v>0</v>
      </c>
      <c r="R207" s="59">
        <f t="shared" si="70"/>
        <v>0</v>
      </c>
      <c r="S207" s="65"/>
      <c r="T207" s="65"/>
      <c r="U207" s="65"/>
      <c r="V207" s="65"/>
      <c r="W207" s="65"/>
      <c r="X207" s="65"/>
      <c r="Y207" s="65"/>
      <c r="Z207" s="65"/>
      <c r="AA207" s="65"/>
      <c r="AB207" s="65"/>
      <c r="AC207" s="65"/>
      <c r="AD207" s="65"/>
      <c r="AE207" s="65">
        <f t="shared" si="71"/>
        <v>0</v>
      </c>
      <c r="AF207" s="65"/>
      <c r="AG207" s="248">
        <f t="shared" si="72"/>
        <v>0</v>
      </c>
      <c r="AH207" s="95" t="str">
        <f t="shared" si="73"/>
        <v/>
      </c>
      <c r="AI207" s="97" t="str">
        <f t="shared" si="74"/>
        <v/>
      </c>
      <c r="AJ207" s="11"/>
    </row>
    <row r="208" spans="1:36" x14ac:dyDescent="0.25">
      <c r="A208">
        <f t="shared" si="63"/>
        <v>206</v>
      </c>
      <c r="D208" s="14">
        <v>45881</v>
      </c>
      <c r="E208" s="7"/>
      <c r="F208" s="7"/>
      <c r="G208" s="66"/>
      <c r="H208" s="59"/>
      <c r="I208" s="59"/>
      <c r="J208" s="47">
        <f t="shared" si="65"/>
        <v>0</v>
      </c>
      <c r="K208" s="8">
        <f t="shared" si="66"/>
        <v>0</v>
      </c>
      <c r="L208" s="96" t="str">
        <f t="shared" si="67"/>
        <v/>
      </c>
      <c r="M208" s="81"/>
      <c r="N208" s="8">
        <v>300</v>
      </c>
      <c r="O208" s="8">
        <v>60</v>
      </c>
      <c r="P208" s="96" t="str">
        <f t="shared" si="68"/>
        <v/>
      </c>
      <c r="Q208" s="59">
        <f t="shared" si="69"/>
        <v>0</v>
      </c>
      <c r="R208" s="59">
        <f t="shared" si="70"/>
        <v>0</v>
      </c>
      <c r="S208" s="65"/>
      <c r="T208" s="65"/>
      <c r="U208" s="65"/>
      <c r="V208" s="65"/>
      <c r="W208" s="65"/>
      <c r="X208" s="65"/>
      <c r="Y208" s="65"/>
      <c r="Z208" s="65"/>
      <c r="AA208" s="65"/>
      <c r="AB208" s="65"/>
      <c r="AC208" s="65"/>
      <c r="AD208" s="65"/>
      <c r="AE208" s="65">
        <f t="shared" si="71"/>
        <v>0</v>
      </c>
      <c r="AF208" s="65"/>
      <c r="AG208" s="248">
        <f t="shared" si="72"/>
        <v>0</v>
      </c>
      <c r="AH208" s="95" t="str">
        <f t="shared" si="73"/>
        <v/>
      </c>
      <c r="AI208" s="97" t="str">
        <f t="shared" si="74"/>
        <v/>
      </c>
      <c r="AJ208" s="11"/>
    </row>
    <row r="209" spans="1:36" x14ac:dyDescent="0.25">
      <c r="A209">
        <f t="shared" si="63"/>
        <v>207</v>
      </c>
      <c r="D209" s="14">
        <v>45882</v>
      </c>
      <c r="E209" s="7"/>
      <c r="F209" s="7"/>
      <c r="G209" s="66"/>
      <c r="H209" s="59"/>
      <c r="I209" s="59"/>
      <c r="J209" s="47">
        <f t="shared" si="65"/>
        <v>0</v>
      </c>
      <c r="K209" s="8">
        <f t="shared" si="66"/>
        <v>0</v>
      </c>
      <c r="L209" s="96" t="str">
        <f t="shared" si="67"/>
        <v/>
      </c>
      <c r="M209" s="81"/>
      <c r="N209" s="8">
        <v>300</v>
      </c>
      <c r="O209" s="8">
        <v>60</v>
      </c>
      <c r="P209" s="96" t="str">
        <f t="shared" si="68"/>
        <v/>
      </c>
      <c r="Q209" s="59">
        <f t="shared" si="69"/>
        <v>0</v>
      </c>
      <c r="R209" s="59">
        <f t="shared" si="70"/>
        <v>0</v>
      </c>
      <c r="S209" s="65"/>
      <c r="T209" s="65"/>
      <c r="U209" s="65"/>
      <c r="V209" s="65"/>
      <c r="W209" s="65"/>
      <c r="X209" s="65"/>
      <c r="Y209" s="65"/>
      <c r="Z209" s="65"/>
      <c r="AA209" s="65"/>
      <c r="AB209" s="65"/>
      <c r="AC209" s="65"/>
      <c r="AD209" s="65"/>
      <c r="AE209" s="65">
        <f t="shared" si="71"/>
        <v>0</v>
      </c>
      <c r="AF209" s="65"/>
      <c r="AG209" s="248">
        <f t="shared" si="72"/>
        <v>0</v>
      </c>
      <c r="AH209" s="95" t="str">
        <f t="shared" si="73"/>
        <v/>
      </c>
      <c r="AI209" s="97" t="str">
        <f t="shared" si="74"/>
        <v/>
      </c>
      <c r="AJ209" s="11"/>
    </row>
    <row r="210" spans="1:36" x14ac:dyDescent="0.25">
      <c r="A210">
        <f t="shared" si="63"/>
        <v>208</v>
      </c>
      <c r="D210" s="14">
        <v>45883</v>
      </c>
      <c r="E210" s="7"/>
      <c r="F210" s="7"/>
      <c r="G210" s="66"/>
      <c r="H210" s="59"/>
      <c r="I210" s="59"/>
      <c r="J210" s="47">
        <f t="shared" si="65"/>
        <v>0</v>
      </c>
      <c r="K210" s="8">
        <f t="shared" si="66"/>
        <v>0</v>
      </c>
      <c r="L210" s="96" t="str">
        <f t="shared" si="67"/>
        <v/>
      </c>
      <c r="M210" s="81"/>
      <c r="N210" s="8">
        <v>300</v>
      </c>
      <c r="O210" s="8">
        <v>60</v>
      </c>
      <c r="P210" s="96" t="str">
        <f t="shared" si="68"/>
        <v/>
      </c>
      <c r="Q210" s="59">
        <f t="shared" si="69"/>
        <v>0</v>
      </c>
      <c r="R210" s="59">
        <f t="shared" si="70"/>
        <v>0</v>
      </c>
      <c r="S210" s="65"/>
      <c r="T210" s="65"/>
      <c r="U210" s="65"/>
      <c r="V210" s="65"/>
      <c r="W210" s="65"/>
      <c r="X210" s="65"/>
      <c r="Y210" s="65"/>
      <c r="Z210" s="65"/>
      <c r="AA210" s="65"/>
      <c r="AB210" s="65"/>
      <c r="AC210" s="65"/>
      <c r="AD210" s="65"/>
      <c r="AE210" s="65">
        <f t="shared" si="71"/>
        <v>0</v>
      </c>
      <c r="AF210" s="65"/>
      <c r="AG210" s="248">
        <f t="shared" si="72"/>
        <v>0</v>
      </c>
      <c r="AH210" s="95" t="str">
        <f t="shared" si="73"/>
        <v/>
      </c>
      <c r="AI210" s="97" t="str">
        <f t="shared" si="74"/>
        <v/>
      </c>
      <c r="AJ210" s="11"/>
    </row>
    <row r="211" spans="1:36" x14ac:dyDescent="0.25">
      <c r="A211">
        <f t="shared" si="63"/>
        <v>209</v>
      </c>
      <c r="D211" s="14">
        <v>45884</v>
      </c>
      <c r="E211" s="7"/>
      <c r="F211" s="7"/>
      <c r="G211" s="66"/>
      <c r="H211" s="59"/>
      <c r="I211" s="59"/>
      <c r="J211" s="47">
        <f t="shared" si="65"/>
        <v>0</v>
      </c>
      <c r="K211" s="8">
        <f t="shared" si="66"/>
        <v>0</v>
      </c>
      <c r="L211" s="96" t="str">
        <f t="shared" si="67"/>
        <v/>
      </c>
      <c r="M211" s="81"/>
      <c r="N211" s="8">
        <v>300</v>
      </c>
      <c r="O211" s="8">
        <v>60</v>
      </c>
      <c r="P211" s="96" t="str">
        <f t="shared" si="68"/>
        <v/>
      </c>
      <c r="Q211" s="59">
        <f t="shared" si="69"/>
        <v>0</v>
      </c>
      <c r="R211" s="59">
        <f t="shared" si="70"/>
        <v>0</v>
      </c>
      <c r="S211" s="65"/>
      <c r="T211" s="65"/>
      <c r="U211" s="65"/>
      <c r="V211" s="65"/>
      <c r="W211" s="65"/>
      <c r="X211" s="65"/>
      <c r="Y211" s="65"/>
      <c r="Z211" s="65"/>
      <c r="AA211" s="65"/>
      <c r="AB211" s="65"/>
      <c r="AC211" s="65"/>
      <c r="AD211" s="65"/>
      <c r="AE211" s="65">
        <f t="shared" si="71"/>
        <v>0</v>
      </c>
      <c r="AF211" s="65"/>
      <c r="AG211" s="248">
        <f t="shared" si="72"/>
        <v>0</v>
      </c>
      <c r="AH211" s="95" t="str">
        <f t="shared" si="73"/>
        <v/>
      </c>
      <c r="AI211" s="97" t="str">
        <f t="shared" si="74"/>
        <v/>
      </c>
      <c r="AJ211" s="11"/>
    </row>
    <row r="212" spans="1:36" x14ac:dyDescent="0.25">
      <c r="A212">
        <f t="shared" si="63"/>
        <v>210</v>
      </c>
      <c r="D212" s="14">
        <v>45885</v>
      </c>
      <c r="E212" s="7"/>
      <c r="F212" s="7"/>
      <c r="G212" s="66"/>
      <c r="H212" s="59"/>
      <c r="I212" s="59"/>
      <c r="J212" s="47">
        <f t="shared" si="65"/>
        <v>0</v>
      </c>
      <c r="K212" s="8">
        <f t="shared" si="66"/>
        <v>0</v>
      </c>
      <c r="L212" s="96" t="str">
        <f t="shared" si="67"/>
        <v/>
      </c>
      <c r="M212" s="81"/>
      <c r="N212" s="8">
        <v>300</v>
      </c>
      <c r="O212" s="8">
        <v>60</v>
      </c>
      <c r="P212" s="96" t="str">
        <f t="shared" si="68"/>
        <v/>
      </c>
      <c r="Q212" s="59">
        <f t="shared" si="69"/>
        <v>0</v>
      </c>
      <c r="R212" s="59">
        <f t="shared" si="70"/>
        <v>0</v>
      </c>
      <c r="S212" s="65"/>
      <c r="T212" s="65"/>
      <c r="U212" s="65"/>
      <c r="V212" s="65"/>
      <c r="W212" s="65"/>
      <c r="X212" s="65"/>
      <c r="Y212" s="65"/>
      <c r="Z212" s="65"/>
      <c r="AA212" s="65"/>
      <c r="AB212" s="65"/>
      <c r="AC212" s="65"/>
      <c r="AD212" s="65"/>
      <c r="AE212" s="65">
        <f t="shared" si="71"/>
        <v>0</v>
      </c>
      <c r="AF212" s="65"/>
      <c r="AG212" s="248">
        <f t="shared" si="72"/>
        <v>0</v>
      </c>
      <c r="AH212" s="95" t="str">
        <f t="shared" si="73"/>
        <v/>
      </c>
      <c r="AI212" s="97" t="str">
        <f t="shared" si="74"/>
        <v/>
      </c>
      <c r="AJ212" s="11"/>
    </row>
    <row r="213" spans="1:36" x14ac:dyDescent="0.25">
      <c r="A213">
        <f t="shared" si="63"/>
        <v>211</v>
      </c>
      <c r="D213" s="14">
        <v>45886</v>
      </c>
      <c r="E213" s="7"/>
      <c r="F213" s="7"/>
      <c r="G213" s="66"/>
      <c r="H213" s="59"/>
      <c r="I213" s="59"/>
      <c r="J213" s="47">
        <f t="shared" si="65"/>
        <v>0</v>
      </c>
      <c r="K213" s="8">
        <f t="shared" si="66"/>
        <v>0</v>
      </c>
      <c r="L213" s="96" t="str">
        <f t="shared" si="67"/>
        <v/>
      </c>
      <c r="M213" s="81"/>
      <c r="N213" s="8">
        <v>300</v>
      </c>
      <c r="O213" s="8">
        <v>60</v>
      </c>
      <c r="P213" s="96" t="str">
        <f t="shared" si="68"/>
        <v/>
      </c>
      <c r="Q213" s="59">
        <f t="shared" si="69"/>
        <v>0</v>
      </c>
      <c r="R213" s="59">
        <f t="shared" si="70"/>
        <v>0</v>
      </c>
      <c r="S213" s="65"/>
      <c r="T213" s="65"/>
      <c r="U213" s="65"/>
      <c r="V213" s="65"/>
      <c r="W213" s="65"/>
      <c r="X213" s="65"/>
      <c r="Y213" s="65"/>
      <c r="Z213" s="65"/>
      <c r="AA213" s="65"/>
      <c r="AB213" s="65"/>
      <c r="AC213" s="65"/>
      <c r="AD213" s="65"/>
      <c r="AE213" s="65">
        <f t="shared" si="71"/>
        <v>0</v>
      </c>
      <c r="AF213" s="65"/>
      <c r="AG213" s="248">
        <f t="shared" si="72"/>
        <v>0</v>
      </c>
      <c r="AH213" s="95" t="str">
        <f t="shared" si="73"/>
        <v/>
      </c>
      <c r="AI213" s="97" t="str">
        <f t="shared" si="74"/>
        <v/>
      </c>
      <c r="AJ213" s="11"/>
    </row>
    <row r="214" spans="1:36" x14ac:dyDescent="0.25">
      <c r="A214">
        <f t="shared" si="63"/>
        <v>212</v>
      </c>
      <c r="D214" s="14">
        <v>45887</v>
      </c>
      <c r="E214" s="7"/>
      <c r="F214" s="7"/>
      <c r="G214" s="66"/>
      <c r="H214" s="59"/>
      <c r="I214" s="59"/>
      <c r="J214" s="47">
        <f t="shared" si="65"/>
        <v>0</v>
      </c>
      <c r="K214" s="8">
        <f t="shared" si="66"/>
        <v>0</v>
      </c>
      <c r="L214" s="96" t="str">
        <f t="shared" si="67"/>
        <v/>
      </c>
      <c r="M214" s="81"/>
      <c r="N214" s="8">
        <v>300</v>
      </c>
      <c r="O214" s="8">
        <v>60</v>
      </c>
      <c r="P214" s="96" t="str">
        <f t="shared" si="68"/>
        <v/>
      </c>
      <c r="Q214" s="59">
        <f t="shared" si="69"/>
        <v>0</v>
      </c>
      <c r="R214" s="59">
        <f t="shared" si="70"/>
        <v>0</v>
      </c>
      <c r="S214" s="65"/>
      <c r="T214" s="65"/>
      <c r="U214" s="65"/>
      <c r="V214" s="65"/>
      <c r="W214" s="65"/>
      <c r="X214" s="65"/>
      <c r="Y214" s="65"/>
      <c r="Z214" s="65"/>
      <c r="AA214" s="65"/>
      <c r="AB214" s="65"/>
      <c r="AC214" s="65"/>
      <c r="AD214" s="65"/>
      <c r="AE214" s="65">
        <f t="shared" si="71"/>
        <v>0</v>
      </c>
      <c r="AF214" s="65"/>
      <c r="AG214" s="248">
        <f t="shared" si="72"/>
        <v>0</v>
      </c>
      <c r="AH214" s="95" t="str">
        <f t="shared" si="73"/>
        <v/>
      </c>
      <c r="AI214" s="97" t="str">
        <f t="shared" si="74"/>
        <v/>
      </c>
      <c r="AJ214" s="11"/>
    </row>
    <row r="215" spans="1:36" x14ac:dyDescent="0.25">
      <c r="A215">
        <f t="shared" si="63"/>
        <v>213</v>
      </c>
      <c r="D215" s="14">
        <v>45888</v>
      </c>
      <c r="E215" s="7"/>
      <c r="F215" s="7"/>
      <c r="G215" s="66"/>
      <c r="H215" s="59"/>
      <c r="I215" s="59"/>
      <c r="J215" s="47">
        <f t="shared" si="65"/>
        <v>0</v>
      </c>
      <c r="K215" s="8">
        <f t="shared" si="66"/>
        <v>0</v>
      </c>
      <c r="L215" s="96" t="str">
        <f t="shared" si="67"/>
        <v/>
      </c>
      <c r="M215" s="81"/>
      <c r="N215" s="8">
        <v>300</v>
      </c>
      <c r="O215" s="8">
        <v>60</v>
      </c>
      <c r="P215" s="96" t="str">
        <f t="shared" si="68"/>
        <v/>
      </c>
      <c r="Q215" s="59">
        <f t="shared" si="69"/>
        <v>0</v>
      </c>
      <c r="R215" s="59">
        <f t="shared" si="70"/>
        <v>0</v>
      </c>
      <c r="S215" s="65"/>
      <c r="T215" s="65"/>
      <c r="U215" s="65"/>
      <c r="V215" s="65"/>
      <c r="W215" s="65"/>
      <c r="X215" s="65"/>
      <c r="Y215" s="65"/>
      <c r="Z215" s="65"/>
      <c r="AA215" s="65"/>
      <c r="AB215" s="65"/>
      <c r="AC215" s="65"/>
      <c r="AD215" s="65"/>
      <c r="AE215" s="65">
        <f t="shared" si="71"/>
        <v>0</v>
      </c>
      <c r="AF215" s="65"/>
      <c r="AG215" s="248">
        <f t="shared" si="72"/>
        <v>0</v>
      </c>
      <c r="AH215" s="95" t="str">
        <f t="shared" si="73"/>
        <v/>
      </c>
      <c r="AI215" s="97" t="str">
        <f t="shared" si="74"/>
        <v/>
      </c>
      <c r="AJ215" s="11"/>
    </row>
    <row r="216" spans="1:36" x14ac:dyDescent="0.25">
      <c r="A216">
        <f t="shared" si="63"/>
        <v>214</v>
      </c>
      <c r="D216" s="14">
        <v>45889</v>
      </c>
      <c r="E216" s="7"/>
      <c r="F216" s="7"/>
      <c r="G216" s="66"/>
      <c r="H216" s="59"/>
      <c r="I216" s="59"/>
      <c r="J216" s="47">
        <f t="shared" si="65"/>
        <v>0</v>
      </c>
      <c r="K216" s="8">
        <f t="shared" si="66"/>
        <v>0</v>
      </c>
      <c r="L216" s="96" t="str">
        <f t="shared" si="67"/>
        <v/>
      </c>
      <c r="M216" s="81"/>
      <c r="N216" s="8">
        <v>300</v>
      </c>
      <c r="O216" s="8">
        <v>60</v>
      </c>
      <c r="P216" s="96" t="str">
        <f t="shared" si="68"/>
        <v/>
      </c>
      <c r="Q216" s="59">
        <f t="shared" si="69"/>
        <v>0</v>
      </c>
      <c r="R216" s="59">
        <f t="shared" si="70"/>
        <v>0</v>
      </c>
      <c r="S216" s="65"/>
      <c r="T216" s="65"/>
      <c r="U216" s="65"/>
      <c r="V216" s="65"/>
      <c r="W216" s="65"/>
      <c r="X216" s="65"/>
      <c r="Y216" s="65"/>
      <c r="Z216" s="65"/>
      <c r="AA216" s="65"/>
      <c r="AB216" s="65"/>
      <c r="AC216" s="65"/>
      <c r="AD216" s="65"/>
      <c r="AE216" s="65">
        <f t="shared" si="71"/>
        <v>0</v>
      </c>
      <c r="AF216" s="65"/>
      <c r="AG216" s="248">
        <f t="shared" si="72"/>
        <v>0</v>
      </c>
      <c r="AH216" s="95" t="str">
        <f t="shared" si="73"/>
        <v/>
      </c>
      <c r="AI216" s="97" t="str">
        <f t="shared" si="74"/>
        <v/>
      </c>
      <c r="AJ216" s="11"/>
    </row>
    <row r="217" spans="1:36" x14ac:dyDescent="0.25">
      <c r="A217">
        <f t="shared" si="63"/>
        <v>215</v>
      </c>
      <c r="D217" s="14">
        <v>45890</v>
      </c>
      <c r="E217" s="7"/>
      <c r="F217" s="7"/>
      <c r="G217" s="66"/>
      <c r="H217" s="59"/>
      <c r="I217" s="59"/>
      <c r="J217" s="47">
        <f t="shared" si="65"/>
        <v>0</v>
      </c>
      <c r="K217" s="8">
        <f t="shared" si="66"/>
        <v>0</v>
      </c>
      <c r="L217" s="96" t="str">
        <f t="shared" si="67"/>
        <v/>
      </c>
      <c r="M217" s="81"/>
      <c r="N217" s="8">
        <v>300</v>
      </c>
      <c r="O217" s="8">
        <v>60</v>
      </c>
      <c r="P217" s="96" t="str">
        <f t="shared" si="68"/>
        <v/>
      </c>
      <c r="Q217" s="59">
        <f t="shared" si="69"/>
        <v>0</v>
      </c>
      <c r="R217" s="59">
        <f t="shared" si="70"/>
        <v>0</v>
      </c>
      <c r="S217" s="65"/>
      <c r="T217" s="65"/>
      <c r="U217" s="65"/>
      <c r="V217" s="65"/>
      <c r="W217" s="65"/>
      <c r="X217" s="65"/>
      <c r="Y217" s="65"/>
      <c r="Z217" s="65"/>
      <c r="AA217" s="65"/>
      <c r="AB217" s="65"/>
      <c r="AC217" s="65"/>
      <c r="AD217" s="65"/>
      <c r="AE217" s="65">
        <f t="shared" si="71"/>
        <v>0</v>
      </c>
      <c r="AF217" s="65"/>
      <c r="AG217" s="248">
        <f t="shared" si="72"/>
        <v>0</v>
      </c>
      <c r="AH217" s="95" t="str">
        <f t="shared" si="73"/>
        <v/>
      </c>
      <c r="AI217" s="97" t="str">
        <f t="shared" si="74"/>
        <v/>
      </c>
      <c r="AJ217" s="11"/>
    </row>
    <row r="218" spans="1:36" x14ac:dyDescent="0.25">
      <c r="A218">
        <f t="shared" si="63"/>
        <v>216</v>
      </c>
      <c r="D218" s="14">
        <v>45891</v>
      </c>
      <c r="E218" s="7"/>
      <c r="F218" s="7"/>
      <c r="G218" s="66"/>
      <c r="H218" s="59"/>
      <c r="I218" s="59"/>
      <c r="J218" s="47">
        <f t="shared" si="65"/>
        <v>0</v>
      </c>
      <c r="K218" s="8">
        <f t="shared" si="66"/>
        <v>0</v>
      </c>
      <c r="L218" s="96" t="str">
        <f t="shared" si="67"/>
        <v/>
      </c>
      <c r="M218" s="81"/>
      <c r="N218" s="8">
        <v>300</v>
      </c>
      <c r="O218" s="8">
        <v>60</v>
      </c>
      <c r="P218" s="96" t="str">
        <f t="shared" si="68"/>
        <v/>
      </c>
      <c r="Q218" s="59">
        <f t="shared" si="69"/>
        <v>0</v>
      </c>
      <c r="R218" s="59">
        <f t="shared" si="70"/>
        <v>0</v>
      </c>
      <c r="S218" s="65"/>
      <c r="T218" s="65"/>
      <c r="U218" s="65"/>
      <c r="V218" s="65"/>
      <c r="W218" s="65"/>
      <c r="X218" s="65"/>
      <c r="Y218" s="65"/>
      <c r="Z218" s="65"/>
      <c r="AA218" s="65"/>
      <c r="AB218" s="65"/>
      <c r="AC218" s="65"/>
      <c r="AD218" s="65"/>
      <c r="AE218" s="65">
        <f t="shared" si="71"/>
        <v>0</v>
      </c>
      <c r="AF218" s="65"/>
      <c r="AG218" s="248">
        <f t="shared" si="72"/>
        <v>0</v>
      </c>
      <c r="AH218" s="95" t="str">
        <f t="shared" si="73"/>
        <v/>
      </c>
      <c r="AI218" s="97" t="str">
        <f t="shared" si="74"/>
        <v/>
      </c>
      <c r="AJ218" s="11"/>
    </row>
    <row r="219" spans="1:36" x14ac:dyDescent="0.25">
      <c r="A219">
        <f t="shared" si="63"/>
        <v>217</v>
      </c>
      <c r="D219" s="14">
        <v>45892</v>
      </c>
      <c r="E219" s="7"/>
      <c r="F219" s="7"/>
      <c r="G219" s="66"/>
      <c r="H219" s="59"/>
      <c r="I219" s="59"/>
      <c r="J219" s="47">
        <f t="shared" si="65"/>
        <v>0</v>
      </c>
      <c r="K219" s="8">
        <f t="shared" si="66"/>
        <v>0</v>
      </c>
      <c r="L219" s="96" t="str">
        <f t="shared" si="67"/>
        <v/>
      </c>
      <c r="M219" s="81"/>
      <c r="N219" s="8">
        <v>300</v>
      </c>
      <c r="O219" s="8">
        <v>60</v>
      </c>
      <c r="P219" s="96" t="str">
        <f t="shared" si="68"/>
        <v/>
      </c>
      <c r="Q219" s="59">
        <f t="shared" si="69"/>
        <v>0</v>
      </c>
      <c r="R219" s="59">
        <f t="shared" si="70"/>
        <v>0</v>
      </c>
      <c r="S219" s="65"/>
      <c r="T219" s="65"/>
      <c r="U219" s="65"/>
      <c r="V219" s="65"/>
      <c r="W219" s="65"/>
      <c r="X219" s="65"/>
      <c r="Y219" s="65"/>
      <c r="Z219" s="65"/>
      <c r="AA219" s="65"/>
      <c r="AB219" s="65"/>
      <c r="AC219" s="65"/>
      <c r="AD219" s="65"/>
      <c r="AE219" s="65">
        <f t="shared" si="71"/>
        <v>0</v>
      </c>
      <c r="AF219" s="65"/>
      <c r="AG219" s="248">
        <f t="shared" si="72"/>
        <v>0</v>
      </c>
      <c r="AH219" s="95" t="str">
        <f t="shared" si="73"/>
        <v/>
      </c>
      <c r="AI219" s="97" t="str">
        <f t="shared" si="74"/>
        <v/>
      </c>
      <c r="AJ219" s="11"/>
    </row>
    <row r="220" spans="1:36" x14ac:dyDescent="0.25">
      <c r="A220">
        <f t="shared" si="63"/>
        <v>218</v>
      </c>
      <c r="D220" s="14">
        <v>45893</v>
      </c>
      <c r="E220" s="7"/>
      <c r="F220" s="7"/>
      <c r="G220" s="66"/>
      <c r="H220" s="59"/>
      <c r="I220" s="59"/>
      <c r="J220" s="47">
        <f t="shared" si="65"/>
        <v>0</v>
      </c>
      <c r="K220" s="8">
        <f t="shared" si="66"/>
        <v>0</v>
      </c>
      <c r="L220" s="96" t="str">
        <f t="shared" si="67"/>
        <v/>
      </c>
      <c r="M220" s="81"/>
      <c r="N220" s="8">
        <v>300</v>
      </c>
      <c r="O220" s="8">
        <v>60</v>
      </c>
      <c r="P220" s="96" t="str">
        <f t="shared" si="68"/>
        <v/>
      </c>
      <c r="Q220" s="59">
        <f t="shared" si="69"/>
        <v>0</v>
      </c>
      <c r="R220" s="59">
        <f t="shared" si="70"/>
        <v>0</v>
      </c>
      <c r="S220" s="65"/>
      <c r="T220" s="65"/>
      <c r="U220" s="65"/>
      <c r="V220" s="65"/>
      <c r="W220" s="65"/>
      <c r="X220" s="65"/>
      <c r="Y220" s="65"/>
      <c r="Z220" s="65"/>
      <c r="AA220" s="65"/>
      <c r="AB220" s="65"/>
      <c r="AC220" s="65"/>
      <c r="AD220" s="65"/>
      <c r="AE220" s="65">
        <f t="shared" si="71"/>
        <v>0</v>
      </c>
      <c r="AF220" s="65"/>
      <c r="AG220" s="248">
        <f t="shared" si="72"/>
        <v>0</v>
      </c>
      <c r="AH220" s="95" t="str">
        <f t="shared" si="73"/>
        <v/>
      </c>
      <c r="AI220" s="97" t="str">
        <f t="shared" si="74"/>
        <v/>
      </c>
      <c r="AJ220" s="11"/>
    </row>
    <row r="221" spans="1:36" x14ac:dyDescent="0.25">
      <c r="A221">
        <f t="shared" si="63"/>
        <v>219</v>
      </c>
      <c r="D221" s="14">
        <v>45894</v>
      </c>
      <c r="E221" s="7"/>
      <c r="F221" s="7"/>
      <c r="G221" s="66"/>
      <c r="H221" s="59"/>
      <c r="I221" s="59"/>
      <c r="J221" s="47">
        <f t="shared" si="65"/>
        <v>0</v>
      </c>
      <c r="K221" s="8">
        <f t="shared" si="66"/>
        <v>0</v>
      </c>
      <c r="L221" s="96" t="str">
        <f t="shared" si="67"/>
        <v/>
      </c>
      <c r="M221" s="81"/>
      <c r="N221" s="8">
        <v>300</v>
      </c>
      <c r="O221" s="8">
        <v>60</v>
      </c>
      <c r="P221" s="96" t="str">
        <f t="shared" si="68"/>
        <v/>
      </c>
      <c r="Q221" s="59">
        <f t="shared" si="69"/>
        <v>0</v>
      </c>
      <c r="R221" s="59">
        <f t="shared" si="70"/>
        <v>0</v>
      </c>
      <c r="S221" s="65"/>
      <c r="T221" s="65"/>
      <c r="U221" s="65"/>
      <c r="V221" s="65"/>
      <c r="W221" s="65"/>
      <c r="X221" s="65"/>
      <c r="Y221" s="65"/>
      <c r="Z221" s="65"/>
      <c r="AA221" s="65"/>
      <c r="AB221" s="65"/>
      <c r="AC221" s="65"/>
      <c r="AD221" s="65"/>
      <c r="AE221" s="65">
        <f t="shared" si="71"/>
        <v>0</v>
      </c>
      <c r="AF221" s="65"/>
      <c r="AG221" s="248">
        <f t="shared" si="72"/>
        <v>0</v>
      </c>
      <c r="AH221" s="95" t="str">
        <f t="shared" si="73"/>
        <v/>
      </c>
      <c r="AI221" s="97" t="str">
        <f t="shared" si="74"/>
        <v/>
      </c>
      <c r="AJ221" s="11"/>
    </row>
    <row r="222" spans="1:36" x14ac:dyDescent="0.25">
      <c r="A222">
        <f t="shared" si="63"/>
        <v>220</v>
      </c>
      <c r="D222" s="14">
        <v>45895</v>
      </c>
      <c r="E222" s="7"/>
      <c r="F222" s="7"/>
      <c r="G222" s="66"/>
      <c r="H222" s="59"/>
      <c r="I222" s="59"/>
      <c r="J222" s="47">
        <f t="shared" si="65"/>
        <v>0</v>
      </c>
      <c r="K222" s="8">
        <f t="shared" si="66"/>
        <v>0</v>
      </c>
      <c r="L222" s="96" t="str">
        <f t="shared" si="67"/>
        <v/>
      </c>
      <c r="M222" s="81"/>
      <c r="N222" s="8">
        <v>300</v>
      </c>
      <c r="O222" s="8">
        <v>60</v>
      </c>
      <c r="P222" s="96" t="str">
        <f t="shared" si="68"/>
        <v/>
      </c>
      <c r="Q222" s="59">
        <f t="shared" si="69"/>
        <v>0</v>
      </c>
      <c r="R222" s="59">
        <f t="shared" si="70"/>
        <v>0</v>
      </c>
      <c r="S222" s="65"/>
      <c r="T222" s="65"/>
      <c r="U222" s="65"/>
      <c r="V222" s="65"/>
      <c r="W222" s="65"/>
      <c r="X222" s="65"/>
      <c r="Y222" s="65"/>
      <c r="Z222" s="65"/>
      <c r="AA222" s="65"/>
      <c r="AB222" s="65"/>
      <c r="AC222" s="65"/>
      <c r="AD222" s="65"/>
      <c r="AE222" s="65">
        <f t="shared" si="71"/>
        <v>0</v>
      </c>
      <c r="AF222" s="65"/>
      <c r="AG222" s="248">
        <f t="shared" si="72"/>
        <v>0</v>
      </c>
      <c r="AH222" s="95" t="str">
        <f t="shared" si="73"/>
        <v/>
      </c>
      <c r="AI222" s="97" t="str">
        <f t="shared" si="74"/>
        <v/>
      </c>
      <c r="AJ222" s="11"/>
    </row>
    <row r="223" spans="1:36" x14ac:dyDescent="0.25">
      <c r="A223">
        <f t="shared" si="63"/>
        <v>221</v>
      </c>
      <c r="D223" s="14">
        <v>45896</v>
      </c>
      <c r="E223" s="7"/>
      <c r="F223" s="7"/>
      <c r="G223" s="66"/>
      <c r="H223" s="59"/>
      <c r="I223" s="59"/>
      <c r="J223" s="47">
        <f t="shared" si="65"/>
        <v>0</v>
      </c>
      <c r="K223" s="8">
        <f t="shared" si="66"/>
        <v>0</v>
      </c>
      <c r="L223" s="96" t="str">
        <f t="shared" si="67"/>
        <v/>
      </c>
      <c r="M223" s="81"/>
      <c r="N223" s="8">
        <v>300</v>
      </c>
      <c r="O223" s="8">
        <v>60</v>
      </c>
      <c r="P223" s="96" t="str">
        <f t="shared" si="68"/>
        <v/>
      </c>
      <c r="Q223" s="59">
        <f t="shared" si="69"/>
        <v>0</v>
      </c>
      <c r="R223" s="59">
        <f t="shared" si="70"/>
        <v>0</v>
      </c>
      <c r="S223" s="65"/>
      <c r="T223" s="65"/>
      <c r="U223" s="65"/>
      <c r="V223" s="65"/>
      <c r="W223" s="65"/>
      <c r="X223" s="65"/>
      <c r="Y223" s="65"/>
      <c r="Z223" s="65"/>
      <c r="AA223" s="65"/>
      <c r="AB223" s="65"/>
      <c r="AC223" s="65"/>
      <c r="AD223" s="65"/>
      <c r="AE223" s="65">
        <f t="shared" si="71"/>
        <v>0</v>
      </c>
      <c r="AF223" s="65"/>
      <c r="AG223" s="248">
        <f t="shared" si="72"/>
        <v>0</v>
      </c>
      <c r="AH223" s="95" t="str">
        <f t="shared" si="73"/>
        <v/>
      </c>
      <c r="AI223" s="97" t="str">
        <f t="shared" si="74"/>
        <v/>
      </c>
      <c r="AJ223" s="11"/>
    </row>
    <row r="224" spans="1:36" x14ac:dyDescent="0.25">
      <c r="A224">
        <f t="shared" si="63"/>
        <v>222</v>
      </c>
      <c r="D224" s="14">
        <v>45897</v>
      </c>
      <c r="E224" s="7"/>
      <c r="F224" s="7"/>
      <c r="G224" s="66"/>
      <c r="H224" s="59"/>
      <c r="I224" s="59"/>
      <c r="J224" s="47">
        <f t="shared" si="65"/>
        <v>0</v>
      </c>
      <c r="K224" s="8">
        <f t="shared" si="66"/>
        <v>0</v>
      </c>
      <c r="L224" s="96" t="str">
        <f t="shared" si="67"/>
        <v/>
      </c>
      <c r="M224" s="81"/>
      <c r="N224" s="8">
        <v>300</v>
      </c>
      <c r="O224" s="8">
        <v>60</v>
      </c>
      <c r="P224" s="96" t="str">
        <f t="shared" si="68"/>
        <v/>
      </c>
      <c r="Q224" s="59">
        <f t="shared" si="69"/>
        <v>0</v>
      </c>
      <c r="R224" s="59">
        <f t="shared" si="70"/>
        <v>0</v>
      </c>
      <c r="S224" s="65"/>
      <c r="T224" s="65"/>
      <c r="U224" s="65"/>
      <c r="V224" s="65"/>
      <c r="W224" s="65"/>
      <c r="X224" s="65"/>
      <c r="Y224" s="65"/>
      <c r="Z224" s="65"/>
      <c r="AA224" s="65"/>
      <c r="AB224" s="65"/>
      <c r="AC224" s="65"/>
      <c r="AD224" s="65"/>
      <c r="AE224" s="65">
        <f t="shared" si="71"/>
        <v>0</v>
      </c>
      <c r="AF224" s="65"/>
      <c r="AG224" s="248">
        <f t="shared" si="72"/>
        <v>0</v>
      </c>
      <c r="AH224" s="95" t="str">
        <f t="shared" si="73"/>
        <v/>
      </c>
      <c r="AI224" s="97" t="str">
        <f t="shared" si="74"/>
        <v/>
      </c>
      <c r="AJ224" s="11"/>
    </row>
    <row r="225" spans="1:36" x14ac:dyDescent="0.25">
      <c r="A225">
        <f t="shared" si="63"/>
        <v>223</v>
      </c>
      <c r="D225" s="14">
        <v>45898</v>
      </c>
      <c r="E225" s="7"/>
      <c r="F225" s="7"/>
      <c r="G225" s="66"/>
      <c r="H225" s="59"/>
      <c r="I225" s="59"/>
      <c r="J225" s="47">
        <f t="shared" si="65"/>
        <v>0</v>
      </c>
      <c r="K225" s="8">
        <f t="shared" si="66"/>
        <v>0</v>
      </c>
      <c r="L225" s="96" t="str">
        <f t="shared" si="67"/>
        <v/>
      </c>
      <c r="M225" s="81"/>
      <c r="N225" s="8">
        <v>300</v>
      </c>
      <c r="O225" s="8">
        <v>60</v>
      </c>
      <c r="P225" s="96" t="str">
        <f t="shared" si="68"/>
        <v/>
      </c>
      <c r="Q225" s="59">
        <f t="shared" si="69"/>
        <v>0</v>
      </c>
      <c r="R225" s="59">
        <f t="shared" si="70"/>
        <v>0</v>
      </c>
      <c r="S225" s="65"/>
      <c r="T225" s="65"/>
      <c r="U225" s="65"/>
      <c r="V225" s="65"/>
      <c r="W225" s="65"/>
      <c r="X225" s="65"/>
      <c r="Y225" s="65"/>
      <c r="Z225" s="65"/>
      <c r="AA225" s="65"/>
      <c r="AB225" s="65"/>
      <c r="AC225" s="65"/>
      <c r="AD225" s="65"/>
      <c r="AE225" s="65">
        <f t="shared" si="71"/>
        <v>0</v>
      </c>
      <c r="AF225" s="65"/>
      <c r="AG225" s="248">
        <f t="shared" si="72"/>
        <v>0</v>
      </c>
      <c r="AH225" s="95" t="str">
        <f t="shared" si="73"/>
        <v/>
      </c>
      <c r="AI225" s="97" t="str">
        <f t="shared" si="74"/>
        <v/>
      </c>
      <c r="AJ225" s="11"/>
    </row>
    <row r="226" spans="1:36" x14ac:dyDescent="0.25">
      <c r="A226">
        <f t="shared" si="63"/>
        <v>224</v>
      </c>
      <c r="D226" s="14">
        <v>45899</v>
      </c>
      <c r="E226" s="7"/>
      <c r="F226" s="7"/>
      <c r="G226" s="66"/>
      <c r="H226" s="59"/>
      <c r="I226" s="59"/>
      <c r="J226" s="47">
        <f t="shared" si="65"/>
        <v>0</v>
      </c>
      <c r="K226" s="8">
        <f t="shared" si="66"/>
        <v>0</v>
      </c>
      <c r="L226" s="96" t="str">
        <f t="shared" si="67"/>
        <v/>
      </c>
      <c r="M226" s="81"/>
      <c r="N226" s="8">
        <v>300</v>
      </c>
      <c r="O226" s="8">
        <v>60</v>
      </c>
      <c r="P226" s="96" t="str">
        <f t="shared" si="68"/>
        <v/>
      </c>
      <c r="Q226" s="59">
        <f t="shared" si="69"/>
        <v>0</v>
      </c>
      <c r="R226" s="59">
        <f t="shared" si="70"/>
        <v>0</v>
      </c>
      <c r="S226" s="65"/>
      <c r="T226" s="65"/>
      <c r="U226" s="65"/>
      <c r="V226" s="65"/>
      <c r="W226" s="65"/>
      <c r="X226" s="65"/>
      <c r="Y226" s="65"/>
      <c r="Z226" s="65"/>
      <c r="AA226" s="65"/>
      <c r="AB226" s="65"/>
      <c r="AC226" s="65"/>
      <c r="AD226" s="65"/>
      <c r="AE226" s="65">
        <f t="shared" si="71"/>
        <v>0</v>
      </c>
      <c r="AF226" s="65"/>
      <c r="AG226" s="248">
        <f t="shared" si="72"/>
        <v>0</v>
      </c>
      <c r="AH226" s="95" t="str">
        <f t="shared" si="73"/>
        <v/>
      </c>
      <c r="AI226" s="97" t="str">
        <f t="shared" si="74"/>
        <v/>
      </c>
      <c r="AJ226" s="11"/>
    </row>
    <row r="227" spans="1:36" x14ac:dyDescent="0.25">
      <c r="A227">
        <f t="shared" si="63"/>
        <v>225</v>
      </c>
      <c r="D227" s="14">
        <v>45900</v>
      </c>
      <c r="E227" s="7"/>
      <c r="F227" s="7"/>
      <c r="G227" s="66"/>
      <c r="H227" s="59"/>
      <c r="I227" s="59"/>
      <c r="J227" s="47">
        <f t="shared" si="65"/>
        <v>0</v>
      </c>
      <c r="K227" s="8">
        <f t="shared" si="66"/>
        <v>0</v>
      </c>
      <c r="L227" s="96" t="str">
        <f t="shared" si="67"/>
        <v/>
      </c>
      <c r="M227" s="81"/>
      <c r="N227" s="8">
        <v>300</v>
      </c>
      <c r="O227" s="8">
        <v>60</v>
      </c>
      <c r="P227" s="96" t="str">
        <f t="shared" si="68"/>
        <v/>
      </c>
      <c r="Q227" s="59">
        <f t="shared" si="69"/>
        <v>0</v>
      </c>
      <c r="R227" s="59">
        <f t="shared" si="70"/>
        <v>0</v>
      </c>
      <c r="S227" s="65"/>
      <c r="T227" s="65"/>
      <c r="U227" s="65"/>
      <c r="V227" s="65"/>
      <c r="W227" s="65"/>
      <c r="X227" s="65"/>
      <c r="Y227" s="65"/>
      <c r="Z227" s="65"/>
      <c r="AA227" s="65"/>
      <c r="AB227" s="65"/>
      <c r="AC227" s="65"/>
      <c r="AD227" s="65"/>
      <c r="AE227" s="65">
        <f t="shared" si="71"/>
        <v>0</v>
      </c>
      <c r="AF227" s="65"/>
      <c r="AG227" s="248">
        <f t="shared" si="72"/>
        <v>0</v>
      </c>
      <c r="AH227" s="95" t="str">
        <f t="shared" si="73"/>
        <v/>
      </c>
      <c r="AI227" s="97" t="str">
        <f t="shared" si="74"/>
        <v/>
      </c>
      <c r="AJ227" s="11"/>
    </row>
    <row r="228" spans="1:36" x14ac:dyDescent="0.25">
      <c r="A228">
        <f t="shared" si="63"/>
        <v>226</v>
      </c>
      <c r="D228" s="14">
        <v>45901</v>
      </c>
      <c r="E228" s="7"/>
      <c r="F228" s="7"/>
      <c r="G228" s="66"/>
      <c r="H228" s="59"/>
      <c r="I228" s="59"/>
      <c r="J228" s="47">
        <f t="shared" si="65"/>
        <v>0</v>
      </c>
      <c r="K228" s="8">
        <f t="shared" si="66"/>
        <v>0</v>
      </c>
      <c r="L228" s="96" t="str">
        <f t="shared" si="67"/>
        <v/>
      </c>
      <c r="M228" s="81"/>
      <c r="N228" s="8">
        <v>300</v>
      </c>
      <c r="O228" s="8">
        <v>60</v>
      </c>
      <c r="P228" s="96" t="str">
        <f t="shared" si="68"/>
        <v/>
      </c>
      <c r="Q228" s="59">
        <f t="shared" si="69"/>
        <v>0</v>
      </c>
      <c r="R228" s="59">
        <f t="shared" si="70"/>
        <v>0</v>
      </c>
      <c r="S228" s="65"/>
      <c r="T228" s="65"/>
      <c r="U228" s="65"/>
      <c r="V228" s="65"/>
      <c r="W228" s="65"/>
      <c r="X228" s="65"/>
      <c r="Y228" s="65"/>
      <c r="Z228" s="65"/>
      <c r="AA228" s="65"/>
      <c r="AB228" s="65"/>
      <c r="AC228" s="65"/>
      <c r="AD228" s="65"/>
      <c r="AE228" s="65">
        <f t="shared" si="71"/>
        <v>0</v>
      </c>
      <c r="AF228" s="65"/>
      <c r="AG228" s="248">
        <f t="shared" si="72"/>
        <v>0</v>
      </c>
      <c r="AH228" s="95" t="str">
        <f t="shared" si="73"/>
        <v/>
      </c>
      <c r="AI228" s="97" t="str">
        <f t="shared" si="74"/>
        <v/>
      </c>
      <c r="AJ228" s="11"/>
    </row>
    <row r="229" spans="1:36" x14ac:dyDescent="0.25">
      <c r="A229">
        <f t="shared" si="63"/>
        <v>227</v>
      </c>
      <c r="D229" s="14">
        <v>45902</v>
      </c>
      <c r="E229" s="7"/>
      <c r="F229" s="7"/>
      <c r="G229" s="66"/>
      <c r="H229" s="59"/>
      <c r="I229" s="59"/>
      <c r="J229" s="47">
        <f t="shared" si="65"/>
        <v>0</v>
      </c>
      <c r="K229" s="8">
        <f t="shared" si="66"/>
        <v>0</v>
      </c>
      <c r="L229" s="96" t="str">
        <f t="shared" si="67"/>
        <v/>
      </c>
      <c r="M229" s="81"/>
      <c r="N229" s="8">
        <v>300</v>
      </c>
      <c r="O229" s="8">
        <v>60</v>
      </c>
      <c r="P229" s="96" t="str">
        <f t="shared" si="68"/>
        <v/>
      </c>
      <c r="Q229" s="59">
        <f t="shared" si="69"/>
        <v>0</v>
      </c>
      <c r="R229" s="59">
        <f t="shared" si="70"/>
        <v>0</v>
      </c>
      <c r="S229" s="65"/>
      <c r="T229" s="65"/>
      <c r="U229" s="65"/>
      <c r="V229" s="65"/>
      <c r="W229" s="65"/>
      <c r="X229" s="65"/>
      <c r="Y229" s="65"/>
      <c r="Z229" s="65"/>
      <c r="AA229" s="65"/>
      <c r="AB229" s="65"/>
      <c r="AC229" s="65"/>
      <c r="AD229" s="65"/>
      <c r="AE229" s="65">
        <f t="shared" si="71"/>
        <v>0</v>
      </c>
      <c r="AF229" s="65"/>
      <c r="AG229" s="248">
        <f t="shared" si="72"/>
        <v>0</v>
      </c>
      <c r="AH229" s="95" t="str">
        <f t="shared" si="73"/>
        <v/>
      </c>
      <c r="AI229" s="97" t="str">
        <f t="shared" si="74"/>
        <v/>
      </c>
      <c r="AJ229" s="11"/>
    </row>
    <row r="230" spans="1:36" x14ac:dyDescent="0.25">
      <c r="A230">
        <f t="shared" si="63"/>
        <v>228</v>
      </c>
      <c r="D230" s="14">
        <v>45903</v>
      </c>
      <c r="E230" s="7"/>
      <c r="F230" s="7"/>
      <c r="G230" s="66"/>
      <c r="H230" s="59"/>
      <c r="I230" s="59"/>
      <c r="J230" s="47">
        <f t="shared" si="65"/>
        <v>0</v>
      </c>
      <c r="K230" s="8">
        <f t="shared" si="66"/>
        <v>0</v>
      </c>
      <c r="L230" s="96" t="str">
        <f t="shared" si="67"/>
        <v/>
      </c>
      <c r="M230" s="81"/>
      <c r="N230" s="8">
        <v>300</v>
      </c>
      <c r="O230" s="8">
        <v>60</v>
      </c>
      <c r="P230" s="96" t="str">
        <f t="shared" si="68"/>
        <v/>
      </c>
      <c r="Q230" s="59">
        <f t="shared" si="69"/>
        <v>0</v>
      </c>
      <c r="R230" s="59">
        <f t="shared" si="70"/>
        <v>0</v>
      </c>
      <c r="S230" s="65"/>
      <c r="T230" s="65"/>
      <c r="U230" s="65"/>
      <c r="V230" s="65"/>
      <c r="W230" s="65"/>
      <c r="X230" s="65"/>
      <c r="Y230" s="65"/>
      <c r="Z230" s="65"/>
      <c r="AA230" s="65"/>
      <c r="AB230" s="65"/>
      <c r="AC230" s="65"/>
      <c r="AD230" s="65"/>
      <c r="AE230" s="65">
        <f t="shared" si="71"/>
        <v>0</v>
      </c>
      <c r="AF230" s="65"/>
      <c r="AG230" s="248">
        <f t="shared" si="72"/>
        <v>0</v>
      </c>
      <c r="AH230" s="95" t="str">
        <f t="shared" si="73"/>
        <v/>
      </c>
      <c r="AI230" s="97" t="str">
        <f t="shared" si="74"/>
        <v/>
      </c>
      <c r="AJ230" s="11"/>
    </row>
    <row r="231" spans="1:36" x14ac:dyDescent="0.25">
      <c r="A231">
        <f t="shared" si="63"/>
        <v>229</v>
      </c>
      <c r="D231" s="14">
        <v>45904</v>
      </c>
      <c r="E231" s="7"/>
      <c r="F231" s="7"/>
      <c r="G231" s="66"/>
      <c r="H231" s="59"/>
      <c r="I231" s="59"/>
      <c r="J231" s="47">
        <f t="shared" si="65"/>
        <v>0</v>
      </c>
      <c r="K231" s="8">
        <f t="shared" si="66"/>
        <v>0</v>
      </c>
      <c r="L231" s="96" t="str">
        <f t="shared" si="67"/>
        <v/>
      </c>
      <c r="M231" s="81"/>
      <c r="N231" s="8">
        <v>300</v>
      </c>
      <c r="O231" s="8">
        <v>60</v>
      </c>
      <c r="P231" s="96" t="str">
        <f t="shared" si="68"/>
        <v/>
      </c>
      <c r="Q231" s="59">
        <f t="shared" si="69"/>
        <v>0</v>
      </c>
      <c r="R231" s="59">
        <f t="shared" si="70"/>
        <v>0</v>
      </c>
      <c r="S231" s="65"/>
      <c r="T231" s="65"/>
      <c r="U231" s="65"/>
      <c r="V231" s="65"/>
      <c r="W231" s="65"/>
      <c r="X231" s="65"/>
      <c r="Y231" s="65"/>
      <c r="Z231" s="65"/>
      <c r="AA231" s="65"/>
      <c r="AB231" s="65"/>
      <c r="AC231" s="65"/>
      <c r="AD231" s="65"/>
      <c r="AE231" s="65">
        <f t="shared" si="71"/>
        <v>0</v>
      </c>
      <c r="AF231" s="65"/>
      <c r="AG231" s="248">
        <f t="shared" si="72"/>
        <v>0</v>
      </c>
      <c r="AH231" s="95" t="str">
        <f t="shared" si="73"/>
        <v/>
      </c>
      <c r="AI231" s="97" t="str">
        <f t="shared" si="74"/>
        <v/>
      </c>
      <c r="AJ231" s="11"/>
    </row>
    <row r="232" spans="1:36" x14ac:dyDescent="0.25">
      <c r="A232">
        <f t="shared" si="63"/>
        <v>230</v>
      </c>
      <c r="D232" s="14">
        <v>45905</v>
      </c>
      <c r="E232" s="7"/>
      <c r="F232" s="7"/>
      <c r="G232" s="66"/>
      <c r="H232" s="59"/>
      <c r="I232" s="59"/>
      <c r="J232" s="47">
        <f t="shared" si="65"/>
        <v>0</v>
      </c>
      <c r="K232" s="8">
        <f t="shared" si="66"/>
        <v>0</v>
      </c>
      <c r="L232" s="96" t="str">
        <f t="shared" si="67"/>
        <v/>
      </c>
      <c r="M232" s="81"/>
      <c r="N232" s="8">
        <v>300</v>
      </c>
      <c r="O232" s="8">
        <v>60</v>
      </c>
      <c r="P232" s="96" t="str">
        <f t="shared" si="68"/>
        <v/>
      </c>
      <c r="Q232" s="59">
        <f t="shared" si="69"/>
        <v>0</v>
      </c>
      <c r="R232" s="59">
        <f t="shared" si="70"/>
        <v>0</v>
      </c>
      <c r="S232" s="65"/>
      <c r="T232" s="65"/>
      <c r="U232" s="65"/>
      <c r="V232" s="65"/>
      <c r="W232" s="65"/>
      <c r="X232" s="65"/>
      <c r="Y232" s="65"/>
      <c r="Z232" s="65"/>
      <c r="AA232" s="65"/>
      <c r="AB232" s="65"/>
      <c r="AC232" s="65"/>
      <c r="AD232" s="65"/>
      <c r="AE232" s="65">
        <f t="shared" si="71"/>
        <v>0</v>
      </c>
      <c r="AF232" s="65"/>
      <c r="AG232" s="248">
        <f t="shared" si="72"/>
        <v>0</v>
      </c>
      <c r="AH232" s="95" t="str">
        <f t="shared" si="73"/>
        <v/>
      </c>
      <c r="AI232" s="97" t="str">
        <f t="shared" si="74"/>
        <v/>
      </c>
      <c r="AJ232" s="11"/>
    </row>
    <row r="233" spans="1:36" x14ac:dyDescent="0.25">
      <c r="A233">
        <f t="shared" si="63"/>
        <v>231</v>
      </c>
      <c r="D233" s="14">
        <v>45906</v>
      </c>
      <c r="E233" s="7"/>
      <c r="F233" s="7"/>
      <c r="G233" s="66"/>
      <c r="H233" s="59"/>
      <c r="I233" s="59"/>
      <c r="J233" s="47">
        <f t="shared" si="65"/>
        <v>0</v>
      </c>
      <c r="K233" s="8">
        <f t="shared" si="66"/>
        <v>0</v>
      </c>
      <c r="L233" s="96" t="str">
        <f t="shared" si="67"/>
        <v/>
      </c>
      <c r="M233" s="81"/>
      <c r="N233" s="8">
        <v>300</v>
      </c>
      <c r="O233" s="8">
        <v>60</v>
      </c>
      <c r="P233" s="96" t="str">
        <f t="shared" si="68"/>
        <v/>
      </c>
      <c r="Q233" s="59">
        <f t="shared" si="69"/>
        <v>0</v>
      </c>
      <c r="R233" s="59">
        <f t="shared" si="70"/>
        <v>0</v>
      </c>
      <c r="S233" s="65"/>
      <c r="T233" s="65"/>
      <c r="U233" s="65"/>
      <c r="V233" s="65"/>
      <c r="W233" s="65"/>
      <c r="X233" s="65"/>
      <c r="Y233" s="65"/>
      <c r="Z233" s="65"/>
      <c r="AA233" s="65"/>
      <c r="AB233" s="65"/>
      <c r="AC233" s="65"/>
      <c r="AD233" s="65"/>
      <c r="AE233" s="65">
        <f t="shared" si="71"/>
        <v>0</v>
      </c>
      <c r="AF233" s="65"/>
      <c r="AG233" s="248">
        <f t="shared" si="72"/>
        <v>0</v>
      </c>
      <c r="AH233" s="95" t="str">
        <f t="shared" si="73"/>
        <v/>
      </c>
      <c r="AI233" s="97" t="str">
        <f t="shared" si="74"/>
        <v/>
      </c>
      <c r="AJ233" s="11"/>
    </row>
    <row r="234" spans="1:36" x14ac:dyDescent="0.25">
      <c r="A234">
        <f t="shared" si="63"/>
        <v>232</v>
      </c>
      <c r="D234" s="14">
        <v>45907</v>
      </c>
      <c r="E234" s="7"/>
      <c r="F234" s="7"/>
      <c r="G234" s="66"/>
      <c r="H234" s="59"/>
      <c r="I234" s="59"/>
      <c r="J234" s="47">
        <f t="shared" si="65"/>
        <v>0</v>
      </c>
      <c r="K234" s="8">
        <f t="shared" si="66"/>
        <v>0</v>
      </c>
      <c r="L234" s="96" t="str">
        <f t="shared" si="67"/>
        <v/>
      </c>
      <c r="M234" s="81"/>
      <c r="N234" s="8">
        <v>300</v>
      </c>
      <c r="O234" s="8">
        <v>60</v>
      </c>
      <c r="P234" s="96" t="str">
        <f t="shared" si="68"/>
        <v/>
      </c>
      <c r="Q234" s="59">
        <f t="shared" si="69"/>
        <v>0</v>
      </c>
      <c r="R234" s="59">
        <f t="shared" si="70"/>
        <v>0</v>
      </c>
      <c r="S234" s="65"/>
      <c r="T234" s="65"/>
      <c r="U234" s="65"/>
      <c r="V234" s="65"/>
      <c r="W234" s="65"/>
      <c r="X234" s="65"/>
      <c r="Y234" s="65"/>
      <c r="Z234" s="65"/>
      <c r="AA234" s="65"/>
      <c r="AB234" s="65"/>
      <c r="AC234" s="65"/>
      <c r="AD234" s="65"/>
      <c r="AE234" s="65">
        <f t="shared" si="71"/>
        <v>0</v>
      </c>
      <c r="AF234" s="65"/>
      <c r="AG234" s="248">
        <f t="shared" si="72"/>
        <v>0</v>
      </c>
      <c r="AH234" s="95" t="str">
        <f t="shared" si="73"/>
        <v/>
      </c>
      <c r="AI234" s="97" t="str">
        <f t="shared" si="74"/>
        <v/>
      </c>
      <c r="AJ234" s="11"/>
    </row>
    <row r="235" spans="1:36" x14ac:dyDescent="0.25">
      <c r="A235">
        <f t="shared" si="63"/>
        <v>233</v>
      </c>
      <c r="D235" s="14">
        <v>45908</v>
      </c>
      <c r="E235" s="7"/>
      <c r="F235" s="7"/>
      <c r="G235" s="66"/>
      <c r="H235" s="59"/>
      <c r="I235" s="59"/>
      <c r="J235" s="47">
        <f t="shared" si="65"/>
        <v>0</v>
      </c>
      <c r="K235" s="8">
        <f t="shared" si="66"/>
        <v>0</v>
      </c>
      <c r="L235" s="96" t="str">
        <f t="shared" si="67"/>
        <v/>
      </c>
      <c r="M235" s="81"/>
      <c r="N235" s="8">
        <v>300</v>
      </c>
      <c r="O235" s="8">
        <v>60</v>
      </c>
      <c r="P235" s="96" t="str">
        <f t="shared" si="68"/>
        <v/>
      </c>
      <c r="Q235" s="59">
        <f t="shared" si="69"/>
        <v>0</v>
      </c>
      <c r="R235" s="59">
        <f t="shared" si="70"/>
        <v>0</v>
      </c>
      <c r="S235" s="65"/>
      <c r="T235" s="65"/>
      <c r="U235" s="65"/>
      <c r="V235" s="65"/>
      <c r="W235" s="65"/>
      <c r="X235" s="65"/>
      <c r="Y235" s="65"/>
      <c r="Z235" s="65"/>
      <c r="AA235" s="65"/>
      <c r="AB235" s="65"/>
      <c r="AC235" s="65"/>
      <c r="AD235" s="65"/>
      <c r="AE235" s="65">
        <f t="shared" si="71"/>
        <v>0</v>
      </c>
      <c r="AF235" s="65"/>
      <c r="AG235" s="248">
        <f t="shared" si="72"/>
        <v>0</v>
      </c>
      <c r="AH235" s="95" t="str">
        <f t="shared" si="73"/>
        <v/>
      </c>
      <c r="AI235" s="97" t="str">
        <f t="shared" si="74"/>
        <v/>
      </c>
      <c r="AJ235" s="11"/>
    </row>
    <row r="236" spans="1:36" x14ac:dyDescent="0.25">
      <c r="A236">
        <f t="shared" si="63"/>
        <v>234</v>
      </c>
      <c r="D236" s="14">
        <v>45909</v>
      </c>
      <c r="E236" s="7"/>
      <c r="F236" s="7"/>
      <c r="G236" s="66"/>
      <c r="H236" s="59"/>
      <c r="I236" s="59"/>
      <c r="J236" s="47">
        <f t="shared" si="65"/>
        <v>0</v>
      </c>
      <c r="K236" s="8">
        <f t="shared" si="66"/>
        <v>0</v>
      </c>
      <c r="L236" s="96" t="str">
        <f t="shared" si="67"/>
        <v/>
      </c>
      <c r="M236" s="81"/>
      <c r="N236" s="8">
        <v>300</v>
      </c>
      <c r="O236" s="8">
        <v>60</v>
      </c>
      <c r="P236" s="96" t="str">
        <f t="shared" si="68"/>
        <v/>
      </c>
      <c r="Q236" s="59">
        <f t="shared" si="69"/>
        <v>0</v>
      </c>
      <c r="R236" s="59">
        <f t="shared" si="70"/>
        <v>0</v>
      </c>
      <c r="S236" s="65"/>
      <c r="T236" s="65"/>
      <c r="U236" s="65"/>
      <c r="V236" s="65"/>
      <c r="W236" s="65"/>
      <c r="X236" s="65"/>
      <c r="Y236" s="65"/>
      <c r="Z236" s="65"/>
      <c r="AA236" s="65"/>
      <c r="AB236" s="65"/>
      <c r="AC236" s="65"/>
      <c r="AD236" s="65"/>
      <c r="AE236" s="65">
        <f t="shared" si="71"/>
        <v>0</v>
      </c>
      <c r="AF236" s="65"/>
      <c r="AG236" s="248">
        <f t="shared" si="72"/>
        <v>0</v>
      </c>
      <c r="AH236" s="95" t="str">
        <f t="shared" si="73"/>
        <v/>
      </c>
      <c r="AI236" s="97" t="str">
        <f t="shared" si="74"/>
        <v/>
      </c>
      <c r="AJ236" s="11"/>
    </row>
    <row r="237" spans="1:36" x14ac:dyDescent="0.25">
      <c r="A237">
        <f t="shared" si="63"/>
        <v>235</v>
      </c>
      <c r="D237" s="14">
        <v>45910</v>
      </c>
      <c r="E237" s="7"/>
      <c r="F237" s="7"/>
      <c r="G237" s="66"/>
      <c r="H237" s="59"/>
      <c r="I237" s="59"/>
      <c r="J237" s="47">
        <f t="shared" si="65"/>
        <v>0</v>
      </c>
      <c r="K237" s="8">
        <f t="shared" si="66"/>
        <v>0</v>
      </c>
      <c r="L237" s="96" t="str">
        <f t="shared" si="67"/>
        <v/>
      </c>
      <c r="M237" s="81"/>
      <c r="N237" s="8">
        <v>300</v>
      </c>
      <c r="O237" s="8">
        <v>60</v>
      </c>
      <c r="P237" s="96" t="str">
        <f t="shared" si="68"/>
        <v/>
      </c>
      <c r="Q237" s="59">
        <f t="shared" si="69"/>
        <v>0</v>
      </c>
      <c r="R237" s="59">
        <f t="shared" si="70"/>
        <v>0</v>
      </c>
      <c r="S237" s="65"/>
      <c r="T237" s="65"/>
      <c r="U237" s="65"/>
      <c r="V237" s="65"/>
      <c r="W237" s="65"/>
      <c r="X237" s="65"/>
      <c r="Y237" s="65"/>
      <c r="Z237" s="65"/>
      <c r="AA237" s="65"/>
      <c r="AB237" s="65"/>
      <c r="AC237" s="65"/>
      <c r="AD237" s="65"/>
      <c r="AE237" s="65">
        <f t="shared" si="71"/>
        <v>0</v>
      </c>
      <c r="AF237" s="65"/>
      <c r="AG237" s="248">
        <f t="shared" si="72"/>
        <v>0</v>
      </c>
      <c r="AH237" s="95" t="str">
        <f t="shared" si="73"/>
        <v/>
      </c>
      <c r="AI237" s="97" t="str">
        <f t="shared" si="74"/>
        <v/>
      </c>
      <c r="AJ237" s="11"/>
    </row>
    <row r="238" spans="1:36" x14ac:dyDescent="0.25">
      <c r="A238">
        <f t="shared" si="63"/>
        <v>236</v>
      </c>
      <c r="D238" s="14">
        <v>45911</v>
      </c>
      <c r="E238" s="7"/>
      <c r="F238" s="7"/>
      <c r="G238" s="66"/>
      <c r="H238" s="59"/>
      <c r="I238" s="59"/>
      <c r="J238" s="47">
        <f t="shared" si="65"/>
        <v>0</v>
      </c>
      <c r="K238" s="8">
        <f t="shared" si="66"/>
        <v>0</v>
      </c>
      <c r="L238" s="96" t="str">
        <f t="shared" si="67"/>
        <v/>
      </c>
      <c r="M238" s="81"/>
      <c r="N238" s="8">
        <v>300</v>
      </c>
      <c r="O238" s="8">
        <v>60</v>
      </c>
      <c r="P238" s="96" t="str">
        <f t="shared" si="68"/>
        <v/>
      </c>
      <c r="Q238" s="59">
        <f t="shared" si="69"/>
        <v>0</v>
      </c>
      <c r="R238" s="59">
        <f t="shared" si="70"/>
        <v>0</v>
      </c>
      <c r="S238" s="65"/>
      <c r="T238" s="65"/>
      <c r="U238" s="65"/>
      <c r="V238" s="65"/>
      <c r="W238" s="65"/>
      <c r="X238" s="65"/>
      <c r="Y238" s="65"/>
      <c r="Z238" s="65"/>
      <c r="AA238" s="65"/>
      <c r="AB238" s="65"/>
      <c r="AC238" s="65"/>
      <c r="AD238" s="65"/>
      <c r="AE238" s="65">
        <f t="shared" si="71"/>
        <v>0</v>
      </c>
      <c r="AF238" s="65"/>
      <c r="AG238" s="248">
        <f t="shared" si="72"/>
        <v>0</v>
      </c>
      <c r="AH238" s="95" t="str">
        <f t="shared" si="73"/>
        <v/>
      </c>
      <c r="AI238" s="97" t="str">
        <f t="shared" si="74"/>
        <v/>
      </c>
      <c r="AJ238" s="11"/>
    </row>
    <row r="239" spans="1:36" x14ac:dyDescent="0.25">
      <c r="A239">
        <f t="shared" si="63"/>
        <v>237</v>
      </c>
      <c r="D239" s="14">
        <v>45912</v>
      </c>
      <c r="E239" s="7"/>
      <c r="F239" s="7"/>
      <c r="G239" s="66"/>
      <c r="H239" s="59"/>
      <c r="I239" s="59"/>
      <c r="J239" s="47">
        <f t="shared" si="65"/>
        <v>0</v>
      </c>
      <c r="K239" s="8">
        <f t="shared" si="66"/>
        <v>0</v>
      </c>
      <c r="L239" s="96" t="str">
        <f t="shared" si="67"/>
        <v/>
      </c>
      <c r="M239" s="81"/>
      <c r="N239" s="8">
        <v>300</v>
      </c>
      <c r="O239" s="8">
        <v>60</v>
      </c>
      <c r="P239" s="96" t="str">
        <f t="shared" si="68"/>
        <v/>
      </c>
      <c r="Q239" s="59">
        <f t="shared" si="69"/>
        <v>0</v>
      </c>
      <c r="R239" s="59">
        <f t="shared" si="70"/>
        <v>0</v>
      </c>
      <c r="S239" s="65"/>
      <c r="T239" s="65"/>
      <c r="U239" s="65"/>
      <c r="V239" s="65"/>
      <c r="W239" s="65"/>
      <c r="X239" s="65"/>
      <c r="Y239" s="65"/>
      <c r="Z239" s="65"/>
      <c r="AA239" s="65"/>
      <c r="AB239" s="65"/>
      <c r="AC239" s="65"/>
      <c r="AD239" s="65"/>
      <c r="AE239" s="65">
        <f t="shared" si="71"/>
        <v>0</v>
      </c>
      <c r="AF239" s="65"/>
      <c r="AG239" s="248">
        <f t="shared" si="72"/>
        <v>0</v>
      </c>
      <c r="AH239" s="95" t="str">
        <f t="shared" si="73"/>
        <v/>
      </c>
      <c r="AI239" s="97" t="str">
        <f t="shared" si="74"/>
        <v/>
      </c>
      <c r="AJ239" s="11"/>
    </row>
    <row r="240" spans="1:36" x14ac:dyDescent="0.25">
      <c r="A240">
        <f t="shared" si="63"/>
        <v>238</v>
      </c>
      <c r="D240" s="14">
        <v>45913</v>
      </c>
      <c r="E240" s="7"/>
      <c r="F240" s="7"/>
      <c r="G240" s="66"/>
      <c r="H240" s="59"/>
      <c r="I240" s="59"/>
      <c r="J240" s="47">
        <f t="shared" si="65"/>
        <v>0</v>
      </c>
      <c r="K240" s="8">
        <f t="shared" si="66"/>
        <v>0</v>
      </c>
      <c r="L240" s="96" t="str">
        <f t="shared" si="67"/>
        <v/>
      </c>
      <c r="M240" s="81"/>
      <c r="N240" s="8">
        <v>300</v>
      </c>
      <c r="O240" s="8">
        <v>60</v>
      </c>
      <c r="P240" s="96" t="str">
        <f t="shared" si="68"/>
        <v/>
      </c>
      <c r="Q240" s="59">
        <f t="shared" si="69"/>
        <v>0</v>
      </c>
      <c r="R240" s="59">
        <f t="shared" si="70"/>
        <v>0</v>
      </c>
      <c r="S240" s="65"/>
      <c r="T240" s="65"/>
      <c r="U240" s="65"/>
      <c r="V240" s="65"/>
      <c r="W240" s="65"/>
      <c r="X240" s="65"/>
      <c r="Y240" s="65"/>
      <c r="Z240" s="65"/>
      <c r="AA240" s="65"/>
      <c r="AB240" s="65"/>
      <c r="AC240" s="65"/>
      <c r="AD240" s="65"/>
      <c r="AE240" s="65">
        <f t="shared" si="71"/>
        <v>0</v>
      </c>
      <c r="AF240" s="65"/>
      <c r="AG240" s="248">
        <f t="shared" si="72"/>
        <v>0</v>
      </c>
      <c r="AH240" s="95" t="str">
        <f t="shared" si="73"/>
        <v/>
      </c>
      <c r="AI240" s="97" t="str">
        <f t="shared" si="74"/>
        <v/>
      </c>
      <c r="AJ240" s="11"/>
    </row>
    <row r="241" spans="1:36" x14ac:dyDescent="0.25">
      <c r="A241">
        <f t="shared" si="63"/>
        <v>239</v>
      </c>
      <c r="D241" s="14">
        <v>45914</v>
      </c>
      <c r="E241" s="7"/>
      <c r="F241" s="7"/>
      <c r="G241" s="66"/>
      <c r="H241" s="59"/>
      <c r="I241" s="59"/>
      <c r="J241" s="47">
        <f t="shared" si="65"/>
        <v>0</v>
      </c>
      <c r="K241" s="8">
        <f t="shared" si="66"/>
        <v>0</v>
      </c>
      <c r="L241" s="96" t="str">
        <f t="shared" si="67"/>
        <v/>
      </c>
      <c r="M241" s="81"/>
      <c r="N241" s="8">
        <v>300</v>
      </c>
      <c r="O241" s="8">
        <v>60</v>
      </c>
      <c r="P241" s="96" t="str">
        <f t="shared" si="68"/>
        <v/>
      </c>
      <c r="Q241" s="59">
        <f t="shared" si="69"/>
        <v>0</v>
      </c>
      <c r="R241" s="59">
        <f t="shared" si="70"/>
        <v>0</v>
      </c>
      <c r="S241" s="65"/>
      <c r="T241" s="65"/>
      <c r="U241" s="65"/>
      <c r="V241" s="65"/>
      <c r="W241" s="65"/>
      <c r="X241" s="65"/>
      <c r="Y241" s="65"/>
      <c r="Z241" s="65"/>
      <c r="AA241" s="65"/>
      <c r="AB241" s="65"/>
      <c r="AC241" s="65"/>
      <c r="AD241" s="65"/>
      <c r="AE241" s="65">
        <f t="shared" si="71"/>
        <v>0</v>
      </c>
      <c r="AF241" s="65"/>
      <c r="AG241" s="248">
        <f t="shared" si="72"/>
        <v>0</v>
      </c>
      <c r="AH241" s="95" t="str">
        <f t="shared" si="73"/>
        <v/>
      </c>
      <c r="AI241" s="97" t="str">
        <f t="shared" si="74"/>
        <v/>
      </c>
      <c r="AJ241" s="11"/>
    </row>
    <row r="242" spans="1:36" x14ac:dyDescent="0.25">
      <c r="A242">
        <f t="shared" si="63"/>
        <v>240</v>
      </c>
      <c r="D242" s="14">
        <v>45915</v>
      </c>
      <c r="E242" s="7"/>
      <c r="F242" s="7"/>
      <c r="G242" s="66"/>
      <c r="H242" s="59"/>
      <c r="I242" s="59"/>
      <c r="J242" s="47">
        <f t="shared" si="65"/>
        <v>0</v>
      </c>
      <c r="K242" s="8">
        <f t="shared" si="66"/>
        <v>0</v>
      </c>
      <c r="L242" s="96" t="str">
        <f t="shared" si="67"/>
        <v/>
      </c>
      <c r="M242" s="81"/>
      <c r="N242" s="8">
        <v>300</v>
      </c>
      <c r="O242" s="8">
        <v>60</v>
      </c>
      <c r="P242" s="96" t="str">
        <f t="shared" si="68"/>
        <v/>
      </c>
      <c r="Q242" s="59">
        <f t="shared" si="69"/>
        <v>0</v>
      </c>
      <c r="R242" s="59">
        <f t="shared" si="70"/>
        <v>0</v>
      </c>
      <c r="S242" s="65"/>
      <c r="T242" s="65"/>
      <c r="U242" s="65"/>
      <c r="V242" s="65"/>
      <c r="W242" s="65"/>
      <c r="X242" s="65"/>
      <c r="Y242" s="65"/>
      <c r="Z242" s="65"/>
      <c r="AA242" s="65"/>
      <c r="AB242" s="65"/>
      <c r="AC242" s="65"/>
      <c r="AD242" s="65"/>
      <c r="AE242" s="65">
        <f t="shared" si="71"/>
        <v>0</v>
      </c>
      <c r="AF242" s="65"/>
      <c r="AG242" s="248">
        <f t="shared" si="72"/>
        <v>0</v>
      </c>
      <c r="AH242" s="95" t="str">
        <f t="shared" si="73"/>
        <v/>
      </c>
      <c r="AI242" s="97" t="str">
        <f t="shared" si="74"/>
        <v/>
      </c>
      <c r="AJ242" s="11"/>
    </row>
    <row r="243" spans="1:36" x14ac:dyDescent="0.25">
      <c r="A243">
        <f t="shared" si="63"/>
        <v>241</v>
      </c>
      <c r="D243" s="14">
        <v>45916</v>
      </c>
      <c r="E243" s="7"/>
      <c r="F243" s="7"/>
      <c r="G243" s="66"/>
      <c r="H243" s="59"/>
      <c r="I243" s="59"/>
      <c r="J243" s="47">
        <f t="shared" si="65"/>
        <v>0</v>
      </c>
      <c r="K243" s="8">
        <f t="shared" si="66"/>
        <v>0</v>
      </c>
      <c r="L243" s="96" t="str">
        <f t="shared" si="67"/>
        <v/>
      </c>
      <c r="M243" s="81"/>
      <c r="N243" s="8">
        <v>300</v>
      </c>
      <c r="O243" s="8">
        <v>60</v>
      </c>
      <c r="P243" s="96" t="str">
        <f t="shared" si="68"/>
        <v/>
      </c>
      <c r="Q243" s="59">
        <f t="shared" si="69"/>
        <v>0</v>
      </c>
      <c r="R243" s="59">
        <f t="shared" si="70"/>
        <v>0</v>
      </c>
      <c r="S243" s="65"/>
      <c r="T243" s="65"/>
      <c r="U243" s="65"/>
      <c r="V243" s="65"/>
      <c r="W243" s="65"/>
      <c r="X243" s="65"/>
      <c r="Y243" s="65"/>
      <c r="Z243" s="65"/>
      <c r="AA243" s="65"/>
      <c r="AB243" s="65"/>
      <c r="AC243" s="65"/>
      <c r="AD243" s="65"/>
      <c r="AE243" s="65">
        <f t="shared" si="71"/>
        <v>0</v>
      </c>
      <c r="AF243" s="65"/>
      <c r="AG243" s="248">
        <f t="shared" si="72"/>
        <v>0</v>
      </c>
      <c r="AH243" s="95" t="str">
        <f t="shared" si="73"/>
        <v/>
      </c>
      <c r="AI243" s="97" t="str">
        <f t="shared" si="74"/>
        <v/>
      </c>
      <c r="AJ243" s="11"/>
    </row>
    <row r="244" spans="1:36" x14ac:dyDescent="0.25">
      <c r="A244">
        <f t="shared" si="63"/>
        <v>242</v>
      </c>
      <c r="D244" s="14">
        <v>45917</v>
      </c>
      <c r="E244" s="7"/>
      <c r="F244" s="7"/>
      <c r="G244" s="66"/>
      <c r="H244" s="59"/>
      <c r="I244" s="59"/>
      <c r="J244" s="47">
        <f t="shared" si="65"/>
        <v>0</v>
      </c>
      <c r="K244" s="8">
        <f t="shared" si="66"/>
        <v>0</v>
      </c>
      <c r="L244" s="96" t="str">
        <f t="shared" si="67"/>
        <v/>
      </c>
      <c r="M244" s="81"/>
      <c r="N244" s="8">
        <v>300</v>
      </c>
      <c r="O244" s="8">
        <v>60</v>
      </c>
      <c r="P244" s="96" t="str">
        <f t="shared" si="68"/>
        <v/>
      </c>
      <c r="Q244" s="59">
        <f t="shared" si="69"/>
        <v>0</v>
      </c>
      <c r="R244" s="59">
        <f t="shared" si="70"/>
        <v>0</v>
      </c>
      <c r="S244" s="65"/>
      <c r="T244" s="65"/>
      <c r="U244" s="65"/>
      <c r="V244" s="65"/>
      <c r="W244" s="65"/>
      <c r="X244" s="65"/>
      <c r="Y244" s="65"/>
      <c r="Z244" s="65"/>
      <c r="AA244" s="65"/>
      <c r="AB244" s="65"/>
      <c r="AC244" s="65"/>
      <c r="AD244" s="65"/>
      <c r="AE244" s="65">
        <f t="shared" si="71"/>
        <v>0</v>
      </c>
      <c r="AF244" s="65"/>
      <c r="AG244" s="248">
        <f t="shared" si="72"/>
        <v>0</v>
      </c>
      <c r="AH244" s="95" t="str">
        <f t="shared" si="73"/>
        <v/>
      </c>
      <c r="AI244" s="97" t="str">
        <f t="shared" si="74"/>
        <v/>
      </c>
      <c r="AJ244" s="11"/>
    </row>
    <row r="245" spans="1:36" x14ac:dyDescent="0.25">
      <c r="A245">
        <f t="shared" si="63"/>
        <v>243</v>
      </c>
      <c r="D245" s="14">
        <v>45918</v>
      </c>
      <c r="E245" s="7"/>
      <c r="F245" s="7"/>
      <c r="G245" s="66"/>
      <c r="H245" s="59"/>
      <c r="I245" s="59"/>
      <c r="J245" s="47">
        <f t="shared" si="65"/>
        <v>0</v>
      </c>
      <c r="K245" s="8">
        <f t="shared" si="66"/>
        <v>0</v>
      </c>
      <c r="L245" s="96" t="str">
        <f t="shared" si="67"/>
        <v/>
      </c>
      <c r="M245" s="81"/>
      <c r="N245" s="8">
        <v>300</v>
      </c>
      <c r="O245" s="8">
        <v>60</v>
      </c>
      <c r="P245" s="96" t="str">
        <f t="shared" si="68"/>
        <v/>
      </c>
      <c r="Q245" s="59">
        <f t="shared" si="69"/>
        <v>0</v>
      </c>
      <c r="R245" s="59">
        <f t="shared" si="70"/>
        <v>0</v>
      </c>
      <c r="S245" s="65"/>
      <c r="T245" s="65"/>
      <c r="U245" s="65"/>
      <c r="V245" s="65"/>
      <c r="W245" s="65"/>
      <c r="X245" s="65"/>
      <c r="Y245" s="65"/>
      <c r="Z245" s="65"/>
      <c r="AA245" s="65"/>
      <c r="AB245" s="65"/>
      <c r="AC245" s="65"/>
      <c r="AD245" s="65"/>
      <c r="AE245" s="65">
        <f t="shared" si="71"/>
        <v>0</v>
      </c>
      <c r="AF245" s="65"/>
      <c r="AG245" s="248">
        <f t="shared" si="72"/>
        <v>0</v>
      </c>
      <c r="AH245" s="95" t="str">
        <f t="shared" si="73"/>
        <v/>
      </c>
      <c r="AI245" s="97" t="str">
        <f t="shared" si="74"/>
        <v/>
      </c>
      <c r="AJ245" s="11"/>
    </row>
    <row r="246" spans="1:36" x14ac:dyDescent="0.25">
      <c r="A246">
        <f t="shared" si="63"/>
        <v>244</v>
      </c>
      <c r="D246" s="14">
        <v>45919</v>
      </c>
      <c r="E246" s="7"/>
      <c r="F246" s="7"/>
      <c r="G246" s="66"/>
      <c r="H246" s="59"/>
      <c r="I246" s="59"/>
      <c r="J246" s="47">
        <f t="shared" si="65"/>
        <v>0</v>
      </c>
      <c r="K246" s="8">
        <f t="shared" si="66"/>
        <v>0</v>
      </c>
      <c r="L246" s="96" t="str">
        <f t="shared" si="67"/>
        <v/>
      </c>
      <c r="M246" s="81"/>
      <c r="N246" s="8">
        <v>300</v>
      </c>
      <c r="O246" s="8">
        <v>60</v>
      </c>
      <c r="P246" s="96" t="str">
        <f t="shared" si="68"/>
        <v/>
      </c>
      <c r="Q246" s="59">
        <f t="shared" si="69"/>
        <v>0</v>
      </c>
      <c r="R246" s="59">
        <f t="shared" si="70"/>
        <v>0</v>
      </c>
      <c r="S246" s="65"/>
      <c r="T246" s="65"/>
      <c r="U246" s="65"/>
      <c r="V246" s="65"/>
      <c r="W246" s="65"/>
      <c r="X246" s="65"/>
      <c r="Y246" s="65"/>
      <c r="Z246" s="65"/>
      <c r="AA246" s="65"/>
      <c r="AB246" s="65"/>
      <c r="AC246" s="65"/>
      <c r="AD246" s="65"/>
      <c r="AE246" s="65">
        <f t="shared" si="71"/>
        <v>0</v>
      </c>
      <c r="AF246" s="65"/>
      <c r="AG246" s="248">
        <f t="shared" si="72"/>
        <v>0</v>
      </c>
      <c r="AH246" s="95" t="str">
        <f t="shared" si="73"/>
        <v/>
      </c>
      <c r="AI246" s="97" t="str">
        <f t="shared" si="74"/>
        <v/>
      </c>
      <c r="AJ246" s="11"/>
    </row>
    <row r="247" spans="1:36" x14ac:dyDescent="0.25">
      <c r="A247">
        <f t="shared" si="63"/>
        <v>245</v>
      </c>
      <c r="D247" s="14">
        <v>45920</v>
      </c>
      <c r="E247" s="7"/>
      <c r="F247" s="7"/>
      <c r="G247" s="66"/>
      <c r="H247" s="59"/>
      <c r="I247" s="59"/>
      <c r="J247" s="47">
        <f t="shared" si="65"/>
        <v>0</v>
      </c>
      <c r="K247" s="8">
        <f t="shared" si="66"/>
        <v>0</v>
      </c>
      <c r="L247" s="96" t="str">
        <f t="shared" si="67"/>
        <v/>
      </c>
      <c r="M247" s="81"/>
      <c r="N247" s="8">
        <v>300</v>
      </c>
      <c r="O247" s="8">
        <v>60</v>
      </c>
      <c r="P247" s="96" t="str">
        <f t="shared" si="68"/>
        <v/>
      </c>
      <c r="Q247" s="59">
        <f t="shared" si="69"/>
        <v>0</v>
      </c>
      <c r="R247" s="59">
        <f t="shared" si="70"/>
        <v>0</v>
      </c>
      <c r="S247" s="65"/>
      <c r="T247" s="65"/>
      <c r="U247" s="65"/>
      <c r="V247" s="65"/>
      <c r="W247" s="65"/>
      <c r="X247" s="65"/>
      <c r="Y247" s="65"/>
      <c r="Z247" s="65"/>
      <c r="AA247" s="65"/>
      <c r="AB247" s="65"/>
      <c r="AC247" s="65"/>
      <c r="AD247" s="65"/>
      <c r="AE247" s="65">
        <f t="shared" si="71"/>
        <v>0</v>
      </c>
      <c r="AF247" s="65"/>
      <c r="AG247" s="248">
        <f t="shared" si="72"/>
        <v>0</v>
      </c>
      <c r="AH247" s="95" t="str">
        <f t="shared" si="73"/>
        <v/>
      </c>
      <c r="AI247" s="97" t="str">
        <f t="shared" si="74"/>
        <v/>
      </c>
      <c r="AJ247" s="11"/>
    </row>
    <row r="248" spans="1:36" x14ac:dyDescent="0.25">
      <c r="A248">
        <f t="shared" si="63"/>
        <v>246</v>
      </c>
      <c r="D248" s="14">
        <v>45921</v>
      </c>
      <c r="E248" s="7"/>
      <c r="F248" s="7"/>
      <c r="G248" s="66"/>
      <c r="H248" s="59"/>
      <c r="I248" s="59"/>
      <c r="J248" s="47">
        <f t="shared" si="65"/>
        <v>0</v>
      </c>
      <c r="K248" s="8">
        <f t="shared" si="66"/>
        <v>0</v>
      </c>
      <c r="L248" s="96" t="str">
        <f t="shared" si="67"/>
        <v/>
      </c>
      <c r="M248" s="81"/>
      <c r="N248" s="8">
        <v>300</v>
      </c>
      <c r="O248" s="8">
        <v>60</v>
      </c>
      <c r="P248" s="96" t="str">
        <f t="shared" si="68"/>
        <v/>
      </c>
      <c r="Q248" s="59">
        <f t="shared" si="69"/>
        <v>0</v>
      </c>
      <c r="R248" s="59">
        <f t="shared" si="70"/>
        <v>0</v>
      </c>
      <c r="S248" s="65"/>
      <c r="T248" s="65"/>
      <c r="U248" s="65"/>
      <c r="V248" s="65"/>
      <c r="W248" s="65"/>
      <c r="X248" s="65"/>
      <c r="Y248" s="65"/>
      <c r="Z248" s="65"/>
      <c r="AA248" s="65"/>
      <c r="AB248" s="65"/>
      <c r="AC248" s="65"/>
      <c r="AD248" s="65"/>
      <c r="AE248" s="65">
        <f t="shared" si="71"/>
        <v>0</v>
      </c>
      <c r="AF248" s="65"/>
      <c r="AG248" s="248">
        <f t="shared" si="72"/>
        <v>0</v>
      </c>
      <c r="AH248" s="95" t="str">
        <f t="shared" si="73"/>
        <v/>
      </c>
      <c r="AI248" s="97" t="str">
        <f t="shared" si="74"/>
        <v/>
      </c>
      <c r="AJ248" s="11"/>
    </row>
    <row r="249" spans="1:36" x14ac:dyDescent="0.25">
      <c r="A249">
        <f t="shared" si="63"/>
        <v>247</v>
      </c>
      <c r="D249" s="14">
        <v>45922</v>
      </c>
      <c r="E249" s="7"/>
      <c r="F249" s="7"/>
      <c r="G249" s="66"/>
      <c r="H249" s="59"/>
      <c r="I249" s="59"/>
      <c r="J249" s="47">
        <f t="shared" si="65"/>
        <v>0</v>
      </c>
      <c r="K249" s="8">
        <f t="shared" si="66"/>
        <v>0</v>
      </c>
      <c r="L249" s="96" t="str">
        <f t="shared" si="67"/>
        <v/>
      </c>
      <c r="M249" s="81"/>
      <c r="N249" s="8">
        <v>300</v>
      </c>
      <c r="O249" s="8">
        <v>60</v>
      </c>
      <c r="P249" s="96" t="str">
        <f t="shared" si="68"/>
        <v/>
      </c>
      <c r="Q249" s="59">
        <f t="shared" si="69"/>
        <v>0</v>
      </c>
      <c r="R249" s="59">
        <f t="shared" si="70"/>
        <v>0</v>
      </c>
      <c r="S249" s="65"/>
      <c r="T249" s="65"/>
      <c r="U249" s="65"/>
      <c r="V249" s="65"/>
      <c r="W249" s="65"/>
      <c r="X249" s="65"/>
      <c r="Y249" s="65"/>
      <c r="Z249" s="65"/>
      <c r="AA249" s="65"/>
      <c r="AB249" s="65"/>
      <c r="AC249" s="65"/>
      <c r="AD249" s="65"/>
      <c r="AE249" s="65">
        <f t="shared" si="71"/>
        <v>0</v>
      </c>
      <c r="AF249" s="65"/>
      <c r="AG249" s="248">
        <f t="shared" si="72"/>
        <v>0</v>
      </c>
      <c r="AH249" s="95" t="str">
        <f t="shared" si="73"/>
        <v/>
      </c>
      <c r="AI249" s="97" t="str">
        <f t="shared" si="74"/>
        <v/>
      </c>
      <c r="AJ249" s="11"/>
    </row>
    <row r="250" spans="1:36" x14ac:dyDescent="0.25">
      <c r="A250">
        <f t="shared" si="63"/>
        <v>248</v>
      </c>
      <c r="D250" s="14">
        <v>45923</v>
      </c>
      <c r="E250" s="7"/>
      <c r="F250" s="7"/>
      <c r="G250" s="66"/>
      <c r="H250" s="59"/>
      <c r="I250" s="59"/>
      <c r="J250" s="47">
        <f t="shared" si="65"/>
        <v>0</v>
      </c>
      <c r="K250" s="8">
        <f t="shared" si="66"/>
        <v>0</v>
      </c>
      <c r="L250" s="96" t="str">
        <f t="shared" si="67"/>
        <v/>
      </c>
      <c r="M250" s="81"/>
      <c r="N250" s="8">
        <v>300</v>
      </c>
      <c r="O250" s="8">
        <v>60</v>
      </c>
      <c r="P250" s="96" t="str">
        <f t="shared" si="68"/>
        <v/>
      </c>
      <c r="Q250" s="59">
        <f t="shared" si="69"/>
        <v>0</v>
      </c>
      <c r="R250" s="59">
        <f t="shared" si="70"/>
        <v>0</v>
      </c>
      <c r="S250" s="65"/>
      <c r="T250" s="65"/>
      <c r="U250" s="65"/>
      <c r="V250" s="65"/>
      <c r="W250" s="65"/>
      <c r="X250" s="65"/>
      <c r="Y250" s="65"/>
      <c r="Z250" s="65"/>
      <c r="AA250" s="65"/>
      <c r="AB250" s="65"/>
      <c r="AC250" s="65"/>
      <c r="AD250" s="65"/>
      <c r="AE250" s="65">
        <f t="shared" si="71"/>
        <v>0</v>
      </c>
      <c r="AF250" s="65"/>
      <c r="AG250" s="248">
        <f t="shared" si="72"/>
        <v>0</v>
      </c>
      <c r="AH250" s="95" t="str">
        <f t="shared" si="73"/>
        <v/>
      </c>
      <c r="AI250" s="97" t="str">
        <f t="shared" si="74"/>
        <v/>
      </c>
      <c r="AJ250" s="11"/>
    </row>
    <row r="251" spans="1:36" x14ac:dyDescent="0.25">
      <c r="A251">
        <f t="shared" si="63"/>
        <v>249</v>
      </c>
      <c r="D251" s="14">
        <v>45924</v>
      </c>
      <c r="E251" s="7"/>
      <c r="F251" s="7"/>
      <c r="G251" s="66"/>
      <c r="H251" s="59"/>
      <c r="I251" s="59"/>
      <c r="J251" s="47">
        <f t="shared" si="65"/>
        <v>0</v>
      </c>
      <c r="K251" s="8">
        <f t="shared" si="66"/>
        <v>0</v>
      </c>
      <c r="L251" s="96" t="str">
        <f t="shared" si="67"/>
        <v/>
      </c>
      <c r="M251" s="81"/>
      <c r="N251" s="8">
        <v>300</v>
      </c>
      <c r="O251" s="8">
        <v>60</v>
      </c>
      <c r="P251" s="96" t="str">
        <f t="shared" si="68"/>
        <v/>
      </c>
      <c r="Q251" s="59">
        <f t="shared" si="69"/>
        <v>0</v>
      </c>
      <c r="R251" s="59">
        <f t="shared" si="70"/>
        <v>0</v>
      </c>
      <c r="S251" s="65"/>
      <c r="T251" s="65"/>
      <c r="U251" s="65"/>
      <c r="V251" s="65"/>
      <c r="W251" s="65"/>
      <c r="X251" s="65"/>
      <c r="Y251" s="65"/>
      <c r="Z251" s="65"/>
      <c r="AA251" s="65"/>
      <c r="AB251" s="65"/>
      <c r="AC251" s="65"/>
      <c r="AD251" s="65"/>
      <c r="AE251" s="65">
        <f t="shared" si="71"/>
        <v>0</v>
      </c>
      <c r="AF251" s="65"/>
      <c r="AG251" s="248">
        <f t="shared" si="72"/>
        <v>0</v>
      </c>
      <c r="AH251" s="95" t="str">
        <f t="shared" si="73"/>
        <v/>
      </c>
      <c r="AI251" s="97" t="str">
        <f t="shared" si="74"/>
        <v/>
      </c>
      <c r="AJ251" s="11"/>
    </row>
    <row r="252" spans="1:36" x14ac:dyDescent="0.25">
      <c r="A252">
        <f t="shared" si="63"/>
        <v>250</v>
      </c>
      <c r="D252" s="14">
        <v>45925</v>
      </c>
      <c r="E252" s="7"/>
      <c r="F252" s="7"/>
      <c r="G252" s="66"/>
      <c r="H252" s="59"/>
      <c r="I252" s="59"/>
      <c r="J252" s="47">
        <f t="shared" si="65"/>
        <v>0</v>
      </c>
      <c r="K252" s="8">
        <f t="shared" si="66"/>
        <v>0</v>
      </c>
      <c r="L252" s="96" t="str">
        <f t="shared" si="67"/>
        <v/>
      </c>
      <c r="M252" s="81"/>
      <c r="N252" s="8">
        <v>300</v>
      </c>
      <c r="O252" s="8">
        <v>60</v>
      </c>
      <c r="P252" s="96" t="str">
        <f t="shared" si="68"/>
        <v/>
      </c>
      <c r="Q252" s="59">
        <f t="shared" si="69"/>
        <v>0</v>
      </c>
      <c r="R252" s="59">
        <f t="shared" si="70"/>
        <v>0</v>
      </c>
      <c r="S252" s="65"/>
      <c r="T252" s="65"/>
      <c r="U252" s="65"/>
      <c r="V252" s="65"/>
      <c r="W252" s="65"/>
      <c r="X252" s="65"/>
      <c r="Y252" s="65"/>
      <c r="Z252" s="65"/>
      <c r="AA252" s="65"/>
      <c r="AB252" s="65"/>
      <c r="AC252" s="65"/>
      <c r="AD252" s="65"/>
      <c r="AE252" s="65">
        <f t="shared" si="71"/>
        <v>0</v>
      </c>
      <c r="AF252" s="65"/>
      <c r="AG252" s="248">
        <f t="shared" si="72"/>
        <v>0</v>
      </c>
      <c r="AH252" s="95" t="str">
        <f t="shared" si="73"/>
        <v/>
      </c>
      <c r="AI252" s="97" t="str">
        <f t="shared" si="74"/>
        <v/>
      </c>
      <c r="AJ252" s="11"/>
    </row>
    <row r="253" spans="1:36" x14ac:dyDescent="0.25">
      <c r="A253">
        <f t="shared" si="63"/>
        <v>251</v>
      </c>
      <c r="D253" s="14">
        <v>45926</v>
      </c>
      <c r="E253" s="7"/>
      <c r="F253" s="7"/>
      <c r="G253" s="66"/>
      <c r="H253" s="59"/>
      <c r="I253" s="59"/>
      <c r="J253" s="47">
        <f t="shared" si="65"/>
        <v>0</v>
      </c>
      <c r="K253" s="8">
        <f t="shared" si="66"/>
        <v>0</v>
      </c>
      <c r="L253" s="96" t="str">
        <f t="shared" si="67"/>
        <v/>
      </c>
      <c r="M253" s="81"/>
      <c r="N253" s="8">
        <v>300</v>
      </c>
      <c r="O253" s="8">
        <v>60</v>
      </c>
      <c r="P253" s="96" t="str">
        <f t="shared" si="68"/>
        <v/>
      </c>
      <c r="Q253" s="59">
        <f t="shared" si="69"/>
        <v>0</v>
      </c>
      <c r="R253" s="59">
        <f t="shared" si="70"/>
        <v>0</v>
      </c>
      <c r="S253" s="65"/>
      <c r="T253" s="65"/>
      <c r="U253" s="65"/>
      <c r="V253" s="65"/>
      <c r="W253" s="65"/>
      <c r="X253" s="65"/>
      <c r="Y253" s="65"/>
      <c r="Z253" s="65"/>
      <c r="AA253" s="65"/>
      <c r="AB253" s="65"/>
      <c r="AC253" s="65"/>
      <c r="AD253" s="65"/>
      <c r="AE253" s="65">
        <f t="shared" si="71"/>
        <v>0</v>
      </c>
      <c r="AF253" s="65"/>
      <c r="AG253" s="248">
        <f t="shared" si="72"/>
        <v>0</v>
      </c>
      <c r="AH253" s="95" t="str">
        <f t="shared" si="73"/>
        <v/>
      </c>
      <c r="AI253" s="97" t="str">
        <f t="shared" si="74"/>
        <v/>
      </c>
      <c r="AJ253" s="11"/>
    </row>
    <row r="254" spans="1:36" x14ac:dyDescent="0.25">
      <c r="A254">
        <f t="shared" si="63"/>
        <v>252</v>
      </c>
      <c r="D254" s="14">
        <v>45927</v>
      </c>
      <c r="E254" s="7"/>
      <c r="F254" s="7"/>
      <c r="G254" s="66"/>
      <c r="H254" s="59"/>
      <c r="I254" s="59"/>
      <c r="J254" s="47">
        <f t="shared" si="65"/>
        <v>0</v>
      </c>
      <c r="K254" s="8">
        <f t="shared" si="66"/>
        <v>0</v>
      </c>
      <c r="L254" s="96" t="str">
        <f t="shared" si="67"/>
        <v/>
      </c>
      <c r="M254" s="81"/>
      <c r="N254" s="8">
        <v>300</v>
      </c>
      <c r="O254" s="8">
        <v>60</v>
      </c>
      <c r="P254" s="96" t="str">
        <f t="shared" si="68"/>
        <v/>
      </c>
      <c r="Q254" s="59">
        <f t="shared" si="69"/>
        <v>0</v>
      </c>
      <c r="R254" s="59">
        <f t="shared" si="70"/>
        <v>0</v>
      </c>
      <c r="S254" s="65"/>
      <c r="T254" s="65"/>
      <c r="U254" s="65"/>
      <c r="V254" s="65"/>
      <c r="W254" s="65"/>
      <c r="X254" s="65"/>
      <c r="Y254" s="65"/>
      <c r="Z254" s="65"/>
      <c r="AA254" s="65"/>
      <c r="AB254" s="65"/>
      <c r="AC254" s="65"/>
      <c r="AD254" s="65"/>
      <c r="AE254" s="65">
        <f t="shared" si="71"/>
        <v>0</v>
      </c>
      <c r="AF254" s="65"/>
      <c r="AG254" s="248">
        <f t="shared" si="72"/>
        <v>0</v>
      </c>
      <c r="AH254" s="95" t="str">
        <f t="shared" si="73"/>
        <v/>
      </c>
      <c r="AI254" s="97" t="str">
        <f t="shared" si="74"/>
        <v/>
      </c>
      <c r="AJ254" s="11"/>
    </row>
    <row r="255" spans="1:36" x14ac:dyDescent="0.25">
      <c r="A255">
        <f t="shared" si="63"/>
        <v>253</v>
      </c>
      <c r="D255" s="14">
        <v>45928</v>
      </c>
      <c r="E255" s="7"/>
      <c r="F255" s="7"/>
      <c r="G255" s="66"/>
      <c r="H255" s="59"/>
      <c r="I255" s="59"/>
      <c r="J255" s="47">
        <f t="shared" si="65"/>
        <v>0</v>
      </c>
      <c r="K255" s="8">
        <f t="shared" si="66"/>
        <v>0</v>
      </c>
      <c r="L255" s="96" t="str">
        <f t="shared" si="67"/>
        <v/>
      </c>
      <c r="M255" s="81"/>
      <c r="N255" s="8">
        <v>300</v>
      </c>
      <c r="O255" s="8">
        <v>60</v>
      </c>
      <c r="P255" s="96" t="str">
        <f t="shared" si="68"/>
        <v/>
      </c>
      <c r="Q255" s="59">
        <f t="shared" si="69"/>
        <v>0</v>
      </c>
      <c r="R255" s="59">
        <f t="shared" si="70"/>
        <v>0</v>
      </c>
      <c r="S255" s="65"/>
      <c r="T255" s="65"/>
      <c r="U255" s="65"/>
      <c r="V255" s="65"/>
      <c r="W255" s="65"/>
      <c r="X255" s="65"/>
      <c r="Y255" s="65"/>
      <c r="Z255" s="65"/>
      <c r="AA255" s="65"/>
      <c r="AB255" s="65"/>
      <c r="AC255" s="65"/>
      <c r="AD255" s="65"/>
      <c r="AE255" s="65">
        <f t="shared" si="71"/>
        <v>0</v>
      </c>
      <c r="AF255" s="65"/>
      <c r="AG255" s="248">
        <f t="shared" si="72"/>
        <v>0</v>
      </c>
      <c r="AH255" s="95" t="str">
        <f t="shared" si="73"/>
        <v/>
      </c>
      <c r="AI255" s="97" t="str">
        <f t="shared" si="74"/>
        <v/>
      </c>
      <c r="AJ255" s="11"/>
    </row>
    <row r="256" spans="1:36" x14ac:dyDescent="0.25">
      <c r="A256">
        <f t="shared" si="63"/>
        <v>254</v>
      </c>
      <c r="D256" s="14">
        <v>45929</v>
      </c>
      <c r="E256" s="7"/>
      <c r="F256" s="7"/>
      <c r="G256" s="66"/>
      <c r="H256" s="59"/>
      <c r="I256" s="59"/>
      <c r="J256" s="47">
        <f t="shared" si="65"/>
        <v>0</v>
      </c>
      <c r="K256" s="8">
        <f t="shared" si="66"/>
        <v>0</v>
      </c>
      <c r="L256" s="96" t="str">
        <f t="shared" si="67"/>
        <v/>
      </c>
      <c r="M256" s="81"/>
      <c r="N256" s="8">
        <v>300</v>
      </c>
      <c r="O256" s="8">
        <v>60</v>
      </c>
      <c r="P256" s="96" t="str">
        <f t="shared" si="68"/>
        <v/>
      </c>
      <c r="Q256" s="59">
        <f t="shared" si="69"/>
        <v>0</v>
      </c>
      <c r="R256" s="59">
        <f t="shared" si="70"/>
        <v>0</v>
      </c>
      <c r="S256" s="65"/>
      <c r="T256" s="65"/>
      <c r="U256" s="65"/>
      <c r="V256" s="65"/>
      <c r="W256" s="65"/>
      <c r="X256" s="65"/>
      <c r="Y256" s="65"/>
      <c r="Z256" s="65"/>
      <c r="AA256" s="65"/>
      <c r="AB256" s="65"/>
      <c r="AC256" s="65"/>
      <c r="AD256" s="65"/>
      <c r="AE256" s="65">
        <f t="shared" si="71"/>
        <v>0</v>
      </c>
      <c r="AF256" s="65"/>
      <c r="AG256" s="248">
        <f t="shared" si="72"/>
        <v>0</v>
      </c>
      <c r="AH256" s="95" t="str">
        <f t="shared" si="73"/>
        <v/>
      </c>
      <c r="AI256" s="97" t="str">
        <f t="shared" si="74"/>
        <v/>
      </c>
      <c r="AJ256" s="11"/>
    </row>
    <row r="257" spans="1:36" x14ac:dyDescent="0.25">
      <c r="A257">
        <f t="shared" si="63"/>
        <v>255</v>
      </c>
      <c r="D257" s="14">
        <v>45930</v>
      </c>
      <c r="E257" s="7"/>
      <c r="F257" s="7"/>
      <c r="G257" s="66"/>
      <c r="H257" s="59"/>
      <c r="I257" s="59"/>
      <c r="J257" s="47">
        <f t="shared" si="65"/>
        <v>0</v>
      </c>
      <c r="K257" s="8">
        <f t="shared" si="66"/>
        <v>0</v>
      </c>
      <c r="L257" s="96" t="str">
        <f t="shared" si="67"/>
        <v/>
      </c>
      <c r="M257" s="81"/>
      <c r="N257" s="8">
        <v>300</v>
      </c>
      <c r="O257" s="8">
        <v>60</v>
      </c>
      <c r="P257" s="96" t="str">
        <f t="shared" si="68"/>
        <v/>
      </c>
      <c r="Q257" s="59">
        <f t="shared" si="69"/>
        <v>0</v>
      </c>
      <c r="R257" s="59">
        <f t="shared" si="70"/>
        <v>0</v>
      </c>
      <c r="S257" s="65"/>
      <c r="T257" s="65"/>
      <c r="U257" s="65"/>
      <c r="V257" s="65"/>
      <c r="W257" s="65"/>
      <c r="X257" s="65"/>
      <c r="Y257" s="65"/>
      <c r="Z257" s="65"/>
      <c r="AA257" s="65"/>
      <c r="AB257" s="65"/>
      <c r="AC257" s="65"/>
      <c r="AD257" s="65"/>
      <c r="AE257" s="65">
        <f t="shared" si="71"/>
        <v>0</v>
      </c>
      <c r="AF257" s="65"/>
      <c r="AG257" s="248">
        <f t="shared" si="72"/>
        <v>0</v>
      </c>
      <c r="AH257" s="95" t="str">
        <f t="shared" si="73"/>
        <v/>
      </c>
      <c r="AI257" s="97" t="str">
        <f t="shared" si="74"/>
        <v/>
      </c>
      <c r="AJ257" s="11"/>
    </row>
    <row r="258" spans="1:36" x14ac:dyDescent="0.25">
      <c r="A258">
        <f t="shared" si="63"/>
        <v>256</v>
      </c>
      <c r="D258" s="14">
        <v>45931</v>
      </c>
      <c r="E258" s="7"/>
      <c r="F258" s="7"/>
      <c r="G258" s="66"/>
      <c r="H258" s="59"/>
      <c r="I258" s="59"/>
      <c r="J258" s="47">
        <f t="shared" si="65"/>
        <v>0</v>
      </c>
      <c r="K258" s="8">
        <f t="shared" si="66"/>
        <v>0</v>
      </c>
      <c r="L258" s="96" t="str">
        <f t="shared" si="67"/>
        <v/>
      </c>
      <c r="M258" s="81"/>
      <c r="N258" s="8">
        <v>300</v>
      </c>
      <c r="O258" s="8">
        <v>60</v>
      </c>
      <c r="P258" s="96" t="str">
        <f t="shared" si="68"/>
        <v/>
      </c>
      <c r="Q258" s="59">
        <f t="shared" si="69"/>
        <v>0</v>
      </c>
      <c r="R258" s="59">
        <f t="shared" si="70"/>
        <v>0</v>
      </c>
      <c r="S258" s="65"/>
      <c r="T258" s="65"/>
      <c r="U258" s="65"/>
      <c r="V258" s="65"/>
      <c r="W258" s="65"/>
      <c r="X258" s="65"/>
      <c r="Y258" s="65"/>
      <c r="Z258" s="65"/>
      <c r="AA258" s="65"/>
      <c r="AB258" s="65"/>
      <c r="AC258" s="65"/>
      <c r="AD258" s="65"/>
      <c r="AE258" s="65">
        <f t="shared" si="71"/>
        <v>0</v>
      </c>
      <c r="AF258" s="65"/>
      <c r="AG258" s="248">
        <f t="shared" si="72"/>
        <v>0</v>
      </c>
      <c r="AH258" s="95" t="str">
        <f t="shared" si="73"/>
        <v/>
      </c>
      <c r="AI258" s="97" t="str">
        <f t="shared" si="74"/>
        <v/>
      </c>
      <c r="AJ258" s="11"/>
    </row>
    <row r="259" spans="1:36" x14ac:dyDescent="0.25">
      <c r="A259">
        <f t="shared" si="63"/>
        <v>257</v>
      </c>
      <c r="D259" s="14">
        <v>45932</v>
      </c>
      <c r="E259" s="7"/>
      <c r="F259" s="7"/>
      <c r="G259" s="66"/>
      <c r="H259" s="59"/>
      <c r="I259" s="59"/>
      <c r="J259" s="47">
        <f t="shared" si="65"/>
        <v>0</v>
      </c>
      <c r="K259" s="8">
        <f t="shared" si="66"/>
        <v>0</v>
      </c>
      <c r="L259" s="96" t="str">
        <f t="shared" si="67"/>
        <v/>
      </c>
      <c r="M259" s="81"/>
      <c r="N259" s="8">
        <v>300</v>
      </c>
      <c r="O259" s="8">
        <v>60</v>
      </c>
      <c r="P259" s="96" t="str">
        <f t="shared" si="68"/>
        <v/>
      </c>
      <c r="Q259" s="59">
        <f t="shared" si="69"/>
        <v>0</v>
      </c>
      <c r="R259" s="59">
        <f t="shared" si="70"/>
        <v>0</v>
      </c>
      <c r="S259" s="65"/>
      <c r="T259" s="65"/>
      <c r="U259" s="65"/>
      <c r="V259" s="65"/>
      <c r="W259" s="65"/>
      <c r="X259" s="65"/>
      <c r="Y259" s="65"/>
      <c r="Z259" s="65"/>
      <c r="AA259" s="65"/>
      <c r="AB259" s="65"/>
      <c r="AC259" s="65"/>
      <c r="AD259" s="65"/>
      <c r="AE259" s="65">
        <f t="shared" si="71"/>
        <v>0</v>
      </c>
      <c r="AF259" s="65"/>
      <c r="AG259" s="248">
        <f t="shared" si="72"/>
        <v>0</v>
      </c>
      <c r="AH259" s="95" t="str">
        <f t="shared" si="73"/>
        <v/>
      </c>
      <c r="AI259" s="97" t="str">
        <f t="shared" si="74"/>
        <v/>
      </c>
      <c r="AJ259" s="11"/>
    </row>
    <row r="260" spans="1:36" x14ac:dyDescent="0.25">
      <c r="A260">
        <f t="shared" si="63"/>
        <v>258</v>
      </c>
      <c r="D260" s="14">
        <v>45933</v>
      </c>
      <c r="E260" s="7"/>
      <c r="F260" s="7"/>
      <c r="G260" s="66"/>
      <c r="H260" s="59"/>
      <c r="I260" s="59"/>
      <c r="J260" s="47">
        <f t="shared" si="65"/>
        <v>0</v>
      </c>
      <c r="K260" s="8">
        <f t="shared" si="66"/>
        <v>0</v>
      </c>
      <c r="L260" s="96" t="str">
        <f t="shared" si="67"/>
        <v/>
      </c>
      <c r="M260" s="81"/>
      <c r="N260" s="8">
        <v>300</v>
      </c>
      <c r="O260" s="8">
        <v>60</v>
      </c>
      <c r="P260" s="96" t="str">
        <f t="shared" si="68"/>
        <v/>
      </c>
      <c r="Q260" s="59">
        <f t="shared" si="69"/>
        <v>0</v>
      </c>
      <c r="R260" s="59">
        <f t="shared" si="70"/>
        <v>0</v>
      </c>
      <c r="S260" s="65"/>
      <c r="T260" s="65"/>
      <c r="U260" s="65"/>
      <c r="V260" s="65"/>
      <c r="W260" s="65"/>
      <c r="X260" s="65"/>
      <c r="Y260" s="65"/>
      <c r="Z260" s="65"/>
      <c r="AA260" s="65"/>
      <c r="AB260" s="65"/>
      <c r="AC260" s="65"/>
      <c r="AD260" s="65"/>
      <c r="AE260" s="65">
        <f t="shared" si="71"/>
        <v>0</v>
      </c>
      <c r="AF260" s="65"/>
      <c r="AG260" s="248">
        <f t="shared" si="72"/>
        <v>0</v>
      </c>
      <c r="AH260" s="95" t="str">
        <f t="shared" si="73"/>
        <v/>
      </c>
      <c r="AI260" s="97" t="str">
        <f t="shared" si="74"/>
        <v/>
      </c>
      <c r="AJ260" s="11"/>
    </row>
    <row r="261" spans="1:36" x14ac:dyDescent="0.25">
      <c r="A261">
        <f t="shared" ref="A261:A324" si="75">A260+1</f>
        <v>259</v>
      </c>
      <c r="D261" s="14">
        <v>45934</v>
      </c>
      <c r="E261" s="7"/>
      <c r="F261" s="7"/>
      <c r="G261" s="66"/>
      <c r="H261" s="59"/>
      <c r="I261" s="59"/>
      <c r="J261" s="47">
        <f t="shared" si="65"/>
        <v>0</v>
      </c>
      <c r="K261" s="8">
        <f t="shared" si="66"/>
        <v>0</v>
      </c>
      <c r="L261" s="96" t="str">
        <f t="shared" si="67"/>
        <v/>
      </c>
      <c r="M261" s="81"/>
      <c r="N261" s="8">
        <v>300</v>
      </c>
      <c r="O261" s="8">
        <v>60</v>
      </c>
      <c r="P261" s="96" t="str">
        <f t="shared" si="68"/>
        <v/>
      </c>
      <c r="Q261" s="59">
        <f t="shared" si="69"/>
        <v>0</v>
      </c>
      <c r="R261" s="59">
        <f t="shared" si="70"/>
        <v>0</v>
      </c>
      <c r="S261" s="65"/>
      <c r="T261" s="65"/>
      <c r="U261" s="65"/>
      <c r="V261" s="65"/>
      <c r="W261" s="65"/>
      <c r="X261" s="65"/>
      <c r="Y261" s="65"/>
      <c r="Z261" s="65"/>
      <c r="AA261" s="65"/>
      <c r="AB261" s="65"/>
      <c r="AC261" s="65"/>
      <c r="AD261" s="65"/>
      <c r="AE261" s="65">
        <f t="shared" si="71"/>
        <v>0</v>
      </c>
      <c r="AF261" s="65"/>
      <c r="AG261" s="248">
        <f t="shared" si="72"/>
        <v>0</v>
      </c>
      <c r="AH261" s="95" t="str">
        <f t="shared" si="73"/>
        <v/>
      </c>
      <c r="AI261" s="97" t="str">
        <f t="shared" si="74"/>
        <v/>
      </c>
      <c r="AJ261" s="11"/>
    </row>
    <row r="262" spans="1:36" x14ac:dyDescent="0.25">
      <c r="A262">
        <f t="shared" si="75"/>
        <v>260</v>
      </c>
      <c r="D262" s="14">
        <v>45935</v>
      </c>
      <c r="E262" s="7"/>
      <c r="F262" s="7"/>
      <c r="G262" s="66"/>
      <c r="H262" s="59"/>
      <c r="I262" s="59"/>
      <c r="J262" s="47">
        <f t="shared" si="65"/>
        <v>0</v>
      </c>
      <c r="K262" s="8">
        <f t="shared" si="66"/>
        <v>0</v>
      </c>
      <c r="L262" s="96" t="str">
        <f t="shared" si="67"/>
        <v/>
      </c>
      <c r="M262" s="81"/>
      <c r="N262" s="8">
        <v>300</v>
      </c>
      <c r="O262" s="8">
        <v>60</v>
      </c>
      <c r="P262" s="96" t="str">
        <f t="shared" si="68"/>
        <v/>
      </c>
      <c r="Q262" s="59">
        <f t="shared" si="69"/>
        <v>0</v>
      </c>
      <c r="R262" s="59">
        <f t="shared" si="70"/>
        <v>0</v>
      </c>
      <c r="S262" s="65"/>
      <c r="T262" s="65"/>
      <c r="U262" s="65"/>
      <c r="V262" s="65"/>
      <c r="W262" s="65"/>
      <c r="X262" s="65"/>
      <c r="Y262" s="65"/>
      <c r="Z262" s="65"/>
      <c r="AA262" s="65"/>
      <c r="AB262" s="65"/>
      <c r="AC262" s="65"/>
      <c r="AD262" s="65"/>
      <c r="AE262" s="65">
        <f t="shared" si="71"/>
        <v>0</v>
      </c>
      <c r="AF262" s="65"/>
      <c r="AG262" s="248">
        <f t="shared" si="72"/>
        <v>0</v>
      </c>
      <c r="AH262" s="95" t="str">
        <f t="shared" si="73"/>
        <v/>
      </c>
      <c r="AI262" s="97" t="str">
        <f t="shared" si="74"/>
        <v/>
      </c>
      <c r="AJ262" s="11"/>
    </row>
    <row r="263" spans="1:36" x14ac:dyDescent="0.25">
      <c r="A263">
        <f t="shared" si="75"/>
        <v>261</v>
      </c>
      <c r="D263" s="14">
        <v>45936</v>
      </c>
      <c r="E263" s="7"/>
      <c r="F263" s="7"/>
      <c r="G263" s="66"/>
      <c r="H263" s="59"/>
      <c r="I263" s="59"/>
      <c r="J263" s="47">
        <f t="shared" si="65"/>
        <v>0</v>
      </c>
      <c r="K263" s="8">
        <f t="shared" si="66"/>
        <v>0</v>
      </c>
      <c r="L263" s="96" t="str">
        <f t="shared" si="67"/>
        <v/>
      </c>
      <c r="M263" s="81"/>
      <c r="N263" s="8">
        <v>300</v>
      </c>
      <c r="O263" s="8">
        <v>60</v>
      </c>
      <c r="P263" s="96" t="str">
        <f t="shared" si="68"/>
        <v/>
      </c>
      <c r="Q263" s="59">
        <f t="shared" si="69"/>
        <v>0</v>
      </c>
      <c r="R263" s="59">
        <f t="shared" si="70"/>
        <v>0</v>
      </c>
      <c r="S263" s="65"/>
      <c r="T263" s="65"/>
      <c r="U263" s="65"/>
      <c r="V263" s="65"/>
      <c r="W263" s="65"/>
      <c r="X263" s="65"/>
      <c r="Y263" s="65"/>
      <c r="Z263" s="65"/>
      <c r="AA263" s="65"/>
      <c r="AB263" s="65"/>
      <c r="AC263" s="65"/>
      <c r="AD263" s="65"/>
      <c r="AE263" s="65">
        <f t="shared" si="71"/>
        <v>0</v>
      </c>
      <c r="AF263" s="65"/>
      <c r="AG263" s="248">
        <f t="shared" si="72"/>
        <v>0</v>
      </c>
      <c r="AH263" s="95" t="str">
        <f t="shared" si="73"/>
        <v/>
      </c>
      <c r="AI263" s="97" t="str">
        <f t="shared" si="74"/>
        <v/>
      </c>
      <c r="AJ263" s="11"/>
    </row>
    <row r="264" spans="1:36" x14ac:dyDescent="0.25">
      <c r="A264">
        <f t="shared" si="75"/>
        <v>262</v>
      </c>
      <c r="D264" s="14">
        <v>45937</v>
      </c>
      <c r="E264" s="7"/>
      <c r="F264" s="7"/>
      <c r="G264" s="66"/>
      <c r="H264" s="59"/>
      <c r="I264" s="59"/>
      <c r="J264" s="47">
        <f t="shared" si="65"/>
        <v>0</v>
      </c>
      <c r="K264" s="8">
        <f t="shared" si="66"/>
        <v>0</v>
      </c>
      <c r="L264" s="96" t="str">
        <f t="shared" si="67"/>
        <v/>
      </c>
      <c r="M264" s="81"/>
      <c r="N264" s="8">
        <v>300</v>
      </c>
      <c r="O264" s="8">
        <v>60</v>
      </c>
      <c r="P264" s="96" t="str">
        <f t="shared" si="68"/>
        <v/>
      </c>
      <c r="Q264" s="59">
        <f t="shared" si="69"/>
        <v>0</v>
      </c>
      <c r="R264" s="59">
        <f t="shared" si="70"/>
        <v>0</v>
      </c>
      <c r="S264" s="65"/>
      <c r="T264" s="65"/>
      <c r="U264" s="65"/>
      <c r="V264" s="65"/>
      <c r="W264" s="65"/>
      <c r="X264" s="65"/>
      <c r="Y264" s="65"/>
      <c r="Z264" s="65"/>
      <c r="AA264" s="65"/>
      <c r="AB264" s="65"/>
      <c r="AC264" s="65"/>
      <c r="AD264" s="65"/>
      <c r="AE264" s="65">
        <f t="shared" si="71"/>
        <v>0</v>
      </c>
      <c r="AF264" s="65"/>
      <c r="AG264" s="248">
        <f t="shared" si="72"/>
        <v>0</v>
      </c>
      <c r="AH264" s="95" t="str">
        <f t="shared" si="73"/>
        <v/>
      </c>
      <c r="AI264" s="97" t="str">
        <f t="shared" si="74"/>
        <v/>
      </c>
      <c r="AJ264" s="11"/>
    </row>
    <row r="265" spans="1:36" x14ac:dyDescent="0.25">
      <c r="A265">
        <f t="shared" si="75"/>
        <v>263</v>
      </c>
      <c r="D265" s="14">
        <v>45938</v>
      </c>
      <c r="E265" s="7"/>
      <c r="F265" s="7"/>
      <c r="G265" s="66"/>
      <c r="H265" s="59"/>
      <c r="I265" s="59"/>
      <c r="J265" s="47">
        <f t="shared" si="65"/>
        <v>0</v>
      </c>
      <c r="K265" s="8">
        <f t="shared" si="66"/>
        <v>0</v>
      </c>
      <c r="L265" s="96" t="str">
        <f t="shared" si="67"/>
        <v/>
      </c>
      <c r="M265" s="81"/>
      <c r="N265" s="8">
        <v>300</v>
      </c>
      <c r="O265" s="8">
        <v>60</v>
      </c>
      <c r="P265" s="96" t="str">
        <f t="shared" si="68"/>
        <v/>
      </c>
      <c r="Q265" s="59">
        <f t="shared" si="69"/>
        <v>0</v>
      </c>
      <c r="R265" s="59">
        <f t="shared" si="70"/>
        <v>0</v>
      </c>
      <c r="S265" s="65"/>
      <c r="T265" s="65"/>
      <c r="U265" s="65"/>
      <c r="V265" s="65"/>
      <c r="W265" s="65"/>
      <c r="X265" s="65"/>
      <c r="Y265" s="65"/>
      <c r="Z265" s="65"/>
      <c r="AA265" s="65"/>
      <c r="AB265" s="65"/>
      <c r="AC265" s="65"/>
      <c r="AD265" s="65"/>
      <c r="AE265" s="65">
        <f t="shared" si="71"/>
        <v>0</v>
      </c>
      <c r="AF265" s="65"/>
      <c r="AG265" s="248">
        <f t="shared" si="72"/>
        <v>0</v>
      </c>
      <c r="AH265" s="95" t="str">
        <f t="shared" si="73"/>
        <v/>
      </c>
      <c r="AI265" s="97" t="str">
        <f t="shared" si="74"/>
        <v/>
      </c>
      <c r="AJ265" s="11"/>
    </row>
    <row r="266" spans="1:36" x14ac:dyDescent="0.25">
      <c r="A266">
        <f t="shared" si="75"/>
        <v>264</v>
      </c>
      <c r="D266" s="14">
        <v>45939</v>
      </c>
      <c r="E266" s="7"/>
      <c r="F266" s="7"/>
      <c r="G266" s="66"/>
      <c r="H266" s="59"/>
      <c r="I266" s="59"/>
      <c r="J266" s="47">
        <f t="shared" si="65"/>
        <v>0</v>
      </c>
      <c r="K266" s="8">
        <f t="shared" si="66"/>
        <v>0</v>
      </c>
      <c r="L266" s="96" t="str">
        <f t="shared" si="67"/>
        <v/>
      </c>
      <c r="M266" s="81"/>
      <c r="N266" s="8">
        <v>300</v>
      </c>
      <c r="O266" s="8">
        <v>60</v>
      </c>
      <c r="P266" s="96" t="str">
        <f t="shared" si="68"/>
        <v/>
      </c>
      <c r="Q266" s="59">
        <f t="shared" si="69"/>
        <v>0</v>
      </c>
      <c r="R266" s="59">
        <f t="shared" si="70"/>
        <v>0</v>
      </c>
      <c r="S266" s="65"/>
      <c r="T266" s="65"/>
      <c r="U266" s="65"/>
      <c r="V266" s="65"/>
      <c r="W266" s="65"/>
      <c r="X266" s="65"/>
      <c r="Y266" s="65"/>
      <c r="Z266" s="65"/>
      <c r="AA266" s="65"/>
      <c r="AB266" s="65"/>
      <c r="AC266" s="65"/>
      <c r="AD266" s="65"/>
      <c r="AE266" s="65">
        <f t="shared" si="71"/>
        <v>0</v>
      </c>
      <c r="AF266" s="65"/>
      <c r="AG266" s="248">
        <f t="shared" si="72"/>
        <v>0</v>
      </c>
      <c r="AH266" s="95" t="str">
        <f t="shared" si="73"/>
        <v/>
      </c>
      <c r="AI266" s="97" t="str">
        <f t="shared" si="74"/>
        <v/>
      </c>
      <c r="AJ266" s="11"/>
    </row>
    <row r="267" spans="1:36" x14ac:dyDescent="0.25">
      <c r="A267">
        <f t="shared" si="75"/>
        <v>265</v>
      </c>
      <c r="D267" s="14">
        <v>45940</v>
      </c>
      <c r="E267" s="7"/>
      <c r="F267" s="7"/>
      <c r="G267" s="66"/>
      <c r="H267" s="59"/>
      <c r="I267" s="59"/>
      <c r="J267" s="47">
        <f t="shared" si="65"/>
        <v>0</v>
      </c>
      <c r="K267" s="8">
        <f t="shared" si="66"/>
        <v>0</v>
      </c>
      <c r="L267" s="96" t="str">
        <f t="shared" si="67"/>
        <v/>
      </c>
      <c r="M267" s="81"/>
      <c r="N267" s="8">
        <v>300</v>
      </c>
      <c r="O267" s="8">
        <v>60</v>
      </c>
      <c r="P267" s="96" t="str">
        <f t="shared" si="68"/>
        <v/>
      </c>
      <c r="Q267" s="59">
        <f t="shared" si="69"/>
        <v>0</v>
      </c>
      <c r="R267" s="59">
        <f t="shared" si="70"/>
        <v>0</v>
      </c>
      <c r="S267" s="65"/>
      <c r="T267" s="65"/>
      <c r="U267" s="65"/>
      <c r="V267" s="65"/>
      <c r="W267" s="65"/>
      <c r="X267" s="65"/>
      <c r="Y267" s="65"/>
      <c r="Z267" s="65"/>
      <c r="AA267" s="65"/>
      <c r="AB267" s="65"/>
      <c r="AC267" s="65"/>
      <c r="AD267" s="65"/>
      <c r="AE267" s="65">
        <f t="shared" si="71"/>
        <v>0</v>
      </c>
      <c r="AF267" s="65"/>
      <c r="AG267" s="248">
        <f t="shared" si="72"/>
        <v>0</v>
      </c>
      <c r="AH267" s="95" t="str">
        <f t="shared" si="73"/>
        <v/>
      </c>
      <c r="AI267" s="97" t="str">
        <f t="shared" si="74"/>
        <v/>
      </c>
      <c r="AJ267" s="11"/>
    </row>
    <row r="268" spans="1:36" x14ac:dyDescent="0.25">
      <c r="A268">
        <f t="shared" si="75"/>
        <v>266</v>
      </c>
      <c r="D268" s="14">
        <v>45941</v>
      </c>
      <c r="E268" s="7"/>
      <c r="F268" s="7"/>
      <c r="G268" s="66"/>
      <c r="H268" s="59"/>
      <c r="I268" s="59"/>
      <c r="J268" s="47">
        <f t="shared" si="65"/>
        <v>0</v>
      </c>
      <c r="K268" s="8">
        <f t="shared" si="66"/>
        <v>0</v>
      </c>
      <c r="L268" s="96" t="str">
        <f t="shared" si="67"/>
        <v/>
      </c>
      <c r="M268" s="81"/>
      <c r="N268" s="8">
        <v>300</v>
      </c>
      <c r="O268" s="8">
        <v>60</v>
      </c>
      <c r="P268" s="96" t="str">
        <f t="shared" si="68"/>
        <v/>
      </c>
      <c r="Q268" s="59">
        <f t="shared" si="69"/>
        <v>0</v>
      </c>
      <c r="R268" s="59">
        <f t="shared" si="70"/>
        <v>0</v>
      </c>
      <c r="S268" s="65"/>
      <c r="T268" s="65"/>
      <c r="U268" s="65"/>
      <c r="V268" s="65"/>
      <c r="W268" s="65"/>
      <c r="X268" s="65"/>
      <c r="Y268" s="65"/>
      <c r="Z268" s="65"/>
      <c r="AA268" s="65"/>
      <c r="AB268" s="65"/>
      <c r="AC268" s="65"/>
      <c r="AD268" s="65"/>
      <c r="AE268" s="65">
        <f t="shared" si="71"/>
        <v>0</v>
      </c>
      <c r="AF268" s="65"/>
      <c r="AG268" s="248">
        <f t="shared" si="72"/>
        <v>0</v>
      </c>
      <c r="AH268" s="95" t="str">
        <f t="shared" si="73"/>
        <v/>
      </c>
      <c r="AI268" s="97" t="str">
        <f t="shared" si="74"/>
        <v/>
      </c>
      <c r="AJ268" s="11"/>
    </row>
    <row r="269" spans="1:36" x14ac:dyDescent="0.25">
      <c r="A269">
        <f t="shared" si="75"/>
        <v>267</v>
      </c>
      <c r="D269" s="14">
        <v>45942</v>
      </c>
      <c r="E269" s="7"/>
      <c r="F269" s="7"/>
      <c r="G269" s="66"/>
      <c r="H269" s="59"/>
      <c r="I269" s="59"/>
      <c r="J269" s="47">
        <f t="shared" si="65"/>
        <v>0</v>
      </c>
      <c r="K269" s="8">
        <f t="shared" si="66"/>
        <v>0</v>
      </c>
      <c r="L269" s="96" t="str">
        <f t="shared" si="67"/>
        <v/>
      </c>
      <c r="M269" s="81"/>
      <c r="N269" s="8">
        <v>300</v>
      </c>
      <c r="O269" s="8">
        <v>60</v>
      </c>
      <c r="P269" s="96" t="str">
        <f t="shared" si="68"/>
        <v/>
      </c>
      <c r="Q269" s="59">
        <f t="shared" si="69"/>
        <v>0</v>
      </c>
      <c r="R269" s="59">
        <f t="shared" si="70"/>
        <v>0</v>
      </c>
      <c r="S269" s="65"/>
      <c r="T269" s="65"/>
      <c r="U269" s="65"/>
      <c r="V269" s="65"/>
      <c r="W269" s="65"/>
      <c r="X269" s="65"/>
      <c r="Y269" s="65"/>
      <c r="Z269" s="65"/>
      <c r="AA269" s="65"/>
      <c r="AB269" s="65"/>
      <c r="AC269" s="65"/>
      <c r="AD269" s="65"/>
      <c r="AE269" s="65">
        <f t="shared" si="71"/>
        <v>0</v>
      </c>
      <c r="AF269" s="65"/>
      <c r="AG269" s="248">
        <f t="shared" si="72"/>
        <v>0</v>
      </c>
      <c r="AH269" s="95" t="str">
        <f t="shared" si="73"/>
        <v/>
      </c>
      <c r="AI269" s="97" t="str">
        <f t="shared" si="74"/>
        <v/>
      </c>
      <c r="AJ269" s="11"/>
    </row>
    <row r="270" spans="1:36" x14ac:dyDescent="0.25">
      <c r="A270">
        <f t="shared" si="75"/>
        <v>268</v>
      </c>
      <c r="D270" s="14">
        <v>45943</v>
      </c>
      <c r="E270" s="7"/>
      <c r="F270" s="7"/>
      <c r="G270" s="66"/>
      <c r="H270" s="59"/>
      <c r="I270" s="59"/>
      <c r="J270" s="47">
        <f t="shared" ref="J270:J333" si="76">I270+H270</f>
        <v>0</v>
      </c>
      <c r="K270" s="8">
        <f t="shared" ref="K270:K333" si="77">IFERROR(J270-E270-F270-G270,"")</f>
        <v>0</v>
      </c>
      <c r="L270" s="96" t="str">
        <f t="shared" ref="L270:L333" si="78">IFERROR(K270/J270,"")</f>
        <v/>
      </c>
      <c r="M270" s="81"/>
      <c r="N270" s="8">
        <v>300</v>
      </c>
      <c r="O270" s="8">
        <v>60</v>
      </c>
      <c r="P270" s="96" t="str">
        <f t="shared" ref="P270:P333" si="79">IFERROR((M270/N270*O270)/K270,"")</f>
        <v/>
      </c>
      <c r="Q270" s="59">
        <f t="shared" ref="Q270:Q333" si="80">M270</f>
        <v>0</v>
      </c>
      <c r="R270" s="59">
        <f t="shared" ref="R270:R333" si="81">Q270+AE270</f>
        <v>0</v>
      </c>
      <c r="S270" s="65"/>
      <c r="T270" s="65"/>
      <c r="U270" s="65"/>
      <c r="V270" s="65"/>
      <c r="W270" s="65"/>
      <c r="X270" s="65"/>
      <c r="Y270" s="65"/>
      <c r="Z270" s="65"/>
      <c r="AA270" s="65"/>
      <c r="AB270" s="65"/>
      <c r="AC270" s="65"/>
      <c r="AD270" s="65"/>
      <c r="AE270" s="65">
        <f t="shared" ref="AE270:AE333" si="82">SUM(S270:AD270)</f>
        <v>0</v>
      </c>
      <c r="AF270" s="65"/>
      <c r="AG270" s="248">
        <f t="shared" ref="AG270:AG333" si="83">AE270</f>
        <v>0</v>
      </c>
      <c r="AH270" s="95" t="str">
        <f t="shared" ref="AH270:AH333" si="84">IFERROR(Q270/R270,"")</f>
        <v/>
      </c>
      <c r="AI270" s="97" t="str">
        <f t="shared" ref="AI270:AI333" si="85">IFERROR(AH270*P270*L270,"")</f>
        <v/>
      </c>
      <c r="AJ270" s="11"/>
    </row>
    <row r="271" spans="1:36" x14ac:dyDescent="0.25">
      <c r="A271">
        <f t="shared" si="75"/>
        <v>269</v>
      </c>
      <c r="D271" s="14">
        <v>45944</v>
      </c>
      <c r="E271" s="7"/>
      <c r="F271" s="7"/>
      <c r="G271" s="66"/>
      <c r="H271" s="59"/>
      <c r="I271" s="59"/>
      <c r="J271" s="47">
        <f t="shared" si="76"/>
        <v>0</v>
      </c>
      <c r="K271" s="8">
        <f t="shared" si="77"/>
        <v>0</v>
      </c>
      <c r="L271" s="96" t="str">
        <f t="shared" si="78"/>
        <v/>
      </c>
      <c r="M271" s="81"/>
      <c r="N271" s="8">
        <v>300</v>
      </c>
      <c r="O271" s="8">
        <v>60</v>
      </c>
      <c r="P271" s="96" t="str">
        <f t="shared" si="79"/>
        <v/>
      </c>
      <c r="Q271" s="59">
        <f t="shared" si="80"/>
        <v>0</v>
      </c>
      <c r="R271" s="59">
        <f t="shared" si="81"/>
        <v>0</v>
      </c>
      <c r="S271" s="65"/>
      <c r="T271" s="65"/>
      <c r="U271" s="65"/>
      <c r="V271" s="65"/>
      <c r="W271" s="65"/>
      <c r="X271" s="65"/>
      <c r="Y271" s="65"/>
      <c r="Z271" s="65"/>
      <c r="AA271" s="65"/>
      <c r="AB271" s="65"/>
      <c r="AC271" s="65"/>
      <c r="AD271" s="65"/>
      <c r="AE271" s="65">
        <f t="shared" si="82"/>
        <v>0</v>
      </c>
      <c r="AF271" s="65"/>
      <c r="AG271" s="248">
        <f t="shared" si="83"/>
        <v>0</v>
      </c>
      <c r="AH271" s="95" t="str">
        <f t="shared" si="84"/>
        <v/>
      </c>
      <c r="AI271" s="97" t="str">
        <f t="shared" si="85"/>
        <v/>
      </c>
      <c r="AJ271" s="11"/>
    </row>
    <row r="272" spans="1:36" x14ac:dyDescent="0.25">
      <c r="A272">
        <f t="shared" si="75"/>
        <v>270</v>
      </c>
      <c r="D272" s="14">
        <v>45945</v>
      </c>
      <c r="E272" s="7"/>
      <c r="F272" s="7"/>
      <c r="G272" s="66"/>
      <c r="H272" s="59"/>
      <c r="I272" s="59"/>
      <c r="J272" s="47">
        <f t="shared" si="76"/>
        <v>0</v>
      </c>
      <c r="K272" s="8">
        <f t="shared" si="77"/>
        <v>0</v>
      </c>
      <c r="L272" s="96" t="str">
        <f t="shared" si="78"/>
        <v/>
      </c>
      <c r="M272" s="81"/>
      <c r="N272" s="8">
        <v>300</v>
      </c>
      <c r="O272" s="8">
        <v>60</v>
      </c>
      <c r="P272" s="96" t="str">
        <f t="shared" si="79"/>
        <v/>
      </c>
      <c r="Q272" s="59">
        <f t="shared" si="80"/>
        <v>0</v>
      </c>
      <c r="R272" s="59">
        <f t="shared" si="81"/>
        <v>0</v>
      </c>
      <c r="S272" s="65"/>
      <c r="T272" s="65"/>
      <c r="U272" s="65"/>
      <c r="V272" s="65"/>
      <c r="W272" s="65"/>
      <c r="X272" s="65"/>
      <c r="Y272" s="65"/>
      <c r="Z272" s="65"/>
      <c r="AA272" s="65"/>
      <c r="AB272" s="65"/>
      <c r="AC272" s="65"/>
      <c r="AD272" s="65"/>
      <c r="AE272" s="65">
        <f t="shared" si="82"/>
        <v>0</v>
      </c>
      <c r="AF272" s="65"/>
      <c r="AG272" s="248">
        <f t="shared" si="83"/>
        <v>0</v>
      </c>
      <c r="AH272" s="95" t="str">
        <f t="shared" si="84"/>
        <v/>
      </c>
      <c r="AI272" s="97" t="str">
        <f t="shared" si="85"/>
        <v/>
      </c>
      <c r="AJ272" s="11"/>
    </row>
    <row r="273" spans="1:36" x14ac:dyDescent="0.25">
      <c r="A273">
        <f t="shared" si="75"/>
        <v>271</v>
      </c>
      <c r="D273" s="14">
        <v>45946</v>
      </c>
      <c r="E273" s="7"/>
      <c r="F273" s="7"/>
      <c r="G273" s="66"/>
      <c r="H273" s="59"/>
      <c r="I273" s="59"/>
      <c r="J273" s="47">
        <f t="shared" si="76"/>
        <v>0</v>
      </c>
      <c r="K273" s="8">
        <f t="shared" si="77"/>
        <v>0</v>
      </c>
      <c r="L273" s="96" t="str">
        <f t="shared" si="78"/>
        <v/>
      </c>
      <c r="M273" s="81"/>
      <c r="N273" s="8">
        <v>300</v>
      </c>
      <c r="O273" s="8">
        <v>60</v>
      </c>
      <c r="P273" s="96" t="str">
        <f t="shared" si="79"/>
        <v/>
      </c>
      <c r="Q273" s="59">
        <f t="shared" si="80"/>
        <v>0</v>
      </c>
      <c r="R273" s="59">
        <f t="shared" si="81"/>
        <v>0</v>
      </c>
      <c r="S273" s="65"/>
      <c r="T273" s="65"/>
      <c r="U273" s="65"/>
      <c r="V273" s="65"/>
      <c r="W273" s="65"/>
      <c r="X273" s="65"/>
      <c r="Y273" s="65"/>
      <c r="Z273" s="65"/>
      <c r="AA273" s="65"/>
      <c r="AB273" s="65"/>
      <c r="AC273" s="65"/>
      <c r="AD273" s="65"/>
      <c r="AE273" s="65">
        <f t="shared" si="82"/>
        <v>0</v>
      </c>
      <c r="AF273" s="65"/>
      <c r="AG273" s="248">
        <f t="shared" si="83"/>
        <v>0</v>
      </c>
      <c r="AH273" s="95" t="str">
        <f t="shared" si="84"/>
        <v/>
      </c>
      <c r="AI273" s="97" t="str">
        <f t="shared" si="85"/>
        <v/>
      </c>
      <c r="AJ273" s="11"/>
    </row>
    <row r="274" spans="1:36" x14ac:dyDescent="0.25">
      <c r="A274">
        <f t="shared" si="75"/>
        <v>272</v>
      </c>
      <c r="D274" s="14">
        <v>45947</v>
      </c>
      <c r="E274" s="7"/>
      <c r="F274" s="7"/>
      <c r="G274" s="66"/>
      <c r="H274" s="59"/>
      <c r="I274" s="59"/>
      <c r="J274" s="47">
        <f t="shared" si="76"/>
        <v>0</v>
      </c>
      <c r="K274" s="8">
        <f t="shared" si="77"/>
        <v>0</v>
      </c>
      <c r="L274" s="96" t="str">
        <f t="shared" si="78"/>
        <v/>
      </c>
      <c r="M274" s="81"/>
      <c r="N274" s="8">
        <v>300</v>
      </c>
      <c r="O274" s="8">
        <v>60</v>
      </c>
      <c r="P274" s="96" t="str">
        <f t="shared" si="79"/>
        <v/>
      </c>
      <c r="Q274" s="59">
        <f t="shared" si="80"/>
        <v>0</v>
      </c>
      <c r="R274" s="59">
        <f t="shared" si="81"/>
        <v>0</v>
      </c>
      <c r="S274" s="65"/>
      <c r="T274" s="65"/>
      <c r="U274" s="65"/>
      <c r="V274" s="65"/>
      <c r="W274" s="65"/>
      <c r="X274" s="65"/>
      <c r="Y274" s="65"/>
      <c r="Z274" s="65"/>
      <c r="AA274" s="65"/>
      <c r="AB274" s="65"/>
      <c r="AC274" s="65"/>
      <c r="AD274" s="65"/>
      <c r="AE274" s="65">
        <f t="shared" si="82"/>
        <v>0</v>
      </c>
      <c r="AF274" s="65"/>
      <c r="AG274" s="248">
        <f t="shared" si="83"/>
        <v>0</v>
      </c>
      <c r="AH274" s="95" t="str">
        <f t="shared" si="84"/>
        <v/>
      </c>
      <c r="AI274" s="97" t="str">
        <f t="shared" si="85"/>
        <v/>
      </c>
      <c r="AJ274" s="11"/>
    </row>
    <row r="275" spans="1:36" x14ac:dyDescent="0.25">
      <c r="A275">
        <f t="shared" si="75"/>
        <v>273</v>
      </c>
      <c r="D275" s="14">
        <v>45948</v>
      </c>
      <c r="E275" s="7"/>
      <c r="F275" s="7"/>
      <c r="G275" s="66"/>
      <c r="H275" s="59"/>
      <c r="I275" s="59"/>
      <c r="J275" s="47">
        <f t="shared" si="76"/>
        <v>0</v>
      </c>
      <c r="K275" s="8">
        <f t="shared" si="77"/>
        <v>0</v>
      </c>
      <c r="L275" s="96" t="str">
        <f t="shared" si="78"/>
        <v/>
      </c>
      <c r="M275" s="81"/>
      <c r="N275" s="8">
        <v>300</v>
      </c>
      <c r="O275" s="8">
        <v>60</v>
      </c>
      <c r="P275" s="96" t="str">
        <f t="shared" si="79"/>
        <v/>
      </c>
      <c r="Q275" s="59">
        <f t="shared" si="80"/>
        <v>0</v>
      </c>
      <c r="R275" s="59">
        <f t="shared" si="81"/>
        <v>0</v>
      </c>
      <c r="S275" s="65"/>
      <c r="T275" s="65"/>
      <c r="U275" s="65"/>
      <c r="V275" s="65"/>
      <c r="W275" s="65"/>
      <c r="X275" s="65"/>
      <c r="Y275" s="65"/>
      <c r="Z275" s="65"/>
      <c r="AA275" s="65"/>
      <c r="AB275" s="65"/>
      <c r="AC275" s="65"/>
      <c r="AD275" s="65"/>
      <c r="AE275" s="65">
        <f t="shared" si="82"/>
        <v>0</v>
      </c>
      <c r="AF275" s="65"/>
      <c r="AG275" s="248">
        <f t="shared" si="83"/>
        <v>0</v>
      </c>
      <c r="AH275" s="95" t="str">
        <f t="shared" si="84"/>
        <v/>
      </c>
      <c r="AI275" s="97" t="str">
        <f t="shared" si="85"/>
        <v/>
      </c>
      <c r="AJ275" s="11"/>
    </row>
    <row r="276" spans="1:36" x14ac:dyDescent="0.25">
      <c r="A276">
        <f t="shared" si="75"/>
        <v>274</v>
      </c>
      <c r="D276" s="14">
        <v>45949</v>
      </c>
      <c r="E276" s="7"/>
      <c r="F276" s="7"/>
      <c r="G276" s="66"/>
      <c r="H276" s="59"/>
      <c r="I276" s="59"/>
      <c r="J276" s="47">
        <f t="shared" si="76"/>
        <v>0</v>
      </c>
      <c r="K276" s="8">
        <f t="shared" si="77"/>
        <v>0</v>
      </c>
      <c r="L276" s="96" t="str">
        <f t="shared" si="78"/>
        <v/>
      </c>
      <c r="M276" s="81"/>
      <c r="N276" s="8">
        <v>300</v>
      </c>
      <c r="O276" s="8">
        <v>60</v>
      </c>
      <c r="P276" s="96" t="str">
        <f t="shared" si="79"/>
        <v/>
      </c>
      <c r="Q276" s="59">
        <f t="shared" si="80"/>
        <v>0</v>
      </c>
      <c r="R276" s="59">
        <f t="shared" si="81"/>
        <v>0</v>
      </c>
      <c r="S276" s="65"/>
      <c r="T276" s="65"/>
      <c r="U276" s="65"/>
      <c r="V276" s="65"/>
      <c r="W276" s="65"/>
      <c r="X276" s="65"/>
      <c r="Y276" s="65"/>
      <c r="Z276" s="65"/>
      <c r="AA276" s="65"/>
      <c r="AB276" s="65"/>
      <c r="AC276" s="65"/>
      <c r="AD276" s="65"/>
      <c r="AE276" s="65">
        <f t="shared" si="82"/>
        <v>0</v>
      </c>
      <c r="AF276" s="65"/>
      <c r="AG276" s="248">
        <f t="shared" si="83"/>
        <v>0</v>
      </c>
      <c r="AH276" s="95" t="str">
        <f t="shared" si="84"/>
        <v/>
      </c>
      <c r="AI276" s="97" t="str">
        <f t="shared" si="85"/>
        <v/>
      </c>
      <c r="AJ276" s="11"/>
    </row>
    <row r="277" spans="1:36" x14ac:dyDescent="0.25">
      <c r="A277">
        <f t="shared" si="75"/>
        <v>275</v>
      </c>
      <c r="D277" s="14">
        <v>45950</v>
      </c>
      <c r="E277" s="7"/>
      <c r="F277" s="7"/>
      <c r="G277" s="66"/>
      <c r="H277" s="59"/>
      <c r="I277" s="59"/>
      <c r="J277" s="47">
        <f t="shared" si="76"/>
        <v>0</v>
      </c>
      <c r="K277" s="8">
        <f t="shared" si="77"/>
        <v>0</v>
      </c>
      <c r="L277" s="96" t="str">
        <f t="shared" si="78"/>
        <v/>
      </c>
      <c r="M277" s="81"/>
      <c r="N277" s="8">
        <v>300</v>
      </c>
      <c r="O277" s="8">
        <v>60</v>
      </c>
      <c r="P277" s="96" t="str">
        <f t="shared" si="79"/>
        <v/>
      </c>
      <c r="Q277" s="59">
        <f t="shared" si="80"/>
        <v>0</v>
      </c>
      <c r="R277" s="59">
        <f t="shared" si="81"/>
        <v>0</v>
      </c>
      <c r="S277" s="65"/>
      <c r="T277" s="65"/>
      <c r="U277" s="65"/>
      <c r="V277" s="65"/>
      <c r="W277" s="65"/>
      <c r="X277" s="65"/>
      <c r="Y277" s="65"/>
      <c r="Z277" s="65"/>
      <c r="AA277" s="65"/>
      <c r="AB277" s="65"/>
      <c r="AC277" s="65"/>
      <c r="AD277" s="65"/>
      <c r="AE277" s="65">
        <f t="shared" si="82"/>
        <v>0</v>
      </c>
      <c r="AF277" s="65"/>
      <c r="AG277" s="248">
        <f t="shared" si="83"/>
        <v>0</v>
      </c>
      <c r="AH277" s="95" t="str">
        <f t="shared" si="84"/>
        <v/>
      </c>
      <c r="AI277" s="97" t="str">
        <f t="shared" si="85"/>
        <v/>
      </c>
      <c r="AJ277" s="11"/>
    </row>
    <row r="278" spans="1:36" x14ac:dyDescent="0.25">
      <c r="A278">
        <f t="shared" si="75"/>
        <v>276</v>
      </c>
      <c r="D278" s="14">
        <v>45951</v>
      </c>
      <c r="E278" s="7"/>
      <c r="F278" s="7"/>
      <c r="G278" s="66"/>
      <c r="H278" s="59"/>
      <c r="I278" s="59"/>
      <c r="J278" s="47">
        <f t="shared" si="76"/>
        <v>0</v>
      </c>
      <c r="K278" s="8">
        <f t="shared" si="77"/>
        <v>0</v>
      </c>
      <c r="L278" s="96" t="str">
        <f t="shared" si="78"/>
        <v/>
      </c>
      <c r="M278" s="81"/>
      <c r="N278" s="8">
        <v>300</v>
      </c>
      <c r="O278" s="8">
        <v>60</v>
      </c>
      <c r="P278" s="96" t="str">
        <f t="shared" si="79"/>
        <v/>
      </c>
      <c r="Q278" s="59">
        <f t="shared" si="80"/>
        <v>0</v>
      </c>
      <c r="R278" s="59">
        <f t="shared" si="81"/>
        <v>0</v>
      </c>
      <c r="S278" s="65"/>
      <c r="T278" s="65"/>
      <c r="U278" s="65"/>
      <c r="V278" s="65"/>
      <c r="W278" s="65"/>
      <c r="X278" s="65"/>
      <c r="Y278" s="65"/>
      <c r="Z278" s="65"/>
      <c r="AA278" s="65"/>
      <c r="AB278" s="65"/>
      <c r="AC278" s="65"/>
      <c r="AD278" s="65"/>
      <c r="AE278" s="65">
        <f t="shared" si="82"/>
        <v>0</v>
      </c>
      <c r="AF278" s="65"/>
      <c r="AG278" s="248">
        <f t="shared" si="83"/>
        <v>0</v>
      </c>
      <c r="AH278" s="95" t="str">
        <f t="shared" si="84"/>
        <v/>
      </c>
      <c r="AI278" s="97" t="str">
        <f t="shared" si="85"/>
        <v/>
      </c>
      <c r="AJ278" s="11"/>
    </row>
    <row r="279" spans="1:36" x14ac:dyDescent="0.25">
      <c r="A279">
        <f t="shared" si="75"/>
        <v>277</v>
      </c>
      <c r="D279" s="14">
        <v>45952</v>
      </c>
      <c r="E279" s="7"/>
      <c r="F279" s="7"/>
      <c r="G279" s="66"/>
      <c r="H279" s="59"/>
      <c r="I279" s="59"/>
      <c r="J279" s="47">
        <f t="shared" si="76"/>
        <v>0</v>
      </c>
      <c r="K279" s="8">
        <f t="shared" si="77"/>
        <v>0</v>
      </c>
      <c r="L279" s="96" t="str">
        <f t="shared" si="78"/>
        <v/>
      </c>
      <c r="M279" s="81"/>
      <c r="N279" s="8">
        <v>300</v>
      </c>
      <c r="O279" s="8">
        <v>60</v>
      </c>
      <c r="P279" s="96" t="str">
        <f t="shared" si="79"/>
        <v/>
      </c>
      <c r="Q279" s="59">
        <f t="shared" si="80"/>
        <v>0</v>
      </c>
      <c r="R279" s="59">
        <f t="shared" si="81"/>
        <v>0</v>
      </c>
      <c r="S279" s="65"/>
      <c r="T279" s="65"/>
      <c r="U279" s="65"/>
      <c r="V279" s="65"/>
      <c r="W279" s="65"/>
      <c r="X279" s="65"/>
      <c r="Y279" s="65"/>
      <c r="Z279" s="65"/>
      <c r="AA279" s="65"/>
      <c r="AB279" s="65"/>
      <c r="AC279" s="65"/>
      <c r="AD279" s="65"/>
      <c r="AE279" s="65">
        <f t="shared" si="82"/>
        <v>0</v>
      </c>
      <c r="AF279" s="65"/>
      <c r="AG279" s="248">
        <f t="shared" si="83"/>
        <v>0</v>
      </c>
      <c r="AH279" s="95" t="str">
        <f t="shared" si="84"/>
        <v/>
      </c>
      <c r="AI279" s="97" t="str">
        <f t="shared" si="85"/>
        <v/>
      </c>
      <c r="AJ279" s="11"/>
    </row>
    <row r="280" spans="1:36" x14ac:dyDescent="0.25">
      <c r="A280">
        <f t="shared" si="75"/>
        <v>278</v>
      </c>
      <c r="D280" s="14">
        <v>45953</v>
      </c>
      <c r="E280" s="7"/>
      <c r="F280" s="7"/>
      <c r="G280" s="66"/>
      <c r="H280" s="59"/>
      <c r="I280" s="59"/>
      <c r="J280" s="47">
        <f t="shared" si="76"/>
        <v>0</v>
      </c>
      <c r="K280" s="8">
        <f t="shared" si="77"/>
        <v>0</v>
      </c>
      <c r="L280" s="96" t="str">
        <f t="shared" si="78"/>
        <v/>
      </c>
      <c r="M280" s="81"/>
      <c r="N280" s="8">
        <v>300</v>
      </c>
      <c r="O280" s="8">
        <v>60</v>
      </c>
      <c r="P280" s="96" t="str">
        <f t="shared" si="79"/>
        <v/>
      </c>
      <c r="Q280" s="59">
        <f t="shared" si="80"/>
        <v>0</v>
      </c>
      <c r="R280" s="59">
        <f t="shared" si="81"/>
        <v>0</v>
      </c>
      <c r="S280" s="65"/>
      <c r="T280" s="65"/>
      <c r="U280" s="65"/>
      <c r="V280" s="65"/>
      <c r="W280" s="65"/>
      <c r="X280" s="65"/>
      <c r="Y280" s="65"/>
      <c r="Z280" s="65"/>
      <c r="AA280" s="65"/>
      <c r="AB280" s="65"/>
      <c r="AC280" s="65"/>
      <c r="AD280" s="65"/>
      <c r="AE280" s="65">
        <f t="shared" si="82"/>
        <v>0</v>
      </c>
      <c r="AF280" s="65"/>
      <c r="AG280" s="248">
        <f t="shared" si="83"/>
        <v>0</v>
      </c>
      <c r="AH280" s="95" t="str">
        <f t="shared" si="84"/>
        <v/>
      </c>
      <c r="AI280" s="97" t="str">
        <f t="shared" si="85"/>
        <v/>
      </c>
      <c r="AJ280" s="11"/>
    </row>
    <row r="281" spans="1:36" x14ac:dyDescent="0.25">
      <c r="A281">
        <f t="shared" si="75"/>
        <v>279</v>
      </c>
      <c r="D281" s="14">
        <v>45954</v>
      </c>
      <c r="E281" s="7"/>
      <c r="F281" s="7"/>
      <c r="G281" s="66"/>
      <c r="H281" s="59"/>
      <c r="I281" s="59"/>
      <c r="J281" s="47">
        <f t="shared" si="76"/>
        <v>0</v>
      </c>
      <c r="K281" s="8">
        <f t="shared" si="77"/>
        <v>0</v>
      </c>
      <c r="L281" s="96" t="str">
        <f t="shared" si="78"/>
        <v/>
      </c>
      <c r="M281" s="81"/>
      <c r="N281" s="8">
        <v>300</v>
      </c>
      <c r="O281" s="8">
        <v>60</v>
      </c>
      <c r="P281" s="96" t="str">
        <f t="shared" si="79"/>
        <v/>
      </c>
      <c r="Q281" s="59">
        <f t="shared" si="80"/>
        <v>0</v>
      </c>
      <c r="R281" s="59">
        <f t="shared" si="81"/>
        <v>0</v>
      </c>
      <c r="S281" s="65"/>
      <c r="T281" s="65"/>
      <c r="U281" s="65"/>
      <c r="V281" s="65"/>
      <c r="W281" s="65"/>
      <c r="X281" s="65"/>
      <c r="Y281" s="65"/>
      <c r="Z281" s="65"/>
      <c r="AA281" s="65"/>
      <c r="AB281" s="65"/>
      <c r="AC281" s="65"/>
      <c r="AD281" s="65"/>
      <c r="AE281" s="65">
        <f t="shared" si="82"/>
        <v>0</v>
      </c>
      <c r="AF281" s="65"/>
      <c r="AG281" s="248">
        <f t="shared" si="83"/>
        <v>0</v>
      </c>
      <c r="AH281" s="95" t="str">
        <f t="shared" si="84"/>
        <v/>
      </c>
      <c r="AI281" s="97" t="str">
        <f t="shared" si="85"/>
        <v/>
      </c>
      <c r="AJ281" s="11"/>
    </row>
    <row r="282" spans="1:36" x14ac:dyDescent="0.25">
      <c r="A282">
        <f t="shared" si="75"/>
        <v>280</v>
      </c>
      <c r="D282" s="14">
        <v>45955</v>
      </c>
      <c r="E282" s="7"/>
      <c r="F282" s="7"/>
      <c r="G282" s="66"/>
      <c r="H282" s="59"/>
      <c r="I282" s="59"/>
      <c r="J282" s="47">
        <f t="shared" si="76"/>
        <v>0</v>
      </c>
      <c r="K282" s="8">
        <f t="shared" si="77"/>
        <v>0</v>
      </c>
      <c r="L282" s="96" t="str">
        <f t="shared" si="78"/>
        <v/>
      </c>
      <c r="M282" s="81"/>
      <c r="N282" s="8">
        <v>300</v>
      </c>
      <c r="O282" s="8">
        <v>60</v>
      </c>
      <c r="P282" s="96" t="str">
        <f t="shared" si="79"/>
        <v/>
      </c>
      <c r="Q282" s="59">
        <f t="shared" si="80"/>
        <v>0</v>
      </c>
      <c r="R282" s="59">
        <f t="shared" si="81"/>
        <v>0</v>
      </c>
      <c r="S282" s="65"/>
      <c r="T282" s="65"/>
      <c r="U282" s="65"/>
      <c r="V282" s="65"/>
      <c r="W282" s="65"/>
      <c r="X282" s="65"/>
      <c r="Y282" s="65"/>
      <c r="Z282" s="65"/>
      <c r="AA282" s="65"/>
      <c r="AB282" s="65"/>
      <c r="AC282" s="65"/>
      <c r="AD282" s="65"/>
      <c r="AE282" s="65">
        <f t="shared" si="82"/>
        <v>0</v>
      </c>
      <c r="AF282" s="65"/>
      <c r="AG282" s="248">
        <f t="shared" si="83"/>
        <v>0</v>
      </c>
      <c r="AH282" s="95" t="str">
        <f t="shared" si="84"/>
        <v/>
      </c>
      <c r="AI282" s="97" t="str">
        <f t="shared" si="85"/>
        <v/>
      </c>
      <c r="AJ282" s="11"/>
    </row>
    <row r="283" spans="1:36" x14ac:dyDescent="0.25">
      <c r="A283">
        <f t="shared" si="75"/>
        <v>281</v>
      </c>
      <c r="D283" s="14">
        <v>45956</v>
      </c>
      <c r="E283" s="7"/>
      <c r="F283" s="7"/>
      <c r="G283" s="66"/>
      <c r="H283" s="59"/>
      <c r="I283" s="59"/>
      <c r="J283" s="47">
        <f t="shared" si="76"/>
        <v>0</v>
      </c>
      <c r="K283" s="8">
        <f t="shared" si="77"/>
        <v>0</v>
      </c>
      <c r="L283" s="96" t="str">
        <f t="shared" si="78"/>
        <v/>
      </c>
      <c r="M283" s="81"/>
      <c r="N283" s="8">
        <v>300</v>
      </c>
      <c r="O283" s="8">
        <v>60</v>
      </c>
      <c r="P283" s="96" t="str">
        <f t="shared" si="79"/>
        <v/>
      </c>
      <c r="Q283" s="59">
        <f t="shared" si="80"/>
        <v>0</v>
      </c>
      <c r="R283" s="59">
        <f t="shared" si="81"/>
        <v>0</v>
      </c>
      <c r="S283" s="65"/>
      <c r="T283" s="65"/>
      <c r="U283" s="65"/>
      <c r="V283" s="65"/>
      <c r="W283" s="65"/>
      <c r="X283" s="65"/>
      <c r="Y283" s="65"/>
      <c r="Z283" s="65"/>
      <c r="AA283" s="65"/>
      <c r="AB283" s="65"/>
      <c r="AC283" s="65"/>
      <c r="AD283" s="65"/>
      <c r="AE283" s="65">
        <f t="shared" si="82"/>
        <v>0</v>
      </c>
      <c r="AF283" s="65"/>
      <c r="AG283" s="248">
        <f t="shared" si="83"/>
        <v>0</v>
      </c>
      <c r="AH283" s="95" t="str">
        <f t="shared" si="84"/>
        <v/>
      </c>
      <c r="AI283" s="97" t="str">
        <f t="shared" si="85"/>
        <v/>
      </c>
      <c r="AJ283" s="11"/>
    </row>
    <row r="284" spans="1:36" x14ac:dyDescent="0.25">
      <c r="A284">
        <f t="shared" si="75"/>
        <v>282</v>
      </c>
      <c r="D284" s="14">
        <v>45957</v>
      </c>
      <c r="E284" s="7"/>
      <c r="F284" s="7"/>
      <c r="G284" s="66"/>
      <c r="H284" s="59"/>
      <c r="I284" s="59"/>
      <c r="J284" s="47">
        <f t="shared" si="76"/>
        <v>0</v>
      </c>
      <c r="K284" s="8">
        <f t="shared" si="77"/>
        <v>0</v>
      </c>
      <c r="L284" s="96" t="str">
        <f t="shared" si="78"/>
        <v/>
      </c>
      <c r="M284" s="81"/>
      <c r="N284" s="8">
        <v>300</v>
      </c>
      <c r="O284" s="8">
        <v>60</v>
      </c>
      <c r="P284" s="96" t="str">
        <f t="shared" si="79"/>
        <v/>
      </c>
      <c r="Q284" s="59">
        <f t="shared" si="80"/>
        <v>0</v>
      </c>
      <c r="R284" s="59">
        <f t="shared" si="81"/>
        <v>0</v>
      </c>
      <c r="S284" s="65"/>
      <c r="T284" s="65"/>
      <c r="U284" s="65"/>
      <c r="V284" s="65"/>
      <c r="W284" s="65"/>
      <c r="X284" s="65"/>
      <c r="Y284" s="65"/>
      <c r="Z284" s="65"/>
      <c r="AA284" s="65"/>
      <c r="AB284" s="65"/>
      <c r="AC284" s="65"/>
      <c r="AD284" s="65"/>
      <c r="AE284" s="65">
        <f t="shared" si="82"/>
        <v>0</v>
      </c>
      <c r="AF284" s="65"/>
      <c r="AG284" s="248">
        <f t="shared" si="83"/>
        <v>0</v>
      </c>
      <c r="AH284" s="95" t="str">
        <f t="shared" si="84"/>
        <v/>
      </c>
      <c r="AI284" s="97" t="str">
        <f t="shared" si="85"/>
        <v/>
      </c>
      <c r="AJ284" s="11"/>
    </row>
    <row r="285" spans="1:36" x14ac:dyDescent="0.25">
      <c r="A285">
        <f t="shared" si="75"/>
        <v>283</v>
      </c>
      <c r="D285" s="14">
        <v>45958</v>
      </c>
      <c r="E285" s="7"/>
      <c r="F285" s="7"/>
      <c r="G285" s="66"/>
      <c r="H285" s="59"/>
      <c r="I285" s="59"/>
      <c r="J285" s="47">
        <f t="shared" si="76"/>
        <v>0</v>
      </c>
      <c r="K285" s="8">
        <f t="shared" si="77"/>
        <v>0</v>
      </c>
      <c r="L285" s="96" t="str">
        <f t="shared" si="78"/>
        <v/>
      </c>
      <c r="M285" s="81"/>
      <c r="N285" s="8">
        <v>300</v>
      </c>
      <c r="O285" s="8">
        <v>60</v>
      </c>
      <c r="P285" s="96" t="str">
        <f t="shared" si="79"/>
        <v/>
      </c>
      <c r="Q285" s="59">
        <f t="shared" si="80"/>
        <v>0</v>
      </c>
      <c r="R285" s="59">
        <f t="shared" si="81"/>
        <v>0</v>
      </c>
      <c r="S285" s="65"/>
      <c r="T285" s="65"/>
      <c r="U285" s="65"/>
      <c r="V285" s="65"/>
      <c r="W285" s="65"/>
      <c r="X285" s="65"/>
      <c r="Y285" s="65"/>
      <c r="Z285" s="65"/>
      <c r="AA285" s="65"/>
      <c r="AB285" s="65"/>
      <c r="AC285" s="65"/>
      <c r="AD285" s="65"/>
      <c r="AE285" s="65">
        <f t="shared" si="82"/>
        <v>0</v>
      </c>
      <c r="AF285" s="65"/>
      <c r="AG285" s="248">
        <f t="shared" si="83"/>
        <v>0</v>
      </c>
      <c r="AH285" s="95" t="str">
        <f t="shared" si="84"/>
        <v/>
      </c>
      <c r="AI285" s="97" t="str">
        <f t="shared" si="85"/>
        <v/>
      </c>
      <c r="AJ285" s="11"/>
    </row>
    <row r="286" spans="1:36" x14ac:dyDescent="0.25">
      <c r="A286">
        <f t="shared" si="75"/>
        <v>284</v>
      </c>
      <c r="D286" s="14">
        <v>45959</v>
      </c>
      <c r="E286" s="7"/>
      <c r="F286" s="7"/>
      <c r="G286" s="66"/>
      <c r="H286" s="59"/>
      <c r="I286" s="59"/>
      <c r="J286" s="47">
        <f t="shared" si="76"/>
        <v>0</v>
      </c>
      <c r="K286" s="8">
        <f t="shared" si="77"/>
        <v>0</v>
      </c>
      <c r="L286" s="96" t="str">
        <f t="shared" si="78"/>
        <v/>
      </c>
      <c r="M286" s="81"/>
      <c r="N286" s="8">
        <v>300</v>
      </c>
      <c r="O286" s="8">
        <v>60</v>
      </c>
      <c r="P286" s="96" t="str">
        <f t="shared" si="79"/>
        <v/>
      </c>
      <c r="Q286" s="59">
        <f t="shared" si="80"/>
        <v>0</v>
      </c>
      <c r="R286" s="59">
        <f t="shared" si="81"/>
        <v>0</v>
      </c>
      <c r="S286" s="65"/>
      <c r="T286" s="65"/>
      <c r="U286" s="65"/>
      <c r="V286" s="65"/>
      <c r="W286" s="65"/>
      <c r="X286" s="65"/>
      <c r="Y286" s="65"/>
      <c r="Z286" s="65"/>
      <c r="AA286" s="65"/>
      <c r="AB286" s="65"/>
      <c r="AC286" s="65"/>
      <c r="AD286" s="65"/>
      <c r="AE286" s="65">
        <f t="shared" si="82"/>
        <v>0</v>
      </c>
      <c r="AF286" s="65"/>
      <c r="AG286" s="248">
        <f t="shared" si="83"/>
        <v>0</v>
      </c>
      <c r="AH286" s="95" t="str">
        <f t="shared" si="84"/>
        <v/>
      </c>
      <c r="AI286" s="97" t="str">
        <f t="shared" si="85"/>
        <v/>
      </c>
      <c r="AJ286" s="11"/>
    </row>
    <row r="287" spans="1:36" x14ac:dyDescent="0.25">
      <c r="A287">
        <f t="shared" si="75"/>
        <v>285</v>
      </c>
      <c r="D287" s="14">
        <v>45960</v>
      </c>
      <c r="E287" s="7"/>
      <c r="F287" s="7"/>
      <c r="G287" s="66"/>
      <c r="H287" s="59"/>
      <c r="I287" s="59"/>
      <c r="J287" s="47">
        <f t="shared" si="76"/>
        <v>0</v>
      </c>
      <c r="K287" s="8">
        <f t="shared" si="77"/>
        <v>0</v>
      </c>
      <c r="L287" s="96" t="str">
        <f t="shared" si="78"/>
        <v/>
      </c>
      <c r="M287" s="81"/>
      <c r="N287" s="8">
        <v>300</v>
      </c>
      <c r="O287" s="8">
        <v>60</v>
      </c>
      <c r="P287" s="96" t="str">
        <f t="shared" si="79"/>
        <v/>
      </c>
      <c r="Q287" s="59">
        <f t="shared" si="80"/>
        <v>0</v>
      </c>
      <c r="R287" s="59">
        <f t="shared" si="81"/>
        <v>0</v>
      </c>
      <c r="S287" s="65"/>
      <c r="T287" s="65"/>
      <c r="U287" s="65"/>
      <c r="V287" s="65"/>
      <c r="W287" s="65"/>
      <c r="X287" s="65"/>
      <c r="Y287" s="65"/>
      <c r="Z287" s="65"/>
      <c r="AA287" s="65"/>
      <c r="AB287" s="65"/>
      <c r="AC287" s="65"/>
      <c r="AD287" s="65"/>
      <c r="AE287" s="65">
        <f t="shared" si="82"/>
        <v>0</v>
      </c>
      <c r="AF287" s="65"/>
      <c r="AG287" s="248">
        <f t="shared" si="83"/>
        <v>0</v>
      </c>
      <c r="AH287" s="95" t="str">
        <f t="shared" si="84"/>
        <v/>
      </c>
      <c r="AI287" s="97" t="str">
        <f t="shared" si="85"/>
        <v/>
      </c>
      <c r="AJ287" s="11"/>
    </row>
    <row r="288" spans="1:36" x14ac:dyDescent="0.25">
      <c r="A288">
        <f t="shared" si="75"/>
        <v>286</v>
      </c>
      <c r="D288" s="14">
        <v>45961</v>
      </c>
      <c r="E288" s="7"/>
      <c r="F288" s="7"/>
      <c r="G288" s="66"/>
      <c r="H288" s="59"/>
      <c r="I288" s="59"/>
      <c r="J288" s="47">
        <f t="shared" si="76"/>
        <v>0</v>
      </c>
      <c r="K288" s="8">
        <f t="shared" si="77"/>
        <v>0</v>
      </c>
      <c r="L288" s="96" t="str">
        <f t="shared" si="78"/>
        <v/>
      </c>
      <c r="M288" s="81"/>
      <c r="N288" s="8">
        <v>300</v>
      </c>
      <c r="O288" s="8">
        <v>60</v>
      </c>
      <c r="P288" s="96" t="str">
        <f t="shared" si="79"/>
        <v/>
      </c>
      <c r="Q288" s="59">
        <f t="shared" si="80"/>
        <v>0</v>
      </c>
      <c r="R288" s="59">
        <f t="shared" si="81"/>
        <v>0</v>
      </c>
      <c r="S288" s="65"/>
      <c r="T288" s="65"/>
      <c r="U288" s="65"/>
      <c r="V288" s="65"/>
      <c r="W288" s="65"/>
      <c r="X288" s="65"/>
      <c r="Y288" s="65"/>
      <c r="Z288" s="65"/>
      <c r="AA288" s="65"/>
      <c r="AB288" s="65"/>
      <c r="AC288" s="65"/>
      <c r="AD288" s="65"/>
      <c r="AE288" s="65">
        <f t="shared" si="82"/>
        <v>0</v>
      </c>
      <c r="AF288" s="65"/>
      <c r="AG288" s="248">
        <f t="shared" si="83"/>
        <v>0</v>
      </c>
      <c r="AH288" s="95" t="str">
        <f t="shared" si="84"/>
        <v/>
      </c>
      <c r="AI288" s="97" t="str">
        <f t="shared" si="85"/>
        <v/>
      </c>
      <c r="AJ288" s="11"/>
    </row>
    <row r="289" spans="1:36" x14ac:dyDescent="0.25">
      <c r="A289">
        <f t="shared" si="75"/>
        <v>287</v>
      </c>
      <c r="D289" s="14">
        <v>45962</v>
      </c>
      <c r="E289" s="7"/>
      <c r="F289" s="7"/>
      <c r="G289" s="66"/>
      <c r="H289" s="59"/>
      <c r="I289" s="59"/>
      <c r="J289" s="47">
        <f t="shared" si="76"/>
        <v>0</v>
      </c>
      <c r="K289" s="8">
        <f t="shared" si="77"/>
        <v>0</v>
      </c>
      <c r="L289" s="96" t="str">
        <f t="shared" si="78"/>
        <v/>
      </c>
      <c r="M289" s="81"/>
      <c r="N289" s="8">
        <v>300</v>
      </c>
      <c r="O289" s="8">
        <v>60</v>
      </c>
      <c r="P289" s="96" t="str">
        <f t="shared" si="79"/>
        <v/>
      </c>
      <c r="Q289" s="59">
        <f t="shared" si="80"/>
        <v>0</v>
      </c>
      <c r="R289" s="59">
        <f t="shared" si="81"/>
        <v>0</v>
      </c>
      <c r="S289" s="65"/>
      <c r="T289" s="65"/>
      <c r="U289" s="65"/>
      <c r="V289" s="65"/>
      <c r="W289" s="65"/>
      <c r="X289" s="65"/>
      <c r="Y289" s="65"/>
      <c r="Z289" s="65"/>
      <c r="AA289" s="65"/>
      <c r="AB289" s="65"/>
      <c r="AC289" s="65"/>
      <c r="AD289" s="65"/>
      <c r="AE289" s="65">
        <f t="shared" si="82"/>
        <v>0</v>
      </c>
      <c r="AF289" s="65"/>
      <c r="AG289" s="248">
        <f t="shared" si="83"/>
        <v>0</v>
      </c>
      <c r="AH289" s="95" t="str">
        <f t="shared" si="84"/>
        <v/>
      </c>
      <c r="AI289" s="97" t="str">
        <f t="shared" si="85"/>
        <v/>
      </c>
      <c r="AJ289" s="11"/>
    </row>
    <row r="290" spans="1:36" x14ac:dyDescent="0.25">
      <c r="A290">
        <f t="shared" si="75"/>
        <v>288</v>
      </c>
      <c r="D290" s="14">
        <v>45963</v>
      </c>
      <c r="E290" s="7"/>
      <c r="F290" s="7"/>
      <c r="G290" s="66"/>
      <c r="H290" s="59"/>
      <c r="I290" s="59"/>
      <c r="J290" s="47">
        <f t="shared" si="76"/>
        <v>0</v>
      </c>
      <c r="K290" s="8">
        <f t="shared" si="77"/>
        <v>0</v>
      </c>
      <c r="L290" s="96" t="str">
        <f t="shared" si="78"/>
        <v/>
      </c>
      <c r="M290" s="81"/>
      <c r="N290" s="8">
        <v>300</v>
      </c>
      <c r="O290" s="8">
        <v>60</v>
      </c>
      <c r="P290" s="96" t="str">
        <f t="shared" si="79"/>
        <v/>
      </c>
      <c r="Q290" s="59">
        <f t="shared" si="80"/>
        <v>0</v>
      </c>
      <c r="R290" s="59">
        <f t="shared" si="81"/>
        <v>0</v>
      </c>
      <c r="S290" s="65"/>
      <c r="T290" s="65"/>
      <c r="U290" s="65"/>
      <c r="V290" s="65"/>
      <c r="W290" s="65"/>
      <c r="X290" s="65"/>
      <c r="Y290" s="65"/>
      <c r="Z290" s="65"/>
      <c r="AA290" s="65"/>
      <c r="AB290" s="65"/>
      <c r="AC290" s="65"/>
      <c r="AD290" s="65"/>
      <c r="AE290" s="65">
        <f t="shared" si="82"/>
        <v>0</v>
      </c>
      <c r="AF290" s="65"/>
      <c r="AG290" s="248">
        <f t="shared" si="83"/>
        <v>0</v>
      </c>
      <c r="AH290" s="95" t="str">
        <f t="shared" si="84"/>
        <v/>
      </c>
      <c r="AI290" s="97" t="str">
        <f t="shared" si="85"/>
        <v/>
      </c>
      <c r="AJ290" s="11"/>
    </row>
    <row r="291" spans="1:36" x14ac:dyDescent="0.25">
      <c r="A291">
        <f t="shared" si="75"/>
        <v>289</v>
      </c>
      <c r="D291" s="14">
        <v>45964</v>
      </c>
      <c r="E291" s="7"/>
      <c r="F291" s="7"/>
      <c r="G291" s="66"/>
      <c r="H291" s="59"/>
      <c r="I291" s="59"/>
      <c r="J291" s="47">
        <f t="shared" si="76"/>
        <v>0</v>
      </c>
      <c r="K291" s="8">
        <f t="shared" si="77"/>
        <v>0</v>
      </c>
      <c r="L291" s="96" t="str">
        <f t="shared" si="78"/>
        <v/>
      </c>
      <c r="M291" s="81"/>
      <c r="N291" s="8">
        <v>300</v>
      </c>
      <c r="O291" s="8">
        <v>60</v>
      </c>
      <c r="P291" s="96" t="str">
        <f t="shared" si="79"/>
        <v/>
      </c>
      <c r="Q291" s="59">
        <f t="shared" si="80"/>
        <v>0</v>
      </c>
      <c r="R291" s="59">
        <f t="shared" si="81"/>
        <v>0</v>
      </c>
      <c r="S291" s="65"/>
      <c r="T291" s="65"/>
      <c r="U291" s="65"/>
      <c r="V291" s="65"/>
      <c r="W291" s="65"/>
      <c r="X291" s="65"/>
      <c r="Y291" s="65"/>
      <c r="Z291" s="65"/>
      <c r="AA291" s="65"/>
      <c r="AB291" s="65"/>
      <c r="AC291" s="65"/>
      <c r="AD291" s="65"/>
      <c r="AE291" s="65">
        <f t="shared" si="82"/>
        <v>0</v>
      </c>
      <c r="AF291" s="65"/>
      <c r="AG291" s="248">
        <f t="shared" si="83"/>
        <v>0</v>
      </c>
      <c r="AH291" s="95" t="str">
        <f t="shared" si="84"/>
        <v/>
      </c>
      <c r="AI291" s="97" t="str">
        <f t="shared" si="85"/>
        <v/>
      </c>
      <c r="AJ291" s="11"/>
    </row>
    <row r="292" spans="1:36" x14ac:dyDescent="0.25">
      <c r="A292">
        <f t="shared" si="75"/>
        <v>290</v>
      </c>
      <c r="D292" s="14">
        <v>45965</v>
      </c>
      <c r="E292" s="7"/>
      <c r="F292" s="7"/>
      <c r="G292" s="66"/>
      <c r="H292" s="59"/>
      <c r="I292" s="59"/>
      <c r="J292" s="47">
        <f t="shared" si="76"/>
        <v>0</v>
      </c>
      <c r="K292" s="8">
        <f t="shared" si="77"/>
        <v>0</v>
      </c>
      <c r="L292" s="96" t="str">
        <f t="shared" si="78"/>
        <v/>
      </c>
      <c r="M292" s="81"/>
      <c r="N292" s="8">
        <v>300</v>
      </c>
      <c r="O292" s="8">
        <v>60</v>
      </c>
      <c r="P292" s="96" t="str">
        <f t="shared" si="79"/>
        <v/>
      </c>
      <c r="Q292" s="59">
        <f t="shared" si="80"/>
        <v>0</v>
      </c>
      <c r="R292" s="59">
        <f t="shared" si="81"/>
        <v>0</v>
      </c>
      <c r="S292" s="65"/>
      <c r="T292" s="65"/>
      <c r="U292" s="65"/>
      <c r="V292" s="65"/>
      <c r="W292" s="65"/>
      <c r="X292" s="65"/>
      <c r="Y292" s="65"/>
      <c r="Z292" s="65"/>
      <c r="AA292" s="65"/>
      <c r="AB292" s="65"/>
      <c r="AC292" s="65"/>
      <c r="AD292" s="65"/>
      <c r="AE292" s="65">
        <f t="shared" si="82"/>
        <v>0</v>
      </c>
      <c r="AF292" s="65"/>
      <c r="AG292" s="248">
        <f t="shared" si="83"/>
        <v>0</v>
      </c>
      <c r="AH292" s="95" t="str">
        <f t="shared" si="84"/>
        <v/>
      </c>
      <c r="AI292" s="97" t="str">
        <f t="shared" si="85"/>
        <v/>
      </c>
      <c r="AJ292" s="11"/>
    </row>
    <row r="293" spans="1:36" x14ac:dyDescent="0.25">
      <c r="A293">
        <f t="shared" si="75"/>
        <v>291</v>
      </c>
      <c r="D293" s="14">
        <v>45966</v>
      </c>
      <c r="E293" s="7"/>
      <c r="F293" s="7"/>
      <c r="G293" s="66"/>
      <c r="H293" s="59"/>
      <c r="I293" s="59"/>
      <c r="J293" s="47">
        <f t="shared" si="76"/>
        <v>0</v>
      </c>
      <c r="K293" s="8">
        <f t="shared" si="77"/>
        <v>0</v>
      </c>
      <c r="L293" s="96" t="str">
        <f t="shared" si="78"/>
        <v/>
      </c>
      <c r="M293" s="81"/>
      <c r="N293" s="8">
        <v>300</v>
      </c>
      <c r="O293" s="8">
        <v>60</v>
      </c>
      <c r="P293" s="96" t="str">
        <f t="shared" si="79"/>
        <v/>
      </c>
      <c r="Q293" s="59">
        <f t="shared" si="80"/>
        <v>0</v>
      </c>
      <c r="R293" s="59">
        <f t="shared" si="81"/>
        <v>0</v>
      </c>
      <c r="S293" s="65"/>
      <c r="T293" s="65"/>
      <c r="U293" s="65"/>
      <c r="V293" s="65"/>
      <c r="W293" s="65"/>
      <c r="X293" s="65"/>
      <c r="Y293" s="65"/>
      <c r="Z293" s="65"/>
      <c r="AA293" s="65"/>
      <c r="AB293" s="65"/>
      <c r="AC293" s="65"/>
      <c r="AD293" s="65"/>
      <c r="AE293" s="65">
        <f t="shared" si="82"/>
        <v>0</v>
      </c>
      <c r="AF293" s="65"/>
      <c r="AG293" s="248">
        <f t="shared" si="83"/>
        <v>0</v>
      </c>
      <c r="AH293" s="95" t="str">
        <f t="shared" si="84"/>
        <v/>
      </c>
      <c r="AI293" s="97" t="str">
        <f t="shared" si="85"/>
        <v/>
      </c>
      <c r="AJ293" s="11"/>
    </row>
    <row r="294" spans="1:36" x14ac:dyDescent="0.25">
      <c r="A294">
        <f t="shared" si="75"/>
        <v>292</v>
      </c>
      <c r="D294" s="14">
        <v>45967</v>
      </c>
      <c r="E294" s="7"/>
      <c r="F294" s="7"/>
      <c r="G294" s="66"/>
      <c r="H294" s="59"/>
      <c r="I294" s="59"/>
      <c r="J294" s="47">
        <f t="shared" si="76"/>
        <v>0</v>
      </c>
      <c r="K294" s="8">
        <f t="shared" si="77"/>
        <v>0</v>
      </c>
      <c r="L294" s="96" t="str">
        <f t="shared" si="78"/>
        <v/>
      </c>
      <c r="M294" s="81"/>
      <c r="N294" s="8">
        <v>300</v>
      </c>
      <c r="O294" s="8">
        <v>60</v>
      </c>
      <c r="P294" s="96" t="str">
        <f t="shared" si="79"/>
        <v/>
      </c>
      <c r="Q294" s="59">
        <f t="shared" si="80"/>
        <v>0</v>
      </c>
      <c r="R294" s="59">
        <f t="shared" si="81"/>
        <v>0</v>
      </c>
      <c r="S294" s="65"/>
      <c r="T294" s="65"/>
      <c r="U294" s="65"/>
      <c r="V294" s="65"/>
      <c r="W294" s="65"/>
      <c r="X294" s="65"/>
      <c r="Y294" s="65"/>
      <c r="Z294" s="65"/>
      <c r="AA294" s="65"/>
      <c r="AB294" s="65"/>
      <c r="AC294" s="65"/>
      <c r="AD294" s="65"/>
      <c r="AE294" s="65">
        <f t="shared" si="82"/>
        <v>0</v>
      </c>
      <c r="AF294" s="65"/>
      <c r="AG294" s="248">
        <f t="shared" si="83"/>
        <v>0</v>
      </c>
      <c r="AH294" s="95" t="str">
        <f t="shared" si="84"/>
        <v/>
      </c>
      <c r="AI294" s="97" t="str">
        <f t="shared" si="85"/>
        <v/>
      </c>
      <c r="AJ294" s="11"/>
    </row>
    <row r="295" spans="1:36" x14ac:dyDescent="0.25">
      <c r="A295">
        <f t="shared" si="75"/>
        <v>293</v>
      </c>
      <c r="D295" s="14">
        <v>45968</v>
      </c>
      <c r="E295" s="7"/>
      <c r="F295" s="7"/>
      <c r="G295" s="66"/>
      <c r="H295" s="59"/>
      <c r="I295" s="59"/>
      <c r="J295" s="47">
        <f t="shared" si="76"/>
        <v>0</v>
      </c>
      <c r="K295" s="8">
        <f t="shared" si="77"/>
        <v>0</v>
      </c>
      <c r="L295" s="96" t="str">
        <f t="shared" si="78"/>
        <v/>
      </c>
      <c r="M295" s="81"/>
      <c r="N295" s="8">
        <v>300</v>
      </c>
      <c r="O295" s="8">
        <v>60</v>
      </c>
      <c r="P295" s="96" t="str">
        <f t="shared" si="79"/>
        <v/>
      </c>
      <c r="Q295" s="59">
        <f t="shared" si="80"/>
        <v>0</v>
      </c>
      <c r="R295" s="59">
        <f t="shared" si="81"/>
        <v>0</v>
      </c>
      <c r="S295" s="65"/>
      <c r="T295" s="65"/>
      <c r="U295" s="65"/>
      <c r="V295" s="65"/>
      <c r="W295" s="65"/>
      <c r="X295" s="65"/>
      <c r="Y295" s="65"/>
      <c r="Z295" s="65"/>
      <c r="AA295" s="65"/>
      <c r="AB295" s="65"/>
      <c r="AC295" s="65"/>
      <c r="AD295" s="65"/>
      <c r="AE295" s="65">
        <f t="shared" si="82"/>
        <v>0</v>
      </c>
      <c r="AF295" s="65"/>
      <c r="AG295" s="248">
        <f t="shared" si="83"/>
        <v>0</v>
      </c>
      <c r="AH295" s="95" t="str">
        <f t="shared" si="84"/>
        <v/>
      </c>
      <c r="AI295" s="97" t="str">
        <f t="shared" si="85"/>
        <v/>
      </c>
      <c r="AJ295" s="11"/>
    </row>
    <row r="296" spans="1:36" x14ac:dyDescent="0.25">
      <c r="A296">
        <f t="shared" si="75"/>
        <v>294</v>
      </c>
      <c r="D296" s="14">
        <v>45969</v>
      </c>
      <c r="E296" s="7"/>
      <c r="F296" s="7"/>
      <c r="G296" s="66"/>
      <c r="H296" s="59"/>
      <c r="I296" s="59"/>
      <c r="J296" s="47">
        <f t="shared" si="76"/>
        <v>0</v>
      </c>
      <c r="K296" s="8">
        <f t="shared" si="77"/>
        <v>0</v>
      </c>
      <c r="L296" s="96" t="str">
        <f t="shared" si="78"/>
        <v/>
      </c>
      <c r="M296" s="81"/>
      <c r="N296" s="8">
        <v>300</v>
      </c>
      <c r="O296" s="8">
        <v>60</v>
      </c>
      <c r="P296" s="96" t="str">
        <f t="shared" si="79"/>
        <v/>
      </c>
      <c r="Q296" s="59">
        <f t="shared" si="80"/>
        <v>0</v>
      </c>
      <c r="R296" s="59">
        <f t="shared" si="81"/>
        <v>0</v>
      </c>
      <c r="S296" s="65"/>
      <c r="T296" s="65"/>
      <c r="U296" s="65"/>
      <c r="V296" s="65"/>
      <c r="W296" s="65"/>
      <c r="X296" s="65"/>
      <c r="Y296" s="65"/>
      <c r="Z296" s="65"/>
      <c r="AA296" s="65"/>
      <c r="AB296" s="65"/>
      <c r="AC296" s="65"/>
      <c r="AD296" s="65"/>
      <c r="AE296" s="65">
        <f t="shared" si="82"/>
        <v>0</v>
      </c>
      <c r="AF296" s="65"/>
      <c r="AG296" s="248">
        <f t="shared" si="83"/>
        <v>0</v>
      </c>
      <c r="AH296" s="95" t="str">
        <f t="shared" si="84"/>
        <v/>
      </c>
      <c r="AI296" s="97" t="str">
        <f t="shared" si="85"/>
        <v/>
      </c>
      <c r="AJ296" s="11"/>
    </row>
    <row r="297" spans="1:36" x14ac:dyDescent="0.25">
      <c r="A297">
        <f t="shared" si="75"/>
        <v>295</v>
      </c>
      <c r="D297" s="14">
        <v>45970</v>
      </c>
      <c r="E297" s="7"/>
      <c r="F297" s="7"/>
      <c r="G297" s="66"/>
      <c r="H297" s="59"/>
      <c r="I297" s="59"/>
      <c r="J297" s="47">
        <f t="shared" si="76"/>
        <v>0</v>
      </c>
      <c r="K297" s="8">
        <f t="shared" si="77"/>
        <v>0</v>
      </c>
      <c r="L297" s="96" t="str">
        <f t="shared" si="78"/>
        <v/>
      </c>
      <c r="M297" s="81"/>
      <c r="N297" s="8">
        <v>300</v>
      </c>
      <c r="O297" s="8">
        <v>60</v>
      </c>
      <c r="P297" s="96" t="str">
        <f t="shared" si="79"/>
        <v/>
      </c>
      <c r="Q297" s="59">
        <f t="shared" si="80"/>
        <v>0</v>
      </c>
      <c r="R297" s="59">
        <f t="shared" si="81"/>
        <v>0</v>
      </c>
      <c r="S297" s="65"/>
      <c r="T297" s="65"/>
      <c r="U297" s="65"/>
      <c r="V297" s="65"/>
      <c r="W297" s="65"/>
      <c r="X297" s="65"/>
      <c r="Y297" s="65"/>
      <c r="Z297" s="65"/>
      <c r="AA297" s="65"/>
      <c r="AB297" s="65"/>
      <c r="AC297" s="65"/>
      <c r="AD297" s="65"/>
      <c r="AE297" s="65">
        <f t="shared" si="82"/>
        <v>0</v>
      </c>
      <c r="AF297" s="65"/>
      <c r="AG297" s="248">
        <f t="shared" si="83"/>
        <v>0</v>
      </c>
      <c r="AH297" s="95" t="str">
        <f t="shared" si="84"/>
        <v/>
      </c>
      <c r="AI297" s="97" t="str">
        <f t="shared" si="85"/>
        <v/>
      </c>
      <c r="AJ297" s="11"/>
    </row>
    <row r="298" spans="1:36" x14ac:dyDescent="0.25">
      <c r="A298">
        <f t="shared" si="75"/>
        <v>296</v>
      </c>
      <c r="D298" s="14">
        <v>45971</v>
      </c>
      <c r="E298" s="7"/>
      <c r="F298" s="7"/>
      <c r="G298" s="66"/>
      <c r="H298" s="59"/>
      <c r="I298" s="59"/>
      <c r="J298" s="47">
        <f t="shared" si="76"/>
        <v>0</v>
      </c>
      <c r="K298" s="8">
        <f t="shared" si="77"/>
        <v>0</v>
      </c>
      <c r="L298" s="96" t="str">
        <f t="shared" si="78"/>
        <v/>
      </c>
      <c r="M298" s="81"/>
      <c r="N298" s="8">
        <v>300</v>
      </c>
      <c r="O298" s="8">
        <v>60</v>
      </c>
      <c r="P298" s="96" t="str">
        <f t="shared" si="79"/>
        <v/>
      </c>
      <c r="Q298" s="59">
        <f t="shared" si="80"/>
        <v>0</v>
      </c>
      <c r="R298" s="59">
        <f t="shared" si="81"/>
        <v>0</v>
      </c>
      <c r="S298" s="65"/>
      <c r="T298" s="65"/>
      <c r="U298" s="65"/>
      <c r="V298" s="65"/>
      <c r="W298" s="65"/>
      <c r="X298" s="65"/>
      <c r="Y298" s="65"/>
      <c r="Z298" s="65"/>
      <c r="AA298" s="65"/>
      <c r="AB298" s="65"/>
      <c r="AC298" s="65"/>
      <c r="AD298" s="65"/>
      <c r="AE298" s="65">
        <f t="shared" si="82"/>
        <v>0</v>
      </c>
      <c r="AF298" s="65"/>
      <c r="AG298" s="248">
        <f t="shared" si="83"/>
        <v>0</v>
      </c>
      <c r="AH298" s="95" t="str">
        <f t="shared" si="84"/>
        <v/>
      </c>
      <c r="AI298" s="97" t="str">
        <f t="shared" si="85"/>
        <v/>
      </c>
      <c r="AJ298" s="11"/>
    </row>
    <row r="299" spans="1:36" x14ac:dyDescent="0.25">
      <c r="A299">
        <f t="shared" si="75"/>
        <v>297</v>
      </c>
      <c r="D299" s="14">
        <v>45972</v>
      </c>
      <c r="E299" s="7"/>
      <c r="F299" s="7"/>
      <c r="G299" s="66"/>
      <c r="H299" s="59"/>
      <c r="I299" s="59"/>
      <c r="J299" s="47">
        <f t="shared" si="76"/>
        <v>0</v>
      </c>
      <c r="K299" s="8">
        <f t="shared" si="77"/>
        <v>0</v>
      </c>
      <c r="L299" s="96" t="str">
        <f t="shared" si="78"/>
        <v/>
      </c>
      <c r="M299" s="81"/>
      <c r="N299" s="8">
        <v>300</v>
      </c>
      <c r="O299" s="8">
        <v>60</v>
      </c>
      <c r="P299" s="96" t="str">
        <f t="shared" si="79"/>
        <v/>
      </c>
      <c r="Q299" s="59">
        <f t="shared" si="80"/>
        <v>0</v>
      </c>
      <c r="R299" s="59">
        <f t="shared" si="81"/>
        <v>0</v>
      </c>
      <c r="S299" s="65"/>
      <c r="T299" s="65"/>
      <c r="U299" s="65"/>
      <c r="V299" s="65"/>
      <c r="W299" s="65"/>
      <c r="X299" s="65"/>
      <c r="Y299" s="65"/>
      <c r="Z299" s="65"/>
      <c r="AA299" s="65"/>
      <c r="AB299" s="65"/>
      <c r="AC299" s="65"/>
      <c r="AD299" s="65"/>
      <c r="AE299" s="65">
        <f t="shared" si="82"/>
        <v>0</v>
      </c>
      <c r="AF299" s="65"/>
      <c r="AG299" s="248">
        <f t="shared" si="83"/>
        <v>0</v>
      </c>
      <c r="AH299" s="95" t="str">
        <f t="shared" si="84"/>
        <v/>
      </c>
      <c r="AI299" s="97" t="str">
        <f t="shared" si="85"/>
        <v/>
      </c>
      <c r="AJ299" s="11"/>
    </row>
    <row r="300" spans="1:36" x14ac:dyDescent="0.25">
      <c r="A300">
        <f t="shared" si="75"/>
        <v>298</v>
      </c>
      <c r="D300" s="14">
        <v>45973</v>
      </c>
      <c r="E300" s="7"/>
      <c r="F300" s="7"/>
      <c r="G300" s="66"/>
      <c r="H300" s="59"/>
      <c r="I300" s="59"/>
      <c r="J300" s="47">
        <f t="shared" si="76"/>
        <v>0</v>
      </c>
      <c r="K300" s="8">
        <f t="shared" si="77"/>
        <v>0</v>
      </c>
      <c r="L300" s="96" t="str">
        <f t="shared" si="78"/>
        <v/>
      </c>
      <c r="M300" s="81"/>
      <c r="N300" s="8">
        <v>300</v>
      </c>
      <c r="O300" s="8">
        <v>60</v>
      </c>
      <c r="P300" s="96" t="str">
        <f t="shared" si="79"/>
        <v/>
      </c>
      <c r="Q300" s="59">
        <f t="shared" si="80"/>
        <v>0</v>
      </c>
      <c r="R300" s="59">
        <f t="shared" si="81"/>
        <v>0</v>
      </c>
      <c r="S300" s="65"/>
      <c r="T300" s="65"/>
      <c r="U300" s="65"/>
      <c r="V300" s="65"/>
      <c r="W300" s="65"/>
      <c r="X300" s="65"/>
      <c r="Y300" s="65"/>
      <c r="Z300" s="65"/>
      <c r="AA300" s="65"/>
      <c r="AB300" s="65"/>
      <c r="AC300" s="65"/>
      <c r="AD300" s="65"/>
      <c r="AE300" s="65">
        <f t="shared" si="82"/>
        <v>0</v>
      </c>
      <c r="AF300" s="65"/>
      <c r="AG300" s="248">
        <f t="shared" si="83"/>
        <v>0</v>
      </c>
      <c r="AH300" s="95" t="str">
        <f t="shared" si="84"/>
        <v/>
      </c>
      <c r="AI300" s="97" t="str">
        <f t="shared" si="85"/>
        <v/>
      </c>
      <c r="AJ300" s="11"/>
    </row>
    <row r="301" spans="1:36" x14ac:dyDescent="0.25">
      <c r="A301">
        <f t="shared" si="75"/>
        <v>299</v>
      </c>
      <c r="D301" s="14">
        <v>45974</v>
      </c>
      <c r="E301" s="7"/>
      <c r="F301" s="7"/>
      <c r="G301" s="66"/>
      <c r="H301" s="59"/>
      <c r="I301" s="59"/>
      <c r="J301" s="47">
        <f t="shared" si="76"/>
        <v>0</v>
      </c>
      <c r="K301" s="8">
        <f t="shared" si="77"/>
        <v>0</v>
      </c>
      <c r="L301" s="96" t="str">
        <f t="shared" si="78"/>
        <v/>
      </c>
      <c r="M301" s="81"/>
      <c r="N301" s="8">
        <v>300</v>
      </c>
      <c r="O301" s="8">
        <v>60</v>
      </c>
      <c r="P301" s="96" t="str">
        <f t="shared" si="79"/>
        <v/>
      </c>
      <c r="Q301" s="59">
        <f t="shared" si="80"/>
        <v>0</v>
      </c>
      <c r="R301" s="59">
        <f t="shared" si="81"/>
        <v>0</v>
      </c>
      <c r="S301" s="65"/>
      <c r="T301" s="65"/>
      <c r="U301" s="65"/>
      <c r="V301" s="65"/>
      <c r="W301" s="65"/>
      <c r="X301" s="65"/>
      <c r="Y301" s="65"/>
      <c r="Z301" s="65"/>
      <c r="AA301" s="65"/>
      <c r="AB301" s="65"/>
      <c r="AC301" s="65"/>
      <c r="AD301" s="65"/>
      <c r="AE301" s="65">
        <f t="shared" si="82"/>
        <v>0</v>
      </c>
      <c r="AF301" s="65"/>
      <c r="AG301" s="248">
        <f t="shared" si="83"/>
        <v>0</v>
      </c>
      <c r="AH301" s="95" t="str">
        <f t="shared" si="84"/>
        <v/>
      </c>
      <c r="AI301" s="97" t="str">
        <f t="shared" si="85"/>
        <v/>
      </c>
      <c r="AJ301" s="11"/>
    </row>
    <row r="302" spans="1:36" x14ac:dyDescent="0.25">
      <c r="A302">
        <f t="shared" si="75"/>
        <v>300</v>
      </c>
      <c r="D302" s="14">
        <v>45975</v>
      </c>
      <c r="E302" s="7"/>
      <c r="F302" s="7"/>
      <c r="G302" s="66"/>
      <c r="H302" s="59"/>
      <c r="I302" s="59"/>
      <c r="J302" s="47">
        <f t="shared" si="76"/>
        <v>0</v>
      </c>
      <c r="K302" s="8">
        <f t="shared" si="77"/>
        <v>0</v>
      </c>
      <c r="L302" s="96" t="str">
        <f t="shared" si="78"/>
        <v/>
      </c>
      <c r="M302" s="81"/>
      <c r="N302" s="8">
        <v>300</v>
      </c>
      <c r="O302" s="8">
        <v>60</v>
      </c>
      <c r="P302" s="96" t="str">
        <f t="shared" si="79"/>
        <v/>
      </c>
      <c r="Q302" s="59">
        <f t="shared" si="80"/>
        <v>0</v>
      </c>
      <c r="R302" s="59">
        <f t="shared" si="81"/>
        <v>0</v>
      </c>
      <c r="S302" s="65"/>
      <c r="T302" s="65"/>
      <c r="U302" s="65"/>
      <c r="V302" s="65"/>
      <c r="W302" s="65"/>
      <c r="X302" s="65"/>
      <c r="Y302" s="65"/>
      <c r="Z302" s="65"/>
      <c r="AA302" s="65"/>
      <c r="AB302" s="65"/>
      <c r="AC302" s="65"/>
      <c r="AD302" s="65"/>
      <c r="AE302" s="65">
        <f t="shared" si="82"/>
        <v>0</v>
      </c>
      <c r="AF302" s="65"/>
      <c r="AG302" s="248">
        <f t="shared" si="83"/>
        <v>0</v>
      </c>
      <c r="AH302" s="95" t="str">
        <f t="shared" si="84"/>
        <v/>
      </c>
      <c r="AI302" s="97" t="str">
        <f t="shared" si="85"/>
        <v/>
      </c>
      <c r="AJ302" s="11"/>
    </row>
    <row r="303" spans="1:36" x14ac:dyDescent="0.25">
      <c r="A303">
        <f t="shared" si="75"/>
        <v>301</v>
      </c>
      <c r="D303" s="14">
        <v>45976</v>
      </c>
      <c r="E303" s="7"/>
      <c r="F303" s="7"/>
      <c r="G303" s="66"/>
      <c r="H303" s="59"/>
      <c r="I303" s="59"/>
      <c r="J303" s="47">
        <f t="shared" si="76"/>
        <v>0</v>
      </c>
      <c r="K303" s="8">
        <f t="shared" si="77"/>
        <v>0</v>
      </c>
      <c r="L303" s="96" t="str">
        <f t="shared" si="78"/>
        <v/>
      </c>
      <c r="M303" s="81"/>
      <c r="N303" s="8">
        <v>300</v>
      </c>
      <c r="O303" s="8">
        <v>60</v>
      </c>
      <c r="P303" s="96" t="str">
        <f t="shared" si="79"/>
        <v/>
      </c>
      <c r="Q303" s="59">
        <f t="shared" si="80"/>
        <v>0</v>
      </c>
      <c r="R303" s="59">
        <f t="shared" si="81"/>
        <v>0</v>
      </c>
      <c r="S303" s="65"/>
      <c r="T303" s="65"/>
      <c r="U303" s="65"/>
      <c r="V303" s="65"/>
      <c r="W303" s="65"/>
      <c r="X303" s="65"/>
      <c r="Y303" s="65"/>
      <c r="Z303" s="65"/>
      <c r="AA303" s="65"/>
      <c r="AB303" s="65"/>
      <c r="AC303" s="65"/>
      <c r="AD303" s="65"/>
      <c r="AE303" s="65">
        <f t="shared" si="82"/>
        <v>0</v>
      </c>
      <c r="AF303" s="65"/>
      <c r="AG303" s="248">
        <f t="shared" si="83"/>
        <v>0</v>
      </c>
      <c r="AH303" s="95" t="str">
        <f t="shared" si="84"/>
        <v/>
      </c>
      <c r="AI303" s="97" t="str">
        <f t="shared" si="85"/>
        <v/>
      </c>
      <c r="AJ303" s="11"/>
    </row>
    <row r="304" spans="1:36" x14ac:dyDescent="0.25">
      <c r="A304">
        <f t="shared" si="75"/>
        <v>302</v>
      </c>
      <c r="D304" s="14">
        <v>45977</v>
      </c>
      <c r="E304" s="7"/>
      <c r="F304" s="7"/>
      <c r="G304" s="66"/>
      <c r="H304" s="59"/>
      <c r="I304" s="59"/>
      <c r="J304" s="47">
        <f t="shared" si="76"/>
        <v>0</v>
      </c>
      <c r="K304" s="8">
        <f t="shared" si="77"/>
        <v>0</v>
      </c>
      <c r="L304" s="96" t="str">
        <f t="shared" si="78"/>
        <v/>
      </c>
      <c r="M304" s="81"/>
      <c r="N304" s="8">
        <v>300</v>
      </c>
      <c r="O304" s="8">
        <v>60</v>
      </c>
      <c r="P304" s="96" t="str">
        <f t="shared" si="79"/>
        <v/>
      </c>
      <c r="Q304" s="59">
        <f t="shared" si="80"/>
        <v>0</v>
      </c>
      <c r="R304" s="59">
        <f t="shared" si="81"/>
        <v>0</v>
      </c>
      <c r="S304" s="65"/>
      <c r="T304" s="65"/>
      <c r="U304" s="65"/>
      <c r="V304" s="65"/>
      <c r="W304" s="65"/>
      <c r="X304" s="65"/>
      <c r="Y304" s="65"/>
      <c r="Z304" s="65"/>
      <c r="AA304" s="65"/>
      <c r="AB304" s="65"/>
      <c r="AC304" s="65"/>
      <c r="AD304" s="65"/>
      <c r="AE304" s="65">
        <f t="shared" si="82"/>
        <v>0</v>
      </c>
      <c r="AF304" s="65"/>
      <c r="AG304" s="248">
        <f t="shared" si="83"/>
        <v>0</v>
      </c>
      <c r="AH304" s="95" t="str">
        <f t="shared" si="84"/>
        <v/>
      </c>
      <c r="AI304" s="97" t="str">
        <f t="shared" si="85"/>
        <v/>
      </c>
      <c r="AJ304" s="11"/>
    </row>
    <row r="305" spans="1:36" x14ac:dyDescent="0.25">
      <c r="A305">
        <f t="shared" si="75"/>
        <v>303</v>
      </c>
      <c r="D305" s="14">
        <v>45978</v>
      </c>
      <c r="E305" s="7"/>
      <c r="F305" s="7"/>
      <c r="G305" s="66"/>
      <c r="H305" s="59"/>
      <c r="I305" s="59"/>
      <c r="J305" s="47">
        <f t="shared" si="76"/>
        <v>0</v>
      </c>
      <c r="K305" s="8">
        <f t="shared" si="77"/>
        <v>0</v>
      </c>
      <c r="L305" s="96" t="str">
        <f t="shared" si="78"/>
        <v/>
      </c>
      <c r="M305" s="81"/>
      <c r="N305" s="8">
        <v>300</v>
      </c>
      <c r="O305" s="8">
        <v>60</v>
      </c>
      <c r="P305" s="96" t="str">
        <f t="shared" si="79"/>
        <v/>
      </c>
      <c r="Q305" s="59">
        <f t="shared" si="80"/>
        <v>0</v>
      </c>
      <c r="R305" s="59">
        <f t="shared" si="81"/>
        <v>0</v>
      </c>
      <c r="S305" s="65"/>
      <c r="T305" s="65"/>
      <c r="U305" s="65"/>
      <c r="V305" s="65"/>
      <c r="W305" s="65"/>
      <c r="X305" s="65"/>
      <c r="Y305" s="65"/>
      <c r="Z305" s="65"/>
      <c r="AA305" s="65"/>
      <c r="AB305" s="65"/>
      <c r="AC305" s="65"/>
      <c r="AD305" s="65"/>
      <c r="AE305" s="65">
        <f t="shared" si="82"/>
        <v>0</v>
      </c>
      <c r="AF305" s="65"/>
      <c r="AG305" s="248">
        <f t="shared" si="83"/>
        <v>0</v>
      </c>
      <c r="AH305" s="95" t="str">
        <f t="shared" si="84"/>
        <v/>
      </c>
      <c r="AI305" s="97" t="str">
        <f t="shared" si="85"/>
        <v/>
      </c>
      <c r="AJ305" s="11"/>
    </row>
    <row r="306" spans="1:36" x14ac:dyDescent="0.25">
      <c r="A306">
        <f t="shared" si="75"/>
        <v>304</v>
      </c>
      <c r="D306" s="14">
        <v>45979</v>
      </c>
      <c r="E306" s="7"/>
      <c r="F306" s="7"/>
      <c r="G306" s="66"/>
      <c r="H306" s="59"/>
      <c r="I306" s="59"/>
      <c r="J306" s="47">
        <f t="shared" si="76"/>
        <v>0</v>
      </c>
      <c r="K306" s="8">
        <f t="shared" si="77"/>
        <v>0</v>
      </c>
      <c r="L306" s="96" t="str">
        <f t="shared" si="78"/>
        <v/>
      </c>
      <c r="M306" s="81"/>
      <c r="N306" s="8">
        <v>300</v>
      </c>
      <c r="O306" s="8">
        <v>60</v>
      </c>
      <c r="P306" s="96" t="str">
        <f t="shared" si="79"/>
        <v/>
      </c>
      <c r="Q306" s="59">
        <f t="shared" si="80"/>
        <v>0</v>
      </c>
      <c r="R306" s="59">
        <f t="shared" si="81"/>
        <v>0</v>
      </c>
      <c r="S306" s="65"/>
      <c r="T306" s="65"/>
      <c r="U306" s="65"/>
      <c r="V306" s="65"/>
      <c r="W306" s="65"/>
      <c r="X306" s="65"/>
      <c r="Y306" s="65"/>
      <c r="Z306" s="65"/>
      <c r="AA306" s="65"/>
      <c r="AB306" s="65"/>
      <c r="AC306" s="65"/>
      <c r="AD306" s="65"/>
      <c r="AE306" s="65">
        <f t="shared" si="82"/>
        <v>0</v>
      </c>
      <c r="AF306" s="65"/>
      <c r="AG306" s="248">
        <f t="shared" si="83"/>
        <v>0</v>
      </c>
      <c r="AH306" s="95" t="str">
        <f t="shared" si="84"/>
        <v/>
      </c>
      <c r="AI306" s="97" t="str">
        <f t="shared" si="85"/>
        <v/>
      </c>
      <c r="AJ306" s="11"/>
    </row>
    <row r="307" spans="1:36" x14ac:dyDescent="0.25">
      <c r="A307">
        <f t="shared" si="75"/>
        <v>305</v>
      </c>
      <c r="D307" s="14">
        <v>45980</v>
      </c>
      <c r="E307" s="7"/>
      <c r="F307" s="7"/>
      <c r="G307" s="66"/>
      <c r="H307" s="59"/>
      <c r="I307" s="59"/>
      <c r="J307" s="47">
        <f t="shared" si="76"/>
        <v>0</v>
      </c>
      <c r="K307" s="8">
        <f t="shared" si="77"/>
        <v>0</v>
      </c>
      <c r="L307" s="96" t="str">
        <f t="shared" si="78"/>
        <v/>
      </c>
      <c r="M307" s="81"/>
      <c r="N307" s="8">
        <v>300</v>
      </c>
      <c r="O307" s="8">
        <v>60</v>
      </c>
      <c r="P307" s="96" t="str">
        <f t="shared" si="79"/>
        <v/>
      </c>
      <c r="Q307" s="59">
        <f t="shared" si="80"/>
        <v>0</v>
      </c>
      <c r="R307" s="59">
        <f t="shared" si="81"/>
        <v>0</v>
      </c>
      <c r="S307" s="65"/>
      <c r="T307" s="65"/>
      <c r="U307" s="65"/>
      <c r="V307" s="65"/>
      <c r="W307" s="65"/>
      <c r="X307" s="65"/>
      <c r="Y307" s="65"/>
      <c r="Z307" s="65"/>
      <c r="AA307" s="65"/>
      <c r="AB307" s="65"/>
      <c r="AC307" s="65"/>
      <c r="AD307" s="65"/>
      <c r="AE307" s="65">
        <f t="shared" si="82"/>
        <v>0</v>
      </c>
      <c r="AF307" s="65"/>
      <c r="AG307" s="248">
        <f t="shared" si="83"/>
        <v>0</v>
      </c>
      <c r="AH307" s="95" t="str">
        <f t="shared" si="84"/>
        <v/>
      </c>
      <c r="AI307" s="97" t="str">
        <f t="shared" si="85"/>
        <v/>
      </c>
      <c r="AJ307" s="11"/>
    </row>
    <row r="308" spans="1:36" x14ac:dyDescent="0.25">
      <c r="A308">
        <f t="shared" si="75"/>
        <v>306</v>
      </c>
      <c r="D308" s="14">
        <v>45981</v>
      </c>
      <c r="E308" s="7"/>
      <c r="F308" s="7"/>
      <c r="G308" s="66"/>
      <c r="H308" s="59"/>
      <c r="I308" s="59"/>
      <c r="J308" s="47">
        <f t="shared" si="76"/>
        <v>0</v>
      </c>
      <c r="K308" s="8">
        <f t="shared" si="77"/>
        <v>0</v>
      </c>
      <c r="L308" s="96" t="str">
        <f t="shared" si="78"/>
        <v/>
      </c>
      <c r="M308" s="81"/>
      <c r="N308" s="8">
        <v>300</v>
      </c>
      <c r="O308" s="8">
        <v>60</v>
      </c>
      <c r="P308" s="96" t="str">
        <f t="shared" si="79"/>
        <v/>
      </c>
      <c r="Q308" s="59">
        <f t="shared" si="80"/>
        <v>0</v>
      </c>
      <c r="R308" s="59">
        <f t="shared" si="81"/>
        <v>0</v>
      </c>
      <c r="S308" s="65"/>
      <c r="T308" s="65"/>
      <c r="U308" s="65"/>
      <c r="V308" s="65"/>
      <c r="W308" s="65"/>
      <c r="X308" s="65"/>
      <c r="Y308" s="65"/>
      <c r="Z308" s="65"/>
      <c r="AA308" s="65"/>
      <c r="AB308" s="65"/>
      <c r="AC308" s="65"/>
      <c r="AD308" s="65"/>
      <c r="AE308" s="65">
        <f t="shared" si="82"/>
        <v>0</v>
      </c>
      <c r="AF308" s="65"/>
      <c r="AG308" s="248">
        <f t="shared" si="83"/>
        <v>0</v>
      </c>
      <c r="AH308" s="95" t="str">
        <f t="shared" si="84"/>
        <v/>
      </c>
      <c r="AI308" s="97" t="str">
        <f t="shared" si="85"/>
        <v/>
      </c>
      <c r="AJ308" s="11"/>
    </row>
    <row r="309" spans="1:36" x14ac:dyDescent="0.25">
      <c r="A309">
        <f t="shared" si="75"/>
        <v>307</v>
      </c>
      <c r="D309" s="14">
        <v>45982</v>
      </c>
      <c r="E309" s="7"/>
      <c r="F309" s="7"/>
      <c r="G309" s="66"/>
      <c r="H309" s="59"/>
      <c r="I309" s="59"/>
      <c r="J309" s="47">
        <f t="shared" si="76"/>
        <v>0</v>
      </c>
      <c r="K309" s="8">
        <f t="shared" si="77"/>
        <v>0</v>
      </c>
      <c r="L309" s="96" t="str">
        <f t="shared" si="78"/>
        <v/>
      </c>
      <c r="M309" s="81"/>
      <c r="N309" s="8">
        <v>300</v>
      </c>
      <c r="O309" s="8">
        <v>60</v>
      </c>
      <c r="P309" s="96" t="str">
        <f t="shared" si="79"/>
        <v/>
      </c>
      <c r="Q309" s="59">
        <f t="shared" si="80"/>
        <v>0</v>
      </c>
      <c r="R309" s="59">
        <f t="shared" si="81"/>
        <v>0</v>
      </c>
      <c r="S309" s="65"/>
      <c r="T309" s="65"/>
      <c r="U309" s="65"/>
      <c r="V309" s="65"/>
      <c r="W309" s="65"/>
      <c r="X309" s="65"/>
      <c r="Y309" s="65"/>
      <c r="Z309" s="65"/>
      <c r="AA309" s="65"/>
      <c r="AB309" s="65"/>
      <c r="AC309" s="65"/>
      <c r="AD309" s="65"/>
      <c r="AE309" s="65">
        <f t="shared" si="82"/>
        <v>0</v>
      </c>
      <c r="AF309" s="65"/>
      <c r="AG309" s="248">
        <f t="shared" si="83"/>
        <v>0</v>
      </c>
      <c r="AH309" s="95" t="str">
        <f t="shared" si="84"/>
        <v/>
      </c>
      <c r="AI309" s="97" t="str">
        <f t="shared" si="85"/>
        <v/>
      </c>
      <c r="AJ309" s="11"/>
    </row>
    <row r="310" spans="1:36" x14ac:dyDescent="0.25">
      <c r="A310">
        <f t="shared" si="75"/>
        <v>308</v>
      </c>
      <c r="D310" s="14">
        <v>45983</v>
      </c>
      <c r="E310" s="7"/>
      <c r="F310" s="7"/>
      <c r="G310" s="66"/>
      <c r="H310" s="59"/>
      <c r="I310" s="59"/>
      <c r="J310" s="47">
        <f t="shared" si="76"/>
        <v>0</v>
      </c>
      <c r="K310" s="8">
        <f t="shared" si="77"/>
        <v>0</v>
      </c>
      <c r="L310" s="96" t="str">
        <f t="shared" si="78"/>
        <v/>
      </c>
      <c r="M310" s="81"/>
      <c r="N310" s="8">
        <v>300</v>
      </c>
      <c r="O310" s="8">
        <v>60</v>
      </c>
      <c r="P310" s="96" t="str">
        <f t="shared" si="79"/>
        <v/>
      </c>
      <c r="Q310" s="59">
        <f t="shared" si="80"/>
        <v>0</v>
      </c>
      <c r="R310" s="59">
        <f t="shared" si="81"/>
        <v>0</v>
      </c>
      <c r="S310" s="65"/>
      <c r="T310" s="65"/>
      <c r="U310" s="65"/>
      <c r="V310" s="65"/>
      <c r="W310" s="65"/>
      <c r="X310" s="65"/>
      <c r="Y310" s="65"/>
      <c r="Z310" s="65"/>
      <c r="AA310" s="65"/>
      <c r="AB310" s="65"/>
      <c r="AC310" s="65"/>
      <c r="AD310" s="65"/>
      <c r="AE310" s="65">
        <f t="shared" si="82"/>
        <v>0</v>
      </c>
      <c r="AF310" s="65"/>
      <c r="AG310" s="248">
        <f t="shared" si="83"/>
        <v>0</v>
      </c>
      <c r="AH310" s="95" t="str">
        <f t="shared" si="84"/>
        <v/>
      </c>
      <c r="AI310" s="97" t="str">
        <f t="shared" si="85"/>
        <v/>
      </c>
      <c r="AJ310" s="11"/>
    </row>
    <row r="311" spans="1:36" x14ac:dyDescent="0.25">
      <c r="A311">
        <f t="shared" si="75"/>
        <v>309</v>
      </c>
      <c r="D311" s="14">
        <v>45984</v>
      </c>
      <c r="E311" s="7"/>
      <c r="F311" s="7"/>
      <c r="G311" s="66"/>
      <c r="H311" s="59"/>
      <c r="I311" s="59"/>
      <c r="J311" s="47">
        <f t="shared" si="76"/>
        <v>0</v>
      </c>
      <c r="K311" s="8">
        <f t="shared" si="77"/>
        <v>0</v>
      </c>
      <c r="L311" s="96" t="str">
        <f t="shared" si="78"/>
        <v/>
      </c>
      <c r="M311" s="81"/>
      <c r="N311" s="8">
        <v>300</v>
      </c>
      <c r="O311" s="8">
        <v>60</v>
      </c>
      <c r="P311" s="96" t="str">
        <f t="shared" si="79"/>
        <v/>
      </c>
      <c r="Q311" s="59">
        <f t="shared" si="80"/>
        <v>0</v>
      </c>
      <c r="R311" s="59">
        <f t="shared" si="81"/>
        <v>0</v>
      </c>
      <c r="S311" s="65"/>
      <c r="T311" s="65"/>
      <c r="U311" s="65"/>
      <c r="V311" s="65"/>
      <c r="W311" s="65"/>
      <c r="X311" s="65"/>
      <c r="Y311" s="65"/>
      <c r="Z311" s="65"/>
      <c r="AA311" s="65"/>
      <c r="AB311" s="65"/>
      <c r="AC311" s="65"/>
      <c r="AD311" s="65"/>
      <c r="AE311" s="65">
        <f t="shared" si="82"/>
        <v>0</v>
      </c>
      <c r="AF311" s="65"/>
      <c r="AG311" s="248">
        <f t="shared" si="83"/>
        <v>0</v>
      </c>
      <c r="AH311" s="95" t="str">
        <f t="shared" si="84"/>
        <v/>
      </c>
      <c r="AI311" s="97" t="str">
        <f t="shared" si="85"/>
        <v/>
      </c>
      <c r="AJ311" s="11"/>
    </row>
    <row r="312" spans="1:36" x14ac:dyDescent="0.25">
      <c r="A312">
        <f t="shared" si="75"/>
        <v>310</v>
      </c>
      <c r="D312" s="14">
        <v>45985</v>
      </c>
      <c r="E312" s="7"/>
      <c r="F312" s="7"/>
      <c r="G312" s="66"/>
      <c r="H312" s="59"/>
      <c r="I312" s="59"/>
      <c r="J312" s="47">
        <f t="shared" si="76"/>
        <v>0</v>
      </c>
      <c r="K312" s="8">
        <f t="shared" si="77"/>
        <v>0</v>
      </c>
      <c r="L312" s="96" t="str">
        <f t="shared" si="78"/>
        <v/>
      </c>
      <c r="M312" s="81"/>
      <c r="N312" s="8">
        <v>300</v>
      </c>
      <c r="O312" s="8">
        <v>60</v>
      </c>
      <c r="P312" s="96" t="str">
        <f t="shared" si="79"/>
        <v/>
      </c>
      <c r="Q312" s="59">
        <f t="shared" si="80"/>
        <v>0</v>
      </c>
      <c r="R312" s="59">
        <f t="shared" si="81"/>
        <v>0</v>
      </c>
      <c r="S312" s="65"/>
      <c r="T312" s="65"/>
      <c r="U312" s="65"/>
      <c r="V312" s="65"/>
      <c r="W312" s="65"/>
      <c r="X312" s="65"/>
      <c r="Y312" s="65"/>
      <c r="Z312" s="65"/>
      <c r="AA312" s="65"/>
      <c r="AB312" s="65"/>
      <c r="AC312" s="65"/>
      <c r="AD312" s="65"/>
      <c r="AE312" s="65">
        <f t="shared" si="82"/>
        <v>0</v>
      </c>
      <c r="AF312" s="65"/>
      <c r="AG312" s="248">
        <f t="shared" si="83"/>
        <v>0</v>
      </c>
      <c r="AH312" s="95" t="str">
        <f t="shared" si="84"/>
        <v/>
      </c>
      <c r="AI312" s="97" t="str">
        <f t="shared" si="85"/>
        <v/>
      </c>
      <c r="AJ312" s="11"/>
    </row>
    <row r="313" spans="1:36" x14ac:dyDescent="0.25">
      <c r="A313">
        <f t="shared" si="75"/>
        <v>311</v>
      </c>
      <c r="D313" s="14">
        <v>45986</v>
      </c>
      <c r="E313" s="7"/>
      <c r="F313" s="7"/>
      <c r="G313" s="66"/>
      <c r="H313" s="59"/>
      <c r="I313" s="59"/>
      <c r="J313" s="47">
        <f t="shared" si="76"/>
        <v>0</v>
      </c>
      <c r="K313" s="8">
        <f t="shared" si="77"/>
        <v>0</v>
      </c>
      <c r="L313" s="96" t="str">
        <f t="shared" si="78"/>
        <v/>
      </c>
      <c r="M313" s="81"/>
      <c r="N313" s="8">
        <v>300</v>
      </c>
      <c r="O313" s="8">
        <v>60</v>
      </c>
      <c r="P313" s="96" t="str">
        <f t="shared" si="79"/>
        <v/>
      </c>
      <c r="Q313" s="59">
        <f t="shared" si="80"/>
        <v>0</v>
      </c>
      <c r="R313" s="59">
        <f t="shared" si="81"/>
        <v>0</v>
      </c>
      <c r="S313" s="65"/>
      <c r="T313" s="65"/>
      <c r="U313" s="65"/>
      <c r="V313" s="65"/>
      <c r="W313" s="65"/>
      <c r="X313" s="65"/>
      <c r="Y313" s="65"/>
      <c r="Z313" s="65"/>
      <c r="AA313" s="65"/>
      <c r="AB313" s="65"/>
      <c r="AC313" s="65"/>
      <c r="AD313" s="65"/>
      <c r="AE313" s="65">
        <f t="shared" si="82"/>
        <v>0</v>
      </c>
      <c r="AF313" s="65"/>
      <c r="AG313" s="248">
        <f t="shared" si="83"/>
        <v>0</v>
      </c>
      <c r="AH313" s="95" t="str">
        <f t="shared" si="84"/>
        <v/>
      </c>
      <c r="AI313" s="97" t="str">
        <f t="shared" si="85"/>
        <v/>
      </c>
      <c r="AJ313" s="11"/>
    </row>
    <row r="314" spans="1:36" x14ac:dyDescent="0.25">
      <c r="A314">
        <f t="shared" si="75"/>
        <v>312</v>
      </c>
      <c r="D314" s="14">
        <v>45987</v>
      </c>
      <c r="E314" s="7"/>
      <c r="F314" s="7"/>
      <c r="G314" s="66"/>
      <c r="H314" s="59"/>
      <c r="I314" s="59"/>
      <c r="J314" s="47">
        <f t="shared" si="76"/>
        <v>0</v>
      </c>
      <c r="K314" s="8">
        <f t="shared" si="77"/>
        <v>0</v>
      </c>
      <c r="L314" s="96" t="str">
        <f t="shared" si="78"/>
        <v/>
      </c>
      <c r="M314" s="81"/>
      <c r="N314" s="8">
        <v>300</v>
      </c>
      <c r="O314" s="8">
        <v>60</v>
      </c>
      <c r="P314" s="96" t="str">
        <f t="shared" si="79"/>
        <v/>
      </c>
      <c r="Q314" s="59">
        <f t="shared" si="80"/>
        <v>0</v>
      </c>
      <c r="R314" s="59">
        <f t="shared" si="81"/>
        <v>0</v>
      </c>
      <c r="S314" s="65"/>
      <c r="T314" s="65"/>
      <c r="U314" s="65"/>
      <c r="V314" s="65"/>
      <c r="W314" s="65"/>
      <c r="X314" s="65"/>
      <c r="Y314" s="65"/>
      <c r="Z314" s="65"/>
      <c r="AA314" s="65"/>
      <c r="AB314" s="65"/>
      <c r="AC314" s="65"/>
      <c r="AD314" s="65"/>
      <c r="AE314" s="65">
        <f t="shared" si="82"/>
        <v>0</v>
      </c>
      <c r="AF314" s="65"/>
      <c r="AG314" s="248">
        <f t="shared" si="83"/>
        <v>0</v>
      </c>
      <c r="AH314" s="95" t="str">
        <f t="shared" si="84"/>
        <v/>
      </c>
      <c r="AI314" s="97" t="str">
        <f t="shared" si="85"/>
        <v/>
      </c>
      <c r="AJ314" s="11"/>
    </row>
    <row r="315" spans="1:36" x14ac:dyDescent="0.25">
      <c r="A315">
        <f t="shared" si="75"/>
        <v>313</v>
      </c>
      <c r="D315" s="14">
        <v>45988</v>
      </c>
      <c r="E315" s="7"/>
      <c r="F315" s="7"/>
      <c r="G315" s="66"/>
      <c r="H315" s="59"/>
      <c r="I315" s="59"/>
      <c r="J315" s="47">
        <f t="shared" si="76"/>
        <v>0</v>
      </c>
      <c r="K315" s="8">
        <f t="shared" si="77"/>
        <v>0</v>
      </c>
      <c r="L315" s="96" t="str">
        <f t="shared" si="78"/>
        <v/>
      </c>
      <c r="M315" s="81"/>
      <c r="N315" s="8">
        <v>300</v>
      </c>
      <c r="O315" s="8">
        <v>60</v>
      </c>
      <c r="P315" s="96" t="str">
        <f t="shared" si="79"/>
        <v/>
      </c>
      <c r="Q315" s="59">
        <f t="shared" si="80"/>
        <v>0</v>
      </c>
      <c r="R315" s="59">
        <f t="shared" si="81"/>
        <v>0</v>
      </c>
      <c r="S315" s="65"/>
      <c r="T315" s="65"/>
      <c r="U315" s="65"/>
      <c r="V315" s="65"/>
      <c r="W315" s="65"/>
      <c r="X315" s="65"/>
      <c r="Y315" s="65"/>
      <c r="Z315" s="65"/>
      <c r="AA315" s="65"/>
      <c r="AB315" s="65"/>
      <c r="AC315" s="65"/>
      <c r="AD315" s="65"/>
      <c r="AE315" s="65">
        <f t="shared" si="82"/>
        <v>0</v>
      </c>
      <c r="AF315" s="65"/>
      <c r="AG315" s="248">
        <f t="shared" si="83"/>
        <v>0</v>
      </c>
      <c r="AH315" s="95" t="str">
        <f t="shared" si="84"/>
        <v/>
      </c>
      <c r="AI315" s="97" t="str">
        <f t="shared" si="85"/>
        <v/>
      </c>
      <c r="AJ315" s="11"/>
    </row>
    <row r="316" spans="1:36" x14ac:dyDescent="0.25">
      <c r="A316">
        <f t="shared" si="75"/>
        <v>314</v>
      </c>
      <c r="D316" s="14">
        <v>45989</v>
      </c>
      <c r="E316" s="7"/>
      <c r="F316" s="7"/>
      <c r="G316" s="66"/>
      <c r="H316" s="59"/>
      <c r="I316" s="59"/>
      <c r="J316" s="47">
        <f t="shared" si="76"/>
        <v>0</v>
      </c>
      <c r="K316" s="8">
        <f t="shared" si="77"/>
        <v>0</v>
      </c>
      <c r="L316" s="96" t="str">
        <f t="shared" si="78"/>
        <v/>
      </c>
      <c r="M316" s="81"/>
      <c r="N316" s="8">
        <v>300</v>
      </c>
      <c r="O316" s="8">
        <v>60</v>
      </c>
      <c r="P316" s="96" t="str">
        <f t="shared" si="79"/>
        <v/>
      </c>
      <c r="Q316" s="59">
        <f t="shared" si="80"/>
        <v>0</v>
      </c>
      <c r="R316" s="59">
        <f t="shared" si="81"/>
        <v>0</v>
      </c>
      <c r="S316" s="65"/>
      <c r="T316" s="65"/>
      <c r="U316" s="65"/>
      <c r="V316" s="65"/>
      <c r="W316" s="65"/>
      <c r="X316" s="65"/>
      <c r="Y316" s="65"/>
      <c r="Z316" s="65"/>
      <c r="AA316" s="65"/>
      <c r="AB316" s="65"/>
      <c r="AC316" s="65"/>
      <c r="AD316" s="65"/>
      <c r="AE316" s="65">
        <f t="shared" si="82"/>
        <v>0</v>
      </c>
      <c r="AF316" s="65"/>
      <c r="AG316" s="248">
        <f t="shared" si="83"/>
        <v>0</v>
      </c>
      <c r="AH316" s="95" t="str">
        <f t="shared" si="84"/>
        <v/>
      </c>
      <c r="AI316" s="97" t="str">
        <f t="shared" si="85"/>
        <v/>
      </c>
      <c r="AJ316" s="11"/>
    </row>
    <row r="317" spans="1:36" x14ac:dyDescent="0.25">
      <c r="A317">
        <f t="shared" si="75"/>
        <v>315</v>
      </c>
      <c r="D317" s="14">
        <v>45990</v>
      </c>
      <c r="E317" s="7"/>
      <c r="F317" s="7"/>
      <c r="G317" s="66"/>
      <c r="H317" s="59"/>
      <c r="I317" s="59"/>
      <c r="J317" s="47">
        <f t="shared" si="76"/>
        <v>0</v>
      </c>
      <c r="K317" s="8">
        <f t="shared" si="77"/>
        <v>0</v>
      </c>
      <c r="L317" s="96" t="str">
        <f t="shared" si="78"/>
        <v/>
      </c>
      <c r="M317" s="81"/>
      <c r="N317" s="8">
        <v>300</v>
      </c>
      <c r="O317" s="8">
        <v>60</v>
      </c>
      <c r="P317" s="96" t="str">
        <f t="shared" si="79"/>
        <v/>
      </c>
      <c r="Q317" s="59">
        <f t="shared" si="80"/>
        <v>0</v>
      </c>
      <c r="R317" s="59">
        <f t="shared" si="81"/>
        <v>0</v>
      </c>
      <c r="S317" s="65"/>
      <c r="T317" s="65"/>
      <c r="U317" s="65"/>
      <c r="V317" s="65"/>
      <c r="W317" s="65"/>
      <c r="X317" s="65"/>
      <c r="Y317" s="65"/>
      <c r="Z317" s="65"/>
      <c r="AA317" s="65"/>
      <c r="AB317" s="65"/>
      <c r="AC317" s="65"/>
      <c r="AD317" s="65"/>
      <c r="AE317" s="65">
        <f t="shared" si="82"/>
        <v>0</v>
      </c>
      <c r="AF317" s="65"/>
      <c r="AG317" s="248">
        <f t="shared" si="83"/>
        <v>0</v>
      </c>
      <c r="AH317" s="95" t="str">
        <f t="shared" si="84"/>
        <v/>
      </c>
      <c r="AI317" s="97" t="str">
        <f t="shared" si="85"/>
        <v/>
      </c>
      <c r="AJ317" s="11"/>
    </row>
    <row r="318" spans="1:36" x14ac:dyDescent="0.25">
      <c r="A318">
        <f t="shared" si="75"/>
        <v>316</v>
      </c>
      <c r="D318" s="14">
        <v>45991</v>
      </c>
      <c r="E318" s="7"/>
      <c r="F318" s="7"/>
      <c r="G318" s="66"/>
      <c r="H318" s="59"/>
      <c r="I318" s="59"/>
      <c r="J318" s="47">
        <f t="shared" si="76"/>
        <v>0</v>
      </c>
      <c r="K318" s="8">
        <f t="shared" si="77"/>
        <v>0</v>
      </c>
      <c r="L318" s="96" t="str">
        <f t="shared" si="78"/>
        <v/>
      </c>
      <c r="M318" s="81"/>
      <c r="N318" s="8">
        <v>300</v>
      </c>
      <c r="O318" s="8">
        <v>60</v>
      </c>
      <c r="P318" s="96" t="str">
        <f t="shared" si="79"/>
        <v/>
      </c>
      <c r="Q318" s="59">
        <f t="shared" si="80"/>
        <v>0</v>
      </c>
      <c r="R318" s="59">
        <f t="shared" si="81"/>
        <v>0</v>
      </c>
      <c r="S318" s="65"/>
      <c r="T318" s="65"/>
      <c r="U318" s="65"/>
      <c r="V318" s="65"/>
      <c r="W318" s="65"/>
      <c r="X318" s="65"/>
      <c r="Y318" s="65"/>
      <c r="Z318" s="65"/>
      <c r="AA318" s="65"/>
      <c r="AB318" s="65"/>
      <c r="AC318" s="65"/>
      <c r="AD318" s="65"/>
      <c r="AE318" s="65">
        <f t="shared" si="82"/>
        <v>0</v>
      </c>
      <c r="AF318" s="65"/>
      <c r="AG318" s="248">
        <f t="shared" si="83"/>
        <v>0</v>
      </c>
      <c r="AH318" s="95" t="str">
        <f t="shared" si="84"/>
        <v/>
      </c>
      <c r="AI318" s="97" t="str">
        <f t="shared" si="85"/>
        <v/>
      </c>
      <c r="AJ318" s="11"/>
    </row>
    <row r="319" spans="1:36" x14ac:dyDescent="0.25">
      <c r="A319">
        <f t="shared" si="75"/>
        <v>317</v>
      </c>
      <c r="D319" s="14">
        <v>45992</v>
      </c>
      <c r="E319" s="7"/>
      <c r="F319" s="7"/>
      <c r="G319" s="66"/>
      <c r="H319" s="59"/>
      <c r="I319" s="59"/>
      <c r="J319" s="47">
        <f t="shared" si="76"/>
        <v>0</v>
      </c>
      <c r="K319" s="8">
        <f t="shared" si="77"/>
        <v>0</v>
      </c>
      <c r="L319" s="96" t="str">
        <f t="shared" si="78"/>
        <v/>
      </c>
      <c r="M319" s="81"/>
      <c r="N319" s="8">
        <v>300</v>
      </c>
      <c r="O319" s="8">
        <v>60</v>
      </c>
      <c r="P319" s="96" t="str">
        <f t="shared" si="79"/>
        <v/>
      </c>
      <c r="Q319" s="59">
        <f t="shared" si="80"/>
        <v>0</v>
      </c>
      <c r="R319" s="59">
        <f t="shared" si="81"/>
        <v>0</v>
      </c>
      <c r="S319" s="65"/>
      <c r="T319" s="65"/>
      <c r="U319" s="65"/>
      <c r="V319" s="65"/>
      <c r="W319" s="65"/>
      <c r="X319" s="65"/>
      <c r="Y319" s="65"/>
      <c r="Z319" s="65"/>
      <c r="AA319" s="65"/>
      <c r="AB319" s="65"/>
      <c r="AC319" s="65"/>
      <c r="AD319" s="65"/>
      <c r="AE319" s="65">
        <f t="shared" si="82"/>
        <v>0</v>
      </c>
      <c r="AF319" s="65"/>
      <c r="AG319" s="248">
        <f t="shared" si="83"/>
        <v>0</v>
      </c>
      <c r="AH319" s="95" t="str">
        <f t="shared" si="84"/>
        <v/>
      </c>
      <c r="AI319" s="97" t="str">
        <f t="shared" si="85"/>
        <v/>
      </c>
      <c r="AJ319" s="11"/>
    </row>
    <row r="320" spans="1:36" x14ac:dyDescent="0.25">
      <c r="A320">
        <f t="shared" si="75"/>
        <v>318</v>
      </c>
      <c r="D320" s="14">
        <v>45993</v>
      </c>
      <c r="E320" s="7"/>
      <c r="F320" s="7"/>
      <c r="G320" s="66"/>
      <c r="H320" s="59"/>
      <c r="I320" s="59"/>
      <c r="J320" s="47">
        <f t="shared" si="76"/>
        <v>0</v>
      </c>
      <c r="K320" s="8">
        <f t="shared" si="77"/>
        <v>0</v>
      </c>
      <c r="L320" s="96" t="str">
        <f t="shared" si="78"/>
        <v/>
      </c>
      <c r="M320" s="81"/>
      <c r="N320" s="8">
        <v>300</v>
      </c>
      <c r="O320" s="8">
        <v>60</v>
      </c>
      <c r="P320" s="96" t="str">
        <f t="shared" si="79"/>
        <v/>
      </c>
      <c r="Q320" s="59">
        <f t="shared" si="80"/>
        <v>0</v>
      </c>
      <c r="R320" s="59">
        <f t="shared" si="81"/>
        <v>0</v>
      </c>
      <c r="S320" s="65"/>
      <c r="T320" s="65"/>
      <c r="U320" s="65"/>
      <c r="V320" s="65"/>
      <c r="W320" s="65"/>
      <c r="X320" s="65"/>
      <c r="Y320" s="65"/>
      <c r="Z320" s="65"/>
      <c r="AA320" s="65"/>
      <c r="AB320" s="65"/>
      <c r="AC320" s="65"/>
      <c r="AD320" s="65"/>
      <c r="AE320" s="65">
        <f t="shared" si="82"/>
        <v>0</v>
      </c>
      <c r="AF320" s="65"/>
      <c r="AG320" s="248">
        <f t="shared" si="83"/>
        <v>0</v>
      </c>
      <c r="AH320" s="95" t="str">
        <f t="shared" si="84"/>
        <v/>
      </c>
      <c r="AI320" s="97" t="str">
        <f t="shared" si="85"/>
        <v/>
      </c>
      <c r="AJ320" s="11"/>
    </row>
    <row r="321" spans="1:36" x14ac:dyDescent="0.25">
      <c r="A321">
        <f t="shared" si="75"/>
        <v>319</v>
      </c>
      <c r="D321" s="14">
        <v>45994</v>
      </c>
      <c r="E321" s="7"/>
      <c r="F321" s="7"/>
      <c r="G321" s="66"/>
      <c r="H321" s="59"/>
      <c r="I321" s="59"/>
      <c r="J321" s="47">
        <f t="shared" si="76"/>
        <v>0</v>
      </c>
      <c r="K321" s="8">
        <f t="shared" si="77"/>
        <v>0</v>
      </c>
      <c r="L321" s="96" t="str">
        <f t="shared" si="78"/>
        <v/>
      </c>
      <c r="M321" s="81"/>
      <c r="N321" s="8">
        <v>300</v>
      </c>
      <c r="O321" s="8">
        <v>60</v>
      </c>
      <c r="P321" s="96" t="str">
        <f t="shared" si="79"/>
        <v/>
      </c>
      <c r="Q321" s="59">
        <f t="shared" si="80"/>
        <v>0</v>
      </c>
      <c r="R321" s="59">
        <f t="shared" si="81"/>
        <v>0</v>
      </c>
      <c r="S321" s="65"/>
      <c r="T321" s="65"/>
      <c r="U321" s="65"/>
      <c r="V321" s="65"/>
      <c r="W321" s="65"/>
      <c r="X321" s="65"/>
      <c r="Y321" s="65"/>
      <c r="Z321" s="65"/>
      <c r="AA321" s="65"/>
      <c r="AB321" s="65"/>
      <c r="AC321" s="65"/>
      <c r="AD321" s="65"/>
      <c r="AE321" s="65">
        <f t="shared" si="82"/>
        <v>0</v>
      </c>
      <c r="AF321" s="65"/>
      <c r="AG321" s="248">
        <f t="shared" si="83"/>
        <v>0</v>
      </c>
      <c r="AH321" s="95" t="str">
        <f t="shared" si="84"/>
        <v/>
      </c>
      <c r="AI321" s="97" t="str">
        <f t="shared" si="85"/>
        <v/>
      </c>
      <c r="AJ321" s="11"/>
    </row>
    <row r="322" spans="1:36" x14ac:dyDescent="0.25">
      <c r="A322">
        <f t="shared" si="75"/>
        <v>320</v>
      </c>
      <c r="D322" s="14">
        <v>45995</v>
      </c>
      <c r="E322" s="7"/>
      <c r="F322" s="7"/>
      <c r="G322" s="66"/>
      <c r="H322" s="59"/>
      <c r="I322" s="59"/>
      <c r="J322" s="47">
        <f t="shared" si="76"/>
        <v>0</v>
      </c>
      <c r="K322" s="8">
        <f t="shared" si="77"/>
        <v>0</v>
      </c>
      <c r="L322" s="96" t="str">
        <f t="shared" si="78"/>
        <v/>
      </c>
      <c r="M322" s="81"/>
      <c r="N322" s="8">
        <v>300</v>
      </c>
      <c r="O322" s="8">
        <v>60</v>
      </c>
      <c r="P322" s="96" t="str">
        <f t="shared" si="79"/>
        <v/>
      </c>
      <c r="Q322" s="59">
        <f t="shared" si="80"/>
        <v>0</v>
      </c>
      <c r="R322" s="59">
        <f t="shared" si="81"/>
        <v>0</v>
      </c>
      <c r="S322" s="65"/>
      <c r="T322" s="65"/>
      <c r="U322" s="65"/>
      <c r="V322" s="65"/>
      <c r="W322" s="65"/>
      <c r="X322" s="65"/>
      <c r="Y322" s="65"/>
      <c r="Z322" s="65"/>
      <c r="AA322" s="65"/>
      <c r="AB322" s="65"/>
      <c r="AC322" s="65"/>
      <c r="AD322" s="65"/>
      <c r="AE322" s="65">
        <f t="shared" si="82"/>
        <v>0</v>
      </c>
      <c r="AF322" s="65"/>
      <c r="AG322" s="248">
        <f t="shared" si="83"/>
        <v>0</v>
      </c>
      <c r="AH322" s="95" t="str">
        <f t="shared" si="84"/>
        <v/>
      </c>
      <c r="AI322" s="97" t="str">
        <f t="shared" si="85"/>
        <v/>
      </c>
      <c r="AJ322" s="11"/>
    </row>
    <row r="323" spans="1:36" x14ac:dyDescent="0.25">
      <c r="A323">
        <f t="shared" si="75"/>
        <v>321</v>
      </c>
      <c r="D323" s="14">
        <v>45996</v>
      </c>
      <c r="E323" s="7"/>
      <c r="F323" s="7"/>
      <c r="G323" s="66"/>
      <c r="H323" s="59"/>
      <c r="I323" s="59"/>
      <c r="J323" s="47">
        <f t="shared" si="76"/>
        <v>0</v>
      </c>
      <c r="K323" s="8">
        <f t="shared" si="77"/>
        <v>0</v>
      </c>
      <c r="L323" s="96" t="str">
        <f t="shared" si="78"/>
        <v/>
      </c>
      <c r="M323" s="81"/>
      <c r="N323" s="8">
        <v>300</v>
      </c>
      <c r="O323" s="8">
        <v>60</v>
      </c>
      <c r="P323" s="96" t="str">
        <f t="shared" si="79"/>
        <v/>
      </c>
      <c r="Q323" s="59">
        <f t="shared" si="80"/>
        <v>0</v>
      </c>
      <c r="R323" s="59">
        <f t="shared" si="81"/>
        <v>0</v>
      </c>
      <c r="S323" s="65"/>
      <c r="T323" s="65"/>
      <c r="U323" s="65"/>
      <c r="V323" s="65"/>
      <c r="W323" s="65"/>
      <c r="X323" s="65"/>
      <c r="Y323" s="65"/>
      <c r="Z323" s="65"/>
      <c r="AA323" s="65"/>
      <c r="AB323" s="65"/>
      <c r="AC323" s="65"/>
      <c r="AD323" s="65"/>
      <c r="AE323" s="65">
        <f t="shared" si="82"/>
        <v>0</v>
      </c>
      <c r="AF323" s="65"/>
      <c r="AG323" s="248">
        <f t="shared" si="83"/>
        <v>0</v>
      </c>
      <c r="AH323" s="95" t="str">
        <f t="shared" si="84"/>
        <v/>
      </c>
      <c r="AI323" s="97" t="str">
        <f t="shared" si="85"/>
        <v/>
      </c>
      <c r="AJ323" s="11"/>
    </row>
    <row r="324" spans="1:36" x14ac:dyDescent="0.25">
      <c r="A324">
        <f t="shared" si="75"/>
        <v>322</v>
      </c>
      <c r="D324" s="14">
        <v>45997</v>
      </c>
      <c r="E324" s="7"/>
      <c r="F324" s="7"/>
      <c r="G324" s="66"/>
      <c r="H324" s="59"/>
      <c r="I324" s="59"/>
      <c r="J324" s="47">
        <f t="shared" si="76"/>
        <v>0</v>
      </c>
      <c r="K324" s="8">
        <f t="shared" si="77"/>
        <v>0</v>
      </c>
      <c r="L324" s="96" t="str">
        <f t="shared" si="78"/>
        <v/>
      </c>
      <c r="M324" s="81"/>
      <c r="N324" s="8">
        <v>300</v>
      </c>
      <c r="O324" s="8">
        <v>60</v>
      </c>
      <c r="P324" s="96" t="str">
        <f t="shared" si="79"/>
        <v/>
      </c>
      <c r="Q324" s="59">
        <f t="shared" si="80"/>
        <v>0</v>
      </c>
      <c r="R324" s="59">
        <f t="shared" si="81"/>
        <v>0</v>
      </c>
      <c r="S324" s="65"/>
      <c r="T324" s="65"/>
      <c r="U324" s="65"/>
      <c r="V324" s="65"/>
      <c r="W324" s="65"/>
      <c r="X324" s="65"/>
      <c r="Y324" s="65"/>
      <c r="Z324" s="65"/>
      <c r="AA324" s="65"/>
      <c r="AB324" s="65"/>
      <c r="AC324" s="65"/>
      <c r="AD324" s="65"/>
      <c r="AE324" s="65">
        <f t="shared" si="82"/>
        <v>0</v>
      </c>
      <c r="AF324" s="65"/>
      <c r="AG324" s="248">
        <f t="shared" si="83"/>
        <v>0</v>
      </c>
      <c r="AH324" s="95" t="str">
        <f t="shared" si="84"/>
        <v/>
      </c>
      <c r="AI324" s="97" t="str">
        <f t="shared" si="85"/>
        <v/>
      </c>
      <c r="AJ324" s="11"/>
    </row>
    <row r="325" spans="1:36" x14ac:dyDescent="0.25">
      <c r="A325">
        <f t="shared" ref="A325:A388" si="86">A324+1</f>
        <v>323</v>
      </c>
      <c r="D325" s="14">
        <v>45998</v>
      </c>
      <c r="E325" s="7"/>
      <c r="F325" s="7"/>
      <c r="G325" s="66"/>
      <c r="H325" s="59"/>
      <c r="I325" s="59"/>
      <c r="J325" s="47">
        <f t="shared" si="76"/>
        <v>0</v>
      </c>
      <c r="K325" s="8">
        <f t="shared" si="77"/>
        <v>0</v>
      </c>
      <c r="L325" s="96" t="str">
        <f t="shared" si="78"/>
        <v/>
      </c>
      <c r="M325" s="81"/>
      <c r="N325" s="8">
        <v>300</v>
      </c>
      <c r="O325" s="8">
        <v>60</v>
      </c>
      <c r="P325" s="96" t="str">
        <f t="shared" si="79"/>
        <v/>
      </c>
      <c r="Q325" s="59">
        <f t="shared" si="80"/>
        <v>0</v>
      </c>
      <c r="R325" s="59">
        <f t="shared" si="81"/>
        <v>0</v>
      </c>
      <c r="S325" s="65"/>
      <c r="T325" s="65"/>
      <c r="U325" s="65"/>
      <c r="V325" s="65"/>
      <c r="W325" s="65"/>
      <c r="X325" s="65"/>
      <c r="Y325" s="65"/>
      <c r="Z325" s="65"/>
      <c r="AA325" s="65"/>
      <c r="AB325" s="65"/>
      <c r="AC325" s="65"/>
      <c r="AD325" s="65"/>
      <c r="AE325" s="65">
        <f t="shared" si="82"/>
        <v>0</v>
      </c>
      <c r="AF325" s="65"/>
      <c r="AG325" s="248">
        <f t="shared" si="83"/>
        <v>0</v>
      </c>
      <c r="AH325" s="95" t="str">
        <f t="shared" si="84"/>
        <v/>
      </c>
      <c r="AI325" s="97" t="str">
        <f t="shared" si="85"/>
        <v/>
      </c>
      <c r="AJ325" s="11"/>
    </row>
    <row r="326" spans="1:36" x14ac:dyDescent="0.25">
      <c r="A326">
        <f t="shared" si="86"/>
        <v>324</v>
      </c>
      <c r="D326" s="14">
        <v>45999</v>
      </c>
      <c r="E326" s="7"/>
      <c r="F326" s="7"/>
      <c r="G326" s="66"/>
      <c r="H326" s="59"/>
      <c r="I326" s="59"/>
      <c r="J326" s="47">
        <f t="shared" si="76"/>
        <v>0</v>
      </c>
      <c r="K326" s="8">
        <f t="shared" si="77"/>
        <v>0</v>
      </c>
      <c r="L326" s="96" t="str">
        <f t="shared" si="78"/>
        <v/>
      </c>
      <c r="M326" s="81"/>
      <c r="N326" s="8">
        <v>300</v>
      </c>
      <c r="O326" s="8">
        <v>60</v>
      </c>
      <c r="P326" s="96" t="str">
        <f t="shared" si="79"/>
        <v/>
      </c>
      <c r="Q326" s="59">
        <f t="shared" si="80"/>
        <v>0</v>
      </c>
      <c r="R326" s="59">
        <f t="shared" si="81"/>
        <v>0</v>
      </c>
      <c r="S326" s="65"/>
      <c r="T326" s="65"/>
      <c r="U326" s="65"/>
      <c r="V326" s="65"/>
      <c r="W326" s="65"/>
      <c r="X326" s="65"/>
      <c r="Y326" s="65"/>
      <c r="Z326" s="65"/>
      <c r="AA326" s="65"/>
      <c r="AB326" s="65"/>
      <c r="AC326" s="65"/>
      <c r="AD326" s="65"/>
      <c r="AE326" s="65">
        <f t="shared" si="82"/>
        <v>0</v>
      </c>
      <c r="AF326" s="65"/>
      <c r="AG326" s="248">
        <f t="shared" si="83"/>
        <v>0</v>
      </c>
      <c r="AH326" s="95" t="str">
        <f t="shared" si="84"/>
        <v/>
      </c>
      <c r="AI326" s="97" t="str">
        <f t="shared" si="85"/>
        <v/>
      </c>
      <c r="AJ326" s="11"/>
    </row>
    <row r="327" spans="1:36" x14ac:dyDescent="0.25">
      <c r="A327">
        <f t="shared" si="86"/>
        <v>325</v>
      </c>
      <c r="D327" s="14">
        <v>46000</v>
      </c>
      <c r="E327" s="7"/>
      <c r="F327" s="7"/>
      <c r="G327" s="66"/>
      <c r="H327" s="59"/>
      <c r="I327" s="59"/>
      <c r="J327" s="47">
        <f t="shared" si="76"/>
        <v>0</v>
      </c>
      <c r="K327" s="8">
        <f t="shared" si="77"/>
        <v>0</v>
      </c>
      <c r="L327" s="96" t="str">
        <f t="shared" si="78"/>
        <v/>
      </c>
      <c r="M327" s="81"/>
      <c r="N327" s="8">
        <v>300</v>
      </c>
      <c r="O327" s="8">
        <v>60</v>
      </c>
      <c r="P327" s="96" t="str">
        <f t="shared" si="79"/>
        <v/>
      </c>
      <c r="Q327" s="59">
        <f t="shared" si="80"/>
        <v>0</v>
      </c>
      <c r="R327" s="59">
        <f t="shared" si="81"/>
        <v>0</v>
      </c>
      <c r="S327" s="65"/>
      <c r="T327" s="65"/>
      <c r="U327" s="65"/>
      <c r="V327" s="65"/>
      <c r="W327" s="65"/>
      <c r="X327" s="65"/>
      <c r="Y327" s="65"/>
      <c r="Z327" s="65"/>
      <c r="AA327" s="65"/>
      <c r="AB327" s="65"/>
      <c r="AC327" s="65"/>
      <c r="AD327" s="65"/>
      <c r="AE327" s="65">
        <f t="shared" si="82"/>
        <v>0</v>
      </c>
      <c r="AF327" s="65"/>
      <c r="AG327" s="248">
        <f t="shared" si="83"/>
        <v>0</v>
      </c>
      <c r="AH327" s="95" t="str">
        <f t="shared" si="84"/>
        <v/>
      </c>
      <c r="AI327" s="97" t="str">
        <f t="shared" si="85"/>
        <v/>
      </c>
      <c r="AJ327" s="11"/>
    </row>
    <row r="328" spans="1:36" x14ac:dyDescent="0.25">
      <c r="A328">
        <f t="shared" si="86"/>
        <v>326</v>
      </c>
      <c r="D328" s="14">
        <v>46001</v>
      </c>
      <c r="E328" s="7"/>
      <c r="F328" s="7"/>
      <c r="G328" s="66"/>
      <c r="H328" s="59"/>
      <c r="I328" s="59"/>
      <c r="J328" s="47">
        <f t="shared" si="76"/>
        <v>0</v>
      </c>
      <c r="K328" s="8">
        <f t="shared" si="77"/>
        <v>0</v>
      </c>
      <c r="L328" s="96" t="str">
        <f t="shared" si="78"/>
        <v/>
      </c>
      <c r="M328" s="81"/>
      <c r="N328" s="8">
        <v>300</v>
      </c>
      <c r="O328" s="8">
        <v>60</v>
      </c>
      <c r="P328" s="96" t="str">
        <f t="shared" si="79"/>
        <v/>
      </c>
      <c r="Q328" s="59">
        <f t="shared" si="80"/>
        <v>0</v>
      </c>
      <c r="R328" s="59">
        <f t="shared" si="81"/>
        <v>0</v>
      </c>
      <c r="S328" s="65"/>
      <c r="T328" s="65"/>
      <c r="U328" s="65"/>
      <c r="V328" s="65"/>
      <c r="W328" s="65"/>
      <c r="X328" s="65"/>
      <c r="Y328" s="65"/>
      <c r="Z328" s="65"/>
      <c r="AA328" s="65"/>
      <c r="AB328" s="65"/>
      <c r="AC328" s="65"/>
      <c r="AD328" s="65"/>
      <c r="AE328" s="65">
        <f t="shared" si="82"/>
        <v>0</v>
      </c>
      <c r="AF328" s="65"/>
      <c r="AG328" s="248">
        <f t="shared" si="83"/>
        <v>0</v>
      </c>
      <c r="AH328" s="95" t="str">
        <f t="shared" si="84"/>
        <v/>
      </c>
      <c r="AI328" s="97" t="str">
        <f t="shared" si="85"/>
        <v/>
      </c>
      <c r="AJ328" s="11"/>
    </row>
    <row r="329" spans="1:36" x14ac:dyDescent="0.25">
      <c r="A329">
        <f t="shared" si="86"/>
        <v>327</v>
      </c>
      <c r="D329" s="14">
        <v>46002</v>
      </c>
      <c r="E329" s="7"/>
      <c r="F329" s="7"/>
      <c r="G329" s="66"/>
      <c r="H329" s="59"/>
      <c r="I329" s="59"/>
      <c r="J329" s="47">
        <f t="shared" si="76"/>
        <v>0</v>
      </c>
      <c r="K329" s="8">
        <f t="shared" si="77"/>
        <v>0</v>
      </c>
      <c r="L329" s="96" t="str">
        <f t="shared" si="78"/>
        <v/>
      </c>
      <c r="M329" s="81"/>
      <c r="N329" s="8">
        <v>300</v>
      </c>
      <c r="O329" s="8">
        <v>60</v>
      </c>
      <c r="P329" s="96" t="str">
        <f t="shared" si="79"/>
        <v/>
      </c>
      <c r="Q329" s="59">
        <f t="shared" si="80"/>
        <v>0</v>
      </c>
      <c r="R329" s="59">
        <f t="shared" si="81"/>
        <v>0</v>
      </c>
      <c r="S329" s="65"/>
      <c r="T329" s="65"/>
      <c r="U329" s="65"/>
      <c r="V329" s="65"/>
      <c r="W329" s="65"/>
      <c r="X329" s="65"/>
      <c r="Y329" s="65"/>
      <c r="Z329" s="65"/>
      <c r="AA329" s="65"/>
      <c r="AB329" s="65"/>
      <c r="AC329" s="65"/>
      <c r="AD329" s="65"/>
      <c r="AE329" s="65">
        <f t="shared" si="82"/>
        <v>0</v>
      </c>
      <c r="AF329" s="65"/>
      <c r="AG329" s="248">
        <f t="shared" si="83"/>
        <v>0</v>
      </c>
      <c r="AH329" s="95" t="str">
        <f t="shared" si="84"/>
        <v/>
      </c>
      <c r="AI329" s="97" t="str">
        <f t="shared" si="85"/>
        <v/>
      </c>
      <c r="AJ329" s="11"/>
    </row>
    <row r="330" spans="1:36" x14ac:dyDescent="0.25">
      <c r="A330">
        <f t="shared" si="86"/>
        <v>328</v>
      </c>
      <c r="D330" s="14">
        <v>46003</v>
      </c>
      <c r="E330" s="7"/>
      <c r="F330" s="7"/>
      <c r="G330" s="66"/>
      <c r="H330" s="59"/>
      <c r="I330" s="59"/>
      <c r="J330" s="47">
        <f t="shared" si="76"/>
        <v>0</v>
      </c>
      <c r="K330" s="8">
        <f t="shared" si="77"/>
        <v>0</v>
      </c>
      <c r="L330" s="96" t="str">
        <f t="shared" si="78"/>
        <v/>
      </c>
      <c r="M330" s="81"/>
      <c r="N330" s="8">
        <v>300</v>
      </c>
      <c r="O330" s="8">
        <v>60</v>
      </c>
      <c r="P330" s="96" t="str">
        <f t="shared" si="79"/>
        <v/>
      </c>
      <c r="Q330" s="59">
        <f t="shared" si="80"/>
        <v>0</v>
      </c>
      <c r="R330" s="59">
        <f t="shared" si="81"/>
        <v>0</v>
      </c>
      <c r="S330" s="65"/>
      <c r="T330" s="65"/>
      <c r="U330" s="65"/>
      <c r="V330" s="65"/>
      <c r="W330" s="65"/>
      <c r="X330" s="65"/>
      <c r="Y330" s="65"/>
      <c r="Z330" s="65"/>
      <c r="AA330" s="65"/>
      <c r="AB330" s="65"/>
      <c r="AC330" s="65"/>
      <c r="AD330" s="65"/>
      <c r="AE330" s="65">
        <f t="shared" si="82"/>
        <v>0</v>
      </c>
      <c r="AF330" s="65"/>
      <c r="AG330" s="248">
        <f t="shared" si="83"/>
        <v>0</v>
      </c>
      <c r="AH330" s="95" t="str">
        <f t="shared" si="84"/>
        <v/>
      </c>
      <c r="AI330" s="97" t="str">
        <f t="shared" si="85"/>
        <v/>
      </c>
      <c r="AJ330" s="11"/>
    </row>
    <row r="331" spans="1:36" x14ac:dyDescent="0.25">
      <c r="A331">
        <f t="shared" si="86"/>
        <v>329</v>
      </c>
      <c r="D331" s="14">
        <v>46004</v>
      </c>
      <c r="E331" s="7"/>
      <c r="F331" s="7"/>
      <c r="G331" s="66"/>
      <c r="H331" s="59"/>
      <c r="I331" s="59"/>
      <c r="J331" s="47">
        <f t="shared" si="76"/>
        <v>0</v>
      </c>
      <c r="K331" s="8">
        <f t="shared" si="77"/>
        <v>0</v>
      </c>
      <c r="L331" s="96" t="str">
        <f t="shared" si="78"/>
        <v/>
      </c>
      <c r="M331" s="81"/>
      <c r="N331" s="8">
        <v>300</v>
      </c>
      <c r="O331" s="8">
        <v>60</v>
      </c>
      <c r="P331" s="96" t="str">
        <f t="shared" si="79"/>
        <v/>
      </c>
      <c r="Q331" s="59">
        <f t="shared" si="80"/>
        <v>0</v>
      </c>
      <c r="R331" s="59">
        <f t="shared" si="81"/>
        <v>0</v>
      </c>
      <c r="S331" s="65"/>
      <c r="T331" s="65"/>
      <c r="U331" s="65"/>
      <c r="V331" s="65"/>
      <c r="W331" s="65"/>
      <c r="X331" s="65"/>
      <c r="Y331" s="65"/>
      <c r="Z331" s="65"/>
      <c r="AA331" s="65"/>
      <c r="AB331" s="65"/>
      <c r="AC331" s="65"/>
      <c r="AD331" s="65"/>
      <c r="AE331" s="65">
        <f t="shared" si="82"/>
        <v>0</v>
      </c>
      <c r="AF331" s="65"/>
      <c r="AG331" s="248">
        <f t="shared" si="83"/>
        <v>0</v>
      </c>
      <c r="AH331" s="95" t="str">
        <f t="shared" si="84"/>
        <v/>
      </c>
      <c r="AI331" s="97" t="str">
        <f t="shared" si="85"/>
        <v/>
      </c>
      <c r="AJ331" s="11"/>
    </row>
    <row r="332" spans="1:36" x14ac:dyDescent="0.25">
      <c r="A332">
        <f t="shared" si="86"/>
        <v>330</v>
      </c>
      <c r="D332" s="14">
        <v>46005</v>
      </c>
      <c r="E332" s="7"/>
      <c r="F332" s="7"/>
      <c r="G332" s="66"/>
      <c r="H332" s="59"/>
      <c r="I332" s="59"/>
      <c r="J332" s="47">
        <f t="shared" si="76"/>
        <v>0</v>
      </c>
      <c r="K332" s="8">
        <f t="shared" si="77"/>
        <v>0</v>
      </c>
      <c r="L332" s="96" t="str">
        <f t="shared" si="78"/>
        <v/>
      </c>
      <c r="M332" s="81"/>
      <c r="N332" s="8">
        <v>300</v>
      </c>
      <c r="O332" s="8">
        <v>60</v>
      </c>
      <c r="P332" s="96" t="str">
        <f t="shared" si="79"/>
        <v/>
      </c>
      <c r="Q332" s="59">
        <f t="shared" si="80"/>
        <v>0</v>
      </c>
      <c r="R332" s="59">
        <f t="shared" si="81"/>
        <v>0</v>
      </c>
      <c r="S332" s="65"/>
      <c r="T332" s="65"/>
      <c r="U332" s="65"/>
      <c r="V332" s="65"/>
      <c r="W332" s="65"/>
      <c r="X332" s="65"/>
      <c r="Y332" s="65"/>
      <c r="Z332" s="65"/>
      <c r="AA332" s="65"/>
      <c r="AB332" s="65"/>
      <c r="AC332" s="65"/>
      <c r="AD332" s="65"/>
      <c r="AE332" s="65">
        <f t="shared" si="82"/>
        <v>0</v>
      </c>
      <c r="AF332" s="65"/>
      <c r="AG332" s="248">
        <f t="shared" si="83"/>
        <v>0</v>
      </c>
      <c r="AH332" s="95" t="str">
        <f t="shared" si="84"/>
        <v/>
      </c>
      <c r="AI332" s="97" t="str">
        <f t="shared" si="85"/>
        <v/>
      </c>
      <c r="AJ332" s="11"/>
    </row>
    <row r="333" spans="1:36" x14ac:dyDescent="0.25">
      <c r="A333">
        <f t="shared" si="86"/>
        <v>331</v>
      </c>
      <c r="D333" s="14">
        <v>46006</v>
      </c>
      <c r="E333" s="7"/>
      <c r="F333" s="7"/>
      <c r="G333" s="66"/>
      <c r="H333" s="59"/>
      <c r="I333" s="59"/>
      <c r="J333" s="47">
        <f t="shared" si="76"/>
        <v>0</v>
      </c>
      <c r="K333" s="8">
        <f t="shared" si="77"/>
        <v>0</v>
      </c>
      <c r="L333" s="96" t="str">
        <f t="shared" si="78"/>
        <v/>
      </c>
      <c r="M333" s="81"/>
      <c r="N333" s="8">
        <v>300</v>
      </c>
      <c r="O333" s="8">
        <v>60</v>
      </c>
      <c r="P333" s="96" t="str">
        <f t="shared" si="79"/>
        <v/>
      </c>
      <c r="Q333" s="59">
        <f t="shared" si="80"/>
        <v>0</v>
      </c>
      <c r="R333" s="59">
        <f t="shared" si="81"/>
        <v>0</v>
      </c>
      <c r="S333" s="65"/>
      <c r="T333" s="65"/>
      <c r="U333" s="65"/>
      <c r="V333" s="65"/>
      <c r="W333" s="65"/>
      <c r="X333" s="65"/>
      <c r="Y333" s="65"/>
      <c r="Z333" s="65"/>
      <c r="AA333" s="65"/>
      <c r="AB333" s="65"/>
      <c r="AC333" s="65"/>
      <c r="AD333" s="65"/>
      <c r="AE333" s="65">
        <f t="shared" si="82"/>
        <v>0</v>
      </c>
      <c r="AF333" s="65"/>
      <c r="AG333" s="248">
        <f t="shared" si="83"/>
        <v>0</v>
      </c>
      <c r="AH333" s="95" t="str">
        <f t="shared" si="84"/>
        <v/>
      </c>
      <c r="AI333" s="97" t="str">
        <f t="shared" si="85"/>
        <v/>
      </c>
      <c r="AJ333" s="11"/>
    </row>
    <row r="334" spans="1:36" x14ac:dyDescent="0.25">
      <c r="A334">
        <f t="shared" si="86"/>
        <v>332</v>
      </c>
      <c r="D334" s="14">
        <v>46007</v>
      </c>
      <c r="E334" s="7"/>
      <c r="F334" s="7"/>
      <c r="G334" s="66"/>
      <c r="H334" s="59"/>
      <c r="I334" s="59"/>
      <c r="J334" s="47">
        <f t="shared" ref="J334:J397" si="87">I334+H334</f>
        <v>0</v>
      </c>
      <c r="K334" s="8">
        <f t="shared" ref="K334:K397" si="88">IFERROR(J334-E334-F334-G334,"")</f>
        <v>0</v>
      </c>
      <c r="L334" s="96" t="str">
        <f t="shared" ref="L334:L397" si="89">IFERROR(K334/J334,"")</f>
        <v/>
      </c>
      <c r="M334" s="81"/>
      <c r="N334" s="8">
        <v>300</v>
      </c>
      <c r="O334" s="8">
        <v>60</v>
      </c>
      <c r="P334" s="96" t="str">
        <f t="shared" ref="P334:P397" si="90">IFERROR((M334/N334*O334)/K334,"")</f>
        <v/>
      </c>
      <c r="Q334" s="59">
        <f t="shared" ref="Q334:Q397" si="91">M334</f>
        <v>0</v>
      </c>
      <c r="R334" s="59">
        <f t="shared" ref="R334:R397" si="92">Q334+AE334</f>
        <v>0</v>
      </c>
      <c r="S334" s="65"/>
      <c r="T334" s="65"/>
      <c r="U334" s="65"/>
      <c r="V334" s="65"/>
      <c r="W334" s="65"/>
      <c r="X334" s="65"/>
      <c r="Y334" s="65"/>
      <c r="Z334" s="65"/>
      <c r="AA334" s="65"/>
      <c r="AB334" s="65"/>
      <c r="AC334" s="65"/>
      <c r="AD334" s="65"/>
      <c r="AE334" s="65">
        <f t="shared" ref="AE334:AE397" si="93">SUM(S334:AD334)</f>
        <v>0</v>
      </c>
      <c r="AF334" s="65"/>
      <c r="AG334" s="248">
        <f t="shared" ref="AG334:AG397" si="94">AE334</f>
        <v>0</v>
      </c>
      <c r="AH334" s="95" t="str">
        <f t="shared" ref="AH334:AH397" si="95">IFERROR(Q334/R334,"")</f>
        <v/>
      </c>
      <c r="AI334" s="97" t="str">
        <f t="shared" ref="AI334:AI397" si="96">IFERROR(AH334*P334*L334,"")</f>
        <v/>
      </c>
      <c r="AJ334" s="11"/>
    </row>
    <row r="335" spans="1:36" x14ac:dyDescent="0.25">
      <c r="A335">
        <f t="shared" si="86"/>
        <v>333</v>
      </c>
      <c r="D335" s="14">
        <v>46008</v>
      </c>
      <c r="E335" s="7"/>
      <c r="F335" s="7"/>
      <c r="G335" s="66"/>
      <c r="H335" s="59"/>
      <c r="I335" s="59"/>
      <c r="J335" s="47">
        <f t="shared" si="87"/>
        <v>0</v>
      </c>
      <c r="K335" s="8">
        <f t="shared" si="88"/>
        <v>0</v>
      </c>
      <c r="L335" s="96" t="str">
        <f t="shared" si="89"/>
        <v/>
      </c>
      <c r="M335" s="81"/>
      <c r="N335" s="8">
        <v>300</v>
      </c>
      <c r="O335" s="8">
        <v>60</v>
      </c>
      <c r="P335" s="96" t="str">
        <f t="shared" si="90"/>
        <v/>
      </c>
      <c r="Q335" s="59">
        <f t="shared" si="91"/>
        <v>0</v>
      </c>
      <c r="R335" s="59">
        <f t="shared" si="92"/>
        <v>0</v>
      </c>
      <c r="S335" s="65"/>
      <c r="T335" s="65"/>
      <c r="U335" s="65"/>
      <c r="V335" s="65"/>
      <c r="W335" s="65"/>
      <c r="X335" s="65"/>
      <c r="Y335" s="65"/>
      <c r="Z335" s="65"/>
      <c r="AA335" s="65"/>
      <c r="AB335" s="65"/>
      <c r="AC335" s="65"/>
      <c r="AD335" s="65"/>
      <c r="AE335" s="65">
        <f t="shared" si="93"/>
        <v>0</v>
      </c>
      <c r="AF335" s="65"/>
      <c r="AG335" s="248">
        <f t="shared" si="94"/>
        <v>0</v>
      </c>
      <c r="AH335" s="95" t="str">
        <f t="shared" si="95"/>
        <v/>
      </c>
      <c r="AI335" s="97" t="str">
        <f t="shared" si="96"/>
        <v/>
      </c>
      <c r="AJ335" s="11"/>
    </row>
    <row r="336" spans="1:36" x14ac:dyDescent="0.25">
      <c r="A336">
        <f t="shared" si="86"/>
        <v>334</v>
      </c>
      <c r="D336" s="14">
        <v>46009</v>
      </c>
      <c r="E336" s="7"/>
      <c r="F336" s="7"/>
      <c r="G336" s="66"/>
      <c r="H336" s="59"/>
      <c r="I336" s="59"/>
      <c r="J336" s="47">
        <f t="shared" si="87"/>
        <v>0</v>
      </c>
      <c r="K336" s="8">
        <f t="shared" si="88"/>
        <v>0</v>
      </c>
      <c r="L336" s="96" t="str">
        <f t="shared" si="89"/>
        <v/>
      </c>
      <c r="M336" s="81"/>
      <c r="N336" s="8">
        <v>300</v>
      </c>
      <c r="O336" s="8">
        <v>60</v>
      </c>
      <c r="P336" s="96" t="str">
        <f t="shared" si="90"/>
        <v/>
      </c>
      <c r="Q336" s="59">
        <f t="shared" si="91"/>
        <v>0</v>
      </c>
      <c r="R336" s="59">
        <f t="shared" si="92"/>
        <v>0</v>
      </c>
      <c r="S336" s="65"/>
      <c r="T336" s="65"/>
      <c r="U336" s="65"/>
      <c r="V336" s="65"/>
      <c r="W336" s="65"/>
      <c r="X336" s="65"/>
      <c r="Y336" s="65"/>
      <c r="Z336" s="65"/>
      <c r="AA336" s="65"/>
      <c r="AB336" s="65"/>
      <c r="AC336" s="65"/>
      <c r="AD336" s="65"/>
      <c r="AE336" s="65">
        <f t="shared" si="93"/>
        <v>0</v>
      </c>
      <c r="AF336" s="65"/>
      <c r="AG336" s="248">
        <f t="shared" si="94"/>
        <v>0</v>
      </c>
      <c r="AH336" s="95" t="str">
        <f t="shared" si="95"/>
        <v/>
      </c>
      <c r="AI336" s="97" t="str">
        <f t="shared" si="96"/>
        <v/>
      </c>
      <c r="AJ336" s="11"/>
    </row>
    <row r="337" spans="1:36" x14ac:dyDescent="0.25">
      <c r="A337">
        <f t="shared" si="86"/>
        <v>335</v>
      </c>
      <c r="D337" s="14">
        <v>46010</v>
      </c>
      <c r="E337" s="7"/>
      <c r="F337" s="7"/>
      <c r="G337" s="66"/>
      <c r="H337" s="59"/>
      <c r="I337" s="59"/>
      <c r="J337" s="47">
        <f t="shared" si="87"/>
        <v>0</v>
      </c>
      <c r="K337" s="8">
        <f t="shared" si="88"/>
        <v>0</v>
      </c>
      <c r="L337" s="96" t="str">
        <f t="shared" si="89"/>
        <v/>
      </c>
      <c r="M337" s="81"/>
      <c r="N337" s="8">
        <v>300</v>
      </c>
      <c r="O337" s="8">
        <v>60</v>
      </c>
      <c r="P337" s="96" t="str">
        <f t="shared" si="90"/>
        <v/>
      </c>
      <c r="Q337" s="59">
        <f t="shared" si="91"/>
        <v>0</v>
      </c>
      <c r="R337" s="59">
        <f t="shared" si="92"/>
        <v>0</v>
      </c>
      <c r="S337" s="65"/>
      <c r="T337" s="65"/>
      <c r="U337" s="65"/>
      <c r="V337" s="65"/>
      <c r="W337" s="65"/>
      <c r="X337" s="65"/>
      <c r="Y337" s="65"/>
      <c r="Z337" s="65"/>
      <c r="AA337" s="65"/>
      <c r="AB337" s="65"/>
      <c r="AC337" s="65"/>
      <c r="AD337" s="65"/>
      <c r="AE337" s="65">
        <f t="shared" si="93"/>
        <v>0</v>
      </c>
      <c r="AF337" s="65"/>
      <c r="AG337" s="248">
        <f t="shared" si="94"/>
        <v>0</v>
      </c>
      <c r="AH337" s="95" t="str">
        <f t="shared" si="95"/>
        <v/>
      </c>
      <c r="AI337" s="97" t="str">
        <f t="shared" si="96"/>
        <v/>
      </c>
      <c r="AJ337" s="11"/>
    </row>
    <row r="338" spans="1:36" x14ac:dyDescent="0.25">
      <c r="A338">
        <f t="shared" si="86"/>
        <v>336</v>
      </c>
      <c r="D338" s="14">
        <v>46011</v>
      </c>
      <c r="E338" s="7"/>
      <c r="F338" s="7"/>
      <c r="G338" s="66"/>
      <c r="H338" s="59"/>
      <c r="I338" s="59"/>
      <c r="J338" s="47">
        <f t="shared" si="87"/>
        <v>0</v>
      </c>
      <c r="K338" s="8">
        <f t="shared" si="88"/>
        <v>0</v>
      </c>
      <c r="L338" s="96" t="str">
        <f t="shared" si="89"/>
        <v/>
      </c>
      <c r="M338" s="81"/>
      <c r="N338" s="8">
        <v>300</v>
      </c>
      <c r="O338" s="8">
        <v>60</v>
      </c>
      <c r="P338" s="96" t="str">
        <f t="shared" si="90"/>
        <v/>
      </c>
      <c r="Q338" s="59">
        <f t="shared" si="91"/>
        <v>0</v>
      </c>
      <c r="R338" s="59">
        <f t="shared" si="92"/>
        <v>0</v>
      </c>
      <c r="S338" s="65"/>
      <c r="T338" s="65"/>
      <c r="U338" s="65"/>
      <c r="V338" s="65"/>
      <c r="W338" s="65"/>
      <c r="X338" s="65"/>
      <c r="Y338" s="65"/>
      <c r="Z338" s="65"/>
      <c r="AA338" s="65"/>
      <c r="AB338" s="65"/>
      <c r="AC338" s="65"/>
      <c r="AD338" s="65"/>
      <c r="AE338" s="65">
        <f t="shared" si="93"/>
        <v>0</v>
      </c>
      <c r="AF338" s="65"/>
      <c r="AG338" s="248">
        <f t="shared" si="94"/>
        <v>0</v>
      </c>
      <c r="AH338" s="95" t="str">
        <f t="shared" si="95"/>
        <v/>
      </c>
      <c r="AI338" s="97" t="str">
        <f t="shared" si="96"/>
        <v/>
      </c>
      <c r="AJ338" s="11"/>
    </row>
    <row r="339" spans="1:36" x14ac:dyDescent="0.25">
      <c r="A339">
        <f t="shared" si="86"/>
        <v>337</v>
      </c>
      <c r="D339" s="14">
        <v>46012</v>
      </c>
      <c r="E339" s="7"/>
      <c r="F339" s="7"/>
      <c r="G339" s="66"/>
      <c r="H339" s="59"/>
      <c r="I339" s="59"/>
      <c r="J339" s="47">
        <f t="shared" si="87"/>
        <v>0</v>
      </c>
      <c r="K339" s="8">
        <f t="shared" si="88"/>
        <v>0</v>
      </c>
      <c r="L339" s="96" t="str">
        <f t="shared" si="89"/>
        <v/>
      </c>
      <c r="M339" s="81"/>
      <c r="N339" s="8">
        <v>300</v>
      </c>
      <c r="O339" s="8">
        <v>60</v>
      </c>
      <c r="P339" s="96" t="str">
        <f t="shared" si="90"/>
        <v/>
      </c>
      <c r="Q339" s="59">
        <f t="shared" si="91"/>
        <v>0</v>
      </c>
      <c r="R339" s="59">
        <f t="shared" si="92"/>
        <v>0</v>
      </c>
      <c r="S339" s="65"/>
      <c r="T339" s="65"/>
      <c r="U339" s="65"/>
      <c r="V339" s="65"/>
      <c r="W339" s="65"/>
      <c r="X339" s="65"/>
      <c r="Y339" s="65"/>
      <c r="Z339" s="65"/>
      <c r="AA339" s="65"/>
      <c r="AB339" s="65"/>
      <c r="AC339" s="65"/>
      <c r="AD339" s="65"/>
      <c r="AE339" s="65">
        <f t="shared" si="93"/>
        <v>0</v>
      </c>
      <c r="AF339" s="65"/>
      <c r="AG339" s="248">
        <f t="shared" si="94"/>
        <v>0</v>
      </c>
      <c r="AH339" s="95" t="str">
        <f t="shared" si="95"/>
        <v/>
      </c>
      <c r="AI339" s="97" t="str">
        <f t="shared" si="96"/>
        <v/>
      </c>
      <c r="AJ339" s="11"/>
    </row>
    <row r="340" spans="1:36" x14ac:dyDescent="0.25">
      <c r="A340">
        <f t="shared" si="86"/>
        <v>338</v>
      </c>
      <c r="D340" s="14">
        <v>46013</v>
      </c>
      <c r="E340" s="7"/>
      <c r="F340" s="7"/>
      <c r="G340" s="66"/>
      <c r="H340" s="59"/>
      <c r="I340" s="59"/>
      <c r="J340" s="47">
        <f t="shared" si="87"/>
        <v>0</v>
      </c>
      <c r="K340" s="8">
        <f t="shared" si="88"/>
        <v>0</v>
      </c>
      <c r="L340" s="96" t="str">
        <f t="shared" si="89"/>
        <v/>
      </c>
      <c r="M340" s="81"/>
      <c r="N340" s="8">
        <v>300</v>
      </c>
      <c r="O340" s="8">
        <v>60</v>
      </c>
      <c r="P340" s="96" t="str">
        <f t="shared" si="90"/>
        <v/>
      </c>
      <c r="Q340" s="59">
        <f t="shared" si="91"/>
        <v>0</v>
      </c>
      <c r="R340" s="59">
        <f t="shared" si="92"/>
        <v>0</v>
      </c>
      <c r="S340" s="65"/>
      <c r="T340" s="65"/>
      <c r="U340" s="65"/>
      <c r="V340" s="65"/>
      <c r="W340" s="65"/>
      <c r="X340" s="65"/>
      <c r="Y340" s="65"/>
      <c r="Z340" s="65"/>
      <c r="AA340" s="65"/>
      <c r="AB340" s="65"/>
      <c r="AC340" s="65"/>
      <c r="AD340" s="65"/>
      <c r="AE340" s="65">
        <f t="shared" si="93"/>
        <v>0</v>
      </c>
      <c r="AF340" s="65"/>
      <c r="AG340" s="248">
        <f t="shared" si="94"/>
        <v>0</v>
      </c>
      <c r="AH340" s="95" t="str">
        <f t="shared" si="95"/>
        <v/>
      </c>
      <c r="AI340" s="97" t="str">
        <f t="shared" si="96"/>
        <v/>
      </c>
      <c r="AJ340" s="11"/>
    </row>
    <row r="341" spans="1:36" x14ac:dyDescent="0.25">
      <c r="A341">
        <f t="shared" si="86"/>
        <v>339</v>
      </c>
      <c r="D341" s="14">
        <v>46014</v>
      </c>
      <c r="E341" s="7"/>
      <c r="F341" s="7"/>
      <c r="G341" s="66"/>
      <c r="H341" s="59"/>
      <c r="I341" s="59"/>
      <c r="J341" s="47">
        <f t="shared" si="87"/>
        <v>0</v>
      </c>
      <c r="K341" s="8">
        <f t="shared" si="88"/>
        <v>0</v>
      </c>
      <c r="L341" s="96" t="str">
        <f t="shared" si="89"/>
        <v/>
      </c>
      <c r="M341" s="81"/>
      <c r="N341" s="8">
        <v>300</v>
      </c>
      <c r="O341" s="8">
        <v>60</v>
      </c>
      <c r="P341" s="96" t="str">
        <f t="shared" si="90"/>
        <v/>
      </c>
      <c r="Q341" s="59">
        <f t="shared" si="91"/>
        <v>0</v>
      </c>
      <c r="R341" s="59">
        <f t="shared" si="92"/>
        <v>0</v>
      </c>
      <c r="S341" s="65"/>
      <c r="T341" s="65"/>
      <c r="U341" s="65"/>
      <c r="V341" s="65"/>
      <c r="W341" s="65"/>
      <c r="X341" s="65"/>
      <c r="Y341" s="65"/>
      <c r="Z341" s="65"/>
      <c r="AA341" s="65"/>
      <c r="AB341" s="65"/>
      <c r="AC341" s="65"/>
      <c r="AD341" s="65"/>
      <c r="AE341" s="65">
        <f t="shared" si="93"/>
        <v>0</v>
      </c>
      <c r="AF341" s="65"/>
      <c r="AG341" s="248">
        <f t="shared" si="94"/>
        <v>0</v>
      </c>
      <c r="AH341" s="95" t="str">
        <f t="shared" si="95"/>
        <v/>
      </c>
      <c r="AI341" s="97" t="str">
        <f t="shared" si="96"/>
        <v/>
      </c>
      <c r="AJ341" s="11"/>
    </row>
    <row r="342" spans="1:36" x14ac:dyDescent="0.25">
      <c r="A342">
        <f t="shared" si="86"/>
        <v>340</v>
      </c>
      <c r="D342" s="14">
        <v>46015</v>
      </c>
      <c r="E342" s="7"/>
      <c r="F342" s="7"/>
      <c r="G342" s="66"/>
      <c r="H342" s="59"/>
      <c r="I342" s="59"/>
      <c r="J342" s="47">
        <f t="shared" si="87"/>
        <v>0</v>
      </c>
      <c r="K342" s="8">
        <f t="shared" si="88"/>
        <v>0</v>
      </c>
      <c r="L342" s="96" t="str">
        <f t="shared" si="89"/>
        <v/>
      </c>
      <c r="M342" s="81"/>
      <c r="N342" s="8">
        <v>300</v>
      </c>
      <c r="O342" s="8">
        <v>60</v>
      </c>
      <c r="P342" s="96" t="str">
        <f t="shared" si="90"/>
        <v/>
      </c>
      <c r="Q342" s="59">
        <f t="shared" si="91"/>
        <v>0</v>
      </c>
      <c r="R342" s="59">
        <f t="shared" si="92"/>
        <v>0</v>
      </c>
      <c r="S342" s="65"/>
      <c r="T342" s="65"/>
      <c r="U342" s="65"/>
      <c r="V342" s="65"/>
      <c r="W342" s="65"/>
      <c r="X342" s="65"/>
      <c r="Y342" s="65"/>
      <c r="Z342" s="65"/>
      <c r="AA342" s="65"/>
      <c r="AB342" s="65"/>
      <c r="AC342" s="65"/>
      <c r="AD342" s="65"/>
      <c r="AE342" s="65">
        <f t="shared" si="93"/>
        <v>0</v>
      </c>
      <c r="AF342" s="65"/>
      <c r="AG342" s="248">
        <f t="shared" si="94"/>
        <v>0</v>
      </c>
      <c r="AH342" s="95" t="str">
        <f t="shared" si="95"/>
        <v/>
      </c>
      <c r="AI342" s="97" t="str">
        <f t="shared" si="96"/>
        <v/>
      </c>
      <c r="AJ342" s="11"/>
    </row>
    <row r="343" spans="1:36" x14ac:dyDescent="0.25">
      <c r="A343">
        <f t="shared" si="86"/>
        <v>341</v>
      </c>
      <c r="D343" s="14">
        <v>46016</v>
      </c>
      <c r="E343" s="7"/>
      <c r="F343" s="7"/>
      <c r="G343" s="66"/>
      <c r="H343" s="59"/>
      <c r="I343" s="59"/>
      <c r="J343" s="47">
        <f t="shared" si="87"/>
        <v>0</v>
      </c>
      <c r="K343" s="8">
        <f t="shared" si="88"/>
        <v>0</v>
      </c>
      <c r="L343" s="96" t="str">
        <f t="shared" si="89"/>
        <v/>
      </c>
      <c r="M343" s="81"/>
      <c r="N343" s="8">
        <v>300</v>
      </c>
      <c r="O343" s="8">
        <v>60</v>
      </c>
      <c r="P343" s="96" t="str">
        <f t="shared" si="90"/>
        <v/>
      </c>
      <c r="Q343" s="59">
        <f t="shared" si="91"/>
        <v>0</v>
      </c>
      <c r="R343" s="59">
        <f t="shared" si="92"/>
        <v>0</v>
      </c>
      <c r="S343" s="65"/>
      <c r="T343" s="65"/>
      <c r="U343" s="65"/>
      <c r="V343" s="65"/>
      <c r="W343" s="65"/>
      <c r="X343" s="65"/>
      <c r="Y343" s="65"/>
      <c r="Z343" s="65"/>
      <c r="AA343" s="65"/>
      <c r="AB343" s="65"/>
      <c r="AC343" s="65"/>
      <c r="AD343" s="65"/>
      <c r="AE343" s="65">
        <f t="shared" si="93"/>
        <v>0</v>
      </c>
      <c r="AF343" s="65"/>
      <c r="AG343" s="248">
        <f t="shared" si="94"/>
        <v>0</v>
      </c>
      <c r="AH343" s="95" t="str">
        <f t="shared" si="95"/>
        <v/>
      </c>
      <c r="AI343" s="97" t="str">
        <f t="shared" si="96"/>
        <v/>
      </c>
      <c r="AJ343" s="11"/>
    </row>
    <row r="344" spans="1:36" x14ac:dyDescent="0.25">
      <c r="A344">
        <f t="shared" si="86"/>
        <v>342</v>
      </c>
      <c r="D344" s="14">
        <v>46017</v>
      </c>
      <c r="E344" s="7"/>
      <c r="F344" s="7"/>
      <c r="G344" s="66"/>
      <c r="H344" s="59"/>
      <c r="I344" s="59"/>
      <c r="J344" s="47">
        <f t="shared" si="87"/>
        <v>0</v>
      </c>
      <c r="K344" s="8">
        <f t="shared" si="88"/>
        <v>0</v>
      </c>
      <c r="L344" s="96" t="str">
        <f t="shared" si="89"/>
        <v/>
      </c>
      <c r="M344" s="81"/>
      <c r="N344" s="8">
        <v>300</v>
      </c>
      <c r="O344" s="8">
        <v>60</v>
      </c>
      <c r="P344" s="96" t="str">
        <f t="shared" si="90"/>
        <v/>
      </c>
      <c r="Q344" s="59">
        <f t="shared" si="91"/>
        <v>0</v>
      </c>
      <c r="R344" s="59">
        <f t="shared" si="92"/>
        <v>0</v>
      </c>
      <c r="S344" s="65"/>
      <c r="T344" s="65"/>
      <c r="U344" s="65"/>
      <c r="V344" s="65"/>
      <c r="W344" s="65"/>
      <c r="X344" s="65"/>
      <c r="Y344" s="65"/>
      <c r="Z344" s="65"/>
      <c r="AA344" s="65"/>
      <c r="AB344" s="65"/>
      <c r="AC344" s="65"/>
      <c r="AD344" s="65"/>
      <c r="AE344" s="65">
        <f t="shared" si="93"/>
        <v>0</v>
      </c>
      <c r="AF344" s="65"/>
      <c r="AG344" s="248">
        <f t="shared" si="94"/>
        <v>0</v>
      </c>
      <c r="AH344" s="95" t="str">
        <f t="shared" si="95"/>
        <v/>
      </c>
      <c r="AI344" s="97" t="str">
        <f t="shared" si="96"/>
        <v/>
      </c>
      <c r="AJ344" s="11"/>
    </row>
    <row r="345" spans="1:36" x14ac:dyDescent="0.25">
      <c r="A345">
        <f t="shared" si="86"/>
        <v>343</v>
      </c>
      <c r="D345" s="14">
        <v>46018</v>
      </c>
      <c r="E345" s="7"/>
      <c r="F345" s="7"/>
      <c r="G345" s="66"/>
      <c r="H345" s="59"/>
      <c r="I345" s="59"/>
      <c r="J345" s="47">
        <f t="shared" si="87"/>
        <v>0</v>
      </c>
      <c r="K345" s="8">
        <f t="shared" si="88"/>
        <v>0</v>
      </c>
      <c r="L345" s="96" t="str">
        <f t="shared" si="89"/>
        <v/>
      </c>
      <c r="M345" s="81"/>
      <c r="N345" s="8">
        <v>300</v>
      </c>
      <c r="O345" s="8">
        <v>60</v>
      </c>
      <c r="P345" s="96" t="str">
        <f t="shared" si="90"/>
        <v/>
      </c>
      <c r="Q345" s="59">
        <f t="shared" si="91"/>
        <v>0</v>
      </c>
      <c r="R345" s="59">
        <f t="shared" si="92"/>
        <v>0</v>
      </c>
      <c r="S345" s="65"/>
      <c r="T345" s="65"/>
      <c r="U345" s="65"/>
      <c r="V345" s="65"/>
      <c r="W345" s="65"/>
      <c r="X345" s="65"/>
      <c r="Y345" s="65"/>
      <c r="Z345" s="65"/>
      <c r="AA345" s="65"/>
      <c r="AB345" s="65"/>
      <c r="AC345" s="65"/>
      <c r="AD345" s="65"/>
      <c r="AE345" s="65">
        <f t="shared" si="93"/>
        <v>0</v>
      </c>
      <c r="AF345" s="65"/>
      <c r="AG345" s="248">
        <f t="shared" si="94"/>
        <v>0</v>
      </c>
      <c r="AH345" s="95" t="str">
        <f t="shared" si="95"/>
        <v/>
      </c>
      <c r="AI345" s="97" t="str">
        <f t="shared" si="96"/>
        <v/>
      </c>
      <c r="AJ345" s="11"/>
    </row>
    <row r="346" spans="1:36" x14ac:dyDescent="0.25">
      <c r="A346">
        <f t="shared" si="86"/>
        <v>344</v>
      </c>
      <c r="D346" s="14">
        <v>46019</v>
      </c>
      <c r="E346" s="7"/>
      <c r="F346" s="7"/>
      <c r="G346" s="66"/>
      <c r="H346" s="59"/>
      <c r="I346" s="59"/>
      <c r="J346" s="47">
        <f t="shared" si="87"/>
        <v>0</v>
      </c>
      <c r="K346" s="8">
        <f t="shared" si="88"/>
        <v>0</v>
      </c>
      <c r="L346" s="96" t="str">
        <f t="shared" si="89"/>
        <v/>
      </c>
      <c r="M346" s="81"/>
      <c r="N346" s="8">
        <v>300</v>
      </c>
      <c r="O346" s="8">
        <v>60</v>
      </c>
      <c r="P346" s="96" t="str">
        <f t="shared" si="90"/>
        <v/>
      </c>
      <c r="Q346" s="59">
        <f t="shared" si="91"/>
        <v>0</v>
      </c>
      <c r="R346" s="59">
        <f t="shared" si="92"/>
        <v>0</v>
      </c>
      <c r="S346" s="65"/>
      <c r="T346" s="65"/>
      <c r="U346" s="65"/>
      <c r="V346" s="65"/>
      <c r="W346" s="65"/>
      <c r="X346" s="65"/>
      <c r="Y346" s="65"/>
      <c r="Z346" s="65"/>
      <c r="AA346" s="65"/>
      <c r="AB346" s="65"/>
      <c r="AC346" s="65"/>
      <c r="AD346" s="65"/>
      <c r="AE346" s="65">
        <f t="shared" si="93"/>
        <v>0</v>
      </c>
      <c r="AF346" s="65"/>
      <c r="AG346" s="248">
        <f t="shared" si="94"/>
        <v>0</v>
      </c>
      <c r="AH346" s="95" t="str">
        <f t="shared" si="95"/>
        <v/>
      </c>
      <c r="AI346" s="97" t="str">
        <f t="shared" si="96"/>
        <v/>
      </c>
      <c r="AJ346" s="11"/>
    </row>
    <row r="347" spans="1:36" x14ac:dyDescent="0.25">
      <c r="A347">
        <f t="shared" si="86"/>
        <v>345</v>
      </c>
      <c r="D347" s="14">
        <v>46020</v>
      </c>
      <c r="E347" s="7"/>
      <c r="F347" s="7"/>
      <c r="G347" s="66"/>
      <c r="H347" s="59"/>
      <c r="I347" s="59"/>
      <c r="J347" s="47">
        <f t="shared" si="87"/>
        <v>0</v>
      </c>
      <c r="K347" s="8">
        <f t="shared" si="88"/>
        <v>0</v>
      </c>
      <c r="L347" s="96" t="str">
        <f t="shared" si="89"/>
        <v/>
      </c>
      <c r="M347" s="81"/>
      <c r="N347" s="8">
        <v>300</v>
      </c>
      <c r="O347" s="8">
        <v>60</v>
      </c>
      <c r="P347" s="96" t="str">
        <f t="shared" si="90"/>
        <v/>
      </c>
      <c r="Q347" s="59">
        <f t="shared" si="91"/>
        <v>0</v>
      </c>
      <c r="R347" s="59">
        <f t="shared" si="92"/>
        <v>0</v>
      </c>
      <c r="S347" s="65"/>
      <c r="T347" s="65"/>
      <c r="U347" s="65"/>
      <c r="V347" s="65"/>
      <c r="W347" s="65"/>
      <c r="X347" s="65"/>
      <c r="Y347" s="65"/>
      <c r="Z347" s="65"/>
      <c r="AA347" s="65"/>
      <c r="AB347" s="65"/>
      <c r="AC347" s="65"/>
      <c r="AD347" s="65"/>
      <c r="AE347" s="65">
        <f t="shared" si="93"/>
        <v>0</v>
      </c>
      <c r="AF347" s="65"/>
      <c r="AG347" s="248">
        <f t="shared" si="94"/>
        <v>0</v>
      </c>
      <c r="AH347" s="95" t="str">
        <f t="shared" si="95"/>
        <v/>
      </c>
      <c r="AI347" s="97" t="str">
        <f t="shared" si="96"/>
        <v/>
      </c>
      <c r="AJ347" s="11"/>
    </row>
    <row r="348" spans="1:36" x14ac:dyDescent="0.25">
      <c r="A348">
        <f t="shared" si="86"/>
        <v>346</v>
      </c>
      <c r="D348" s="14">
        <v>46021</v>
      </c>
      <c r="E348" s="7"/>
      <c r="F348" s="7"/>
      <c r="G348" s="66"/>
      <c r="H348" s="59"/>
      <c r="I348" s="59"/>
      <c r="J348" s="47">
        <f t="shared" si="87"/>
        <v>0</v>
      </c>
      <c r="K348" s="8">
        <f t="shared" si="88"/>
        <v>0</v>
      </c>
      <c r="L348" s="96" t="str">
        <f t="shared" si="89"/>
        <v/>
      </c>
      <c r="M348" s="81"/>
      <c r="N348" s="8">
        <v>300</v>
      </c>
      <c r="O348" s="8">
        <v>60</v>
      </c>
      <c r="P348" s="96" t="str">
        <f t="shared" si="90"/>
        <v/>
      </c>
      <c r="Q348" s="59">
        <f t="shared" si="91"/>
        <v>0</v>
      </c>
      <c r="R348" s="59">
        <f t="shared" si="92"/>
        <v>0</v>
      </c>
      <c r="S348" s="65"/>
      <c r="T348" s="65"/>
      <c r="U348" s="65"/>
      <c r="V348" s="65"/>
      <c r="W348" s="65"/>
      <c r="X348" s="65"/>
      <c r="Y348" s="65"/>
      <c r="Z348" s="65"/>
      <c r="AA348" s="65"/>
      <c r="AB348" s="65"/>
      <c r="AC348" s="65"/>
      <c r="AD348" s="65"/>
      <c r="AE348" s="65">
        <f t="shared" si="93"/>
        <v>0</v>
      </c>
      <c r="AF348" s="65"/>
      <c r="AG348" s="248">
        <f t="shared" si="94"/>
        <v>0</v>
      </c>
      <c r="AH348" s="95" t="str">
        <f t="shared" si="95"/>
        <v/>
      </c>
      <c r="AI348" s="97" t="str">
        <f t="shared" si="96"/>
        <v/>
      </c>
      <c r="AJ348" s="11"/>
    </row>
    <row r="349" spans="1:36" x14ac:dyDescent="0.25">
      <c r="A349">
        <f t="shared" si="86"/>
        <v>347</v>
      </c>
      <c r="D349" s="14">
        <v>46022</v>
      </c>
      <c r="E349" s="7"/>
      <c r="F349" s="7"/>
      <c r="G349" s="66"/>
      <c r="H349" s="59"/>
      <c r="I349" s="59"/>
      <c r="J349" s="47">
        <f t="shared" si="87"/>
        <v>0</v>
      </c>
      <c r="K349" s="8">
        <f t="shared" si="88"/>
        <v>0</v>
      </c>
      <c r="L349" s="96" t="str">
        <f t="shared" si="89"/>
        <v/>
      </c>
      <c r="M349" s="81"/>
      <c r="N349" s="8">
        <v>300</v>
      </c>
      <c r="O349" s="8">
        <v>60</v>
      </c>
      <c r="P349" s="96" t="str">
        <f t="shared" si="90"/>
        <v/>
      </c>
      <c r="Q349" s="59">
        <f t="shared" si="91"/>
        <v>0</v>
      </c>
      <c r="R349" s="59">
        <f t="shared" si="92"/>
        <v>0</v>
      </c>
      <c r="S349" s="65"/>
      <c r="T349" s="65"/>
      <c r="U349" s="65"/>
      <c r="V349" s="65"/>
      <c r="W349" s="65"/>
      <c r="X349" s="65"/>
      <c r="Y349" s="65"/>
      <c r="Z349" s="65"/>
      <c r="AA349" s="65"/>
      <c r="AB349" s="65"/>
      <c r="AC349" s="65"/>
      <c r="AD349" s="65"/>
      <c r="AE349" s="65">
        <f t="shared" si="93"/>
        <v>0</v>
      </c>
      <c r="AF349" s="65"/>
      <c r="AG349" s="248">
        <f t="shared" si="94"/>
        <v>0</v>
      </c>
      <c r="AH349" s="95" t="str">
        <f t="shared" si="95"/>
        <v/>
      </c>
      <c r="AI349" s="97" t="str">
        <f t="shared" si="96"/>
        <v/>
      </c>
      <c r="AJ349" s="11"/>
    </row>
    <row r="350" spans="1:36" x14ac:dyDescent="0.25">
      <c r="A350">
        <f t="shared" si="86"/>
        <v>348</v>
      </c>
      <c r="D350" s="14">
        <v>46023</v>
      </c>
      <c r="E350" s="7"/>
      <c r="F350" s="7"/>
      <c r="G350" s="66"/>
      <c r="H350" s="59"/>
      <c r="I350" s="59"/>
      <c r="J350" s="47">
        <f t="shared" si="87"/>
        <v>0</v>
      </c>
      <c r="K350" s="8">
        <f t="shared" si="88"/>
        <v>0</v>
      </c>
      <c r="L350" s="96" t="str">
        <f t="shared" si="89"/>
        <v/>
      </c>
      <c r="M350" s="81"/>
      <c r="N350" s="8">
        <v>300</v>
      </c>
      <c r="O350" s="8">
        <v>60</v>
      </c>
      <c r="P350" s="96" t="str">
        <f t="shared" si="90"/>
        <v/>
      </c>
      <c r="Q350" s="59">
        <f t="shared" si="91"/>
        <v>0</v>
      </c>
      <c r="R350" s="59">
        <f t="shared" si="92"/>
        <v>0</v>
      </c>
      <c r="S350" s="65"/>
      <c r="T350" s="65"/>
      <c r="U350" s="65"/>
      <c r="V350" s="65"/>
      <c r="W350" s="65"/>
      <c r="X350" s="65"/>
      <c r="Y350" s="65"/>
      <c r="Z350" s="65"/>
      <c r="AA350" s="65"/>
      <c r="AB350" s="65"/>
      <c r="AC350" s="65"/>
      <c r="AD350" s="65"/>
      <c r="AE350" s="65">
        <f t="shared" si="93"/>
        <v>0</v>
      </c>
      <c r="AF350" s="65"/>
      <c r="AG350" s="248">
        <f t="shared" si="94"/>
        <v>0</v>
      </c>
      <c r="AH350" s="95" t="str">
        <f t="shared" si="95"/>
        <v/>
      </c>
      <c r="AI350" s="97" t="str">
        <f t="shared" si="96"/>
        <v/>
      </c>
      <c r="AJ350" s="11"/>
    </row>
    <row r="351" spans="1:36" x14ac:dyDescent="0.25">
      <c r="A351">
        <f t="shared" si="86"/>
        <v>349</v>
      </c>
      <c r="D351" s="14">
        <v>46024</v>
      </c>
      <c r="E351" s="7"/>
      <c r="F351" s="7"/>
      <c r="G351" s="66"/>
      <c r="H351" s="59"/>
      <c r="I351" s="59"/>
      <c r="J351" s="47">
        <f t="shared" si="87"/>
        <v>0</v>
      </c>
      <c r="K351" s="8">
        <f t="shared" si="88"/>
        <v>0</v>
      </c>
      <c r="L351" s="96" t="str">
        <f t="shared" si="89"/>
        <v/>
      </c>
      <c r="M351" s="81"/>
      <c r="N351" s="8">
        <v>300</v>
      </c>
      <c r="O351" s="8">
        <v>60</v>
      </c>
      <c r="P351" s="96" t="str">
        <f t="shared" si="90"/>
        <v/>
      </c>
      <c r="Q351" s="59">
        <f t="shared" si="91"/>
        <v>0</v>
      </c>
      <c r="R351" s="59">
        <f t="shared" si="92"/>
        <v>0</v>
      </c>
      <c r="S351" s="65"/>
      <c r="T351" s="65"/>
      <c r="U351" s="65"/>
      <c r="V351" s="65"/>
      <c r="W351" s="65"/>
      <c r="X351" s="65"/>
      <c r="Y351" s="65"/>
      <c r="Z351" s="65"/>
      <c r="AA351" s="65"/>
      <c r="AB351" s="65"/>
      <c r="AC351" s="65"/>
      <c r="AD351" s="65"/>
      <c r="AE351" s="65">
        <f t="shared" si="93"/>
        <v>0</v>
      </c>
      <c r="AF351" s="65"/>
      <c r="AG351" s="248">
        <f t="shared" si="94"/>
        <v>0</v>
      </c>
      <c r="AH351" s="95" t="str">
        <f t="shared" si="95"/>
        <v/>
      </c>
      <c r="AI351" s="97" t="str">
        <f t="shared" si="96"/>
        <v/>
      </c>
      <c r="AJ351" s="11"/>
    </row>
    <row r="352" spans="1:36" x14ac:dyDescent="0.25">
      <c r="A352">
        <f t="shared" si="86"/>
        <v>350</v>
      </c>
      <c r="D352" s="14">
        <v>46025</v>
      </c>
      <c r="E352" s="7"/>
      <c r="F352" s="7"/>
      <c r="G352" s="66"/>
      <c r="H352" s="59"/>
      <c r="I352" s="59"/>
      <c r="J352" s="47">
        <f t="shared" si="87"/>
        <v>0</v>
      </c>
      <c r="K352" s="8">
        <f t="shared" si="88"/>
        <v>0</v>
      </c>
      <c r="L352" s="96" t="str">
        <f t="shared" si="89"/>
        <v/>
      </c>
      <c r="M352" s="81"/>
      <c r="N352" s="8">
        <v>300</v>
      </c>
      <c r="O352" s="8">
        <v>60</v>
      </c>
      <c r="P352" s="96" t="str">
        <f t="shared" si="90"/>
        <v/>
      </c>
      <c r="Q352" s="59">
        <f t="shared" si="91"/>
        <v>0</v>
      </c>
      <c r="R352" s="59">
        <f t="shared" si="92"/>
        <v>0</v>
      </c>
      <c r="S352" s="65"/>
      <c r="T352" s="65"/>
      <c r="U352" s="65"/>
      <c r="V352" s="65"/>
      <c r="W352" s="65"/>
      <c r="X352" s="65"/>
      <c r="Y352" s="65"/>
      <c r="Z352" s="65"/>
      <c r="AA352" s="65"/>
      <c r="AB352" s="65"/>
      <c r="AC352" s="65"/>
      <c r="AD352" s="65"/>
      <c r="AE352" s="65">
        <f t="shared" si="93"/>
        <v>0</v>
      </c>
      <c r="AF352" s="65"/>
      <c r="AG352" s="248">
        <f t="shared" si="94"/>
        <v>0</v>
      </c>
      <c r="AH352" s="95" t="str">
        <f t="shared" si="95"/>
        <v/>
      </c>
      <c r="AI352" s="97" t="str">
        <f t="shared" si="96"/>
        <v/>
      </c>
      <c r="AJ352" s="11"/>
    </row>
    <row r="353" spans="1:36" x14ac:dyDescent="0.25">
      <c r="A353">
        <f t="shared" si="86"/>
        <v>351</v>
      </c>
      <c r="D353" s="14">
        <v>46026</v>
      </c>
      <c r="E353" s="7"/>
      <c r="F353" s="7"/>
      <c r="G353" s="66"/>
      <c r="H353" s="59"/>
      <c r="I353" s="59"/>
      <c r="J353" s="47">
        <f t="shared" si="87"/>
        <v>0</v>
      </c>
      <c r="K353" s="8">
        <f t="shared" si="88"/>
        <v>0</v>
      </c>
      <c r="L353" s="96" t="str">
        <f t="shared" si="89"/>
        <v/>
      </c>
      <c r="M353" s="81"/>
      <c r="N353" s="8">
        <v>300</v>
      </c>
      <c r="O353" s="8">
        <v>60</v>
      </c>
      <c r="P353" s="96" t="str">
        <f t="shared" si="90"/>
        <v/>
      </c>
      <c r="Q353" s="59">
        <f t="shared" si="91"/>
        <v>0</v>
      </c>
      <c r="R353" s="59">
        <f t="shared" si="92"/>
        <v>0</v>
      </c>
      <c r="S353" s="65"/>
      <c r="T353" s="65"/>
      <c r="U353" s="65"/>
      <c r="V353" s="65"/>
      <c r="W353" s="65"/>
      <c r="X353" s="65"/>
      <c r="Y353" s="65"/>
      <c r="Z353" s="65"/>
      <c r="AA353" s="65"/>
      <c r="AB353" s="65"/>
      <c r="AC353" s="65"/>
      <c r="AD353" s="65"/>
      <c r="AE353" s="65">
        <f t="shared" si="93"/>
        <v>0</v>
      </c>
      <c r="AF353" s="65"/>
      <c r="AG353" s="248">
        <f t="shared" si="94"/>
        <v>0</v>
      </c>
      <c r="AH353" s="95" t="str">
        <f t="shared" si="95"/>
        <v/>
      </c>
      <c r="AI353" s="97" t="str">
        <f t="shared" si="96"/>
        <v/>
      </c>
      <c r="AJ353" s="11"/>
    </row>
    <row r="354" spans="1:36" x14ac:dyDescent="0.25">
      <c r="A354">
        <f t="shared" si="86"/>
        <v>352</v>
      </c>
      <c r="D354" s="14">
        <v>46027</v>
      </c>
      <c r="E354" s="7"/>
      <c r="F354" s="7"/>
      <c r="G354" s="66"/>
      <c r="H354" s="59"/>
      <c r="I354" s="59"/>
      <c r="J354" s="47">
        <f t="shared" si="87"/>
        <v>0</v>
      </c>
      <c r="K354" s="8">
        <f t="shared" si="88"/>
        <v>0</v>
      </c>
      <c r="L354" s="96" t="str">
        <f t="shared" si="89"/>
        <v/>
      </c>
      <c r="M354" s="81"/>
      <c r="N354" s="8">
        <v>300</v>
      </c>
      <c r="O354" s="8">
        <v>60</v>
      </c>
      <c r="P354" s="96" t="str">
        <f t="shared" si="90"/>
        <v/>
      </c>
      <c r="Q354" s="59">
        <f t="shared" si="91"/>
        <v>0</v>
      </c>
      <c r="R354" s="59">
        <f t="shared" si="92"/>
        <v>0</v>
      </c>
      <c r="S354" s="65"/>
      <c r="T354" s="65"/>
      <c r="U354" s="65"/>
      <c r="V354" s="65"/>
      <c r="W354" s="65"/>
      <c r="X354" s="65"/>
      <c r="Y354" s="65"/>
      <c r="Z354" s="65"/>
      <c r="AA354" s="65"/>
      <c r="AB354" s="65"/>
      <c r="AC354" s="65"/>
      <c r="AD354" s="65"/>
      <c r="AE354" s="65">
        <f t="shared" si="93"/>
        <v>0</v>
      </c>
      <c r="AF354" s="65"/>
      <c r="AG354" s="248">
        <f t="shared" si="94"/>
        <v>0</v>
      </c>
      <c r="AH354" s="95" t="str">
        <f t="shared" si="95"/>
        <v/>
      </c>
      <c r="AI354" s="97" t="str">
        <f t="shared" si="96"/>
        <v/>
      </c>
      <c r="AJ354" s="11"/>
    </row>
    <row r="355" spans="1:36" x14ac:dyDescent="0.25">
      <c r="A355">
        <f t="shared" si="86"/>
        <v>353</v>
      </c>
      <c r="D355" s="14">
        <v>46028</v>
      </c>
      <c r="E355" s="7"/>
      <c r="F355" s="7"/>
      <c r="G355" s="66"/>
      <c r="H355" s="59"/>
      <c r="I355" s="59"/>
      <c r="J355" s="47">
        <f t="shared" si="87"/>
        <v>0</v>
      </c>
      <c r="K355" s="8">
        <f t="shared" si="88"/>
        <v>0</v>
      </c>
      <c r="L355" s="96" t="str">
        <f t="shared" si="89"/>
        <v/>
      </c>
      <c r="M355" s="81"/>
      <c r="N355" s="8">
        <v>300</v>
      </c>
      <c r="O355" s="8">
        <v>60</v>
      </c>
      <c r="P355" s="96" t="str">
        <f t="shared" si="90"/>
        <v/>
      </c>
      <c r="Q355" s="59">
        <f t="shared" si="91"/>
        <v>0</v>
      </c>
      <c r="R355" s="59">
        <f t="shared" si="92"/>
        <v>0</v>
      </c>
      <c r="S355" s="65"/>
      <c r="T355" s="65"/>
      <c r="U355" s="65"/>
      <c r="V355" s="65"/>
      <c r="W355" s="65"/>
      <c r="X355" s="65"/>
      <c r="Y355" s="65"/>
      <c r="Z355" s="65"/>
      <c r="AA355" s="65"/>
      <c r="AB355" s="65"/>
      <c r="AC355" s="65"/>
      <c r="AD355" s="65"/>
      <c r="AE355" s="65">
        <f t="shared" si="93"/>
        <v>0</v>
      </c>
      <c r="AF355" s="65"/>
      <c r="AG355" s="248">
        <f t="shared" si="94"/>
        <v>0</v>
      </c>
      <c r="AH355" s="95" t="str">
        <f t="shared" si="95"/>
        <v/>
      </c>
      <c r="AI355" s="97" t="str">
        <f t="shared" si="96"/>
        <v/>
      </c>
      <c r="AJ355" s="11"/>
    </row>
    <row r="356" spans="1:36" x14ac:dyDescent="0.25">
      <c r="A356">
        <f t="shared" si="86"/>
        <v>354</v>
      </c>
      <c r="D356" s="14">
        <v>46029</v>
      </c>
      <c r="E356" s="7"/>
      <c r="F356" s="7"/>
      <c r="G356" s="66"/>
      <c r="H356" s="59"/>
      <c r="I356" s="59"/>
      <c r="J356" s="47">
        <f t="shared" si="87"/>
        <v>0</v>
      </c>
      <c r="K356" s="8">
        <f t="shared" si="88"/>
        <v>0</v>
      </c>
      <c r="L356" s="96" t="str">
        <f t="shared" si="89"/>
        <v/>
      </c>
      <c r="M356" s="81"/>
      <c r="N356" s="8">
        <v>300</v>
      </c>
      <c r="O356" s="8">
        <v>60</v>
      </c>
      <c r="P356" s="96" t="str">
        <f t="shared" si="90"/>
        <v/>
      </c>
      <c r="Q356" s="59">
        <f t="shared" si="91"/>
        <v>0</v>
      </c>
      <c r="R356" s="59">
        <f t="shared" si="92"/>
        <v>0</v>
      </c>
      <c r="S356" s="65"/>
      <c r="T356" s="65"/>
      <c r="U356" s="65"/>
      <c r="V356" s="65"/>
      <c r="W356" s="65"/>
      <c r="X356" s="65"/>
      <c r="Y356" s="65"/>
      <c r="Z356" s="65"/>
      <c r="AA356" s="65"/>
      <c r="AB356" s="65"/>
      <c r="AC356" s="65"/>
      <c r="AD356" s="65"/>
      <c r="AE356" s="65">
        <f t="shared" si="93"/>
        <v>0</v>
      </c>
      <c r="AF356" s="65"/>
      <c r="AG356" s="248">
        <f t="shared" si="94"/>
        <v>0</v>
      </c>
      <c r="AH356" s="95" t="str">
        <f t="shared" si="95"/>
        <v/>
      </c>
      <c r="AI356" s="97" t="str">
        <f t="shared" si="96"/>
        <v/>
      </c>
      <c r="AJ356" s="11"/>
    </row>
    <row r="357" spans="1:36" x14ac:dyDescent="0.25">
      <c r="A357">
        <f t="shared" si="86"/>
        <v>355</v>
      </c>
      <c r="D357" s="14">
        <v>46030</v>
      </c>
      <c r="E357" s="7"/>
      <c r="F357" s="7"/>
      <c r="G357" s="66"/>
      <c r="H357" s="59"/>
      <c r="I357" s="59"/>
      <c r="J357" s="47">
        <f t="shared" si="87"/>
        <v>0</v>
      </c>
      <c r="K357" s="8">
        <f t="shared" si="88"/>
        <v>0</v>
      </c>
      <c r="L357" s="96" t="str">
        <f t="shared" si="89"/>
        <v/>
      </c>
      <c r="M357" s="81"/>
      <c r="N357" s="8">
        <v>300</v>
      </c>
      <c r="O357" s="8">
        <v>60</v>
      </c>
      <c r="P357" s="96" t="str">
        <f t="shared" si="90"/>
        <v/>
      </c>
      <c r="Q357" s="59">
        <f t="shared" si="91"/>
        <v>0</v>
      </c>
      <c r="R357" s="59">
        <f t="shared" si="92"/>
        <v>0</v>
      </c>
      <c r="S357" s="65"/>
      <c r="T357" s="65"/>
      <c r="U357" s="65"/>
      <c r="V357" s="65"/>
      <c r="W357" s="65"/>
      <c r="X357" s="65"/>
      <c r="Y357" s="65"/>
      <c r="Z357" s="65"/>
      <c r="AA357" s="65"/>
      <c r="AB357" s="65"/>
      <c r="AC357" s="65"/>
      <c r="AD357" s="65"/>
      <c r="AE357" s="65">
        <f t="shared" si="93"/>
        <v>0</v>
      </c>
      <c r="AF357" s="65"/>
      <c r="AG357" s="248">
        <f t="shared" si="94"/>
        <v>0</v>
      </c>
      <c r="AH357" s="95" t="str">
        <f t="shared" si="95"/>
        <v/>
      </c>
      <c r="AI357" s="97" t="str">
        <f t="shared" si="96"/>
        <v/>
      </c>
      <c r="AJ357" s="11"/>
    </row>
    <row r="358" spans="1:36" x14ac:dyDescent="0.25">
      <c r="A358">
        <f t="shared" si="86"/>
        <v>356</v>
      </c>
      <c r="D358" s="14">
        <v>46031</v>
      </c>
      <c r="E358" s="7"/>
      <c r="F358" s="7"/>
      <c r="G358" s="66"/>
      <c r="H358" s="59"/>
      <c r="I358" s="59"/>
      <c r="J358" s="47">
        <f t="shared" si="87"/>
        <v>0</v>
      </c>
      <c r="K358" s="8">
        <f t="shared" si="88"/>
        <v>0</v>
      </c>
      <c r="L358" s="96" t="str">
        <f t="shared" si="89"/>
        <v/>
      </c>
      <c r="M358" s="81"/>
      <c r="N358" s="8">
        <v>300</v>
      </c>
      <c r="O358" s="8">
        <v>60</v>
      </c>
      <c r="P358" s="96" t="str">
        <f t="shared" si="90"/>
        <v/>
      </c>
      <c r="Q358" s="59">
        <f t="shared" si="91"/>
        <v>0</v>
      </c>
      <c r="R358" s="59">
        <f t="shared" si="92"/>
        <v>0</v>
      </c>
      <c r="S358" s="65"/>
      <c r="T358" s="65"/>
      <c r="U358" s="65"/>
      <c r="V358" s="65"/>
      <c r="W358" s="65"/>
      <c r="X358" s="65"/>
      <c r="Y358" s="65"/>
      <c r="Z358" s="65"/>
      <c r="AA358" s="65"/>
      <c r="AB358" s="65"/>
      <c r="AC358" s="65"/>
      <c r="AD358" s="65"/>
      <c r="AE358" s="65">
        <f t="shared" si="93"/>
        <v>0</v>
      </c>
      <c r="AF358" s="65"/>
      <c r="AG358" s="248">
        <f t="shared" si="94"/>
        <v>0</v>
      </c>
      <c r="AH358" s="95" t="str">
        <f t="shared" si="95"/>
        <v/>
      </c>
      <c r="AI358" s="97" t="str">
        <f t="shared" si="96"/>
        <v/>
      </c>
      <c r="AJ358" s="11"/>
    </row>
    <row r="359" spans="1:36" x14ac:dyDescent="0.25">
      <c r="A359">
        <f t="shared" si="86"/>
        <v>357</v>
      </c>
      <c r="D359" s="14">
        <v>46032</v>
      </c>
      <c r="E359" s="7"/>
      <c r="F359" s="7"/>
      <c r="G359" s="66"/>
      <c r="H359" s="59"/>
      <c r="I359" s="59"/>
      <c r="J359" s="47">
        <f t="shared" si="87"/>
        <v>0</v>
      </c>
      <c r="K359" s="8">
        <f t="shared" si="88"/>
        <v>0</v>
      </c>
      <c r="L359" s="96" t="str">
        <f t="shared" si="89"/>
        <v/>
      </c>
      <c r="M359" s="81"/>
      <c r="N359" s="8">
        <v>300</v>
      </c>
      <c r="O359" s="8">
        <v>60</v>
      </c>
      <c r="P359" s="96" t="str">
        <f t="shared" si="90"/>
        <v/>
      </c>
      <c r="Q359" s="59">
        <f t="shared" si="91"/>
        <v>0</v>
      </c>
      <c r="R359" s="59">
        <f t="shared" si="92"/>
        <v>0</v>
      </c>
      <c r="S359" s="65"/>
      <c r="T359" s="65"/>
      <c r="U359" s="65"/>
      <c r="V359" s="65"/>
      <c r="W359" s="65"/>
      <c r="X359" s="65"/>
      <c r="Y359" s="65"/>
      <c r="Z359" s="65"/>
      <c r="AA359" s="65"/>
      <c r="AB359" s="65"/>
      <c r="AC359" s="65"/>
      <c r="AD359" s="65"/>
      <c r="AE359" s="65">
        <f t="shared" si="93"/>
        <v>0</v>
      </c>
      <c r="AF359" s="65"/>
      <c r="AG359" s="248">
        <f t="shared" si="94"/>
        <v>0</v>
      </c>
      <c r="AH359" s="95" t="str">
        <f t="shared" si="95"/>
        <v/>
      </c>
      <c r="AI359" s="97" t="str">
        <f t="shared" si="96"/>
        <v/>
      </c>
      <c r="AJ359" s="11"/>
    </row>
    <row r="360" spans="1:36" x14ac:dyDescent="0.25">
      <c r="A360">
        <f t="shared" si="86"/>
        <v>358</v>
      </c>
      <c r="D360" s="14">
        <v>46033</v>
      </c>
      <c r="E360" s="7"/>
      <c r="F360" s="7"/>
      <c r="G360" s="66"/>
      <c r="H360" s="59"/>
      <c r="I360" s="59"/>
      <c r="J360" s="47">
        <f t="shared" si="87"/>
        <v>0</v>
      </c>
      <c r="K360" s="8">
        <f t="shared" si="88"/>
        <v>0</v>
      </c>
      <c r="L360" s="96" t="str">
        <f t="shared" si="89"/>
        <v/>
      </c>
      <c r="M360" s="81"/>
      <c r="N360" s="8">
        <v>300</v>
      </c>
      <c r="O360" s="8">
        <v>60</v>
      </c>
      <c r="P360" s="96" t="str">
        <f t="shared" si="90"/>
        <v/>
      </c>
      <c r="Q360" s="59">
        <f t="shared" si="91"/>
        <v>0</v>
      </c>
      <c r="R360" s="59">
        <f t="shared" si="92"/>
        <v>0</v>
      </c>
      <c r="S360" s="65"/>
      <c r="T360" s="65"/>
      <c r="U360" s="65"/>
      <c r="V360" s="65"/>
      <c r="W360" s="65"/>
      <c r="X360" s="65"/>
      <c r="Y360" s="65"/>
      <c r="Z360" s="65"/>
      <c r="AA360" s="65"/>
      <c r="AB360" s="65"/>
      <c r="AC360" s="65"/>
      <c r="AD360" s="65"/>
      <c r="AE360" s="65">
        <f t="shared" si="93"/>
        <v>0</v>
      </c>
      <c r="AF360" s="65"/>
      <c r="AG360" s="248">
        <f t="shared" si="94"/>
        <v>0</v>
      </c>
      <c r="AH360" s="95" t="str">
        <f t="shared" si="95"/>
        <v/>
      </c>
      <c r="AI360" s="97" t="str">
        <f t="shared" si="96"/>
        <v/>
      </c>
      <c r="AJ360" s="11"/>
    </row>
    <row r="361" spans="1:36" x14ac:dyDescent="0.25">
      <c r="A361">
        <f t="shared" si="86"/>
        <v>359</v>
      </c>
      <c r="D361" s="14">
        <v>46034</v>
      </c>
      <c r="E361" s="7"/>
      <c r="F361" s="7"/>
      <c r="G361" s="66"/>
      <c r="H361" s="59"/>
      <c r="I361" s="59"/>
      <c r="J361" s="47">
        <f t="shared" si="87"/>
        <v>0</v>
      </c>
      <c r="K361" s="8">
        <f t="shared" si="88"/>
        <v>0</v>
      </c>
      <c r="L361" s="96" t="str">
        <f t="shared" si="89"/>
        <v/>
      </c>
      <c r="M361" s="81"/>
      <c r="N361" s="8">
        <v>300</v>
      </c>
      <c r="O361" s="8">
        <v>60</v>
      </c>
      <c r="P361" s="96" t="str">
        <f t="shared" si="90"/>
        <v/>
      </c>
      <c r="Q361" s="59">
        <f t="shared" si="91"/>
        <v>0</v>
      </c>
      <c r="R361" s="59">
        <f t="shared" si="92"/>
        <v>0</v>
      </c>
      <c r="S361" s="65"/>
      <c r="T361" s="65"/>
      <c r="U361" s="65"/>
      <c r="V361" s="65"/>
      <c r="W361" s="65"/>
      <c r="X361" s="65"/>
      <c r="Y361" s="65"/>
      <c r="Z361" s="65"/>
      <c r="AA361" s="65"/>
      <c r="AB361" s="65"/>
      <c r="AC361" s="65"/>
      <c r="AD361" s="65"/>
      <c r="AE361" s="65">
        <f t="shared" si="93"/>
        <v>0</v>
      </c>
      <c r="AF361" s="65"/>
      <c r="AG361" s="248">
        <f t="shared" si="94"/>
        <v>0</v>
      </c>
      <c r="AH361" s="95" t="str">
        <f t="shared" si="95"/>
        <v/>
      </c>
      <c r="AI361" s="97" t="str">
        <f t="shared" si="96"/>
        <v/>
      </c>
      <c r="AJ361" s="11"/>
    </row>
    <row r="362" spans="1:36" x14ac:dyDescent="0.25">
      <c r="A362">
        <f t="shared" si="86"/>
        <v>360</v>
      </c>
      <c r="D362" s="14">
        <v>46035</v>
      </c>
      <c r="E362" s="7"/>
      <c r="F362" s="7"/>
      <c r="G362" s="66"/>
      <c r="H362" s="59"/>
      <c r="I362" s="59"/>
      <c r="J362" s="47">
        <f t="shared" si="87"/>
        <v>0</v>
      </c>
      <c r="K362" s="8">
        <f t="shared" si="88"/>
        <v>0</v>
      </c>
      <c r="L362" s="96" t="str">
        <f t="shared" si="89"/>
        <v/>
      </c>
      <c r="M362" s="81"/>
      <c r="N362" s="8">
        <v>300</v>
      </c>
      <c r="O362" s="8">
        <v>60</v>
      </c>
      <c r="P362" s="96" t="str">
        <f t="shared" si="90"/>
        <v/>
      </c>
      <c r="Q362" s="59">
        <f t="shared" si="91"/>
        <v>0</v>
      </c>
      <c r="R362" s="59">
        <f t="shared" si="92"/>
        <v>0</v>
      </c>
      <c r="S362" s="65"/>
      <c r="T362" s="65"/>
      <c r="U362" s="65"/>
      <c r="V362" s="65"/>
      <c r="W362" s="65"/>
      <c r="X362" s="65"/>
      <c r="Y362" s="65"/>
      <c r="Z362" s="65"/>
      <c r="AA362" s="65"/>
      <c r="AB362" s="65"/>
      <c r="AC362" s="65"/>
      <c r="AD362" s="65"/>
      <c r="AE362" s="65">
        <f t="shared" si="93"/>
        <v>0</v>
      </c>
      <c r="AF362" s="65"/>
      <c r="AG362" s="248">
        <f t="shared" si="94"/>
        <v>0</v>
      </c>
      <c r="AH362" s="95" t="str">
        <f t="shared" si="95"/>
        <v/>
      </c>
      <c r="AI362" s="97" t="str">
        <f t="shared" si="96"/>
        <v/>
      </c>
      <c r="AJ362" s="11"/>
    </row>
    <row r="363" spans="1:36" x14ac:dyDescent="0.25">
      <c r="A363">
        <f t="shared" si="86"/>
        <v>361</v>
      </c>
      <c r="D363" s="14">
        <v>46036</v>
      </c>
      <c r="E363" s="7"/>
      <c r="F363" s="7"/>
      <c r="G363" s="66"/>
      <c r="H363" s="59"/>
      <c r="I363" s="59"/>
      <c r="J363" s="47">
        <f t="shared" si="87"/>
        <v>0</v>
      </c>
      <c r="K363" s="8">
        <f t="shared" si="88"/>
        <v>0</v>
      </c>
      <c r="L363" s="96" t="str">
        <f t="shared" si="89"/>
        <v/>
      </c>
      <c r="M363" s="81"/>
      <c r="N363" s="8">
        <v>300</v>
      </c>
      <c r="O363" s="8">
        <v>60</v>
      </c>
      <c r="P363" s="96" t="str">
        <f t="shared" si="90"/>
        <v/>
      </c>
      <c r="Q363" s="59">
        <f t="shared" si="91"/>
        <v>0</v>
      </c>
      <c r="R363" s="59">
        <f t="shared" si="92"/>
        <v>0</v>
      </c>
      <c r="S363" s="65"/>
      <c r="T363" s="65"/>
      <c r="U363" s="65"/>
      <c r="V363" s="65"/>
      <c r="W363" s="65"/>
      <c r="X363" s="65"/>
      <c r="Y363" s="65"/>
      <c r="Z363" s="65"/>
      <c r="AA363" s="65"/>
      <c r="AB363" s="65"/>
      <c r="AC363" s="65"/>
      <c r="AD363" s="65"/>
      <c r="AE363" s="65">
        <f t="shared" si="93"/>
        <v>0</v>
      </c>
      <c r="AF363" s="65"/>
      <c r="AG363" s="248">
        <f t="shared" si="94"/>
        <v>0</v>
      </c>
      <c r="AH363" s="95" t="str">
        <f t="shared" si="95"/>
        <v/>
      </c>
      <c r="AI363" s="97" t="str">
        <f t="shared" si="96"/>
        <v/>
      </c>
      <c r="AJ363" s="11"/>
    </row>
    <row r="364" spans="1:36" x14ac:dyDescent="0.25">
      <c r="A364">
        <f t="shared" si="86"/>
        <v>362</v>
      </c>
      <c r="D364" s="14">
        <v>46037</v>
      </c>
      <c r="E364" s="7"/>
      <c r="F364" s="7"/>
      <c r="G364" s="66"/>
      <c r="H364" s="59"/>
      <c r="I364" s="59"/>
      <c r="J364" s="47">
        <f t="shared" si="87"/>
        <v>0</v>
      </c>
      <c r="K364" s="8">
        <f t="shared" si="88"/>
        <v>0</v>
      </c>
      <c r="L364" s="96" t="str">
        <f t="shared" si="89"/>
        <v/>
      </c>
      <c r="M364" s="81"/>
      <c r="N364" s="8">
        <v>300</v>
      </c>
      <c r="O364" s="8">
        <v>60</v>
      </c>
      <c r="P364" s="96" t="str">
        <f t="shared" si="90"/>
        <v/>
      </c>
      <c r="Q364" s="59">
        <f t="shared" si="91"/>
        <v>0</v>
      </c>
      <c r="R364" s="59">
        <f t="shared" si="92"/>
        <v>0</v>
      </c>
      <c r="S364" s="65"/>
      <c r="T364" s="65"/>
      <c r="U364" s="65"/>
      <c r="V364" s="65"/>
      <c r="W364" s="65"/>
      <c r="X364" s="65"/>
      <c r="Y364" s="65"/>
      <c r="Z364" s="65"/>
      <c r="AA364" s="65"/>
      <c r="AB364" s="65"/>
      <c r="AC364" s="65"/>
      <c r="AD364" s="65"/>
      <c r="AE364" s="65">
        <f t="shared" si="93"/>
        <v>0</v>
      </c>
      <c r="AF364" s="65"/>
      <c r="AG364" s="248">
        <f t="shared" si="94"/>
        <v>0</v>
      </c>
      <c r="AH364" s="95" t="str">
        <f t="shared" si="95"/>
        <v/>
      </c>
      <c r="AI364" s="97" t="str">
        <f t="shared" si="96"/>
        <v/>
      </c>
      <c r="AJ364" s="11"/>
    </row>
    <row r="365" spans="1:36" x14ac:dyDescent="0.25">
      <c r="A365">
        <f t="shared" si="86"/>
        <v>363</v>
      </c>
      <c r="D365" s="14">
        <v>46038</v>
      </c>
      <c r="E365" s="7"/>
      <c r="F365" s="7"/>
      <c r="G365" s="66"/>
      <c r="H365" s="59"/>
      <c r="I365" s="59"/>
      <c r="J365" s="47">
        <f t="shared" si="87"/>
        <v>0</v>
      </c>
      <c r="K365" s="8">
        <f t="shared" si="88"/>
        <v>0</v>
      </c>
      <c r="L365" s="96" t="str">
        <f t="shared" si="89"/>
        <v/>
      </c>
      <c r="M365" s="81"/>
      <c r="N365" s="8">
        <v>300</v>
      </c>
      <c r="O365" s="8">
        <v>60</v>
      </c>
      <c r="P365" s="96" t="str">
        <f t="shared" si="90"/>
        <v/>
      </c>
      <c r="Q365" s="59">
        <f t="shared" si="91"/>
        <v>0</v>
      </c>
      <c r="R365" s="59">
        <f t="shared" si="92"/>
        <v>0</v>
      </c>
      <c r="S365" s="65"/>
      <c r="T365" s="65"/>
      <c r="U365" s="65"/>
      <c r="V365" s="65"/>
      <c r="W365" s="65"/>
      <c r="X365" s="65"/>
      <c r="Y365" s="65"/>
      <c r="Z365" s="65"/>
      <c r="AA365" s="65"/>
      <c r="AB365" s="65"/>
      <c r="AC365" s="65"/>
      <c r="AD365" s="65"/>
      <c r="AE365" s="65">
        <f t="shared" si="93"/>
        <v>0</v>
      </c>
      <c r="AF365" s="65"/>
      <c r="AG365" s="248">
        <f t="shared" si="94"/>
        <v>0</v>
      </c>
      <c r="AH365" s="95" t="str">
        <f t="shared" si="95"/>
        <v/>
      </c>
      <c r="AI365" s="97" t="str">
        <f t="shared" si="96"/>
        <v/>
      </c>
      <c r="AJ365" s="11"/>
    </row>
    <row r="366" spans="1:36" x14ac:dyDescent="0.25">
      <c r="A366">
        <f t="shared" si="86"/>
        <v>364</v>
      </c>
      <c r="D366" s="14">
        <v>46039</v>
      </c>
      <c r="E366" s="7"/>
      <c r="F366" s="7"/>
      <c r="G366" s="66"/>
      <c r="H366" s="59"/>
      <c r="I366" s="59"/>
      <c r="J366" s="47">
        <f t="shared" si="87"/>
        <v>0</v>
      </c>
      <c r="K366" s="8">
        <f t="shared" si="88"/>
        <v>0</v>
      </c>
      <c r="L366" s="96" t="str">
        <f t="shared" si="89"/>
        <v/>
      </c>
      <c r="M366" s="81"/>
      <c r="N366" s="8">
        <v>300</v>
      </c>
      <c r="O366" s="8">
        <v>60</v>
      </c>
      <c r="P366" s="96" t="str">
        <f t="shared" si="90"/>
        <v/>
      </c>
      <c r="Q366" s="59">
        <f t="shared" si="91"/>
        <v>0</v>
      </c>
      <c r="R366" s="59">
        <f t="shared" si="92"/>
        <v>0</v>
      </c>
      <c r="S366" s="65"/>
      <c r="T366" s="65"/>
      <c r="U366" s="65"/>
      <c r="V366" s="65"/>
      <c r="W366" s="65"/>
      <c r="X366" s="65"/>
      <c r="Y366" s="65"/>
      <c r="Z366" s="65"/>
      <c r="AA366" s="65"/>
      <c r="AB366" s="65"/>
      <c r="AC366" s="65"/>
      <c r="AD366" s="65"/>
      <c r="AE366" s="65">
        <f t="shared" si="93"/>
        <v>0</v>
      </c>
      <c r="AF366" s="65"/>
      <c r="AG366" s="248">
        <f t="shared" si="94"/>
        <v>0</v>
      </c>
      <c r="AH366" s="95" t="str">
        <f t="shared" si="95"/>
        <v/>
      </c>
      <c r="AI366" s="97" t="str">
        <f t="shared" si="96"/>
        <v/>
      </c>
      <c r="AJ366" s="11"/>
    </row>
    <row r="367" spans="1:36" x14ac:dyDescent="0.25">
      <c r="A367">
        <f t="shared" si="86"/>
        <v>365</v>
      </c>
      <c r="D367" s="14">
        <v>46040</v>
      </c>
      <c r="E367" s="7"/>
      <c r="F367" s="7"/>
      <c r="G367" s="66"/>
      <c r="H367" s="59"/>
      <c r="I367" s="59"/>
      <c r="J367" s="47">
        <f t="shared" si="87"/>
        <v>0</v>
      </c>
      <c r="K367" s="8">
        <f t="shared" si="88"/>
        <v>0</v>
      </c>
      <c r="L367" s="96" t="str">
        <f t="shared" si="89"/>
        <v/>
      </c>
      <c r="M367" s="81"/>
      <c r="N367" s="8">
        <v>300</v>
      </c>
      <c r="O367" s="8">
        <v>60</v>
      </c>
      <c r="P367" s="96" t="str">
        <f t="shared" si="90"/>
        <v/>
      </c>
      <c r="Q367" s="59">
        <f t="shared" si="91"/>
        <v>0</v>
      </c>
      <c r="R367" s="59">
        <f t="shared" si="92"/>
        <v>0</v>
      </c>
      <c r="S367" s="65"/>
      <c r="T367" s="65"/>
      <c r="U367" s="65"/>
      <c r="V367" s="65"/>
      <c r="W367" s="65"/>
      <c r="X367" s="65"/>
      <c r="Y367" s="65"/>
      <c r="Z367" s="65"/>
      <c r="AA367" s="65"/>
      <c r="AB367" s="65"/>
      <c r="AC367" s="65"/>
      <c r="AD367" s="65"/>
      <c r="AE367" s="65">
        <f t="shared" si="93"/>
        <v>0</v>
      </c>
      <c r="AF367" s="65"/>
      <c r="AG367" s="248">
        <f t="shared" si="94"/>
        <v>0</v>
      </c>
      <c r="AH367" s="95" t="str">
        <f t="shared" si="95"/>
        <v/>
      </c>
      <c r="AI367" s="97" t="str">
        <f t="shared" si="96"/>
        <v/>
      </c>
      <c r="AJ367" s="11"/>
    </row>
    <row r="368" spans="1:36" x14ac:dyDescent="0.25">
      <c r="A368">
        <f t="shared" si="86"/>
        <v>366</v>
      </c>
      <c r="D368" s="14">
        <v>46041</v>
      </c>
      <c r="E368" s="7"/>
      <c r="F368" s="7"/>
      <c r="G368" s="66"/>
      <c r="H368" s="59"/>
      <c r="I368" s="59"/>
      <c r="J368" s="47">
        <f t="shared" si="87"/>
        <v>0</v>
      </c>
      <c r="K368" s="8">
        <f t="shared" si="88"/>
        <v>0</v>
      </c>
      <c r="L368" s="96" t="str">
        <f t="shared" si="89"/>
        <v/>
      </c>
      <c r="M368" s="81"/>
      <c r="N368" s="8">
        <v>300</v>
      </c>
      <c r="O368" s="8">
        <v>60</v>
      </c>
      <c r="P368" s="96" t="str">
        <f t="shared" si="90"/>
        <v/>
      </c>
      <c r="Q368" s="59">
        <f t="shared" si="91"/>
        <v>0</v>
      </c>
      <c r="R368" s="59">
        <f t="shared" si="92"/>
        <v>0</v>
      </c>
      <c r="S368" s="65"/>
      <c r="T368" s="65"/>
      <c r="U368" s="65"/>
      <c r="V368" s="65"/>
      <c r="W368" s="65"/>
      <c r="X368" s="65"/>
      <c r="Y368" s="65"/>
      <c r="Z368" s="65"/>
      <c r="AA368" s="65"/>
      <c r="AB368" s="65"/>
      <c r="AC368" s="65"/>
      <c r="AD368" s="65"/>
      <c r="AE368" s="65">
        <f t="shared" si="93"/>
        <v>0</v>
      </c>
      <c r="AF368" s="65"/>
      <c r="AG368" s="248">
        <f t="shared" si="94"/>
        <v>0</v>
      </c>
      <c r="AH368" s="95" t="str">
        <f t="shared" si="95"/>
        <v/>
      </c>
      <c r="AI368" s="97" t="str">
        <f t="shared" si="96"/>
        <v/>
      </c>
      <c r="AJ368" s="11"/>
    </row>
    <row r="369" spans="1:36" x14ac:dyDescent="0.25">
      <c r="A369">
        <f t="shared" si="86"/>
        <v>367</v>
      </c>
      <c r="D369" s="14">
        <v>46042</v>
      </c>
      <c r="E369" s="7"/>
      <c r="F369" s="7"/>
      <c r="G369" s="66"/>
      <c r="H369" s="59"/>
      <c r="I369" s="59"/>
      <c r="J369" s="47">
        <f t="shared" si="87"/>
        <v>0</v>
      </c>
      <c r="K369" s="8">
        <f t="shared" si="88"/>
        <v>0</v>
      </c>
      <c r="L369" s="96" t="str">
        <f t="shared" si="89"/>
        <v/>
      </c>
      <c r="M369" s="81"/>
      <c r="N369" s="8">
        <v>300</v>
      </c>
      <c r="O369" s="8">
        <v>60</v>
      </c>
      <c r="P369" s="96" t="str">
        <f t="shared" si="90"/>
        <v/>
      </c>
      <c r="Q369" s="59">
        <f t="shared" si="91"/>
        <v>0</v>
      </c>
      <c r="R369" s="59">
        <f t="shared" si="92"/>
        <v>0</v>
      </c>
      <c r="S369" s="65"/>
      <c r="T369" s="65"/>
      <c r="U369" s="65"/>
      <c r="V369" s="65"/>
      <c r="W369" s="65"/>
      <c r="X369" s="65"/>
      <c r="Y369" s="65"/>
      <c r="Z369" s="65"/>
      <c r="AA369" s="65"/>
      <c r="AB369" s="65"/>
      <c r="AC369" s="65"/>
      <c r="AD369" s="65"/>
      <c r="AE369" s="65">
        <f t="shared" si="93"/>
        <v>0</v>
      </c>
      <c r="AF369" s="65"/>
      <c r="AG369" s="248">
        <f t="shared" si="94"/>
        <v>0</v>
      </c>
      <c r="AH369" s="95" t="str">
        <f t="shared" si="95"/>
        <v/>
      </c>
      <c r="AI369" s="97" t="str">
        <f t="shared" si="96"/>
        <v/>
      </c>
      <c r="AJ369" s="11"/>
    </row>
    <row r="370" spans="1:36" x14ac:dyDescent="0.25">
      <c r="A370">
        <f t="shared" si="86"/>
        <v>368</v>
      </c>
      <c r="D370" s="14">
        <v>46043</v>
      </c>
      <c r="E370" s="7"/>
      <c r="F370" s="7"/>
      <c r="G370" s="66"/>
      <c r="H370" s="59"/>
      <c r="I370" s="59"/>
      <c r="J370" s="47">
        <f t="shared" si="87"/>
        <v>0</v>
      </c>
      <c r="K370" s="8">
        <f t="shared" si="88"/>
        <v>0</v>
      </c>
      <c r="L370" s="96" t="str">
        <f t="shared" si="89"/>
        <v/>
      </c>
      <c r="M370" s="81"/>
      <c r="N370" s="8">
        <v>300</v>
      </c>
      <c r="O370" s="8">
        <v>60</v>
      </c>
      <c r="P370" s="96" t="str">
        <f t="shared" si="90"/>
        <v/>
      </c>
      <c r="Q370" s="59">
        <f t="shared" si="91"/>
        <v>0</v>
      </c>
      <c r="R370" s="59">
        <f t="shared" si="92"/>
        <v>0</v>
      </c>
      <c r="S370" s="65"/>
      <c r="T370" s="65"/>
      <c r="U370" s="65"/>
      <c r="V370" s="65"/>
      <c r="W370" s="65"/>
      <c r="X370" s="65"/>
      <c r="Y370" s="65"/>
      <c r="Z370" s="65"/>
      <c r="AA370" s="65"/>
      <c r="AB370" s="65"/>
      <c r="AC370" s="65"/>
      <c r="AD370" s="65"/>
      <c r="AE370" s="65">
        <f t="shared" si="93"/>
        <v>0</v>
      </c>
      <c r="AF370" s="65"/>
      <c r="AG370" s="248">
        <f t="shared" si="94"/>
        <v>0</v>
      </c>
      <c r="AH370" s="95" t="str">
        <f t="shared" si="95"/>
        <v/>
      </c>
      <c r="AI370" s="97" t="str">
        <f t="shared" si="96"/>
        <v/>
      </c>
      <c r="AJ370" s="11"/>
    </row>
    <row r="371" spans="1:36" x14ac:dyDescent="0.25">
      <c r="A371">
        <f t="shared" si="86"/>
        <v>369</v>
      </c>
      <c r="D371" s="14">
        <v>46044</v>
      </c>
      <c r="E371" s="7"/>
      <c r="F371" s="7"/>
      <c r="G371" s="66"/>
      <c r="H371" s="59"/>
      <c r="I371" s="59"/>
      <c r="J371" s="47">
        <f t="shared" si="87"/>
        <v>0</v>
      </c>
      <c r="K371" s="8">
        <f t="shared" si="88"/>
        <v>0</v>
      </c>
      <c r="L371" s="96" t="str">
        <f t="shared" si="89"/>
        <v/>
      </c>
      <c r="M371" s="81"/>
      <c r="N371" s="8">
        <v>300</v>
      </c>
      <c r="O371" s="8">
        <v>60</v>
      </c>
      <c r="P371" s="96" t="str">
        <f t="shared" si="90"/>
        <v/>
      </c>
      <c r="Q371" s="59">
        <f t="shared" si="91"/>
        <v>0</v>
      </c>
      <c r="R371" s="59">
        <f t="shared" si="92"/>
        <v>0</v>
      </c>
      <c r="S371" s="65"/>
      <c r="T371" s="65"/>
      <c r="U371" s="65"/>
      <c r="V371" s="65"/>
      <c r="W371" s="65"/>
      <c r="X371" s="65"/>
      <c r="Y371" s="65"/>
      <c r="Z371" s="65"/>
      <c r="AA371" s="65"/>
      <c r="AB371" s="65"/>
      <c r="AC371" s="65"/>
      <c r="AD371" s="65"/>
      <c r="AE371" s="65">
        <f t="shared" si="93"/>
        <v>0</v>
      </c>
      <c r="AF371" s="65"/>
      <c r="AG371" s="248">
        <f t="shared" si="94"/>
        <v>0</v>
      </c>
      <c r="AH371" s="95" t="str">
        <f t="shared" si="95"/>
        <v/>
      </c>
      <c r="AI371" s="97" t="str">
        <f t="shared" si="96"/>
        <v/>
      </c>
      <c r="AJ371" s="11"/>
    </row>
    <row r="372" spans="1:36" x14ac:dyDescent="0.25">
      <c r="A372">
        <f t="shared" si="86"/>
        <v>370</v>
      </c>
      <c r="D372" s="14">
        <v>46045</v>
      </c>
      <c r="E372" s="7"/>
      <c r="F372" s="7"/>
      <c r="G372" s="66"/>
      <c r="H372" s="59"/>
      <c r="I372" s="59"/>
      <c r="J372" s="47">
        <f t="shared" si="87"/>
        <v>0</v>
      </c>
      <c r="K372" s="8">
        <f t="shared" si="88"/>
        <v>0</v>
      </c>
      <c r="L372" s="96" t="str">
        <f t="shared" si="89"/>
        <v/>
      </c>
      <c r="M372" s="81"/>
      <c r="N372" s="8">
        <v>300</v>
      </c>
      <c r="O372" s="8">
        <v>60</v>
      </c>
      <c r="P372" s="96" t="str">
        <f t="shared" si="90"/>
        <v/>
      </c>
      <c r="Q372" s="59">
        <f t="shared" si="91"/>
        <v>0</v>
      </c>
      <c r="R372" s="59">
        <f t="shared" si="92"/>
        <v>0</v>
      </c>
      <c r="S372" s="65"/>
      <c r="T372" s="65"/>
      <c r="U372" s="65"/>
      <c r="V372" s="65"/>
      <c r="W372" s="65"/>
      <c r="X372" s="65"/>
      <c r="Y372" s="65"/>
      <c r="Z372" s="65"/>
      <c r="AA372" s="65"/>
      <c r="AB372" s="65"/>
      <c r="AC372" s="65"/>
      <c r="AD372" s="65"/>
      <c r="AE372" s="65">
        <f t="shared" si="93"/>
        <v>0</v>
      </c>
      <c r="AF372" s="65"/>
      <c r="AG372" s="248">
        <f t="shared" si="94"/>
        <v>0</v>
      </c>
      <c r="AH372" s="95" t="str">
        <f t="shared" si="95"/>
        <v/>
      </c>
      <c r="AI372" s="97" t="str">
        <f t="shared" si="96"/>
        <v/>
      </c>
      <c r="AJ372" s="11"/>
    </row>
    <row r="373" spans="1:36" x14ac:dyDescent="0.25">
      <c r="A373">
        <f t="shared" si="86"/>
        <v>371</v>
      </c>
      <c r="D373" s="14">
        <v>46046</v>
      </c>
      <c r="E373" s="7"/>
      <c r="F373" s="7"/>
      <c r="G373" s="66"/>
      <c r="H373" s="59"/>
      <c r="I373" s="59"/>
      <c r="J373" s="47">
        <f t="shared" si="87"/>
        <v>0</v>
      </c>
      <c r="K373" s="8">
        <f t="shared" si="88"/>
        <v>0</v>
      </c>
      <c r="L373" s="96" t="str">
        <f t="shared" si="89"/>
        <v/>
      </c>
      <c r="M373" s="81"/>
      <c r="N373" s="8">
        <v>300</v>
      </c>
      <c r="O373" s="8">
        <v>60</v>
      </c>
      <c r="P373" s="96" t="str">
        <f t="shared" si="90"/>
        <v/>
      </c>
      <c r="Q373" s="59">
        <f t="shared" si="91"/>
        <v>0</v>
      </c>
      <c r="R373" s="59">
        <f t="shared" si="92"/>
        <v>0</v>
      </c>
      <c r="S373" s="65"/>
      <c r="T373" s="65"/>
      <c r="U373" s="65"/>
      <c r="V373" s="65"/>
      <c r="W373" s="65"/>
      <c r="X373" s="65"/>
      <c r="Y373" s="65"/>
      <c r="Z373" s="65"/>
      <c r="AA373" s="65"/>
      <c r="AB373" s="65"/>
      <c r="AC373" s="65"/>
      <c r="AD373" s="65"/>
      <c r="AE373" s="65">
        <f t="shared" si="93"/>
        <v>0</v>
      </c>
      <c r="AF373" s="65"/>
      <c r="AG373" s="248">
        <f t="shared" si="94"/>
        <v>0</v>
      </c>
      <c r="AH373" s="95" t="str">
        <f t="shared" si="95"/>
        <v/>
      </c>
      <c r="AI373" s="97" t="str">
        <f t="shared" si="96"/>
        <v/>
      </c>
      <c r="AJ373" s="11"/>
    </row>
    <row r="374" spans="1:36" x14ac:dyDescent="0.25">
      <c r="A374">
        <f t="shared" si="86"/>
        <v>372</v>
      </c>
      <c r="D374" s="14">
        <v>46047</v>
      </c>
      <c r="E374" s="7"/>
      <c r="F374" s="7"/>
      <c r="G374" s="66"/>
      <c r="H374" s="59"/>
      <c r="I374" s="59"/>
      <c r="J374" s="47">
        <f t="shared" si="87"/>
        <v>0</v>
      </c>
      <c r="K374" s="8">
        <f t="shared" si="88"/>
        <v>0</v>
      </c>
      <c r="L374" s="96" t="str">
        <f t="shared" si="89"/>
        <v/>
      </c>
      <c r="M374" s="81"/>
      <c r="N374" s="8">
        <v>300</v>
      </c>
      <c r="O374" s="8">
        <v>60</v>
      </c>
      <c r="P374" s="96" t="str">
        <f t="shared" si="90"/>
        <v/>
      </c>
      <c r="Q374" s="59">
        <f t="shared" si="91"/>
        <v>0</v>
      </c>
      <c r="R374" s="59">
        <f t="shared" si="92"/>
        <v>0</v>
      </c>
      <c r="S374" s="65"/>
      <c r="T374" s="65"/>
      <c r="U374" s="65"/>
      <c r="V374" s="65"/>
      <c r="W374" s="65"/>
      <c r="X374" s="65"/>
      <c r="Y374" s="65"/>
      <c r="Z374" s="65"/>
      <c r="AA374" s="65"/>
      <c r="AB374" s="65"/>
      <c r="AC374" s="65"/>
      <c r="AD374" s="65"/>
      <c r="AE374" s="65">
        <f t="shared" si="93"/>
        <v>0</v>
      </c>
      <c r="AF374" s="65"/>
      <c r="AG374" s="248">
        <f t="shared" si="94"/>
        <v>0</v>
      </c>
      <c r="AH374" s="95" t="str">
        <f t="shared" si="95"/>
        <v/>
      </c>
      <c r="AI374" s="97" t="str">
        <f t="shared" si="96"/>
        <v/>
      </c>
      <c r="AJ374" s="11"/>
    </row>
    <row r="375" spans="1:36" x14ac:dyDescent="0.25">
      <c r="A375">
        <f t="shared" si="86"/>
        <v>373</v>
      </c>
      <c r="D375" s="14">
        <v>46048</v>
      </c>
      <c r="E375" s="7"/>
      <c r="F375" s="7"/>
      <c r="G375" s="66"/>
      <c r="H375" s="59"/>
      <c r="I375" s="59"/>
      <c r="J375" s="47">
        <f t="shared" si="87"/>
        <v>0</v>
      </c>
      <c r="K375" s="8">
        <f t="shared" si="88"/>
        <v>0</v>
      </c>
      <c r="L375" s="96" t="str">
        <f t="shared" si="89"/>
        <v/>
      </c>
      <c r="M375" s="81"/>
      <c r="N375" s="8">
        <v>300</v>
      </c>
      <c r="O375" s="8">
        <v>60</v>
      </c>
      <c r="P375" s="96" t="str">
        <f t="shared" si="90"/>
        <v/>
      </c>
      <c r="Q375" s="59">
        <f t="shared" si="91"/>
        <v>0</v>
      </c>
      <c r="R375" s="59">
        <f t="shared" si="92"/>
        <v>0</v>
      </c>
      <c r="S375" s="65"/>
      <c r="T375" s="65"/>
      <c r="U375" s="65"/>
      <c r="V375" s="65"/>
      <c r="W375" s="65"/>
      <c r="X375" s="65"/>
      <c r="Y375" s="65"/>
      <c r="Z375" s="65"/>
      <c r="AA375" s="65"/>
      <c r="AB375" s="65"/>
      <c r="AC375" s="65"/>
      <c r="AD375" s="65"/>
      <c r="AE375" s="65">
        <f t="shared" si="93"/>
        <v>0</v>
      </c>
      <c r="AF375" s="65"/>
      <c r="AG375" s="248">
        <f t="shared" si="94"/>
        <v>0</v>
      </c>
      <c r="AH375" s="95" t="str">
        <f t="shared" si="95"/>
        <v/>
      </c>
      <c r="AI375" s="97" t="str">
        <f t="shared" si="96"/>
        <v/>
      </c>
      <c r="AJ375" s="11"/>
    </row>
    <row r="376" spans="1:36" x14ac:dyDescent="0.25">
      <c r="A376">
        <f t="shared" si="86"/>
        <v>374</v>
      </c>
      <c r="D376" s="14">
        <v>46049</v>
      </c>
      <c r="E376" s="7"/>
      <c r="F376" s="7"/>
      <c r="G376" s="66"/>
      <c r="H376" s="59"/>
      <c r="I376" s="59"/>
      <c r="J376" s="47">
        <f t="shared" si="87"/>
        <v>0</v>
      </c>
      <c r="K376" s="8">
        <f t="shared" si="88"/>
        <v>0</v>
      </c>
      <c r="L376" s="96" t="str">
        <f t="shared" si="89"/>
        <v/>
      </c>
      <c r="M376" s="81"/>
      <c r="N376" s="8">
        <v>300</v>
      </c>
      <c r="O376" s="8">
        <v>60</v>
      </c>
      <c r="P376" s="96" t="str">
        <f t="shared" si="90"/>
        <v/>
      </c>
      <c r="Q376" s="59">
        <f t="shared" si="91"/>
        <v>0</v>
      </c>
      <c r="R376" s="59">
        <f t="shared" si="92"/>
        <v>0</v>
      </c>
      <c r="S376" s="65"/>
      <c r="T376" s="65"/>
      <c r="U376" s="65"/>
      <c r="V376" s="65"/>
      <c r="W376" s="65"/>
      <c r="X376" s="65"/>
      <c r="Y376" s="65"/>
      <c r="Z376" s="65"/>
      <c r="AA376" s="65"/>
      <c r="AB376" s="65"/>
      <c r="AC376" s="65"/>
      <c r="AD376" s="65"/>
      <c r="AE376" s="65">
        <f t="shared" si="93"/>
        <v>0</v>
      </c>
      <c r="AF376" s="65"/>
      <c r="AG376" s="248">
        <f t="shared" si="94"/>
        <v>0</v>
      </c>
      <c r="AH376" s="95" t="str">
        <f t="shared" si="95"/>
        <v/>
      </c>
      <c r="AI376" s="97" t="str">
        <f t="shared" si="96"/>
        <v/>
      </c>
      <c r="AJ376" s="11"/>
    </row>
    <row r="377" spans="1:36" x14ac:dyDescent="0.25">
      <c r="A377">
        <f t="shared" si="86"/>
        <v>375</v>
      </c>
      <c r="D377" s="14">
        <v>46050</v>
      </c>
      <c r="E377" s="7"/>
      <c r="F377" s="7"/>
      <c r="G377" s="66"/>
      <c r="H377" s="59"/>
      <c r="I377" s="59"/>
      <c r="J377" s="47">
        <f t="shared" si="87"/>
        <v>0</v>
      </c>
      <c r="K377" s="8">
        <f t="shared" si="88"/>
        <v>0</v>
      </c>
      <c r="L377" s="96" t="str">
        <f t="shared" si="89"/>
        <v/>
      </c>
      <c r="M377" s="81"/>
      <c r="N377" s="8">
        <v>300</v>
      </c>
      <c r="O377" s="8">
        <v>60</v>
      </c>
      <c r="P377" s="96" t="str">
        <f t="shared" si="90"/>
        <v/>
      </c>
      <c r="Q377" s="59">
        <f t="shared" si="91"/>
        <v>0</v>
      </c>
      <c r="R377" s="59">
        <f t="shared" si="92"/>
        <v>0</v>
      </c>
      <c r="S377" s="65"/>
      <c r="T377" s="65"/>
      <c r="U377" s="65"/>
      <c r="V377" s="65"/>
      <c r="W377" s="65"/>
      <c r="X377" s="65"/>
      <c r="Y377" s="65"/>
      <c r="Z377" s="65"/>
      <c r="AA377" s="65"/>
      <c r="AB377" s="65"/>
      <c r="AC377" s="65"/>
      <c r="AD377" s="65"/>
      <c r="AE377" s="65">
        <f t="shared" si="93"/>
        <v>0</v>
      </c>
      <c r="AF377" s="65"/>
      <c r="AG377" s="248">
        <f t="shared" si="94"/>
        <v>0</v>
      </c>
      <c r="AH377" s="95" t="str">
        <f t="shared" si="95"/>
        <v/>
      </c>
      <c r="AI377" s="97" t="str">
        <f t="shared" si="96"/>
        <v/>
      </c>
      <c r="AJ377" s="11"/>
    </row>
    <row r="378" spans="1:36" x14ac:dyDescent="0.25">
      <c r="A378">
        <f t="shared" si="86"/>
        <v>376</v>
      </c>
      <c r="D378" s="14">
        <v>46051</v>
      </c>
      <c r="E378" s="7"/>
      <c r="F378" s="7"/>
      <c r="G378" s="66"/>
      <c r="H378" s="59"/>
      <c r="I378" s="59"/>
      <c r="J378" s="47">
        <f t="shared" si="87"/>
        <v>0</v>
      </c>
      <c r="K378" s="8">
        <f t="shared" si="88"/>
        <v>0</v>
      </c>
      <c r="L378" s="96" t="str">
        <f t="shared" si="89"/>
        <v/>
      </c>
      <c r="M378" s="81"/>
      <c r="N378" s="8">
        <v>300</v>
      </c>
      <c r="O378" s="8">
        <v>60</v>
      </c>
      <c r="P378" s="96" t="str">
        <f t="shared" si="90"/>
        <v/>
      </c>
      <c r="Q378" s="59">
        <f t="shared" si="91"/>
        <v>0</v>
      </c>
      <c r="R378" s="59">
        <f t="shared" si="92"/>
        <v>0</v>
      </c>
      <c r="S378" s="65"/>
      <c r="T378" s="65"/>
      <c r="U378" s="65"/>
      <c r="V378" s="65"/>
      <c r="W378" s="65"/>
      <c r="X378" s="65"/>
      <c r="Y378" s="65"/>
      <c r="Z378" s="65"/>
      <c r="AA378" s="65"/>
      <c r="AB378" s="65"/>
      <c r="AC378" s="65"/>
      <c r="AD378" s="65"/>
      <c r="AE378" s="65">
        <f t="shared" si="93"/>
        <v>0</v>
      </c>
      <c r="AF378" s="65"/>
      <c r="AG378" s="248">
        <f t="shared" si="94"/>
        <v>0</v>
      </c>
      <c r="AH378" s="95" t="str">
        <f t="shared" si="95"/>
        <v/>
      </c>
      <c r="AI378" s="97" t="str">
        <f t="shared" si="96"/>
        <v/>
      </c>
      <c r="AJ378" s="11"/>
    </row>
    <row r="379" spans="1:36" x14ac:dyDescent="0.25">
      <c r="A379">
        <f t="shared" si="86"/>
        <v>377</v>
      </c>
      <c r="D379" s="14">
        <v>46052</v>
      </c>
      <c r="E379" s="7"/>
      <c r="F379" s="7"/>
      <c r="G379" s="66"/>
      <c r="H379" s="59"/>
      <c r="I379" s="59"/>
      <c r="J379" s="47">
        <f t="shared" si="87"/>
        <v>0</v>
      </c>
      <c r="K379" s="8">
        <f t="shared" si="88"/>
        <v>0</v>
      </c>
      <c r="L379" s="96" t="str">
        <f t="shared" si="89"/>
        <v/>
      </c>
      <c r="M379" s="81"/>
      <c r="N379" s="8">
        <v>300</v>
      </c>
      <c r="O379" s="8">
        <v>60</v>
      </c>
      <c r="P379" s="96" t="str">
        <f t="shared" si="90"/>
        <v/>
      </c>
      <c r="Q379" s="59">
        <f t="shared" si="91"/>
        <v>0</v>
      </c>
      <c r="R379" s="59">
        <f t="shared" si="92"/>
        <v>0</v>
      </c>
      <c r="S379" s="65"/>
      <c r="T379" s="65"/>
      <c r="U379" s="65"/>
      <c r="V379" s="65"/>
      <c r="W379" s="65"/>
      <c r="X379" s="65"/>
      <c r="Y379" s="65"/>
      <c r="Z379" s="65"/>
      <c r="AA379" s="65"/>
      <c r="AB379" s="65"/>
      <c r="AC379" s="65"/>
      <c r="AD379" s="65"/>
      <c r="AE379" s="65">
        <f t="shared" si="93"/>
        <v>0</v>
      </c>
      <c r="AF379" s="65"/>
      <c r="AG379" s="248">
        <f t="shared" si="94"/>
        <v>0</v>
      </c>
      <c r="AH379" s="95" t="str">
        <f t="shared" si="95"/>
        <v/>
      </c>
      <c r="AI379" s="97" t="str">
        <f t="shared" si="96"/>
        <v/>
      </c>
      <c r="AJ379" s="11"/>
    </row>
    <row r="380" spans="1:36" x14ac:dyDescent="0.25">
      <c r="A380">
        <f t="shared" si="86"/>
        <v>378</v>
      </c>
      <c r="D380" s="14">
        <v>46053</v>
      </c>
      <c r="E380" s="7"/>
      <c r="F380" s="7"/>
      <c r="G380" s="66"/>
      <c r="H380" s="59"/>
      <c r="I380" s="59"/>
      <c r="J380" s="47">
        <f t="shared" si="87"/>
        <v>0</v>
      </c>
      <c r="K380" s="8">
        <f t="shared" si="88"/>
        <v>0</v>
      </c>
      <c r="L380" s="96" t="str">
        <f t="shared" si="89"/>
        <v/>
      </c>
      <c r="M380" s="81"/>
      <c r="N380" s="8">
        <v>300</v>
      </c>
      <c r="O380" s="8">
        <v>60</v>
      </c>
      <c r="P380" s="96" t="str">
        <f t="shared" si="90"/>
        <v/>
      </c>
      <c r="Q380" s="59">
        <f t="shared" si="91"/>
        <v>0</v>
      </c>
      <c r="R380" s="59">
        <f t="shared" si="92"/>
        <v>0</v>
      </c>
      <c r="S380" s="65"/>
      <c r="T380" s="65"/>
      <c r="U380" s="65"/>
      <c r="V380" s="65"/>
      <c r="W380" s="65"/>
      <c r="X380" s="65"/>
      <c r="Y380" s="65"/>
      <c r="Z380" s="65"/>
      <c r="AA380" s="65"/>
      <c r="AB380" s="65"/>
      <c r="AC380" s="65"/>
      <c r="AD380" s="65"/>
      <c r="AE380" s="65">
        <f t="shared" si="93"/>
        <v>0</v>
      </c>
      <c r="AF380" s="65"/>
      <c r="AG380" s="248">
        <f t="shared" si="94"/>
        <v>0</v>
      </c>
      <c r="AH380" s="95" t="str">
        <f t="shared" si="95"/>
        <v/>
      </c>
      <c r="AI380" s="97" t="str">
        <f t="shared" si="96"/>
        <v/>
      </c>
      <c r="AJ380" s="11"/>
    </row>
    <row r="381" spans="1:36" x14ac:dyDescent="0.25">
      <c r="A381">
        <f t="shared" si="86"/>
        <v>379</v>
      </c>
      <c r="D381" s="14">
        <v>46054</v>
      </c>
      <c r="E381" s="7"/>
      <c r="F381" s="7"/>
      <c r="G381" s="66"/>
      <c r="H381" s="59"/>
      <c r="I381" s="59"/>
      <c r="J381" s="47">
        <f t="shared" si="87"/>
        <v>0</v>
      </c>
      <c r="K381" s="8">
        <f t="shared" si="88"/>
        <v>0</v>
      </c>
      <c r="L381" s="96" t="str">
        <f t="shared" si="89"/>
        <v/>
      </c>
      <c r="M381" s="81"/>
      <c r="N381" s="8">
        <v>300</v>
      </c>
      <c r="O381" s="8">
        <v>60</v>
      </c>
      <c r="P381" s="96" t="str">
        <f t="shared" si="90"/>
        <v/>
      </c>
      <c r="Q381" s="59">
        <f t="shared" si="91"/>
        <v>0</v>
      </c>
      <c r="R381" s="59">
        <f t="shared" si="92"/>
        <v>0</v>
      </c>
      <c r="S381" s="65"/>
      <c r="T381" s="65"/>
      <c r="U381" s="65"/>
      <c r="V381" s="65"/>
      <c r="W381" s="65"/>
      <c r="X381" s="65"/>
      <c r="Y381" s="65"/>
      <c r="Z381" s="65"/>
      <c r="AA381" s="65"/>
      <c r="AB381" s="65"/>
      <c r="AC381" s="65"/>
      <c r="AD381" s="65"/>
      <c r="AE381" s="65">
        <f t="shared" si="93"/>
        <v>0</v>
      </c>
      <c r="AF381" s="65"/>
      <c r="AG381" s="248">
        <f t="shared" si="94"/>
        <v>0</v>
      </c>
      <c r="AH381" s="95" t="str">
        <f t="shared" si="95"/>
        <v/>
      </c>
      <c r="AI381" s="97" t="str">
        <f t="shared" si="96"/>
        <v/>
      </c>
      <c r="AJ381" s="11"/>
    </row>
    <row r="382" spans="1:36" x14ac:dyDescent="0.25">
      <c r="A382">
        <f t="shared" si="86"/>
        <v>380</v>
      </c>
      <c r="D382" s="14">
        <v>46055</v>
      </c>
      <c r="E382" s="7"/>
      <c r="F382" s="7"/>
      <c r="G382" s="66"/>
      <c r="H382" s="59"/>
      <c r="I382" s="59"/>
      <c r="J382" s="47">
        <f t="shared" si="87"/>
        <v>0</v>
      </c>
      <c r="K382" s="8">
        <f t="shared" si="88"/>
        <v>0</v>
      </c>
      <c r="L382" s="96" t="str">
        <f t="shared" si="89"/>
        <v/>
      </c>
      <c r="M382" s="81"/>
      <c r="N382" s="8">
        <v>300</v>
      </c>
      <c r="O382" s="8">
        <v>60</v>
      </c>
      <c r="P382" s="96" t="str">
        <f t="shared" si="90"/>
        <v/>
      </c>
      <c r="Q382" s="59">
        <f t="shared" si="91"/>
        <v>0</v>
      </c>
      <c r="R382" s="59">
        <f t="shared" si="92"/>
        <v>0</v>
      </c>
      <c r="S382" s="65"/>
      <c r="T382" s="65"/>
      <c r="U382" s="65"/>
      <c r="V382" s="65"/>
      <c r="W382" s="65"/>
      <c r="X382" s="65"/>
      <c r="Y382" s="65"/>
      <c r="Z382" s="65"/>
      <c r="AA382" s="65"/>
      <c r="AB382" s="65"/>
      <c r="AC382" s="65"/>
      <c r="AD382" s="65"/>
      <c r="AE382" s="65">
        <f t="shared" si="93"/>
        <v>0</v>
      </c>
      <c r="AF382" s="65"/>
      <c r="AG382" s="248">
        <f t="shared" si="94"/>
        <v>0</v>
      </c>
      <c r="AH382" s="95" t="str">
        <f t="shared" si="95"/>
        <v/>
      </c>
      <c r="AI382" s="97" t="str">
        <f t="shared" si="96"/>
        <v/>
      </c>
      <c r="AJ382" s="11"/>
    </row>
    <row r="383" spans="1:36" x14ac:dyDescent="0.25">
      <c r="A383">
        <f t="shared" si="86"/>
        <v>381</v>
      </c>
      <c r="D383" s="14">
        <v>46056</v>
      </c>
      <c r="E383" s="7"/>
      <c r="F383" s="7"/>
      <c r="G383" s="66"/>
      <c r="H383" s="59"/>
      <c r="I383" s="59"/>
      <c r="J383" s="47">
        <f t="shared" si="87"/>
        <v>0</v>
      </c>
      <c r="K383" s="8">
        <f t="shared" si="88"/>
        <v>0</v>
      </c>
      <c r="L383" s="96" t="str">
        <f t="shared" si="89"/>
        <v/>
      </c>
      <c r="M383" s="81"/>
      <c r="N383" s="8">
        <v>300</v>
      </c>
      <c r="O383" s="8">
        <v>60</v>
      </c>
      <c r="P383" s="96" t="str">
        <f t="shared" si="90"/>
        <v/>
      </c>
      <c r="Q383" s="59">
        <f t="shared" si="91"/>
        <v>0</v>
      </c>
      <c r="R383" s="59">
        <f t="shared" si="92"/>
        <v>0</v>
      </c>
      <c r="S383" s="65"/>
      <c r="T383" s="65"/>
      <c r="U383" s="65"/>
      <c r="V383" s="65"/>
      <c r="W383" s="65"/>
      <c r="X383" s="65"/>
      <c r="Y383" s="65"/>
      <c r="Z383" s="65"/>
      <c r="AA383" s="65"/>
      <c r="AB383" s="65"/>
      <c r="AC383" s="65"/>
      <c r="AD383" s="65"/>
      <c r="AE383" s="65">
        <f t="shared" si="93"/>
        <v>0</v>
      </c>
      <c r="AF383" s="65"/>
      <c r="AG383" s="248">
        <f t="shared" si="94"/>
        <v>0</v>
      </c>
      <c r="AH383" s="95" t="str">
        <f t="shared" si="95"/>
        <v/>
      </c>
      <c r="AI383" s="97" t="str">
        <f t="shared" si="96"/>
        <v/>
      </c>
      <c r="AJ383" s="11"/>
    </row>
    <row r="384" spans="1:36" x14ac:dyDescent="0.25">
      <c r="A384">
        <f t="shared" si="86"/>
        <v>382</v>
      </c>
      <c r="D384" s="14">
        <v>46057</v>
      </c>
      <c r="E384" s="7"/>
      <c r="F384" s="7"/>
      <c r="G384" s="66"/>
      <c r="H384" s="59"/>
      <c r="I384" s="59"/>
      <c r="J384" s="47">
        <f t="shared" si="87"/>
        <v>0</v>
      </c>
      <c r="K384" s="8">
        <f t="shared" si="88"/>
        <v>0</v>
      </c>
      <c r="L384" s="96" t="str">
        <f t="shared" si="89"/>
        <v/>
      </c>
      <c r="M384" s="81"/>
      <c r="N384" s="8">
        <v>300</v>
      </c>
      <c r="O384" s="8">
        <v>60</v>
      </c>
      <c r="P384" s="96" t="str">
        <f t="shared" si="90"/>
        <v/>
      </c>
      <c r="Q384" s="59">
        <f t="shared" si="91"/>
        <v>0</v>
      </c>
      <c r="R384" s="59">
        <f t="shared" si="92"/>
        <v>0</v>
      </c>
      <c r="S384" s="65"/>
      <c r="T384" s="65"/>
      <c r="U384" s="65"/>
      <c r="V384" s="65"/>
      <c r="W384" s="65"/>
      <c r="X384" s="65"/>
      <c r="Y384" s="65"/>
      <c r="Z384" s="65"/>
      <c r="AA384" s="65"/>
      <c r="AB384" s="65"/>
      <c r="AC384" s="65"/>
      <c r="AD384" s="65"/>
      <c r="AE384" s="65">
        <f t="shared" si="93"/>
        <v>0</v>
      </c>
      <c r="AF384" s="65"/>
      <c r="AG384" s="248">
        <f t="shared" si="94"/>
        <v>0</v>
      </c>
      <c r="AH384" s="95" t="str">
        <f t="shared" si="95"/>
        <v/>
      </c>
      <c r="AI384" s="97" t="str">
        <f t="shared" si="96"/>
        <v/>
      </c>
      <c r="AJ384" s="11"/>
    </row>
    <row r="385" spans="1:36" x14ac:dyDescent="0.25">
      <c r="A385">
        <f t="shared" si="86"/>
        <v>383</v>
      </c>
      <c r="D385" s="14">
        <v>46058</v>
      </c>
      <c r="E385" s="7"/>
      <c r="F385" s="7"/>
      <c r="G385" s="66"/>
      <c r="H385" s="59"/>
      <c r="I385" s="59"/>
      <c r="J385" s="47">
        <f t="shared" si="87"/>
        <v>0</v>
      </c>
      <c r="K385" s="8">
        <f t="shared" si="88"/>
        <v>0</v>
      </c>
      <c r="L385" s="96" t="str">
        <f t="shared" si="89"/>
        <v/>
      </c>
      <c r="M385" s="81"/>
      <c r="N385" s="8">
        <v>300</v>
      </c>
      <c r="O385" s="8">
        <v>60</v>
      </c>
      <c r="P385" s="96" t="str">
        <f t="shared" si="90"/>
        <v/>
      </c>
      <c r="Q385" s="59">
        <f t="shared" si="91"/>
        <v>0</v>
      </c>
      <c r="R385" s="59">
        <f t="shared" si="92"/>
        <v>0</v>
      </c>
      <c r="S385" s="65"/>
      <c r="T385" s="65"/>
      <c r="U385" s="65"/>
      <c r="V385" s="65"/>
      <c r="W385" s="65"/>
      <c r="X385" s="65"/>
      <c r="Y385" s="65"/>
      <c r="Z385" s="65"/>
      <c r="AA385" s="65"/>
      <c r="AB385" s="65"/>
      <c r="AC385" s="65"/>
      <c r="AD385" s="65"/>
      <c r="AE385" s="65">
        <f t="shared" si="93"/>
        <v>0</v>
      </c>
      <c r="AF385" s="65"/>
      <c r="AG385" s="248">
        <f t="shared" si="94"/>
        <v>0</v>
      </c>
      <c r="AH385" s="95" t="str">
        <f t="shared" si="95"/>
        <v/>
      </c>
      <c r="AI385" s="97" t="str">
        <f t="shared" si="96"/>
        <v/>
      </c>
      <c r="AJ385" s="11"/>
    </row>
    <row r="386" spans="1:36" x14ac:dyDescent="0.25">
      <c r="A386">
        <f t="shared" si="86"/>
        <v>384</v>
      </c>
      <c r="D386" s="14">
        <v>46059</v>
      </c>
      <c r="E386" s="7"/>
      <c r="F386" s="7"/>
      <c r="G386" s="66"/>
      <c r="H386" s="59"/>
      <c r="I386" s="59"/>
      <c r="J386" s="47">
        <f t="shared" si="87"/>
        <v>0</v>
      </c>
      <c r="K386" s="8">
        <f t="shared" si="88"/>
        <v>0</v>
      </c>
      <c r="L386" s="96" t="str">
        <f t="shared" si="89"/>
        <v/>
      </c>
      <c r="M386" s="81"/>
      <c r="N386" s="8">
        <v>300</v>
      </c>
      <c r="O386" s="8">
        <v>60</v>
      </c>
      <c r="P386" s="96" t="str">
        <f t="shared" si="90"/>
        <v/>
      </c>
      <c r="Q386" s="59">
        <f t="shared" si="91"/>
        <v>0</v>
      </c>
      <c r="R386" s="59">
        <f t="shared" si="92"/>
        <v>0</v>
      </c>
      <c r="S386" s="65"/>
      <c r="T386" s="65"/>
      <c r="U386" s="65"/>
      <c r="V386" s="65"/>
      <c r="W386" s="65"/>
      <c r="X386" s="65"/>
      <c r="Y386" s="65"/>
      <c r="Z386" s="65"/>
      <c r="AA386" s="65"/>
      <c r="AB386" s="65"/>
      <c r="AC386" s="65"/>
      <c r="AD386" s="65"/>
      <c r="AE386" s="65">
        <f t="shared" si="93"/>
        <v>0</v>
      </c>
      <c r="AF386" s="65"/>
      <c r="AG386" s="248">
        <f t="shared" si="94"/>
        <v>0</v>
      </c>
      <c r="AH386" s="95" t="str">
        <f t="shared" si="95"/>
        <v/>
      </c>
      <c r="AI386" s="97" t="str">
        <f t="shared" si="96"/>
        <v/>
      </c>
      <c r="AJ386" s="11"/>
    </row>
    <row r="387" spans="1:36" x14ac:dyDescent="0.25">
      <c r="A387">
        <f t="shared" si="86"/>
        <v>385</v>
      </c>
      <c r="D387" s="14">
        <v>46060</v>
      </c>
      <c r="E387" s="7"/>
      <c r="F387" s="7"/>
      <c r="G387" s="66"/>
      <c r="H387" s="59"/>
      <c r="I387" s="59"/>
      <c r="J387" s="47">
        <f t="shared" si="87"/>
        <v>0</v>
      </c>
      <c r="K387" s="8">
        <f t="shared" si="88"/>
        <v>0</v>
      </c>
      <c r="L387" s="96" t="str">
        <f t="shared" si="89"/>
        <v/>
      </c>
      <c r="M387" s="81"/>
      <c r="N387" s="8">
        <v>300</v>
      </c>
      <c r="O387" s="8">
        <v>60</v>
      </c>
      <c r="P387" s="96" t="str">
        <f t="shared" si="90"/>
        <v/>
      </c>
      <c r="Q387" s="59">
        <f t="shared" si="91"/>
        <v>0</v>
      </c>
      <c r="R387" s="59">
        <f t="shared" si="92"/>
        <v>0</v>
      </c>
      <c r="S387" s="65"/>
      <c r="T387" s="65"/>
      <c r="U387" s="65"/>
      <c r="V387" s="65"/>
      <c r="W387" s="65"/>
      <c r="X387" s="65"/>
      <c r="Y387" s="65"/>
      <c r="Z387" s="65"/>
      <c r="AA387" s="65"/>
      <c r="AB387" s="65"/>
      <c r="AC387" s="65"/>
      <c r="AD387" s="65"/>
      <c r="AE387" s="65">
        <f t="shared" si="93"/>
        <v>0</v>
      </c>
      <c r="AF387" s="65"/>
      <c r="AG387" s="248">
        <f t="shared" si="94"/>
        <v>0</v>
      </c>
      <c r="AH387" s="95" t="str">
        <f t="shared" si="95"/>
        <v/>
      </c>
      <c r="AI387" s="97" t="str">
        <f t="shared" si="96"/>
        <v/>
      </c>
      <c r="AJ387" s="11"/>
    </row>
    <row r="388" spans="1:36" x14ac:dyDescent="0.25">
      <c r="A388">
        <f t="shared" si="86"/>
        <v>386</v>
      </c>
      <c r="D388" s="14">
        <v>46061</v>
      </c>
      <c r="E388" s="7"/>
      <c r="F388" s="7"/>
      <c r="G388" s="66"/>
      <c r="H388" s="59"/>
      <c r="I388" s="59"/>
      <c r="J388" s="47">
        <f t="shared" si="87"/>
        <v>0</v>
      </c>
      <c r="K388" s="8">
        <f t="shared" si="88"/>
        <v>0</v>
      </c>
      <c r="L388" s="96" t="str">
        <f t="shared" si="89"/>
        <v/>
      </c>
      <c r="M388" s="81"/>
      <c r="N388" s="8">
        <v>300</v>
      </c>
      <c r="O388" s="8">
        <v>60</v>
      </c>
      <c r="P388" s="96" t="str">
        <f t="shared" si="90"/>
        <v/>
      </c>
      <c r="Q388" s="59">
        <f t="shared" si="91"/>
        <v>0</v>
      </c>
      <c r="R388" s="59">
        <f t="shared" si="92"/>
        <v>0</v>
      </c>
      <c r="S388" s="65"/>
      <c r="T388" s="65"/>
      <c r="U388" s="65"/>
      <c r="V388" s="65"/>
      <c r="W388" s="65"/>
      <c r="X388" s="65"/>
      <c r="Y388" s="65"/>
      <c r="Z388" s="65"/>
      <c r="AA388" s="65"/>
      <c r="AB388" s="65"/>
      <c r="AC388" s="65"/>
      <c r="AD388" s="65"/>
      <c r="AE388" s="65">
        <f t="shared" si="93"/>
        <v>0</v>
      </c>
      <c r="AF388" s="65"/>
      <c r="AG388" s="248">
        <f t="shared" si="94"/>
        <v>0</v>
      </c>
      <c r="AH388" s="95" t="str">
        <f t="shared" si="95"/>
        <v/>
      </c>
      <c r="AI388" s="97" t="str">
        <f t="shared" si="96"/>
        <v/>
      </c>
      <c r="AJ388" s="11"/>
    </row>
    <row r="389" spans="1:36" x14ac:dyDescent="0.25">
      <c r="A389">
        <f t="shared" ref="A389:A452" si="97">A388+1</f>
        <v>387</v>
      </c>
      <c r="D389" s="14">
        <v>46062</v>
      </c>
      <c r="E389" s="7"/>
      <c r="F389" s="7"/>
      <c r="G389" s="66"/>
      <c r="H389" s="59"/>
      <c r="I389" s="59"/>
      <c r="J389" s="47">
        <f t="shared" si="87"/>
        <v>0</v>
      </c>
      <c r="K389" s="8">
        <f t="shared" si="88"/>
        <v>0</v>
      </c>
      <c r="L389" s="96" t="str">
        <f t="shared" si="89"/>
        <v/>
      </c>
      <c r="M389" s="81"/>
      <c r="N389" s="8">
        <v>300</v>
      </c>
      <c r="O389" s="8">
        <v>60</v>
      </c>
      <c r="P389" s="96" t="str">
        <f t="shared" si="90"/>
        <v/>
      </c>
      <c r="Q389" s="59">
        <f t="shared" si="91"/>
        <v>0</v>
      </c>
      <c r="R389" s="59">
        <f t="shared" si="92"/>
        <v>0</v>
      </c>
      <c r="S389" s="65"/>
      <c r="T389" s="65"/>
      <c r="U389" s="65"/>
      <c r="V389" s="65"/>
      <c r="W389" s="65"/>
      <c r="X389" s="65"/>
      <c r="Y389" s="65"/>
      <c r="Z389" s="65"/>
      <c r="AA389" s="65"/>
      <c r="AB389" s="65"/>
      <c r="AC389" s="65"/>
      <c r="AD389" s="65"/>
      <c r="AE389" s="65">
        <f t="shared" si="93"/>
        <v>0</v>
      </c>
      <c r="AF389" s="65"/>
      <c r="AG389" s="248">
        <f t="shared" si="94"/>
        <v>0</v>
      </c>
      <c r="AH389" s="95" t="str">
        <f t="shared" si="95"/>
        <v/>
      </c>
      <c r="AI389" s="97" t="str">
        <f t="shared" si="96"/>
        <v/>
      </c>
      <c r="AJ389" s="11"/>
    </row>
    <row r="390" spans="1:36" x14ac:dyDescent="0.25">
      <c r="A390">
        <f t="shared" si="97"/>
        <v>388</v>
      </c>
      <c r="D390" s="14">
        <v>46063</v>
      </c>
      <c r="E390" s="7"/>
      <c r="F390" s="7"/>
      <c r="G390" s="66"/>
      <c r="H390" s="59"/>
      <c r="I390" s="59"/>
      <c r="J390" s="47">
        <f t="shared" si="87"/>
        <v>0</v>
      </c>
      <c r="K390" s="8">
        <f t="shared" si="88"/>
        <v>0</v>
      </c>
      <c r="L390" s="96" t="str">
        <f t="shared" si="89"/>
        <v/>
      </c>
      <c r="M390" s="81"/>
      <c r="N390" s="8">
        <v>300</v>
      </c>
      <c r="O390" s="8">
        <v>60</v>
      </c>
      <c r="P390" s="96" t="str">
        <f t="shared" si="90"/>
        <v/>
      </c>
      <c r="Q390" s="59">
        <f t="shared" si="91"/>
        <v>0</v>
      </c>
      <c r="R390" s="59">
        <f t="shared" si="92"/>
        <v>0</v>
      </c>
      <c r="S390" s="65"/>
      <c r="T390" s="65"/>
      <c r="U390" s="65"/>
      <c r="V390" s="65"/>
      <c r="W390" s="65"/>
      <c r="X390" s="65"/>
      <c r="Y390" s="65"/>
      <c r="Z390" s="65"/>
      <c r="AA390" s="65"/>
      <c r="AB390" s="65"/>
      <c r="AC390" s="65"/>
      <c r="AD390" s="65"/>
      <c r="AE390" s="65">
        <f t="shared" si="93"/>
        <v>0</v>
      </c>
      <c r="AF390" s="65"/>
      <c r="AG390" s="248">
        <f t="shared" si="94"/>
        <v>0</v>
      </c>
      <c r="AH390" s="95" t="str">
        <f t="shared" si="95"/>
        <v/>
      </c>
      <c r="AI390" s="97" t="str">
        <f t="shared" si="96"/>
        <v/>
      </c>
      <c r="AJ390" s="11"/>
    </row>
    <row r="391" spans="1:36" x14ac:dyDescent="0.25">
      <c r="A391">
        <f t="shared" si="97"/>
        <v>389</v>
      </c>
      <c r="D391" s="14">
        <v>46064</v>
      </c>
      <c r="E391" s="7"/>
      <c r="F391" s="7"/>
      <c r="G391" s="66"/>
      <c r="H391" s="59"/>
      <c r="I391" s="59"/>
      <c r="J391" s="47">
        <f t="shared" si="87"/>
        <v>0</v>
      </c>
      <c r="K391" s="8">
        <f t="shared" si="88"/>
        <v>0</v>
      </c>
      <c r="L391" s="96" t="str">
        <f t="shared" si="89"/>
        <v/>
      </c>
      <c r="M391" s="81"/>
      <c r="N391" s="8">
        <v>300</v>
      </c>
      <c r="O391" s="8">
        <v>60</v>
      </c>
      <c r="P391" s="96" t="str">
        <f t="shared" si="90"/>
        <v/>
      </c>
      <c r="Q391" s="59">
        <f t="shared" si="91"/>
        <v>0</v>
      </c>
      <c r="R391" s="59">
        <f t="shared" si="92"/>
        <v>0</v>
      </c>
      <c r="S391" s="65"/>
      <c r="T391" s="65"/>
      <c r="U391" s="65"/>
      <c r="V391" s="65"/>
      <c r="W391" s="65"/>
      <c r="X391" s="65"/>
      <c r="Y391" s="65"/>
      <c r="Z391" s="65"/>
      <c r="AA391" s="65"/>
      <c r="AB391" s="65"/>
      <c r="AC391" s="65"/>
      <c r="AD391" s="65"/>
      <c r="AE391" s="65">
        <f t="shared" si="93"/>
        <v>0</v>
      </c>
      <c r="AF391" s="65"/>
      <c r="AG391" s="248">
        <f t="shared" si="94"/>
        <v>0</v>
      </c>
      <c r="AH391" s="95" t="str">
        <f t="shared" si="95"/>
        <v/>
      </c>
      <c r="AI391" s="97" t="str">
        <f t="shared" si="96"/>
        <v/>
      </c>
      <c r="AJ391" s="11"/>
    </row>
    <row r="392" spans="1:36" x14ac:dyDescent="0.25">
      <c r="A392">
        <f t="shared" si="97"/>
        <v>390</v>
      </c>
      <c r="D392" s="14">
        <v>46065</v>
      </c>
      <c r="E392" s="7"/>
      <c r="F392" s="7"/>
      <c r="G392" s="66"/>
      <c r="H392" s="59"/>
      <c r="I392" s="59"/>
      <c r="J392" s="47">
        <f t="shared" si="87"/>
        <v>0</v>
      </c>
      <c r="K392" s="8">
        <f t="shared" si="88"/>
        <v>0</v>
      </c>
      <c r="L392" s="96" t="str">
        <f t="shared" si="89"/>
        <v/>
      </c>
      <c r="M392" s="81"/>
      <c r="N392" s="8">
        <v>300</v>
      </c>
      <c r="O392" s="8">
        <v>60</v>
      </c>
      <c r="P392" s="96" t="str">
        <f t="shared" si="90"/>
        <v/>
      </c>
      <c r="Q392" s="59">
        <f t="shared" si="91"/>
        <v>0</v>
      </c>
      <c r="R392" s="59">
        <f t="shared" si="92"/>
        <v>0</v>
      </c>
      <c r="S392" s="65"/>
      <c r="T392" s="65"/>
      <c r="U392" s="65"/>
      <c r="V392" s="65"/>
      <c r="W392" s="65"/>
      <c r="X392" s="65"/>
      <c r="Y392" s="65"/>
      <c r="Z392" s="65"/>
      <c r="AA392" s="65"/>
      <c r="AB392" s="65"/>
      <c r="AC392" s="65"/>
      <c r="AD392" s="65"/>
      <c r="AE392" s="65">
        <f t="shared" si="93"/>
        <v>0</v>
      </c>
      <c r="AF392" s="65"/>
      <c r="AG392" s="248">
        <f t="shared" si="94"/>
        <v>0</v>
      </c>
      <c r="AH392" s="95" t="str">
        <f t="shared" si="95"/>
        <v/>
      </c>
      <c r="AI392" s="97" t="str">
        <f t="shared" si="96"/>
        <v/>
      </c>
      <c r="AJ392" s="11"/>
    </row>
    <row r="393" spans="1:36" x14ac:dyDescent="0.25">
      <c r="A393">
        <f t="shared" si="97"/>
        <v>391</v>
      </c>
      <c r="D393" s="14">
        <v>46066</v>
      </c>
      <c r="E393" s="7"/>
      <c r="F393" s="7"/>
      <c r="G393" s="66"/>
      <c r="H393" s="59"/>
      <c r="I393" s="59"/>
      <c r="J393" s="47">
        <f t="shared" si="87"/>
        <v>0</v>
      </c>
      <c r="K393" s="8">
        <f t="shared" si="88"/>
        <v>0</v>
      </c>
      <c r="L393" s="96" t="str">
        <f t="shared" si="89"/>
        <v/>
      </c>
      <c r="M393" s="81"/>
      <c r="N393" s="8">
        <v>300</v>
      </c>
      <c r="O393" s="8">
        <v>60</v>
      </c>
      <c r="P393" s="96" t="str">
        <f t="shared" si="90"/>
        <v/>
      </c>
      <c r="Q393" s="59">
        <f t="shared" si="91"/>
        <v>0</v>
      </c>
      <c r="R393" s="59">
        <f t="shared" si="92"/>
        <v>0</v>
      </c>
      <c r="S393" s="65"/>
      <c r="T393" s="65"/>
      <c r="U393" s="65"/>
      <c r="V393" s="65"/>
      <c r="W393" s="65"/>
      <c r="X393" s="65"/>
      <c r="Y393" s="65"/>
      <c r="Z393" s="65"/>
      <c r="AA393" s="65"/>
      <c r="AB393" s="65"/>
      <c r="AC393" s="65"/>
      <c r="AD393" s="65"/>
      <c r="AE393" s="65">
        <f t="shared" si="93"/>
        <v>0</v>
      </c>
      <c r="AF393" s="65"/>
      <c r="AG393" s="248">
        <f t="shared" si="94"/>
        <v>0</v>
      </c>
      <c r="AH393" s="95" t="str">
        <f t="shared" si="95"/>
        <v/>
      </c>
      <c r="AI393" s="97" t="str">
        <f t="shared" si="96"/>
        <v/>
      </c>
      <c r="AJ393" s="11"/>
    </row>
    <row r="394" spans="1:36" x14ac:dyDescent="0.25">
      <c r="A394">
        <f t="shared" si="97"/>
        <v>392</v>
      </c>
      <c r="D394" s="14">
        <v>46067</v>
      </c>
      <c r="E394" s="7"/>
      <c r="F394" s="7"/>
      <c r="G394" s="66"/>
      <c r="H394" s="59"/>
      <c r="I394" s="59"/>
      <c r="J394" s="47">
        <f t="shared" si="87"/>
        <v>0</v>
      </c>
      <c r="K394" s="8">
        <f t="shared" si="88"/>
        <v>0</v>
      </c>
      <c r="L394" s="96" t="str">
        <f t="shared" si="89"/>
        <v/>
      </c>
      <c r="M394" s="81"/>
      <c r="N394" s="8">
        <v>300</v>
      </c>
      <c r="O394" s="8">
        <v>60</v>
      </c>
      <c r="P394" s="96" t="str">
        <f t="shared" si="90"/>
        <v/>
      </c>
      <c r="Q394" s="59">
        <f t="shared" si="91"/>
        <v>0</v>
      </c>
      <c r="R394" s="59">
        <f t="shared" si="92"/>
        <v>0</v>
      </c>
      <c r="S394" s="65"/>
      <c r="T394" s="65"/>
      <c r="U394" s="65"/>
      <c r="V394" s="65"/>
      <c r="W394" s="65"/>
      <c r="X394" s="65"/>
      <c r="Y394" s="65"/>
      <c r="Z394" s="65"/>
      <c r="AA394" s="65"/>
      <c r="AB394" s="65"/>
      <c r="AC394" s="65"/>
      <c r="AD394" s="65"/>
      <c r="AE394" s="65">
        <f t="shared" si="93"/>
        <v>0</v>
      </c>
      <c r="AF394" s="65"/>
      <c r="AG394" s="248">
        <f t="shared" si="94"/>
        <v>0</v>
      </c>
      <c r="AH394" s="95" t="str">
        <f t="shared" si="95"/>
        <v/>
      </c>
      <c r="AI394" s="97" t="str">
        <f t="shared" si="96"/>
        <v/>
      </c>
      <c r="AJ394" s="11"/>
    </row>
    <row r="395" spans="1:36" x14ac:dyDescent="0.25">
      <c r="A395">
        <f t="shared" si="97"/>
        <v>393</v>
      </c>
      <c r="D395" s="14">
        <v>46068</v>
      </c>
      <c r="E395" s="7"/>
      <c r="F395" s="7"/>
      <c r="G395" s="66"/>
      <c r="H395" s="59"/>
      <c r="I395" s="59"/>
      <c r="J395" s="47">
        <f t="shared" si="87"/>
        <v>0</v>
      </c>
      <c r="K395" s="8">
        <f t="shared" si="88"/>
        <v>0</v>
      </c>
      <c r="L395" s="96" t="str">
        <f t="shared" si="89"/>
        <v/>
      </c>
      <c r="M395" s="81"/>
      <c r="N395" s="8">
        <v>300</v>
      </c>
      <c r="O395" s="8">
        <v>60</v>
      </c>
      <c r="P395" s="96" t="str">
        <f t="shared" si="90"/>
        <v/>
      </c>
      <c r="Q395" s="59">
        <f t="shared" si="91"/>
        <v>0</v>
      </c>
      <c r="R395" s="59">
        <f t="shared" si="92"/>
        <v>0</v>
      </c>
      <c r="S395" s="65"/>
      <c r="T395" s="65"/>
      <c r="U395" s="65"/>
      <c r="V395" s="65"/>
      <c r="W395" s="65"/>
      <c r="X395" s="65"/>
      <c r="Y395" s="65"/>
      <c r="Z395" s="65"/>
      <c r="AA395" s="65"/>
      <c r="AB395" s="65"/>
      <c r="AC395" s="65"/>
      <c r="AD395" s="65"/>
      <c r="AE395" s="65">
        <f t="shared" si="93"/>
        <v>0</v>
      </c>
      <c r="AF395" s="65"/>
      <c r="AG395" s="248">
        <f t="shared" si="94"/>
        <v>0</v>
      </c>
      <c r="AH395" s="95" t="str">
        <f t="shared" si="95"/>
        <v/>
      </c>
      <c r="AI395" s="97" t="str">
        <f t="shared" si="96"/>
        <v/>
      </c>
      <c r="AJ395" s="11"/>
    </row>
    <row r="396" spans="1:36" x14ac:dyDescent="0.25">
      <c r="A396">
        <f t="shared" si="97"/>
        <v>394</v>
      </c>
      <c r="D396" s="14">
        <v>46069</v>
      </c>
      <c r="E396" s="7"/>
      <c r="F396" s="7"/>
      <c r="G396" s="66"/>
      <c r="H396" s="59"/>
      <c r="I396" s="59"/>
      <c r="J396" s="47">
        <f t="shared" si="87"/>
        <v>0</v>
      </c>
      <c r="K396" s="8">
        <f t="shared" si="88"/>
        <v>0</v>
      </c>
      <c r="L396" s="96" t="str">
        <f t="shared" si="89"/>
        <v/>
      </c>
      <c r="M396" s="81"/>
      <c r="N396" s="8">
        <v>300</v>
      </c>
      <c r="O396" s="8">
        <v>60</v>
      </c>
      <c r="P396" s="96" t="str">
        <f t="shared" si="90"/>
        <v/>
      </c>
      <c r="Q396" s="59">
        <f t="shared" si="91"/>
        <v>0</v>
      </c>
      <c r="R396" s="59">
        <f t="shared" si="92"/>
        <v>0</v>
      </c>
      <c r="S396" s="65"/>
      <c r="T396" s="65"/>
      <c r="U396" s="65"/>
      <c r="V396" s="65"/>
      <c r="W396" s="65"/>
      <c r="X396" s="65"/>
      <c r="Y396" s="65"/>
      <c r="Z396" s="65"/>
      <c r="AA396" s="65"/>
      <c r="AB396" s="65"/>
      <c r="AC396" s="65"/>
      <c r="AD396" s="65"/>
      <c r="AE396" s="65">
        <f t="shared" si="93"/>
        <v>0</v>
      </c>
      <c r="AF396" s="65"/>
      <c r="AG396" s="248">
        <f t="shared" si="94"/>
        <v>0</v>
      </c>
      <c r="AH396" s="95" t="str">
        <f t="shared" si="95"/>
        <v/>
      </c>
      <c r="AI396" s="97" t="str">
        <f t="shared" si="96"/>
        <v/>
      </c>
      <c r="AJ396" s="11"/>
    </row>
    <row r="397" spans="1:36" x14ac:dyDescent="0.25">
      <c r="A397">
        <f t="shared" si="97"/>
        <v>395</v>
      </c>
      <c r="D397" s="14">
        <v>46070</v>
      </c>
      <c r="E397" s="7"/>
      <c r="F397" s="7"/>
      <c r="G397" s="66"/>
      <c r="H397" s="59"/>
      <c r="I397" s="59"/>
      <c r="J397" s="47">
        <f t="shared" si="87"/>
        <v>0</v>
      </c>
      <c r="K397" s="8">
        <f t="shared" si="88"/>
        <v>0</v>
      </c>
      <c r="L397" s="96" t="str">
        <f t="shared" si="89"/>
        <v/>
      </c>
      <c r="M397" s="81"/>
      <c r="N397" s="8">
        <v>300</v>
      </c>
      <c r="O397" s="8">
        <v>60</v>
      </c>
      <c r="P397" s="96" t="str">
        <f t="shared" si="90"/>
        <v/>
      </c>
      <c r="Q397" s="59">
        <f t="shared" si="91"/>
        <v>0</v>
      </c>
      <c r="R397" s="59">
        <f t="shared" si="92"/>
        <v>0</v>
      </c>
      <c r="S397" s="65"/>
      <c r="T397" s="65"/>
      <c r="U397" s="65"/>
      <c r="V397" s="65"/>
      <c r="W397" s="65"/>
      <c r="X397" s="65"/>
      <c r="Y397" s="65"/>
      <c r="Z397" s="65"/>
      <c r="AA397" s="65"/>
      <c r="AB397" s="65"/>
      <c r="AC397" s="65"/>
      <c r="AD397" s="65"/>
      <c r="AE397" s="65">
        <f t="shared" si="93"/>
        <v>0</v>
      </c>
      <c r="AF397" s="65"/>
      <c r="AG397" s="248">
        <f t="shared" si="94"/>
        <v>0</v>
      </c>
      <c r="AH397" s="95" t="str">
        <f t="shared" si="95"/>
        <v/>
      </c>
      <c r="AI397" s="97" t="str">
        <f t="shared" si="96"/>
        <v/>
      </c>
      <c r="AJ397" s="11"/>
    </row>
    <row r="398" spans="1:36" x14ac:dyDescent="0.25">
      <c r="A398">
        <f t="shared" si="97"/>
        <v>396</v>
      </c>
      <c r="D398" s="14">
        <v>46071</v>
      </c>
      <c r="E398" s="7"/>
      <c r="F398" s="7"/>
      <c r="G398" s="66"/>
      <c r="H398" s="59"/>
      <c r="I398" s="59"/>
      <c r="J398" s="47">
        <f t="shared" ref="J398:J461" si="98">I398+H398</f>
        <v>0</v>
      </c>
      <c r="K398" s="8">
        <f t="shared" ref="K398:K461" si="99">IFERROR(J398-E398-F398-G398,"")</f>
        <v>0</v>
      </c>
      <c r="L398" s="96" t="str">
        <f t="shared" ref="L398:L461" si="100">IFERROR(K398/J398,"")</f>
        <v/>
      </c>
      <c r="M398" s="81"/>
      <c r="N398" s="8">
        <v>300</v>
      </c>
      <c r="O398" s="8">
        <v>60</v>
      </c>
      <c r="P398" s="96" t="str">
        <f t="shared" ref="P398:P461" si="101">IFERROR((M398/N398*O398)/K398,"")</f>
        <v/>
      </c>
      <c r="Q398" s="59">
        <f t="shared" ref="Q398:Q461" si="102">M398</f>
        <v>0</v>
      </c>
      <c r="R398" s="59">
        <f t="shared" ref="R398:R461" si="103">Q398+AE398</f>
        <v>0</v>
      </c>
      <c r="S398" s="65"/>
      <c r="T398" s="65"/>
      <c r="U398" s="65"/>
      <c r="V398" s="65"/>
      <c r="W398" s="65"/>
      <c r="X398" s="65"/>
      <c r="Y398" s="65"/>
      <c r="Z398" s="65"/>
      <c r="AA398" s="65"/>
      <c r="AB398" s="65"/>
      <c r="AC398" s="65"/>
      <c r="AD398" s="65"/>
      <c r="AE398" s="65">
        <f t="shared" ref="AE398:AE461" si="104">SUM(S398:AD398)</f>
        <v>0</v>
      </c>
      <c r="AF398" s="65"/>
      <c r="AG398" s="248">
        <f t="shared" ref="AG398:AG461" si="105">AE398</f>
        <v>0</v>
      </c>
      <c r="AH398" s="95" t="str">
        <f t="shared" ref="AH398:AH461" si="106">IFERROR(Q398/R398,"")</f>
        <v/>
      </c>
      <c r="AI398" s="97" t="str">
        <f t="shared" ref="AI398:AI461" si="107">IFERROR(AH398*P398*L398,"")</f>
        <v/>
      </c>
      <c r="AJ398" s="11"/>
    </row>
    <row r="399" spans="1:36" x14ac:dyDescent="0.25">
      <c r="A399">
        <f t="shared" si="97"/>
        <v>397</v>
      </c>
      <c r="D399" s="14">
        <v>46072</v>
      </c>
      <c r="E399" s="7"/>
      <c r="F399" s="7"/>
      <c r="G399" s="66"/>
      <c r="H399" s="59"/>
      <c r="I399" s="59"/>
      <c r="J399" s="47">
        <f t="shared" si="98"/>
        <v>0</v>
      </c>
      <c r="K399" s="8">
        <f t="shared" si="99"/>
        <v>0</v>
      </c>
      <c r="L399" s="96" t="str">
        <f t="shared" si="100"/>
        <v/>
      </c>
      <c r="M399" s="81"/>
      <c r="N399" s="8">
        <v>300</v>
      </c>
      <c r="O399" s="8">
        <v>60</v>
      </c>
      <c r="P399" s="96" t="str">
        <f t="shared" si="101"/>
        <v/>
      </c>
      <c r="Q399" s="59">
        <f t="shared" si="102"/>
        <v>0</v>
      </c>
      <c r="R399" s="59">
        <f t="shared" si="103"/>
        <v>0</v>
      </c>
      <c r="S399" s="65"/>
      <c r="T399" s="65"/>
      <c r="U399" s="65"/>
      <c r="V399" s="65"/>
      <c r="W399" s="65"/>
      <c r="X399" s="65"/>
      <c r="Y399" s="65"/>
      <c r="Z399" s="65"/>
      <c r="AA399" s="65"/>
      <c r="AB399" s="65"/>
      <c r="AC399" s="65"/>
      <c r="AD399" s="65"/>
      <c r="AE399" s="65">
        <f t="shared" si="104"/>
        <v>0</v>
      </c>
      <c r="AF399" s="65"/>
      <c r="AG399" s="248">
        <f t="shared" si="105"/>
        <v>0</v>
      </c>
      <c r="AH399" s="95" t="str">
        <f t="shared" si="106"/>
        <v/>
      </c>
      <c r="AI399" s="97" t="str">
        <f t="shared" si="107"/>
        <v/>
      </c>
      <c r="AJ399" s="11"/>
    </row>
    <row r="400" spans="1:36" x14ac:dyDescent="0.25">
      <c r="A400">
        <f t="shared" si="97"/>
        <v>398</v>
      </c>
      <c r="D400" s="14">
        <v>46073</v>
      </c>
      <c r="E400" s="7"/>
      <c r="F400" s="7"/>
      <c r="G400" s="66"/>
      <c r="H400" s="59"/>
      <c r="I400" s="59"/>
      <c r="J400" s="47">
        <f t="shared" si="98"/>
        <v>0</v>
      </c>
      <c r="K400" s="8">
        <f t="shared" si="99"/>
        <v>0</v>
      </c>
      <c r="L400" s="96" t="str">
        <f t="shared" si="100"/>
        <v/>
      </c>
      <c r="M400" s="81"/>
      <c r="N400" s="8">
        <v>300</v>
      </c>
      <c r="O400" s="8">
        <v>60</v>
      </c>
      <c r="P400" s="96" t="str">
        <f t="shared" si="101"/>
        <v/>
      </c>
      <c r="Q400" s="59">
        <f t="shared" si="102"/>
        <v>0</v>
      </c>
      <c r="R400" s="59">
        <f t="shared" si="103"/>
        <v>0</v>
      </c>
      <c r="S400" s="65"/>
      <c r="T400" s="65"/>
      <c r="U400" s="65"/>
      <c r="V400" s="65"/>
      <c r="W400" s="65"/>
      <c r="X400" s="65"/>
      <c r="Y400" s="65"/>
      <c r="Z400" s="65"/>
      <c r="AA400" s="65"/>
      <c r="AB400" s="65"/>
      <c r="AC400" s="65"/>
      <c r="AD400" s="65"/>
      <c r="AE400" s="65">
        <f t="shared" si="104"/>
        <v>0</v>
      </c>
      <c r="AF400" s="65"/>
      <c r="AG400" s="248">
        <f t="shared" si="105"/>
        <v>0</v>
      </c>
      <c r="AH400" s="95" t="str">
        <f t="shared" si="106"/>
        <v/>
      </c>
      <c r="AI400" s="97" t="str">
        <f t="shared" si="107"/>
        <v/>
      </c>
      <c r="AJ400" s="11"/>
    </row>
    <row r="401" spans="1:36" x14ac:dyDescent="0.25">
      <c r="A401">
        <f t="shared" si="97"/>
        <v>399</v>
      </c>
      <c r="D401" s="14">
        <v>46074</v>
      </c>
      <c r="E401" s="7"/>
      <c r="F401" s="7"/>
      <c r="G401" s="66"/>
      <c r="H401" s="59"/>
      <c r="I401" s="59"/>
      <c r="J401" s="47">
        <f t="shared" si="98"/>
        <v>0</v>
      </c>
      <c r="K401" s="8">
        <f t="shared" si="99"/>
        <v>0</v>
      </c>
      <c r="L401" s="96" t="str">
        <f t="shared" si="100"/>
        <v/>
      </c>
      <c r="M401" s="81"/>
      <c r="N401" s="8">
        <v>300</v>
      </c>
      <c r="O401" s="8">
        <v>60</v>
      </c>
      <c r="P401" s="96" t="str">
        <f t="shared" si="101"/>
        <v/>
      </c>
      <c r="Q401" s="59">
        <f t="shared" si="102"/>
        <v>0</v>
      </c>
      <c r="R401" s="59">
        <f t="shared" si="103"/>
        <v>0</v>
      </c>
      <c r="S401" s="65"/>
      <c r="T401" s="65"/>
      <c r="U401" s="65"/>
      <c r="V401" s="65"/>
      <c r="W401" s="65"/>
      <c r="X401" s="65"/>
      <c r="Y401" s="65"/>
      <c r="Z401" s="65"/>
      <c r="AA401" s="65"/>
      <c r="AB401" s="65"/>
      <c r="AC401" s="65"/>
      <c r="AD401" s="65"/>
      <c r="AE401" s="65">
        <f t="shared" si="104"/>
        <v>0</v>
      </c>
      <c r="AF401" s="65"/>
      <c r="AG401" s="248">
        <f t="shared" si="105"/>
        <v>0</v>
      </c>
      <c r="AH401" s="95" t="str">
        <f t="shared" si="106"/>
        <v/>
      </c>
      <c r="AI401" s="97" t="str">
        <f t="shared" si="107"/>
        <v/>
      </c>
      <c r="AJ401" s="11"/>
    </row>
    <row r="402" spans="1:36" x14ac:dyDescent="0.25">
      <c r="A402">
        <f t="shared" si="97"/>
        <v>400</v>
      </c>
      <c r="D402" s="14">
        <v>46075</v>
      </c>
      <c r="E402" s="7"/>
      <c r="F402" s="7"/>
      <c r="G402" s="66"/>
      <c r="H402" s="59"/>
      <c r="I402" s="59"/>
      <c r="J402" s="47">
        <f t="shared" si="98"/>
        <v>0</v>
      </c>
      <c r="K402" s="8">
        <f t="shared" si="99"/>
        <v>0</v>
      </c>
      <c r="L402" s="96" t="str">
        <f t="shared" si="100"/>
        <v/>
      </c>
      <c r="M402" s="81"/>
      <c r="N402" s="8">
        <v>300</v>
      </c>
      <c r="O402" s="8">
        <v>60</v>
      </c>
      <c r="P402" s="96" t="str">
        <f t="shared" si="101"/>
        <v/>
      </c>
      <c r="Q402" s="59">
        <f t="shared" si="102"/>
        <v>0</v>
      </c>
      <c r="R402" s="59">
        <f t="shared" si="103"/>
        <v>0</v>
      </c>
      <c r="S402" s="65"/>
      <c r="T402" s="65"/>
      <c r="U402" s="65"/>
      <c r="V402" s="65"/>
      <c r="W402" s="65"/>
      <c r="X402" s="65"/>
      <c r="Y402" s="65"/>
      <c r="Z402" s="65"/>
      <c r="AA402" s="65"/>
      <c r="AB402" s="65"/>
      <c r="AC402" s="65"/>
      <c r="AD402" s="65"/>
      <c r="AE402" s="65">
        <f t="shared" si="104"/>
        <v>0</v>
      </c>
      <c r="AF402" s="65"/>
      <c r="AG402" s="248">
        <f t="shared" si="105"/>
        <v>0</v>
      </c>
      <c r="AH402" s="95" t="str">
        <f t="shared" si="106"/>
        <v/>
      </c>
      <c r="AI402" s="97" t="str">
        <f t="shared" si="107"/>
        <v/>
      </c>
      <c r="AJ402" s="11"/>
    </row>
    <row r="403" spans="1:36" x14ac:dyDescent="0.25">
      <c r="A403">
        <f t="shared" si="97"/>
        <v>401</v>
      </c>
      <c r="D403" s="14">
        <v>46076</v>
      </c>
      <c r="E403" s="7"/>
      <c r="F403" s="7"/>
      <c r="G403" s="66"/>
      <c r="H403" s="59"/>
      <c r="I403" s="59"/>
      <c r="J403" s="47">
        <f t="shared" si="98"/>
        <v>0</v>
      </c>
      <c r="K403" s="8">
        <f t="shared" si="99"/>
        <v>0</v>
      </c>
      <c r="L403" s="96" t="str">
        <f t="shared" si="100"/>
        <v/>
      </c>
      <c r="M403" s="81"/>
      <c r="N403" s="8">
        <v>300</v>
      </c>
      <c r="O403" s="8">
        <v>60</v>
      </c>
      <c r="P403" s="96" t="str">
        <f t="shared" si="101"/>
        <v/>
      </c>
      <c r="Q403" s="59">
        <f t="shared" si="102"/>
        <v>0</v>
      </c>
      <c r="R403" s="59">
        <f t="shared" si="103"/>
        <v>0</v>
      </c>
      <c r="S403" s="65"/>
      <c r="T403" s="65"/>
      <c r="U403" s="65"/>
      <c r="V403" s="65"/>
      <c r="W403" s="65"/>
      <c r="X403" s="65"/>
      <c r="Y403" s="65"/>
      <c r="Z403" s="65"/>
      <c r="AA403" s="65"/>
      <c r="AB403" s="65"/>
      <c r="AC403" s="65"/>
      <c r="AD403" s="65"/>
      <c r="AE403" s="65">
        <f t="shared" si="104"/>
        <v>0</v>
      </c>
      <c r="AF403" s="65"/>
      <c r="AG403" s="248">
        <f t="shared" si="105"/>
        <v>0</v>
      </c>
      <c r="AH403" s="95" t="str">
        <f t="shared" si="106"/>
        <v/>
      </c>
      <c r="AI403" s="97" t="str">
        <f t="shared" si="107"/>
        <v/>
      </c>
      <c r="AJ403" s="11"/>
    </row>
    <row r="404" spans="1:36" x14ac:dyDescent="0.25">
      <c r="A404">
        <f t="shared" si="97"/>
        <v>402</v>
      </c>
      <c r="D404" s="14">
        <v>46077</v>
      </c>
      <c r="E404" s="7"/>
      <c r="F404" s="7"/>
      <c r="G404" s="66"/>
      <c r="H404" s="59"/>
      <c r="I404" s="59"/>
      <c r="J404" s="47">
        <f t="shared" si="98"/>
        <v>0</v>
      </c>
      <c r="K404" s="8">
        <f t="shared" si="99"/>
        <v>0</v>
      </c>
      <c r="L404" s="96" t="str">
        <f t="shared" si="100"/>
        <v/>
      </c>
      <c r="M404" s="81"/>
      <c r="N404" s="8">
        <v>300</v>
      </c>
      <c r="O404" s="8">
        <v>60</v>
      </c>
      <c r="P404" s="96" t="str">
        <f t="shared" si="101"/>
        <v/>
      </c>
      <c r="Q404" s="59">
        <f t="shared" si="102"/>
        <v>0</v>
      </c>
      <c r="R404" s="59">
        <f t="shared" si="103"/>
        <v>0</v>
      </c>
      <c r="S404" s="65"/>
      <c r="T404" s="65"/>
      <c r="U404" s="65"/>
      <c r="V404" s="65"/>
      <c r="W404" s="65"/>
      <c r="X404" s="65"/>
      <c r="Y404" s="65"/>
      <c r="Z404" s="65"/>
      <c r="AA404" s="65"/>
      <c r="AB404" s="65"/>
      <c r="AC404" s="65"/>
      <c r="AD404" s="65"/>
      <c r="AE404" s="65">
        <f t="shared" si="104"/>
        <v>0</v>
      </c>
      <c r="AF404" s="65"/>
      <c r="AG404" s="248">
        <f t="shared" si="105"/>
        <v>0</v>
      </c>
      <c r="AH404" s="95" t="str">
        <f t="shared" si="106"/>
        <v/>
      </c>
      <c r="AI404" s="97" t="str">
        <f t="shared" si="107"/>
        <v/>
      </c>
      <c r="AJ404" s="11"/>
    </row>
    <row r="405" spans="1:36" x14ac:dyDescent="0.25">
      <c r="A405">
        <f t="shared" si="97"/>
        <v>403</v>
      </c>
      <c r="D405" s="14">
        <v>46078</v>
      </c>
      <c r="E405" s="7"/>
      <c r="F405" s="7"/>
      <c r="G405" s="66"/>
      <c r="H405" s="59"/>
      <c r="I405" s="59"/>
      <c r="J405" s="47">
        <f t="shared" si="98"/>
        <v>0</v>
      </c>
      <c r="K405" s="8">
        <f t="shared" si="99"/>
        <v>0</v>
      </c>
      <c r="L405" s="96" t="str">
        <f t="shared" si="100"/>
        <v/>
      </c>
      <c r="M405" s="81"/>
      <c r="N405" s="8">
        <v>300</v>
      </c>
      <c r="O405" s="8">
        <v>60</v>
      </c>
      <c r="P405" s="96" t="str">
        <f t="shared" si="101"/>
        <v/>
      </c>
      <c r="Q405" s="59">
        <f t="shared" si="102"/>
        <v>0</v>
      </c>
      <c r="R405" s="59">
        <f t="shared" si="103"/>
        <v>0</v>
      </c>
      <c r="S405" s="65"/>
      <c r="T405" s="65"/>
      <c r="U405" s="65"/>
      <c r="V405" s="65"/>
      <c r="W405" s="65"/>
      <c r="X405" s="65"/>
      <c r="Y405" s="65"/>
      <c r="Z405" s="65"/>
      <c r="AA405" s="65"/>
      <c r="AB405" s="65"/>
      <c r="AC405" s="65"/>
      <c r="AD405" s="65"/>
      <c r="AE405" s="65">
        <f t="shared" si="104"/>
        <v>0</v>
      </c>
      <c r="AF405" s="65"/>
      <c r="AG405" s="248">
        <f t="shared" si="105"/>
        <v>0</v>
      </c>
      <c r="AH405" s="95" t="str">
        <f t="shared" si="106"/>
        <v/>
      </c>
      <c r="AI405" s="97" t="str">
        <f t="shared" si="107"/>
        <v/>
      </c>
      <c r="AJ405" s="11"/>
    </row>
    <row r="406" spans="1:36" x14ac:dyDescent="0.25">
      <c r="A406">
        <f t="shared" si="97"/>
        <v>404</v>
      </c>
      <c r="D406" s="14">
        <v>46079</v>
      </c>
      <c r="E406" s="7"/>
      <c r="F406" s="7"/>
      <c r="G406" s="66"/>
      <c r="H406" s="59"/>
      <c r="I406" s="59"/>
      <c r="J406" s="47">
        <f t="shared" si="98"/>
        <v>0</v>
      </c>
      <c r="K406" s="8">
        <f t="shared" si="99"/>
        <v>0</v>
      </c>
      <c r="L406" s="96" t="str">
        <f t="shared" si="100"/>
        <v/>
      </c>
      <c r="M406" s="81"/>
      <c r="N406" s="8">
        <v>300</v>
      </c>
      <c r="O406" s="8">
        <v>60</v>
      </c>
      <c r="P406" s="96" t="str">
        <f t="shared" si="101"/>
        <v/>
      </c>
      <c r="Q406" s="59">
        <f t="shared" si="102"/>
        <v>0</v>
      </c>
      <c r="R406" s="59">
        <f t="shared" si="103"/>
        <v>0</v>
      </c>
      <c r="S406" s="65"/>
      <c r="T406" s="65"/>
      <c r="U406" s="65"/>
      <c r="V406" s="65"/>
      <c r="W406" s="65"/>
      <c r="X406" s="65"/>
      <c r="Y406" s="65"/>
      <c r="Z406" s="65"/>
      <c r="AA406" s="65"/>
      <c r="AB406" s="65"/>
      <c r="AC406" s="65"/>
      <c r="AD406" s="65"/>
      <c r="AE406" s="65">
        <f t="shared" si="104"/>
        <v>0</v>
      </c>
      <c r="AF406" s="65"/>
      <c r="AG406" s="248">
        <f t="shared" si="105"/>
        <v>0</v>
      </c>
      <c r="AH406" s="95" t="str">
        <f t="shared" si="106"/>
        <v/>
      </c>
      <c r="AI406" s="97" t="str">
        <f t="shared" si="107"/>
        <v/>
      </c>
      <c r="AJ406" s="11"/>
    </row>
    <row r="407" spans="1:36" x14ac:dyDescent="0.25">
      <c r="A407">
        <f t="shared" si="97"/>
        <v>405</v>
      </c>
      <c r="D407" s="14">
        <v>46080</v>
      </c>
      <c r="E407" s="7"/>
      <c r="F407" s="7"/>
      <c r="G407" s="66"/>
      <c r="H407" s="59"/>
      <c r="I407" s="59"/>
      <c r="J407" s="47">
        <f t="shared" si="98"/>
        <v>0</v>
      </c>
      <c r="K407" s="8">
        <f t="shared" si="99"/>
        <v>0</v>
      </c>
      <c r="L407" s="96" t="str">
        <f t="shared" si="100"/>
        <v/>
      </c>
      <c r="M407" s="81"/>
      <c r="N407" s="8">
        <v>300</v>
      </c>
      <c r="O407" s="8">
        <v>60</v>
      </c>
      <c r="P407" s="96" t="str">
        <f t="shared" si="101"/>
        <v/>
      </c>
      <c r="Q407" s="59">
        <f t="shared" si="102"/>
        <v>0</v>
      </c>
      <c r="R407" s="59">
        <f t="shared" si="103"/>
        <v>0</v>
      </c>
      <c r="S407" s="65"/>
      <c r="T407" s="65"/>
      <c r="U407" s="65"/>
      <c r="V407" s="65"/>
      <c r="W407" s="65"/>
      <c r="X407" s="65"/>
      <c r="Y407" s="65"/>
      <c r="Z407" s="65"/>
      <c r="AA407" s="65"/>
      <c r="AB407" s="65"/>
      <c r="AC407" s="65"/>
      <c r="AD407" s="65"/>
      <c r="AE407" s="65">
        <f t="shared" si="104"/>
        <v>0</v>
      </c>
      <c r="AF407" s="65"/>
      <c r="AG407" s="248">
        <f t="shared" si="105"/>
        <v>0</v>
      </c>
      <c r="AH407" s="95" t="str">
        <f t="shared" si="106"/>
        <v/>
      </c>
      <c r="AI407" s="97" t="str">
        <f t="shared" si="107"/>
        <v/>
      </c>
      <c r="AJ407" s="11"/>
    </row>
    <row r="408" spans="1:36" x14ac:dyDescent="0.25">
      <c r="A408">
        <f t="shared" si="97"/>
        <v>406</v>
      </c>
      <c r="D408" s="14">
        <v>46081</v>
      </c>
      <c r="E408" s="7"/>
      <c r="F408" s="7"/>
      <c r="G408" s="66"/>
      <c r="H408" s="59"/>
      <c r="I408" s="59"/>
      <c r="J408" s="47">
        <f t="shared" si="98"/>
        <v>0</v>
      </c>
      <c r="K408" s="8">
        <f t="shared" si="99"/>
        <v>0</v>
      </c>
      <c r="L408" s="96" t="str">
        <f t="shared" si="100"/>
        <v/>
      </c>
      <c r="M408" s="81"/>
      <c r="N408" s="8">
        <v>300</v>
      </c>
      <c r="O408" s="8">
        <v>60</v>
      </c>
      <c r="P408" s="96" t="str">
        <f t="shared" si="101"/>
        <v/>
      </c>
      <c r="Q408" s="59">
        <f t="shared" si="102"/>
        <v>0</v>
      </c>
      <c r="R408" s="59">
        <f t="shared" si="103"/>
        <v>0</v>
      </c>
      <c r="S408" s="65"/>
      <c r="T408" s="65"/>
      <c r="U408" s="65"/>
      <c r="V408" s="65"/>
      <c r="W408" s="65"/>
      <c r="X408" s="65"/>
      <c r="Y408" s="65"/>
      <c r="Z408" s="65"/>
      <c r="AA408" s="65"/>
      <c r="AB408" s="65"/>
      <c r="AC408" s="65"/>
      <c r="AD408" s="65"/>
      <c r="AE408" s="65">
        <f t="shared" si="104"/>
        <v>0</v>
      </c>
      <c r="AF408" s="65"/>
      <c r="AG408" s="248">
        <f t="shared" si="105"/>
        <v>0</v>
      </c>
      <c r="AH408" s="95" t="str">
        <f t="shared" si="106"/>
        <v/>
      </c>
      <c r="AI408" s="97" t="str">
        <f t="shared" si="107"/>
        <v/>
      </c>
      <c r="AJ408" s="11"/>
    </row>
    <row r="409" spans="1:36" x14ac:dyDescent="0.25">
      <c r="A409">
        <f t="shared" si="97"/>
        <v>407</v>
      </c>
      <c r="D409" s="14">
        <v>46082</v>
      </c>
      <c r="E409" s="7"/>
      <c r="F409" s="7"/>
      <c r="G409" s="66"/>
      <c r="H409" s="59"/>
      <c r="I409" s="59"/>
      <c r="J409" s="47">
        <f t="shared" si="98"/>
        <v>0</v>
      </c>
      <c r="K409" s="8">
        <f t="shared" si="99"/>
        <v>0</v>
      </c>
      <c r="L409" s="96" t="str">
        <f t="shared" si="100"/>
        <v/>
      </c>
      <c r="M409" s="81"/>
      <c r="N409" s="8">
        <v>300</v>
      </c>
      <c r="O409" s="8">
        <v>60</v>
      </c>
      <c r="P409" s="96" t="str">
        <f t="shared" si="101"/>
        <v/>
      </c>
      <c r="Q409" s="59">
        <f t="shared" si="102"/>
        <v>0</v>
      </c>
      <c r="R409" s="59">
        <f t="shared" si="103"/>
        <v>0</v>
      </c>
      <c r="S409" s="65"/>
      <c r="T409" s="65"/>
      <c r="U409" s="65"/>
      <c r="V409" s="65"/>
      <c r="W409" s="65"/>
      <c r="X409" s="65"/>
      <c r="Y409" s="65"/>
      <c r="Z409" s="65"/>
      <c r="AA409" s="65"/>
      <c r="AB409" s="65"/>
      <c r="AC409" s="65"/>
      <c r="AD409" s="65"/>
      <c r="AE409" s="65">
        <f t="shared" si="104"/>
        <v>0</v>
      </c>
      <c r="AF409" s="65"/>
      <c r="AG409" s="248">
        <f t="shared" si="105"/>
        <v>0</v>
      </c>
      <c r="AH409" s="95" t="str">
        <f t="shared" si="106"/>
        <v/>
      </c>
      <c r="AI409" s="97" t="str">
        <f t="shared" si="107"/>
        <v/>
      </c>
      <c r="AJ409" s="11"/>
    </row>
    <row r="410" spans="1:36" x14ac:dyDescent="0.25">
      <c r="A410">
        <f t="shared" si="97"/>
        <v>408</v>
      </c>
      <c r="D410" s="14">
        <v>46083</v>
      </c>
      <c r="E410" s="7"/>
      <c r="F410" s="7"/>
      <c r="G410" s="66"/>
      <c r="H410" s="59"/>
      <c r="I410" s="59"/>
      <c r="J410" s="47">
        <f t="shared" si="98"/>
        <v>0</v>
      </c>
      <c r="K410" s="8">
        <f t="shared" si="99"/>
        <v>0</v>
      </c>
      <c r="L410" s="96" t="str">
        <f t="shared" si="100"/>
        <v/>
      </c>
      <c r="M410" s="81"/>
      <c r="N410" s="8">
        <v>300</v>
      </c>
      <c r="O410" s="8">
        <v>60</v>
      </c>
      <c r="P410" s="96" t="str">
        <f t="shared" si="101"/>
        <v/>
      </c>
      <c r="Q410" s="59">
        <f t="shared" si="102"/>
        <v>0</v>
      </c>
      <c r="R410" s="59">
        <f t="shared" si="103"/>
        <v>0</v>
      </c>
      <c r="S410" s="65"/>
      <c r="T410" s="65"/>
      <c r="U410" s="65"/>
      <c r="V410" s="65"/>
      <c r="W410" s="65"/>
      <c r="X410" s="65"/>
      <c r="Y410" s="65"/>
      <c r="Z410" s="65"/>
      <c r="AA410" s="65"/>
      <c r="AB410" s="65"/>
      <c r="AC410" s="65"/>
      <c r="AD410" s="65"/>
      <c r="AE410" s="65">
        <f t="shared" si="104"/>
        <v>0</v>
      </c>
      <c r="AF410" s="65"/>
      <c r="AG410" s="248">
        <f t="shared" si="105"/>
        <v>0</v>
      </c>
      <c r="AH410" s="95" t="str">
        <f t="shared" si="106"/>
        <v/>
      </c>
      <c r="AI410" s="97" t="str">
        <f t="shared" si="107"/>
        <v/>
      </c>
      <c r="AJ410" s="11"/>
    </row>
    <row r="411" spans="1:36" x14ac:dyDescent="0.25">
      <c r="A411">
        <f t="shared" si="97"/>
        <v>409</v>
      </c>
      <c r="D411" s="14">
        <v>46084</v>
      </c>
      <c r="E411" s="7"/>
      <c r="F411" s="7"/>
      <c r="G411" s="66"/>
      <c r="H411" s="59"/>
      <c r="I411" s="59"/>
      <c r="J411" s="47">
        <f t="shared" si="98"/>
        <v>0</v>
      </c>
      <c r="K411" s="8">
        <f t="shared" si="99"/>
        <v>0</v>
      </c>
      <c r="L411" s="96" t="str">
        <f t="shared" si="100"/>
        <v/>
      </c>
      <c r="M411" s="81"/>
      <c r="N411" s="8">
        <v>300</v>
      </c>
      <c r="O411" s="8">
        <v>60</v>
      </c>
      <c r="P411" s="96" t="str">
        <f t="shared" si="101"/>
        <v/>
      </c>
      <c r="Q411" s="59">
        <f t="shared" si="102"/>
        <v>0</v>
      </c>
      <c r="R411" s="59">
        <f t="shared" si="103"/>
        <v>0</v>
      </c>
      <c r="S411" s="65"/>
      <c r="T411" s="65"/>
      <c r="U411" s="65"/>
      <c r="V411" s="65"/>
      <c r="W411" s="65"/>
      <c r="X411" s="65"/>
      <c r="Y411" s="65"/>
      <c r="Z411" s="65"/>
      <c r="AA411" s="65"/>
      <c r="AB411" s="65"/>
      <c r="AC411" s="65"/>
      <c r="AD411" s="65"/>
      <c r="AE411" s="65">
        <f t="shared" si="104"/>
        <v>0</v>
      </c>
      <c r="AF411" s="65"/>
      <c r="AG411" s="248">
        <f t="shared" si="105"/>
        <v>0</v>
      </c>
      <c r="AH411" s="95" t="str">
        <f t="shared" si="106"/>
        <v/>
      </c>
      <c r="AI411" s="97" t="str">
        <f t="shared" si="107"/>
        <v/>
      </c>
      <c r="AJ411" s="11"/>
    </row>
    <row r="412" spans="1:36" x14ac:dyDescent="0.25">
      <c r="A412">
        <f t="shared" si="97"/>
        <v>410</v>
      </c>
      <c r="D412" s="14">
        <v>46085</v>
      </c>
      <c r="E412" s="7"/>
      <c r="F412" s="7"/>
      <c r="G412" s="66"/>
      <c r="H412" s="59"/>
      <c r="I412" s="59"/>
      <c r="J412" s="47">
        <f t="shared" si="98"/>
        <v>0</v>
      </c>
      <c r="K412" s="8">
        <f t="shared" si="99"/>
        <v>0</v>
      </c>
      <c r="L412" s="96" t="str">
        <f t="shared" si="100"/>
        <v/>
      </c>
      <c r="M412" s="81"/>
      <c r="N412" s="8">
        <v>300</v>
      </c>
      <c r="O412" s="8">
        <v>60</v>
      </c>
      <c r="P412" s="96" t="str">
        <f t="shared" si="101"/>
        <v/>
      </c>
      <c r="Q412" s="59">
        <f t="shared" si="102"/>
        <v>0</v>
      </c>
      <c r="R412" s="59">
        <f t="shared" si="103"/>
        <v>0</v>
      </c>
      <c r="S412" s="65"/>
      <c r="T412" s="65"/>
      <c r="U412" s="65"/>
      <c r="V412" s="65"/>
      <c r="W412" s="65"/>
      <c r="X412" s="65"/>
      <c r="Y412" s="65"/>
      <c r="Z412" s="65"/>
      <c r="AA412" s="65"/>
      <c r="AB412" s="65"/>
      <c r="AC412" s="65"/>
      <c r="AD412" s="65"/>
      <c r="AE412" s="65">
        <f t="shared" si="104"/>
        <v>0</v>
      </c>
      <c r="AF412" s="65"/>
      <c r="AG412" s="248">
        <f t="shared" si="105"/>
        <v>0</v>
      </c>
      <c r="AH412" s="95" t="str">
        <f t="shared" si="106"/>
        <v/>
      </c>
      <c r="AI412" s="97" t="str">
        <f t="shared" si="107"/>
        <v/>
      </c>
      <c r="AJ412" s="11"/>
    </row>
    <row r="413" spans="1:36" x14ac:dyDescent="0.25">
      <c r="A413">
        <f t="shared" si="97"/>
        <v>411</v>
      </c>
      <c r="D413" s="14">
        <v>46086</v>
      </c>
      <c r="E413" s="7"/>
      <c r="F413" s="7"/>
      <c r="G413" s="66"/>
      <c r="H413" s="59"/>
      <c r="I413" s="59"/>
      <c r="J413" s="47">
        <f t="shared" si="98"/>
        <v>0</v>
      </c>
      <c r="K413" s="8">
        <f t="shared" si="99"/>
        <v>0</v>
      </c>
      <c r="L413" s="96" t="str">
        <f t="shared" si="100"/>
        <v/>
      </c>
      <c r="M413" s="81"/>
      <c r="N413" s="8">
        <v>300</v>
      </c>
      <c r="O413" s="8">
        <v>60</v>
      </c>
      <c r="P413" s="96" t="str">
        <f t="shared" si="101"/>
        <v/>
      </c>
      <c r="Q413" s="59">
        <f t="shared" si="102"/>
        <v>0</v>
      </c>
      <c r="R413" s="59">
        <f t="shared" si="103"/>
        <v>0</v>
      </c>
      <c r="S413" s="65"/>
      <c r="T413" s="65"/>
      <c r="U413" s="65"/>
      <c r="V413" s="65"/>
      <c r="W413" s="65"/>
      <c r="X413" s="65"/>
      <c r="Y413" s="65"/>
      <c r="Z413" s="65"/>
      <c r="AA413" s="65"/>
      <c r="AB413" s="65"/>
      <c r="AC413" s="65"/>
      <c r="AD413" s="65"/>
      <c r="AE413" s="65">
        <f t="shared" si="104"/>
        <v>0</v>
      </c>
      <c r="AF413" s="65"/>
      <c r="AG413" s="248">
        <f t="shared" si="105"/>
        <v>0</v>
      </c>
      <c r="AH413" s="95" t="str">
        <f t="shared" si="106"/>
        <v/>
      </c>
      <c r="AI413" s="97" t="str">
        <f t="shared" si="107"/>
        <v/>
      </c>
      <c r="AJ413" s="11"/>
    </row>
    <row r="414" spans="1:36" x14ac:dyDescent="0.25">
      <c r="A414">
        <f t="shared" si="97"/>
        <v>412</v>
      </c>
      <c r="D414" s="14">
        <v>46087</v>
      </c>
      <c r="E414" s="7"/>
      <c r="F414" s="7"/>
      <c r="G414" s="66"/>
      <c r="H414" s="59"/>
      <c r="I414" s="59"/>
      <c r="J414" s="47">
        <f t="shared" si="98"/>
        <v>0</v>
      </c>
      <c r="K414" s="8">
        <f t="shared" si="99"/>
        <v>0</v>
      </c>
      <c r="L414" s="96" t="str">
        <f t="shared" si="100"/>
        <v/>
      </c>
      <c r="M414" s="81"/>
      <c r="N414" s="8">
        <v>300</v>
      </c>
      <c r="O414" s="8">
        <v>60</v>
      </c>
      <c r="P414" s="96" t="str">
        <f t="shared" si="101"/>
        <v/>
      </c>
      <c r="Q414" s="59">
        <f t="shared" si="102"/>
        <v>0</v>
      </c>
      <c r="R414" s="59">
        <f t="shared" si="103"/>
        <v>0</v>
      </c>
      <c r="S414" s="65"/>
      <c r="T414" s="65"/>
      <c r="U414" s="65"/>
      <c r="V414" s="65"/>
      <c r="W414" s="65"/>
      <c r="X414" s="65"/>
      <c r="Y414" s="65"/>
      <c r="Z414" s="65"/>
      <c r="AA414" s="65"/>
      <c r="AB414" s="65"/>
      <c r="AC414" s="65"/>
      <c r="AD414" s="65"/>
      <c r="AE414" s="65">
        <f t="shared" si="104"/>
        <v>0</v>
      </c>
      <c r="AF414" s="65"/>
      <c r="AG414" s="248">
        <f t="shared" si="105"/>
        <v>0</v>
      </c>
      <c r="AH414" s="95" t="str">
        <f t="shared" si="106"/>
        <v/>
      </c>
      <c r="AI414" s="97" t="str">
        <f t="shared" si="107"/>
        <v/>
      </c>
      <c r="AJ414" s="11"/>
    </row>
    <row r="415" spans="1:36" x14ac:dyDescent="0.25">
      <c r="A415">
        <f t="shared" si="97"/>
        <v>413</v>
      </c>
      <c r="D415" s="14">
        <v>46088</v>
      </c>
      <c r="E415" s="7"/>
      <c r="F415" s="7"/>
      <c r="G415" s="66"/>
      <c r="H415" s="59"/>
      <c r="I415" s="59"/>
      <c r="J415" s="47">
        <f t="shared" si="98"/>
        <v>0</v>
      </c>
      <c r="K415" s="8">
        <f t="shared" si="99"/>
        <v>0</v>
      </c>
      <c r="L415" s="96" t="str">
        <f t="shared" si="100"/>
        <v/>
      </c>
      <c r="M415" s="81"/>
      <c r="N415" s="8">
        <v>300</v>
      </c>
      <c r="O415" s="8">
        <v>60</v>
      </c>
      <c r="P415" s="96" t="str">
        <f t="shared" si="101"/>
        <v/>
      </c>
      <c r="Q415" s="59">
        <f t="shared" si="102"/>
        <v>0</v>
      </c>
      <c r="R415" s="59">
        <f t="shared" si="103"/>
        <v>0</v>
      </c>
      <c r="S415" s="65"/>
      <c r="T415" s="65"/>
      <c r="U415" s="65"/>
      <c r="V415" s="65"/>
      <c r="W415" s="65"/>
      <c r="X415" s="65"/>
      <c r="Y415" s="65"/>
      <c r="Z415" s="65"/>
      <c r="AA415" s="65"/>
      <c r="AB415" s="65"/>
      <c r="AC415" s="65"/>
      <c r="AD415" s="65"/>
      <c r="AE415" s="65">
        <f t="shared" si="104"/>
        <v>0</v>
      </c>
      <c r="AF415" s="65"/>
      <c r="AG415" s="248">
        <f t="shared" si="105"/>
        <v>0</v>
      </c>
      <c r="AH415" s="95" t="str">
        <f t="shared" si="106"/>
        <v/>
      </c>
      <c r="AI415" s="97" t="str">
        <f t="shared" si="107"/>
        <v/>
      </c>
      <c r="AJ415" s="11"/>
    </row>
    <row r="416" spans="1:36" x14ac:dyDescent="0.25">
      <c r="A416">
        <f t="shared" si="97"/>
        <v>414</v>
      </c>
      <c r="D416" s="14">
        <v>46089</v>
      </c>
      <c r="E416" s="7"/>
      <c r="F416" s="7"/>
      <c r="G416" s="66"/>
      <c r="H416" s="59"/>
      <c r="I416" s="59"/>
      <c r="J416" s="47">
        <f t="shared" si="98"/>
        <v>0</v>
      </c>
      <c r="K416" s="8">
        <f t="shared" si="99"/>
        <v>0</v>
      </c>
      <c r="L416" s="96" t="str">
        <f t="shared" si="100"/>
        <v/>
      </c>
      <c r="M416" s="81"/>
      <c r="N416" s="8">
        <v>300</v>
      </c>
      <c r="O416" s="8">
        <v>60</v>
      </c>
      <c r="P416" s="96" t="str">
        <f t="shared" si="101"/>
        <v/>
      </c>
      <c r="Q416" s="59">
        <f t="shared" si="102"/>
        <v>0</v>
      </c>
      <c r="R416" s="59">
        <f t="shared" si="103"/>
        <v>0</v>
      </c>
      <c r="S416" s="65"/>
      <c r="T416" s="65"/>
      <c r="U416" s="65"/>
      <c r="V416" s="65"/>
      <c r="W416" s="65"/>
      <c r="X416" s="65"/>
      <c r="Y416" s="65"/>
      <c r="Z416" s="65"/>
      <c r="AA416" s="65"/>
      <c r="AB416" s="65"/>
      <c r="AC416" s="65"/>
      <c r="AD416" s="65"/>
      <c r="AE416" s="65">
        <f t="shared" si="104"/>
        <v>0</v>
      </c>
      <c r="AF416" s="65"/>
      <c r="AG416" s="248">
        <f t="shared" si="105"/>
        <v>0</v>
      </c>
      <c r="AH416" s="95" t="str">
        <f t="shared" si="106"/>
        <v/>
      </c>
      <c r="AI416" s="97" t="str">
        <f t="shared" si="107"/>
        <v/>
      </c>
      <c r="AJ416" s="11"/>
    </row>
    <row r="417" spans="1:36" x14ac:dyDescent="0.25">
      <c r="A417">
        <f t="shared" si="97"/>
        <v>415</v>
      </c>
      <c r="D417" s="14">
        <v>46090</v>
      </c>
      <c r="E417" s="7"/>
      <c r="F417" s="7"/>
      <c r="G417" s="66"/>
      <c r="H417" s="59"/>
      <c r="I417" s="59"/>
      <c r="J417" s="47">
        <f t="shared" si="98"/>
        <v>0</v>
      </c>
      <c r="K417" s="8">
        <f t="shared" si="99"/>
        <v>0</v>
      </c>
      <c r="L417" s="96" t="str">
        <f t="shared" si="100"/>
        <v/>
      </c>
      <c r="M417" s="81"/>
      <c r="N417" s="8">
        <v>300</v>
      </c>
      <c r="O417" s="8">
        <v>60</v>
      </c>
      <c r="P417" s="96" t="str">
        <f t="shared" si="101"/>
        <v/>
      </c>
      <c r="Q417" s="59">
        <f t="shared" si="102"/>
        <v>0</v>
      </c>
      <c r="R417" s="59">
        <f t="shared" si="103"/>
        <v>0</v>
      </c>
      <c r="S417" s="65"/>
      <c r="T417" s="65"/>
      <c r="U417" s="65"/>
      <c r="V417" s="65"/>
      <c r="W417" s="65"/>
      <c r="X417" s="65"/>
      <c r="Y417" s="65"/>
      <c r="Z417" s="65"/>
      <c r="AA417" s="65"/>
      <c r="AB417" s="65"/>
      <c r="AC417" s="65"/>
      <c r="AD417" s="65"/>
      <c r="AE417" s="65">
        <f t="shared" si="104"/>
        <v>0</v>
      </c>
      <c r="AF417" s="65"/>
      <c r="AG417" s="248">
        <f t="shared" si="105"/>
        <v>0</v>
      </c>
      <c r="AH417" s="95" t="str">
        <f t="shared" si="106"/>
        <v/>
      </c>
      <c r="AI417" s="97" t="str">
        <f t="shared" si="107"/>
        <v/>
      </c>
      <c r="AJ417" s="11"/>
    </row>
    <row r="418" spans="1:36" x14ac:dyDescent="0.25">
      <c r="A418">
        <f t="shared" si="97"/>
        <v>416</v>
      </c>
      <c r="D418" s="14">
        <v>46091</v>
      </c>
      <c r="E418" s="7"/>
      <c r="F418" s="7"/>
      <c r="G418" s="66"/>
      <c r="H418" s="59"/>
      <c r="I418" s="59"/>
      <c r="J418" s="47">
        <f t="shared" si="98"/>
        <v>0</v>
      </c>
      <c r="K418" s="8">
        <f t="shared" si="99"/>
        <v>0</v>
      </c>
      <c r="L418" s="96" t="str">
        <f t="shared" si="100"/>
        <v/>
      </c>
      <c r="M418" s="81"/>
      <c r="N418" s="8">
        <v>300</v>
      </c>
      <c r="O418" s="8">
        <v>60</v>
      </c>
      <c r="P418" s="96" t="str">
        <f t="shared" si="101"/>
        <v/>
      </c>
      <c r="Q418" s="59">
        <f t="shared" si="102"/>
        <v>0</v>
      </c>
      <c r="R418" s="59">
        <f t="shared" si="103"/>
        <v>0</v>
      </c>
      <c r="S418" s="65"/>
      <c r="T418" s="65"/>
      <c r="U418" s="65"/>
      <c r="V418" s="65"/>
      <c r="W418" s="65"/>
      <c r="X418" s="65"/>
      <c r="Y418" s="65"/>
      <c r="Z418" s="65"/>
      <c r="AA418" s="65"/>
      <c r="AB418" s="65"/>
      <c r="AC418" s="65"/>
      <c r="AD418" s="65"/>
      <c r="AE418" s="65">
        <f t="shared" si="104"/>
        <v>0</v>
      </c>
      <c r="AF418" s="65"/>
      <c r="AG418" s="248">
        <f t="shared" si="105"/>
        <v>0</v>
      </c>
      <c r="AH418" s="95" t="str">
        <f t="shared" si="106"/>
        <v/>
      </c>
      <c r="AI418" s="97" t="str">
        <f t="shared" si="107"/>
        <v/>
      </c>
      <c r="AJ418" s="11"/>
    </row>
    <row r="419" spans="1:36" x14ac:dyDescent="0.25">
      <c r="A419">
        <f t="shared" si="97"/>
        <v>417</v>
      </c>
      <c r="D419" s="14">
        <v>46092</v>
      </c>
      <c r="E419" s="7"/>
      <c r="F419" s="7"/>
      <c r="G419" s="66"/>
      <c r="H419" s="59"/>
      <c r="I419" s="59"/>
      <c r="J419" s="47">
        <f t="shared" si="98"/>
        <v>0</v>
      </c>
      <c r="K419" s="8">
        <f t="shared" si="99"/>
        <v>0</v>
      </c>
      <c r="L419" s="96" t="str">
        <f t="shared" si="100"/>
        <v/>
      </c>
      <c r="M419" s="81"/>
      <c r="N419" s="8">
        <v>300</v>
      </c>
      <c r="O419" s="8">
        <v>60</v>
      </c>
      <c r="P419" s="96" t="str">
        <f t="shared" si="101"/>
        <v/>
      </c>
      <c r="Q419" s="59">
        <f t="shared" si="102"/>
        <v>0</v>
      </c>
      <c r="R419" s="59">
        <f t="shared" si="103"/>
        <v>0</v>
      </c>
      <c r="S419" s="65"/>
      <c r="T419" s="65"/>
      <c r="U419" s="65"/>
      <c r="V419" s="65"/>
      <c r="W419" s="65"/>
      <c r="X419" s="65"/>
      <c r="Y419" s="65"/>
      <c r="Z419" s="65"/>
      <c r="AA419" s="65"/>
      <c r="AB419" s="65"/>
      <c r="AC419" s="65"/>
      <c r="AD419" s="65"/>
      <c r="AE419" s="65">
        <f t="shared" si="104"/>
        <v>0</v>
      </c>
      <c r="AF419" s="65"/>
      <c r="AG419" s="248">
        <f t="shared" si="105"/>
        <v>0</v>
      </c>
      <c r="AH419" s="95" t="str">
        <f t="shared" si="106"/>
        <v/>
      </c>
      <c r="AI419" s="97" t="str">
        <f t="shared" si="107"/>
        <v/>
      </c>
      <c r="AJ419" s="11"/>
    </row>
    <row r="420" spans="1:36" x14ac:dyDescent="0.25">
      <c r="A420">
        <f t="shared" si="97"/>
        <v>418</v>
      </c>
      <c r="D420" s="14">
        <v>46093</v>
      </c>
      <c r="E420" s="7"/>
      <c r="F420" s="7"/>
      <c r="G420" s="66"/>
      <c r="H420" s="59"/>
      <c r="I420" s="59"/>
      <c r="J420" s="47">
        <f t="shared" si="98"/>
        <v>0</v>
      </c>
      <c r="K420" s="8">
        <f t="shared" si="99"/>
        <v>0</v>
      </c>
      <c r="L420" s="96" t="str">
        <f t="shared" si="100"/>
        <v/>
      </c>
      <c r="M420" s="81"/>
      <c r="N420" s="8">
        <v>300</v>
      </c>
      <c r="O420" s="8">
        <v>60</v>
      </c>
      <c r="P420" s="96" t="str">
        <f t="shared" si="101"/>
        <v/>
      </c>
      <c r="Q420" s="59">
        <f t="shared" si="102"/>
        <v>0</v>
      </c>
      <c r="R420" s="59">
        <f t="shared" si="103"/>
        <v>0</v>
      </c>
      <c r="S420" s="65"/>
      <c r="T420" s="65"/>
      <c r="U420" s="65"/>
      <c r="V420" s="65"/>
      <c r="W420" s="65"/>
      <c r="X420" s="65"/>
      <c r="Y420" s="65"/>
      <c r="Z420" s="65"/>
      <c r="AA420" s="65"/>
      <c r="AB420" s="65"/>
      <c r="AC420" s="65"/>
      <c r="AD420" s="65"/>
      <c r="AE420" s="65">
        <f t="shared" si="104"/>
        <v>0</v>
      </c>
      <c r="AF420" s="65"/>
      <c r="AG420" s="248">
        <f t="shared" si="105"/>
        <v>0</v>
      </c>
      <c r="AH420" s="95" t="str">
        <f t="shared" si="106"/>
        <v/>
      </c>
      <c r="AI420" s="97" t="str">
        <f t="shared" si="107"/>
        <v/>
      </c>
      <c r="AJ420" s="11"/>
    </row>
    <row r="421" spans="1:36" x14ac:dyDescent="0.25">
      <c r="A421">
        <f t="shared" si="97"/>
        <v>419</v>
      </c>
      <c r="D421" s="14">
        <v>46094</v>
      </c>
      <c r="E421" s="7"/>
      <c r="F421" s="7"/>
      <c r="G421" s="66"/>
      <c r="H421" s="59"/>
      <c r="I421" s="59"/>
      <c r="J421" s="47">
        <f t="shared" si="98"/>
        <v>0</v>
      </c>
      <c r="K421" s="8">
        <f t="shared" si="99"/>
        <v>0</v>
      </c>
      <c r="L421" s="96" t="str">
        <f t="shared" si="100"/>
        <v/>
      </c>
      <c r="M421" s="81"/>
      <c r="N421" s="8">
        <v>300</v>
      </c>
      <c r="O421" s="8">
        <v>60</v>
      </c>
      <c r="P421" s="96" t="str">
        <f t="shared" si="101"/>
        <v/>
      </c>
      <c r="Q421" s="59">
        <f t="shared" si="102"/>
        <v>0</v>
      </c>
      <c r="R421" s="59">
        <f t="shared" si="103"/>
        <v>0</v>
      </c>
      <c r="S421" s="65"/>
      <c r="T421" s="65"/>
      <c r="U421" s="65"/>
      <c r="V421" s="65"/>
      <c r="W421" s="65"/>
      <c r="X421" s="65"/>
      <c r="Y421" s="65"/>
      <c r="Z421" s="65"/>
      <c r="AA421" s="65"/>
      <c r="AB421" s="65"/>
      <c r="AC421" s="65"/>
      <c r="AD421" s="65"/>
      <c r="AE421" s="65">
        <f t="shared" si="104"/>
        <v>0</v>
      </c>
      <c r="AF421" s="65"/>
      <c r="AG421" s="248">
        <f t="shared" si="105"/>
        <v>0</v>
      </c>
      <c r="AH421" s="95" t="str">
        <f t="shared" si="106"/>
        <v/>
      </c>
      <c r="AI421" s="97" t="str">
        <f t="shared" si="107"/>
        <v/>
      </c>
      <c r="AJ421" s="11"/>
    </row>
    <row r="422" spans="1:36" x14ac:dyDescent="0.25">
      <c r="A422">
        <f t="shared" si="97"/>
        <v>420</v>
      </c>
      <c r="D422" s="14">
        <v>46095</v>
      </c>
      <c r="E422" s="7"/>
      <c r="F422" s="7"/>
      <c r="G422" s="66"/>
      <c r="H422" s="59"/>
      <c r="I422" s="59"/>
      <c r="J422" s="47">
        <f t="shared" si="98"/>
        <v>0</v>
      </c>
      <c r="K422" s="8">
        <f t="shared" si="99"/>
        <v>0</v>
      </c>
      <c r="L422" s="96" t="str">
        <f t="shared" si="100"/>
        <v/>
      </c>
      <c r="M422" s="81"/>
      <c r="N422" s="8">
        <v>300</v>
      </c>
      <c r="O422" s="8">
        <v>60</v>
      </c>
      <c r="P422" s="96" t="str">
        <f t="shared" si="101"/>
        <v/>
      </c>
      <c r="Q422" s="59">
        <f t="shared" si="102"/>
        <v>0</v>
      </c>
      <c r="R422" s="59">
        <f t="shared" si="103"/>
        <v>0</v>
      </c>
      <c r="S422" s="65"/>
      <c r="T422" s="65"/>
      <c r="U422" s="65"/>
      <c r="V422" s="65"/>
      <c r="W422" s="65"/>
      <c r="X422" s="65"/>
      <c r="Y422" s="65"/>
      <c r="Z422" s="65"/>
      <c r="AA422" s="65"/>
      <c r="AB422" s="65"/>
      <c r="AC422" s="65"/>
      <c r="AD422" s="65"/>
      <c r="AE422" s="65">
        <f t="shared" si="104"/>
        <v>0</v>
      </c>
      <c r="AF422" s="65"/>
      <c r="AG422" s="248">
        <f t="shared" si="105"/>
        <v>0</v>
      </c>
      <c r="AH422" s="95" t="str">
        <f t="shared" si="106"/>
        <v/>
      </c>
      <c r="AI422" s="97" t="str">
        <f t="shared" si="107"/>
        <v/>
      </c>
      <c r="AJ422" s="11"/>
    </row>
    <row r="423" spans="1:36" x14ac:dyDescent="0.25">
      <c r="A423">
        <f t="shared" si="97"/>
        <v>421</v>
      </c>
      <c r="D423" s="14">
        <v>46096</v>
      </c>
      <c r="E423" s="7"/>
      <c r="F423" s="7"/>
      <c r="G423" s="66"/>
      <c r="H423" s="59"/>
      <c r="I423" s="59"/>
      <c r="J423" s="47">
        <f t="shared" si="98"/>
        <v>0</v>
      </c>
      <c r="K423" s="8">
        <f t="shared" si="99"/>
        <v>0</v>
      </c>
      <c r="L423" s="96" t="str">
        <f t="shared" si="100"/>
        <v/>
      </c>
      <c r="M423" s="81"/>
      <c r="N423" s="8">
        <v>300</v>
      </c>
      <c r="O423" s="8">
        <v>60</v>
      </c>
      <c r="P423" s="96" t="str">
        <f t="shared" si="101"/>
        <v/>
      </c>
      <c r="Q423" s="59">
        <f t="shared" si="102"/>
        <v>0</v>
      </c>
      <c r="R423" s="59">
        <f t="shared" si="103"/>
        <v>0</v>
      </c>
      <c r="S423" s="65"/>
      <c r="T423" s="65"/>
      <c r="U423" s="65"/>
      <c r="V423" s="65"/>
      <c r="W423" s="65"/>
      <c r="X423" s="65"/>
      <c r="Y423" s="65"/>
      <c r="Z423" s="65"/>
      <c r="AA423" s="65"/>
      <c r="AB423" s="65"/>
      <c r="AC423" s="65"/>
      <c r="AD423" s="65"/>
      <c r="AE423" s="65">
        <f t="shared" si="104"/>
        <v>0</v>
      </c>
      <c r="AF423" s="65"/>
      <c r="AG423" s="248">
        <f t="shared" si="105"/>
        <v>0</v>
      </c>
      <c r="AH423" s="95" t="str">
        <f t="shared" si="106"/>
        <v/>
      </c>
      <c r="AI423" s="97" t="str">
        <f t="shared" si="107"/>
        <v/>
      </c>
      <c r="AJ423" s="11"/>
    </row>
    <row r="424" spans="1:36" x14ac:dyDescent="0.25">
      <c r="A424">
        <f t="shared" si="97"/>
        <v>422</v>
      </c>
      <c r="D424" s="14">
        <v>46097</v>
      </c>
      <c r="E424" s="7"/>
      <c r="F424" s="7"/>
      <c r="G424" s="66"/>
      <c r="H424" s="59"/>
      <c r="I424" s="59"/>
      <c r="J424" s="47">
        <f t="shared" si="98"/>
        <v>0</v>
      </c>
      <c r="K424" s="8">
        <f t="shared" si="99"/>
        <v>0</v>
      </c>
      <c r="L424" s="96" t="str">
        <f t="shared" si="100"/>
        <v/>
      </c>
      <c r="M424" s="81"/>
      <c r="N424" s="8">
        <v>300</v>
      </c>
      <c r="O424" s="8">
        <v>60</v>
      </c>
      <c r="P424" s="96" t="str">
        <f t="shared" si="101"/>
        <v/>
      </c>
      <c r="Q424" s="59">
        <f t="shared" si="102"/>
        <v>0</v>
      </c>
      <c r="R424" s="59">
        <f t="shared" si="103"/>
        <v>0</v>
      </c>
      <c r="S424" s="65"/>
      <c r="T424" s="65"/>
      <c r="U424" s="65"/>
      <c r="V424" s="65"/>
      <c r="W424" s="65"/>
      <c r="X424" s="65"/>
      <c r="Y424" s="65"/>
      <c r="Z424" s="65"/>
      <c r="AA424" s="65"/>
      <c r="AB424" s="65"/>
      <c r="AC424" s="65"/>
      <c r="AD424" s="65"/>
      <c r="AE424" s="65">
        <f t="shared" si="104"/>
        <v>0</v>
      </c>
      <c r="AF424" s="65"/>
      <c r="AG424" s="248">
        <f t="shared" si="105"/>
        <v>0</v>
      </c>
      <c r="AH424" s="95" t="str">
        <f t="shared" si="106"/>
        <v/>
      </c>
      <c r="AI424" s="97" t="str">
        <f t="shared" si="107"/>
        <v/>
      </c>
      <c r="AJ424" s="11"/>
    </row>
    <row r="425" spans="1:36" x14ac:dyDescent="0.25">
      <c r="A425">
        <f t="shared" si="97"/>
        <v>423</v>
      </c>
      <c r="D425" s="14">
        <v>46098</v>
      </c>
      <c r="E425" s="7"/>
      <c r="F425" s="7"/>
      <c r="G425" s="66"/>
      <c r="H425" s="59"/>
      <c r="I425" s="59"/>
      <c r="J425" s="47">
        <f t="shared" si="98"/>
        <v>0</v>
      </c>
      <c r="K425" s="8">
        <f t="shared" si="99"/>
        <v>0</v>
      </c>
      <c r="L425" s="96" t="str">
        <f t="shared" si="100"/>
        <v/>
      </c>
      <c r="M425" s="81"/>
      <c r="N425" s="8">
        <v>300</v>
      </c>
      <c r="O425" s="8">
        <v>60</v>
      </c>
      <c r="P425" s="96" t="str">
        <f t="shared" si="101"/>
        <v/>
      </c>
      <c r="Q425" s="59">
        <f t="shared" si="102"/>
        <v>0</v>
      </c>
      <c r="R425" s="59">
        <f t="shared" si="103"/>
        <v>0</v>
      </c>
      <c r="S425" s="65"/>
      <c r="T425" s="65"/>
      <c r="U425" s="65"/>
      <c r="V425" s="65"/>
      <c r="W425" s="65"/>
      <c r="X425" s="65"/>
      <c r="Y425" s="65"/>
      <c r="Z425" s="65"/>
      <c r="AA425" s="65"/>
      <c r="AB425" s="65"/>
      <c r="AC425" s="65"/>
      <c r="AD425" s="65"/>
      <c r="AE425" s="65">
        <f t="shared" si="104"/>
        <v>0</v>
      </c>
      <c r="AF425" s="65"/>
      <c r="AG425" s="248">
        <f t="shared" si="105"/>
        <v>0</v>
      </c>
      <c r="AH425" s="95" t="str">
        <f t="shared" si="106"/>
        <v/>
      </c>
      <c r="AI425" s="97" t="str">
        <f t="shared" si="107"/>
        <v/>
      </c>
      <c r="AJ425" s="11"/>
    </row>
    <row r="426" spans="1:36" x14ac:dyDescent="0.25">
      <c r="A426">
        <f t="shared" si="97"/>
        <v>424</v>
      </c>
      <c r="D426" s="14">
        <v>46099</v>
      </c>
      <c r="E426" s="7"/>
      <c r="F426" s="7"/>
      <c r="G426" s="66"/>
      <c r="H426" s="59"/>
      <c r="I426" s="59"/>
      <c r="J426" s="47">
        <f t="shared" si="98"/>
        <v>0</v>
      </c>
      <c r="K426" s="8">
        <f t="shared" si="99"/>
        <v>0</v>
      </c>
      <c r="L426" s="96" t="str">
        <f t="shared" si="100"/>
        <v/>
      </c>
      <c r="M426" s="81"/>
      <c r="N426" s="8">
        <v>300</v>
      </c>
      <c r="O426" s="8">
        <v>60</v>
      </c>
      <c r="P426" s="96" t="str">
        <f t="shared" si="101"/>
        <v/>
      </c>
      <c r="Q426" s="59">
        <f t="shared" si="102"/>
        <v>0</v>
      </c>
      <c r="R426" s="59">
        <f t="shared" si="103"/>
        <v>0</v>
      </c>
      <c r="S426" s="65"/>
      <c r="T426" s="65"/>
      <c r="U426" s="65"/>
      <c r="V426" s="65"/>
      <c r="W426" s="65"/>
      <c r="X426" s="65"/>
      <c r="Y426" s="65"/>
      <c r="Z426" s="65"/>
      <c r="AA426" s="65"/>
      <c r="AB426" s="65"/>
      <c r="AC426" s="65"/>
      <c r="AD426" s="65"/>
      <c r="AE426" s="65">
        <f t="shared" si="104"/>
        <v>0</v>
      </c>
      <c r="AF426" s="65"/>
      <c r="AG426" s="248">
        <f t="shared" si="105"/>
        <v>0</v>
      </c>
      <c r="AH426" s="95" t="str">
        <f t="shared" si="106"/>
        <v/>
      </c>
      <c r="AI426" s="97" t="str">
        <f t="shared" si="107"/>
        <v/>
      </c>
      <c r="AJ426" s="11"/>
    </row>
    <row r="427" spans="1:36" x14ac:dyDescent="0.25">
      <c r="A427">
        <f t="shared" si="97"/>
        <v>425</v>
      </c>
      <c r="D427" s="14">
        <v>46100</v>
      </c>
      <c r="E427" s="7"/>
      <c r="F427" s="7"/>
      <c r="G427" s="66"/>
      <c r="H427" s="59"/>
      <c r="I427" s="59"/>
      <c r="J427" s="47">
        <f t="shared" si="98"/>
        <v>0</v>
      </c>
      <c r="K427" s="8">
        <f t="shared" si="99"/>
        <v>0</v>
      </c>
      <c r="L427" s="96" t="str">
        <f t="shared" si="100"/>
        <v/>
      </c>
      <c r="M427" s="81"/>
      <c r="N427" s="8">
        <v>300</v>
      </c>
      <c r="O427" s="8">
        <v>60</v>
      </c>
      <c r="P427" s="96" t="str">
        <f t="shared" si="101"/>
        <v/>
      </c>
      <c r="Q427" s="59">
        <f t="shared" si="102"/>
        <v>0</v>
      </c>
      <c r="R427" s="59">
        <f t="shared" si="103"/>
        <v>0</v>
      </c>
      <c r="S427" s="65"/>
      <c r="T427" s="65"/>
      <c r="U427" s="65"/>
      <c r="V427" s="65"/>
      <c r="W427" s="65"/>
      <c r="X427" s="65"/>
      <c r="Y427" s="65"/>
      <c r="Z427" s="65"/>
      <c r="AA427" s="65"/>
      <c r="AB427" s="65"/>
      <c r="AC427" s="65"/>
      <c r="AD427" s="65"/>
      <c r="AE427" s="65">
        <f t="shared" si="104"/>
        <v>0</v>
      </c>
      <c r="AF427" s="65"/>
      <c r="AG427" s="248">
        <f t="shared" si="105"/>
        <v>0</v>
      </c>
      <c r="AH427" s="95" t="str">
        <f t="shared" si="106"/>
        <v/>
      </c>
      <c r="AI427" s="97" t="str">
        <f t="shared" si="107"/>
        <v/>
      </c>
      <c r="AJ427" s="11"/>
    </row>
    <row r="428" spans="1:36" x14ac:dyDescent="0.25">
      <c r="A428">
        <f t="shared" si="97"/>
        <v>426</v>
      </c>
      <c r="D428" s="14">
        <v>46101</v>
      </c>
      <c r="E428" s="7"/>
      <c r="F428" s="7"/>
      <c r="G428" s="66"/>
      <c r="H428" s="59"/>
      <c r="I428" s="59"/>
      <c r="J428" s="47">
        <f t="shared" si="98"/>
        <v>0</v>
      </c>
      <c r="K428" s="8">
        <f t="shared" si="99"/>
        <v>0</v>
      </c>
      <c r="L428" s="96" t="str">
        <f t="shared" si="100"/>
        <v/>
      </c>
      <c r="M428" s="81"/>
      <c r="N428" s="8">
        <v>300</v>
      </c>
      <c r="O428" s="8">
        <v>60</v>
      </c>
      <c r="P428" s="96" t="str">
        <f t="shared" si="101"/>
        <v/>
      </c>
      <c r="Q428" s="59">
        <f t="shared" si="102"/>
        <v>0</v>
      </c>
      <c r="R428" s="59">
        <f t="shared" si="103"/>
        <v>0</v>
      </c>
      <c r="S428" s="65"/>
      <c r="T428" s="65"/>
      <c r="U428" s="65"/>
      <c r="V428" s="65"/>
      <c r="W428" s="65"/>
      <c r="X428" s="65"/>
      <c r="Y428" s="65"/>
      <c r="Z428" s="65"/>
      <c r="AA428" s="65"/>
      <c r="AB428" s="65"/>
      <c r="AC428" s="65"/>
      <c r="AD428" s="65"/>
      <c r="AE428" s="65">
        <f t="shared" si="104"/>
        <v>0</v>
      </c>
      <c r="AF428" s="65"/>
      <c r="AG428" s="248">
        <f t="shared" si="105"/>
        <v>0</v>
      </c>
      <c r="AH428" s="95" t="str">
        <f t="shared" si="106"/>
        <v/>
      </c>
      <c r="AI428" s="97" t="str">
        <f t="shared" si="107"/>
        <v/>
      </c>
      <c r="AJ428" s="11"/>
    </row>
    <row r="429" spans="1:36" x14ac:dyDescent="0.25">
      <c r="A429">
        <f t="shared" si="97"/>
        <v>427</v>
      </c>
      <c r="D429" s="14">
        <v>46102</v>
      </c>
      <c r="E429" s="7"/>
      <c r="F429" s="7"/>
      <c r="G429" s="66"/>
      <c r="H429" s="59"/>
      <c r="I429" s="59"/>
      <c r="J429" s="47">
        <f t="shared" si="98"/>
        <v>0</v>
      </c>
      <c r="K429" s="8">
        <f t="shared" si="99"/>
        <v>0</v>
      </c>
      <c r="L429" s="96" t="str">
        <f t="shared" si="100"/>
        <v/>
      </c>
      <c r="M429" s="81"/>
      <c r="N429" s="8">
        <v>300</v>
      </c>
      <c r="O429" s="8">
        <v>60</v>
      </c>
      <c r="P429" s="96" t="str">
        <f t="shared" si="101"/>
        <v/>
      </c>
      <c r="Q429" s="59">
        <f t="shared" si="102"/>
        <v>0</v>
      </c>
      <c r="R429" s="59">
        <f t="shared" si="103"/>
        <v>0</v>
      </c>
      <c r="S429" s="65"/>
      <c r="T429" s="65"/>
      <c r="U429" s="65"/>
      <c r="V429" s="65"/>
      <c r="W429" s="65"/>
      <c r="X429" s="65"/>
      <c r="Y429" s="65"/>
      <c r="Z429" s="65"/>
      <c r="AA429" s="65"/>
      <c r="AB429" s="65"/>
      <c r="AC429" s="65"/>
      <c r="AD429" s="65"/>
      <c r="AE429" s="65">
        <f t="shared" si="104"/>
        <v>0</v>
      </c>
      <c r="AF429" s="65"/>
      <c r="AG429" s="248">
        <f t="shared" si="105"/>
        <v>0</v>
      </c>
      <c r="AH429" s="95" t="str">
        <f t="shared" si="106"/>
        <v/>
      </c>
      <c r="AI429" s="97" t="str">
        <f t="shared" si="107"/>
        <v/>
      </c>
      <c r="AJ429" s="11"/>
    </row>
    <row r="430" spans="1:36" x14ac:dyDescent="0.25">
      <c r="A430">
        <f t="shared" si="97"/>
        <v>428</v>
      </c>
      <c r="D430" s="14">
        <v>46103</v>
      </c>
      <c r="E430" s="7"/>
      <c r="F430" s="7"/>
      <c r="G430" s="66"/>
      <c r="H430" s="59"/>
      <c r="I430" s="59"/>
      <c r="J430" s="47">
        <f t="shared" si="98"/>
        <v>0</v>
      </c>
      <c r="K430" s="8">
        <f t="shared" si="99"/>
        <v>0</v>
      </c>
      <c r="L430" s="96" t="str">
        <f t="shared" si="100"/>
        <v/>
      </c>
      <c r="M430" s="81"/>
      <c r="N430" s="8">
        <v>300</v>
      </c>
      <c r="O430" s="8">
        <v>60</v>
      </c>
      <c r="P430" s="96" t="str">
        <f t="shared" si="101"/>
        <v/>
      </c>
      <c r="Q430" s="59">
        <f t="shared" si="102"/>
        <v>0</v>
      </c>
      <c r="R430" s="59">
        <f t="shared" si="103"/>
        <v>0</v>
      </c>
      <c r="S430" s="65"/>
      <c r="T430" s="65"/>
      <c r="U430" s="65"/>
      <c r="V430" s="65"/>
      <c r="W430" s="65"/>
      <c r="X430" s="65"/>
      <c r="Y430" s="65"/>
      <c r="Z430" s="65"/>
      <c r="AA430" s="65"/>
      <c r="AB430" s="65"/>
      <c r="AC430" s="65"/>
      <c r="AD430" s="65"/>
      <c r="AE430" s="65">
        <f t="shared" si="104"/>
        <v>0</v>
      </c>
      <c r="AF430" s="65"/>
      <c r="AG430" s="248">
        <f t="shared" si="105"/>
        <v>0</v>
      </c>
      <c r="AH430" s="95" t="str">
        <f t="shared" si="106"/>
        <v/>
      </c>
      <c r="AI430" s="97" t="str">
        <f t="shared" si="107"/>
        <v/>
      </c>
      <c r="AJ430" s="11"/>
    </row>
    <row r="431" spans="1:36" x14ac:dyDescent="0.25">
      <c r="A431">
        <f t="shared" si="97"/>
        <v>429</v>
      </c>
      <c r="D431" s="14">
        <v>46104</v>
      </c>
      <c r="E431" s="7"/>
      <c r="F431" s="7"/>
      <c r="G431" s="66"/>
      <c r="H431" s="59"/>
      <c r="I431" s="59"/>
      <c r="J431" s="47">
        <f t="shared" si="98"/>
        <v>0</v>
      </c>
      <c r="K431" s="8">
        <f t="shared" si="99"/>
        <v>0</v>
      </c>
      <c r="L431" s="96" t="str">
        <f t="shared" si="100"/>
        <v/>
      </c>
      <c r="M431" s="81"/>
      <c r="N431" s="8">
        <v>300</v>
      </c>
      <c r="O431" s="8">
        <v>60</v>
      </c>
      <c r="P431" s="96" t="str">
        <f t="shared" si="101"/>
        <v/>
      </c>
      <c r="Q431" s="59">
        <f t="shared" si="102"/>
        <v>0</v>
      </c>
      <c r="R431" s="59">
        <f t="shared" si="103"/>
        <v>0</v>
      </c>
      <c r="S431" s="65"/>
      <c r="T431" s="65"/>
      <c r="U431" s="65"/>
      <c r="V431" s="65"/>
      <c r="W431" s="65"/>
      <c r="X431" s="65"/>
      <c r="Y431" s="65"/>
      <c r="Z431" s="65"/>
      <c r="AA431" s="65"/>
      <c r="AB431" s="65"/>
      <c r="AC431" s="65"/>
      <c r="AD431" s="65"/>
      <c r="AE431" s="65">
        <f t="shared" si="104"/>
        <v>0</v>
      </c>
      <c r="AF431" s="65"/>
      <c r="AG431" s="248">
        <f t="shared" si="105"/>
        <v>0</v>
      </c>
      <c r="AH431" s="95" t="str">
        <f t="shared" si="106"/>
        <v/>
      </c>
      <c r="AI431" s="97" t="str">
        <f t="shared" si="107"/>
        <v/>
      </c>
      <c r="AJ431" s="11"/>
    </row>
    <row r="432" spans="1:36" x14ac:dyDescent="0.25">
      <c r="A432">
        <f t="shared" si="97"/>
        <v>430</v>
      </c>
      <c r="D432" s="14">
        <v>46105</v>
      </c>
      <c r="E432" s="7"/>
      <c r="F432" s="7"/>
      <c r="G432" s="66"/>
      <c r="H432" s="59"/>
      <c r="I432" s="59"/>
      <c r="J432" s="47">
        <f t="shared" si="98"/>
        <v>0</v>
      </c>
      <c r="K432" s="8">
        <f t="shared" si="99"/>
        <v>0</v>
      </c>
      <c r="L432" s="96" t="str">
        <f t="shared" si="100"/>
        <v/>
      </c>
      <c r="M432" s="81"/>
      <c r="N432" s="8">
        <v>300</v>
      </c>
      <c r="O432" s="8">
        <v>60</v>
      </c>
      <c r="P432" s="96" t="str">
        <f t="shared" si="101"/>
        <v/>
      </c>
      <c r="Q432" s="59">
        <f t="shared" si="102"/>
        <v>0</v>
      </c>
      <c r="R432" s="59">
        <f t="shared" si="103"/>
        <v>0</v>
      </c>
      <c r="S432" s="65"/>
      <c r="T432" s="65"/>
      <c r="U432" s="65"/>
      <c r="V432" s="65"/>
      <c r="W432" s="65"/>
      <c r="X432" s="65"/>
      <c r="Y432" s="65"/>
      <c r="Z432" s="65"/>
      <c r="AA432" s="65"/>
      <c r="AB432" s="65"/>
      <c r="AC432" s="65"/>
      <c r="AD432" s="65"/>
      <c r="AE432" s="65">
        <f t="shared" si="104"/>
        <v>0</v>
      </c>
      <c r="AF432" s="65"/>
      <c r="AG432" s="248">
        <f t="shared" si="105"/>
        <v>0</v>
      </c>
      <c r="AH432" s="95" t="str">
        <f t="shared" si="106"/>
        <v/>
      </c>
      <c r="AI432" s="97" t="str">
        <f t="shared" si="107"/>
        <v/>
      </c>
      <c r="AJ432" s="11"/>
    </row>
    <row r="433" spans="1:36" x14ac:dyDescent="0.25">
      <c r="A433">
        <f t="shared" si="97"/>
        <v>431</v>
      </c>
      <c r="D433" s="14">
        <v>46106</v>
      </c>
      <c r="E433" s="7"/>
      <c r="F433" s="7"/>
      <c r="G433" s="66"/>
      <c r="H433" s="59"/>
      <c r="I433" s="59"/>
      <c r="J433" s="47">
        <f t="shared" si="98"/>
        <v>0</v>
      </c>
      <c r="K433" s="8">
        <f t="shared" si="99"/>
        <v>0</v>
      </c>
      <c r="L433" s="96" t="str">
        <f t="shared" si="100"/>
        <v/>
      </c>
      <c r="M433" s="81"/>
      <c r="N433" s="8">
        <v>300</v>
      </c>
      <c r="O433" s="8">
        <v>60</v>
      </c>
      <c r="P433" s="96" t="str">
        <f t="shared" si="101"/>
        <v/>
      </c>
      <c r="Q433" s="59">
        <f t="shared" si="102"/>
        <v>0</v>
      </c>
      <c r="R433" s="59">
        <f t="shared" si="103"/>
        <v>0</v>
      </c>
      <c r="S433" s="65"/>
      <c r="T433" s="65"/>
      <c r="U433" s="65"/>
      <c r="V433" s="65"/>
      <c r="W433" s="65"/>
      <c r="X433" s="65"/>
      <c r="Y433" s="65"/>
      <c r="Z433" s="65"/>
      <c r="AA433" s="65"/>
      <c r="AB433" s="65"/>
      <c r="AC433" s="65"/>
      <c r="AD433" s="65"/>
      <c r="AE433" s="65">
        <f t="shared" si="104"/>
        <v>0</v>
      </c>
      <c r="AF433" s="65"/>
      <c r="AG433" s="248">
        <f t="shared" si="105"/>
        <v>0</v>
      </c>
      <c r="AH433" s="95" t="str">
        <f t="shared" si="106"/>
        <v/>
      </c>
      <c r="AI433" s="97" t="str">
        <f t="shared" si="107"/>
        <v/>
      </c>
      <c r="AJ433" s="11"/>
    </row>
    <row r="434" spans="1:36" x14ac:dyDescent="0.25">
      <c r="A434">
        <f t="shared" si="97"/>
        <v>432</v>
      </c>
      <c r="D434" s="14">
        <v>46107</v>
      </c>
      <c r="E434" s="7"/>
      <c r="F434" s="7"/>
      <c r="G434" s="66"/>
      <c r="H434" s="59"/>
      <c r="I434" s="59"/>
      <c r="J434" s="47">
        <f t="shared" si="98"/>
        <v>0</v>
      </c>
      <c r="K434" s="8">
        <f t="shared" si="99"/>
        <v>0</v>
      </c>
      <c r="L434" s="96" t="str">
        <f t="shared" si="100"/>
        <v/>
      </c>
      <c r="M434" s="81"/>
      <c r="N434" s="8">
        <v>300</v>
      </c>
      <c r="O434" s="8">
        <v>60</v>
      </c>
      <c r="P434" s="96" t="str">
        <f t="shared" si="101"/>
        <v/>
      </c>
      <c r="Q434" s="59">
        <f t="shared" si="102"/>
        <v>0</v>
      </c>
      <c r="R434" s="59">
        <f t="shared" si="103"/>
        <v>0</v>
      </c>
      <c r="S434" s="65"/>
      <c r="T434" s="65"/>
      <c r="U434" s="65"/>
      <c r="V434" s="65"/>
      <c r="W434" s="65"/>
      <c r="X434" s="65"/>
      <c r="Y434" s="65"/>
      <c r="Z434" s="65"/>
      <c r="AA434" s="65"/>
      <c r="AB434" s="65"/>
      <c r="AC434" s="65"/>
      <c r="AD434" s="65"/>
      <c r="AE434" s="65">
        <f t="shared" si="104"/>
        <v>0</v>
      </c>
      <c r="AF434" s="65"/>
      <c r="AG434" s="248">
        <f t="shared" si="105"/>
        <v>0</v>
      </c>
      <c r="AH434" s="95" t="str">
        <f t="shared" si="106"/>
        <v/>
      </c>
      <c r="AI434" s="97" t="str">
        <f t="shared" si="107"/>
        <v/>
      </c>
      <c r="AJ434" s="11"/>
    </row>
    <row r="435" spans="1:36" x14ac:dyDescent="0.25">
      <c r="A435">
        <f t="shared" si="97"/>
        <v>433</v>
      </c>
      <c r="D435" s="14">
        <v>46108</v>
      </c>
      <c r="E435" s="7"/>
      <c r="F435" s="7"/>
      <c r="G435" s="66"/>
      <c r="H435" s="59"/>
      <c r="I435" s="59"/>
      <c r="J435" s="47">
        <f t="shared" si="98"/>
        <v>0</v>
      </c>
      <c r="K435" s="8">
        <f t="shared" si="99"/>
        <v>0</v>
      </c>
      <c r="L435" s="96" t="str">
        <f t="shared" si="100"/>
        <v/>
      </c>
      <c r="M435" s="81"/>
      <c r="N435" s="8">
        <v>300</v>
      </c>
      <c r="O435" s="8">
        <v>60</v>
      </c>
      <c r="P435" s="96" t="str">
        <f t="shared" si="101"/>
        <v/>
      </c>
      <c r="Q435" s="59">
        <f t="shared" si="102"/>
        <v>0</v>
      </c>
      <c r="R435" s="59">
        <f t="shared" si="103"/>
        <v>0</v>
      </c>
      <c r="S435" s="65"/>
      <c r="T435" s="65"/>
      <c r="U435" s="65"/>
      <c r="V435" s="65"/>
      <c r="W435" s="65"/>
      <c r="X435" s="65"/>
      <c r="Y435" s="65"/>
      <c r="Z435" s="65"/>
      <c r="AA435" s="65"/>
      <c r="AB435" s="65"/>
      <c r="AC435" s="65"/>
      <c r="AD435" s="65"/>
      <c r="AE435" s="65">
        <f t="shared" si="104"/>
        <v>0</v>
      </c>
      <c r="AF435" s="65"/>
      <c r="AG435" s="248">
        <f t="shared" si="105"/>
        <v>0</v>
      </c>
      <c r="AH435" s="95" t="str">
        <f t="shared" si="106"/>
        <v/>
      </c>
      <c r="AI435" s="97" t="str">
        <f t="shared" si="107"/>
        <v/>
      </c>
      <c r="AJ435" s="11"/>
    </row>
    <row r="436" spans="1:36" x14ac:dyDescent="0.25">
      <c r="A436">
        <f t="shared" si="97"/>
        <v>434</v>
      </c>
      <c r="D436" s="14">
        <v>46109</v>
      </c>
      <c r="E436" s="7"/>
      <c r="F436" s="7"/>
      <c r="G436" s="66"/>
      <c r="H436" s="59"/>
      <c r="I436" s="59"/>
      <c r="J436" s="47">
        <f t="shared" si="98"/>
        <v>0</v>
      </c>
      <c r="K436" s="8">
        <f t="shared" si="99"/>
        <v>0</v>
      </c>
      <c r="L436" s="96" t="str">
        <f t="shared" si="100"/>
        <v/>
      </c>
      <c r="M436" s="81"/>
      <c r="N436" s="8">
        <v>300</v>
      </c>
      <c r="O436" s="8">
        <v>60</v>
      </c>
      <c r="P436" s="96" t="str">
        <f t="shared" si="101"/>
        <v/>
      </c>
      <c r="Q436" s="59">
        <f t="shared" si="102"/>
        <v>0</v>
      </c>
      <c r="R436" s="59">
        <f t="shared" si="103"/>
        <v>0</v>
      </c>
      <c r="S436" s="65"/>
      <c r="T436" s="65"/>
      <c r="U436" s="65"/>
      <c r="V436" s="65"/>
      <c r="W436" s="65"/>
      <c r="X436" s="65"/>
      <c r="Y436" s="65"/>
      <c r="Z436" s="65"/>
      <c r="AA436" s="65"/>
      <c r="AB436" s="65"/>
      <c r="AC436" s="65"/>
      <c r="AD436" s="65"/>
      <c r="AE436" s="65">
        <f t="shared" si="104"/>
        <v>0</v>
      </c>
      <c r="AF436" s="65"/>
      <c r="AG436" s="248">
        <f t="shared" si="105"/>
        <v>0</v>
      </c>
      <c r="AH436" s="95" t="str">
        <f t="shared" si="106"/>
        <v/>
      </c>
      <c r="AI436" s="97" t="str">
        <f t="shared" si="107"/>
        <v/>
      </c>
      <c r="AJ436" s="11"/>
    </row>
    <row r="437" spans="1:36" x14ac:dyDescent="0.25">
      <c r="A437">
        <f t="shared" si="97"/>
        <v>435</v>
      </c>
      <c r="D437" s="14">
        <v>46110</v>
      </c>
      <c r="E437" s="7"/>
      <c r="F437" s="7"/>
      <c r="G437" s="66"/>
      <c r="H437" s="59"/>
      <c r="I437" s="59"/>
      <c r="J437" s="47">
        <f t="shared" si="98"/>
        <v>0</v>
      </c>
      <c r="K437" s="8">
        <f t="shared" si="99"/>
        <v>0</v>
      </c>
      <c r="L437" s="96" t="str">
        <f t="shared" si="100"/>
        <v/>
      </c>
      <c r="M437" s="81"/>
      <c r="N437" s="8">
        <v>300</v>
      </c>
      <c r="O437" s="8">
        <v>60</v>
      </c>
      <c r="P437" s="96" t="str">
        <f t="shared" si="101"/>
        <v/>
      </c>
      <c r="Q437" s="59">
        <f t="shared" si="102"/>
        <v>0</v>
      </c>
      <c r="R437" s="59">
        <f t="shared" si="103"/>
        <v>0</v>
      </c>
      <c r="S437" s="65"/>
      <c r="T437" s="65"/>
      <c r="U437" s="65"/>
      <c r="V437" s="65"/>
      <c r="W437" s="65"/>
      <c r="X437" s="65"/>
      <c r="Y437" s="65"/>
      <c r="Z437" s="65"/>
      <c r="AA437" s="65"/>
      <c r="AB437" s="65"/>
      <c r="AC437" s="65"/>
      <c r="AD437" s="65"/>
      <c r="AE437" s="65">
        <f t="shared" si="104"/>
        <v>0</v>
      </c>
      <c r="AF437" s="65"/>
      <c r="AG437" s="248">
        <f t="shared" si="105"/>
        <v>0</v>
      </c>
      <c r="AH437" s="95" t="str">
        <f t="shared" si="106"/>
        <v/>
      </c>
      <c r="AI437" s="97" t="str">
        <f t="shared" si="107"/>
        <v/>
      </c>
      <c r="AJ437" s="11"/>
    </row>
    <row r="438" spans="1:36" x14ac:dyDescent="0.25">
      <c r="A438">
        <f t="shared" si="97"/>
        <v>436</v>
      </c>
      <c r="D438" s="14">
        <v>46111</v>
      </c>
      <c r="E438" s="7"/>
      <c r="F438" s="7"/>
      <c r="G438" s="66"/>
      <c r="H438" s="59"/>
      <c r="I438" s="59"/>
      <c r="J438" s="47">
        <f t="shared" si="98"/>
        <v>0</v>
      </c>
      <c r="K438" s="8">
        <f t="shared" si="99"/>
        <v>0</v>
      </c>
      <c r="L438" s="96" t="str">
        <f t="shared" si="100"/>
        <v/>
      </c>
      <c r="M438" s="81"/>
      <c r="N438" s="8">
        <v>300</v>
      </c>
      <c r="O438" s="8">
        <v>60</v>
      </c>
      <c r="P438" s="96" t="str">
        <f t="shared" si="101"/>
        <v/>
      </c>
      <c r="Q438" s="59">
        <f t="shared" si="102"/>
        <v>0</v>
      </c>
      <c r="R438" s="59">
        <f t="shared" si="103"/>
        <v>0</v>
      </c>
      <c r="S438" s="65"/>
      <c r="T438" s="65"/>
      <c r="U438" s="65"/>
      <c r="V438" s="65"/>
      <c r="W438" s="65"/>
      <c r="X438" s="65"/>
      <c r="Y438" s="65"/>
      <c r="Z438" s="65"/>
      <c r="AA438" s="65"/>
      <c r="AB438" s="65"/>
      <c r="AC438" s="65"/>
      <c r="AD438" s="65"/>
      <c r="AE438" s="65">
        <f t="shared" si="104"/>
        <v>0</v>
      </c>
      <c r="AF438" s="65"/>
      <c r="AG438" s="248">
        <f t="shared" si="105"/>
        <v>0</v>
      </c>
      <c r="AH438" s="95" t="str">
        <f t="shared" si="106"/>
        <v/>
      </c>
      <c r="AI438" s="97" t="str">
        <f t="shared" si="107"/>
        <v/>
      </c>
      <c r="AJ438" s="11"/>
    </row>
    <row r="439" spans="1:36" x14ac:dyDescent="0.25">
      <c r="A439">
        <f t="shared" si="97"/>
        <v>437</v>
      </c>
      <c r="D439" s="14">
        <v>46112</v>
      </c>
      <c r="E439" s="7"/>
      <c r="F439" s="7"/>
      <c r="G439" s="66"/>
      <c r="H439" s="59"/>
      <c r="I439" s="59"/>
      <c r="J439" s="47">
        <f t="shared" si="98"/>
        <v>0</v>
      </c>
      <c r="K439" s="8">
        <f t="shared" si="99"/>
        <v>0</v>
      </c>
      <c r="L439" s="96" t="str">
        <f t="shared" si="100"/>
        <v/>
      </c>
      <c r="M439" s="81"/>
      <c r="N439" s="8">
        <v>300</v>
      </c>
      <c r="O439" s="8">
        <v>60</v>
      </c>
      <c r="P439" s="96" t="str">
        <f t="shared" si="101"/>
        <v/>
      </c>
      <c r="Q439" s="59">
        <f t="shared" si="102"/>
        <v>0</v>
      </c>
      <c r="R439" s="59">
        <f t="shared" si="103"/>
        <v>0</v>
      </c>
      <c r="S439" s="65"/>
      <c r="T439" s="65"/>
      <c r="U439" s="65"/>
      <c r="V439" s="65"/>
      <c r="W439" s="65"/>
      <c r="X439" s="65"/>
      <c r="Y439" s="65"/>
      <c r="Z439" s="65"/>
      <c r="AA439" s="65"/>
      <c r="AB439" s="65"/>
      <c r="AC439" s="65"/>
      <c r="AD439" s="65"/>
      <c r="AE439" s="65">
        <f t="shared" si="104"/>
        <v>0</v>
      </c>
      <c r="AF439" s="65"/>
      <c r="AG439" s="248">
        <f t="shared" si="105"/>
        <v>0</v>
      </c>
      <c r="AH439" s="95" t="str">
        <f t="shared" si="106"/>
        <v/>
      </c>
      <c r="AI439" s="97" t="str">
        <f t="shared" si="107"/>
        <v/>
      </c>
      <c r="AJ439" s="11"/>
    </row>
    <row r="440" spans="1:36" x14ac:dyDescent="0.25">
      <c r="A440">
        <f t="shared" si="97"/>
        <v>438</v>
      </c>
      <c r="D440" s="14">
        <v>46113</v>
      </c>
      <c r="E440" s="7"/>
      <c r="F440" s="7"/>
      <c r="G440" s="66"/>
      <c r="H440" s="59"/>
      <c r="I440" s="59"/>
      <c r="J440" s="47">
        <f t="shared" si="98"/>
        <v>0</v>
      </c>
      <c r="K440" s="8">
        <f t="shared" si="99"/>
        <v>0</v>
      </c>
      <c r="L440" s="96" t="str">
        <f t="shared" si="100"/>
        <v/>
      </c>
      <c r="M440" s="81"/>
      <c r="N440" s="8">
        <v>300</v>
      </c>
      <c r="O440" s="8">
        <v>60</v>
      </c>
      <c r="P440" s="96" t="str">
        <f t="shared" si="101"/>
        <v/>
      </c>
      <c r="Q440" s="59">
        <f t="shared" si="102"/>
        <v>0</v>
      </c>
      <c r="R440" s="59">
        <f t="shared" si="103"/>
        <v>0</v>
      </c>
      <c r="S440" s="65"/>
      <c r="T440" s="65"/>
      <c r="U440" s="65"/>
      <c r="V440" s="65"/>
      <c r="W440" s="65"/>
      <c r="X440" s="65"/>
      <c r="Y440" s="65"/>
      <c r="Z440" s="65"/>
      <c r="AA440" s="65"/>
      <c r="AB440" s="65"/>
      <c r="AC440" s="65"/>
      <c r="AD440" s="65"/>
      <c r="AE440" s="65">
        <f t="shared" si="104"/>
        <v>0</v>
      </c>
      <c r="AF440" s="65"/>
      <c r="AG440" s="248">
        <f t="shared" si="105"/>
        <v>0</v>
      </c>
      <c r="AH440" s="95" t="str">
        <f t="shared" si="106"/>
        <v/>
      </c>
      <c r="AI440" s="97" t="str">
        <f t="shared" si="107"/>
        <v/>
      </c>
      <c r="AJ440" s="11"/>
    </row>
    <row r="441" spans="1:36" x14ac:dyDescent="0.25">
      <c r="A441">
        <f t="shared" si="97"/>
        <v>439</v>
      </c>
      <c r="D441" s="14">
        <v>46114</v>
      </c>
      <c r="E441" s="7"/>
      <c r="F441" s="7"/>
      <c r="G441" s="66"/>
      <c r="H441" s="59"/>
      <c r="I441" s="59"/>
      <c r="J441" s="47">
        <f t="shared" si="98"/>
        <v>0</v>
      </c>
      <c r="K441" s="8">
        <f t="shared" si="99"/>
        <v>0</v>
      </c>
      <c r="L441" s="96" t="str">
        <f t="shared" si="100"/>
        <v/>
      </c>
      <c r="M441" s="81"/>
      <c r="N441" s="8">
        <v>300</v>
      </c>
      <c r="O441" s="8">
        <v>60</v>
      </c>
      <c r="P441" s="96" t="str">
        <f t="shared" si="101"/>
        <v/>
      </c>
      <c r="Q441" s="59">
        <f t="shared" si="102"/>
        <v>0</v>
      </c>
      <c r="R441" s="59">
        <f t="shared" si="103"/>
        <v>0</v>
      </c>
      <c r="S441" s="65"/>
      <c r="T441" s="65"/>
      <c r="U441" s="65"/>
      <c r="V441" s="65"/>
      <c r="W441" s="65"/>
      <c r="X441" s="65"/>
      <c r="Y441" s="65"/>
      <c r="Z441" s="65"/>
      <c r="AA441" s="65"/>
      <c r="AB441" s="65"/>
      <c r="AC441" s="65"/>
      <c r="AD441" s="65"/>
      <c r="AE441" s="65">
        <f t="shared" si="104"/>
        <v>0</v>
      </c>
      <c r="AF441" s="65"/>
      <c r="AG441" s="248">
        <f t="shared" si="105"/>
        <v>0</v>
      </c>
      <c r="AH441" s="95" t="str">
        <f t="shared" si="106"/>
        <v/>
      </c>
      <c r="AI441" s="97" t="str">
        <f t="shared" si="107"/>
        <v/>
      </c>
      <c r="AJ441" s="11"/>
    </row>
    <row r="442" spans="1:36" x14ac:dyDescent="0.25">
      <c r="A442">
        <f t="shared" si="97"/>
        <v>440</v>
      </c>
      <c r="D442" s="14">
        <v>46115</v>
      </c>
      <c r="E442" s="7"/>
      <c r="F442" s="7"/>
      <c r="G442" s="66"/>
      <c r="H442" s="59"/>
      <c r="I442" s="59"/>
      <c r="J442" s="47">
        <f t="shared" si="98"/>
        <v>0</v>
      </c>
      <c r="K442" s="8">
        <f t="shared" si="99"/>
        <v>0</v>
      </c>
      <c r="L442" s="96" t="str">
        <f t="shared" si="100"/>
        <v/>
      </c>
      <c r="M442" s="81"/>
      <c r="N442" s="8">
        <v>300</v>
      </c>
      <c r="O442" s="8">
        <v>60</v>
      </c>
      <c r="P442" s="96" t="str">
        <f t="shared" si="101"/>
        <v/>
      </c>
      <c r="Q442" s="59">
        <f t="shared" si="102"/>
        <v>0</v>
      </c>
      <c r="R442" s="59">
        <f t="shared" si="103"/>
        <v>0</v>
      </c>
      <c r="S442" s="65"/>
      <c r="T442" s="65"/>
      <c r="U442" s="65"/>
      <c r="V442" s="65"/>
      <c r="W442" s="65"/>
      <c r="X442" s="65"/>
      <c r="Y442" s="65"/>
      <c r="Z442" s="65"/>
      <c r="AA442" s="65"/>
      <c r="AB442" s="65"/>
      <c r="AC442" s="65"/>
      <c r="AD442" s="65"/>
      <c r="AE442" s="65">
        <f t="shared" si="104"/>
        <v>0</v>
      </c>
      <c r="AF442" s="65"/>
      <c r="AG442" s="248">
        <f t="shared" si="105"/>
        <v>0</v>
      </c>
      <c r="AH442" s="95" t="str">
        <f t="shared" si="106"/>
        <v/>
      </c>
      <c r="AI442" s="97" t="str">
        <f t="shared" si="107"/>
        <v/>
      </c>
      <c r="AJ442" s="11"/>
    </row>
    <row r="443" spans="1:36" x14ac:dyDescent="0.25">
      <c r="A443">
        <f t="shared" si="97"/>
        <v>441</v>
      </c>
      <c r="D443" s="14">
        <v>46116</v>
      </c>
      <c r="E443" s="7"/>
      <c r="F443" s="7"/>
      <c r="G443" s="66"/>
      <c r="H443" s="59"/>
      <c r="I443" s="59"/>
      <c r="J443" s="47">
        <f t="shared" si="98"/>
        <v>0</v>
      </c>
      <c r="K443" s="8">
        <f t="shared" si="99"/>
        <v>0</v>
      </c>
      <c r="L443" s="96" t="str">
        <f t="shared" si="100"/>
        <v/>
      </c>
      <c r="M443" s="81"/>
      <c r="N443" s="8">
        <v>300</v>
      </c>
      <c r="O443" s="8">
        <v>60</v>
      </c>
      <c r="P443" s="96" t="str">
        <f t="shared" si="101"/>
        <v/>
      </c>
      <c r="Q443" s="59">
        <f t="shared" si="102"/>
        <v>0</v>
      </c>
      <c r="R443" s="59">
        <f t="shared" si="103"/>
        <v>0</v>
      </c>
      <c r="S443" s="65"/>
      <c r="T443" s="65"/>
      <c r="U443" s="65"/>
      <c r="V443" s="65"/>
      <c r="W443" s="65"/>
      <c r="X443" s="65"/>
      <c r="Y443" s="65"/>
      <c r="Z443" s="65"/>
      <c r="AA443" s="65"/>
      <c r="AB443" s="65"/>
      <c r="AC443" s="65"/>
      <c r="AD443" s="65"/>
      <c r="AE443" s="65">
        <f t="shared" si="104"/>
        <v>0</v>
      </c>
      <c r="AF443" s="65"/>
      <c r="AG443" s="248">
        <f t="shared" si="105"/>
        <v>0</v>
      </c>
      <c r="AH443" s="95" t="str">
        <f t="shared" si="106"/>
        <v/>
      </c>
      <c r="AI443" s="97" t="str">
        <f t="shared" si="107"/>
        <v/>
      </c>
      <c r="AJ443" s="11"/>
    </row>
    <row r="444" spans="1:36" x14ac:dyDescent="0.25">
      <c r="A444">
        <f t="shared" si="97"/>
        <v>442</v>
      </c>
      <c r="D444" s="14">
        <v>46117</v>
      </c>
      <c r="E444" s="7"/>
      <c r="F444" s="7"/>
      <c r="G444" s="66"/>
      <c r="H444" s="59"/>
      <c r="I444" s="59"/>
      <c r="J444" s="47">
        <f t="shared" si="98"/>
        <v>0</v>
      </c>
      <c r="K444" s="8">
        <f t="shared" si="99"/>
        <v>0</v>
      </c>
      <c r="L444" s="96" t="str">
        <f t="shared" si="100"/>
        <v/>
      </c>
      <c r="M444" s="81"/>
      <c r="N444" s="8">
        <v>300</v>
      </c>
      <c r="O444" s="8">
        <v>60</v>
      </c>
      <c r="P444" s="96" t="str">
        <f t="shared" si="101"/>
        <v/>
      </c>
      <c r="Q444" s="59">
        <f t="shared" si="102"/>
        <v>0</v>
      </c>
      <c r="R444" s="59">
        <f t="shared" si="103"/>
        <v>0</v>
      </c>
      <c r="S444" s="65"/>
      <c r="T444" s="65"/>
      <c r="U444" s="65"/>
      <c r="V444" s="65"/>
      <c r="W444" s="65"/>
      <c r="X444" s="65"/>
      <c r="Y444" s="65"/>
      <c r="Z444" s="65"/>
      <c r="AA444" s="65"/>
      <c r="AB444" s="65"/>
      <c r="AC444" s="65"/>
      <c r="AD444" s="65"/>
      <c r="AE444" s="65">
        <f t="shared" si="104"/>
        <v>0</v>
      </c>
      <c r="AF444" s="65"/>
      <c r="AG444" s="248">
        <f t="shared" si="105"/>
        <v>0</v>
      </c>
      <c r="AH444" s="95" t="str">
        <f t="shared" si="106"/>
        <v/>
      </c>
      <c r="AI444" s="97" t="str">
        <f t="shared" si="107"/>
        <v/>
      </c>
      <c r="AJ444" s="11"/>
    </row>
    <row r="445" spans="1:36" x14ac:dyDescent="0.25">
      <c r="A445">
        <f t="shared" si="97"/>
        <v>443</v>
      </c>
      <c r="D445" s="14">
        <v>46118</v>
      </c>
      <c r="E445" s="7"/>
      <c r="F445" s="7"/>
      <c r="G445" s="66"/>
      <c r="H445" s="59"/>
      <c r="I445" s="59"/>
      <c r="J445" s="47">
        <f t="shared" si="98"/>
        <v>0</v>
      </c>
      <c r="K445" s="8">
        <f t="shared" si="99"/>
        <v>0</v>
      </c>
      <c r="L445" s="96" t="str">
        <f t="shared" si="100"/>
        <v/>
      </c>
      <c r="M445" s="81"/>
      <c r="N445" s="8">
        <v>300</v>
      </c>
      <c r="O445" s="8">
        <v>60</v>
      </c>
      <c r="P445" s="96" t="str">
        <f t="shared" si="101"/>
        <v/>
      </c>
      <c r="Q445" s="59">
        <f t="shared" si="102"/>
        <v>0</v>
      </c>
      <c r="R445" s="59">
        <f t="shared" si="103"/>
        <v>0</v>
      </c>
      <c r="S445" s="65"/>
      <c r="T445" s="65"/>
      <c r="U445" s="65"/>
      <c r="V445" s="65"/>
      <c r="W445" s="65"/>
      <c r="X445" s="65"/>
      <c r="Y445" s="65"/>
      <c r="Z445" s="65"/>
      <c r="AA445" s="65"/>
      <c r="AB445" s="65"/>
      <c r="AC445" s="65"/>
      <c r="AD445" s="65"/>
      <c r="AE445" s="65">
        <f t="shared" si="104"/>
        <v>0</v>
      </c>
      <c r="AF445" s="65"/>
      <c r="AG445" s="248">
        <f t="shared" si="105"/>
        <v>0</v>
      </c>
      <c r="AH445" s="95" t="str">
        <f t="shared" si="106"/>
        <v/>
      </c>
      <c r="AI445" s="97" t="str">
        <f t="shared" si="107"/>
        <v/>
      </c>
      <c r="AJ445" s="11"/>
    </row>
    <row r="446" spans="1:36" x14ac:dyDescent="0.25">
      <c r="A446">
        <f t="shared" si="97"/>
        <v>444</v>
      </c>
      <c r="D446" s="14">
        <v>46119</v>
      </c>
      <c r="E446" s="7"/>
      <c r="F446" s="7"/>
      <c r="G446" s="66"/>
      <c r="H446" s="59"/>
      <c r="I446" s="59"/>
      <c r="J446" s="47">
        <f t="shared" si="98"/>
        <v>0</v>
      </c>
      <c r="K446" s="8">
        <f t="shared" si="99"/>
        <v>0</v>
      </c>
      <c r="L446" s="96" t="str">
        <f t="shared" si="100"/>
        <v/>
      </c>
      <c r="M446" s="81"/>
      <c r="N446" s="8">
        <v>300</v>
      </c>
      <c r="O446" s="8">
        <v>60</v>
      </c>
      <c r="P446" s="96" t="str">
        <f t="shared" si="101"/>
        <v/>
      </c>
      <c r="Q446" s="59">
        <f t="shared" si="102"/>
        <v>0</v>
      </c>
      <c r="R446" s="59">
        <f t="shared" si="103"/>
        <v>0</v>
      </c>
      <c r="S446" s="65"/>
      <c r="T446" s="65"/>
      <c r="U446" s="65"/>
      <c r="V446" s="65"/>
      <c r="W446" s="65"/>
      <c r="X446" s="65"/>
      <c r="Y446" s="65"/>
      <c r="Z446" s="65"/>
      <c r="AA446" s="65"/>
      <c r="AB446" s="65"/>
      <c r="AC446" s="65"/>
      <c r="AD446" s="65"/>
      <c r="AE446" s="65">
        <f t="shared" si="104"/>
        <v>0</v>
      </c>
      <c r="AF446" s="65"/>
      <c r="AG446" s="248">
        <f t="shared" si="105"/>
        <v>0</v>
      </c>
      <c r="AH446" s="95" t="str">
        <f t="shared" si="106"/>
        <v/>
      </c>
      <c r="AI446" s="97" t="str">
        <f t="shared" si="107"/>
        <v/>
      </c>
      <c r="AJ446" s="11"/>
    </row>
    <row r="447" spans="1:36" x14ac:dyDescent="0.25">
      <c r="A447">
        <f t="shared" si="97"/>
        <v>445</v>
      </c>
      <c r="D447" s="14">
        <v>46120</v>
      </c>
      <c r="E447" s="7"/>
      <c r="F447" s="7"/>
      <c r="G447" s="66"/>
      <c r="H447" s="59"/>
      <c r="I447" s="59"/>
      <c r="J447" s="47">
        <f t="shared" si="98"/>
        <v>0</v>
      </c>
      <c r="K447" s="8">
        <f t="shared" si="99"/>
        <v>0</v>
      </c>
      <c r="L447" s="96" t="str">
        <f t="shared" si="100"/>
        <v/>
      </c>
      <c r="M447" s="81"/>
      <c r="N447" s="8">
        <v>300</v>
      </c>
      <c r="O447" s="8">
        <v>60</v>
      </c>
      <c r="P447" s="96" t="str">
        <f t="shared" si="101"/>
        <v/>
      </c>
      <c r="Q447" s="59">
        <f t="shared" si="102"/>
        <v>0</v>
      </c>
      <c r="R447" s="59">
        <f t="shared" si="103"/>
        <v>0</v>
      </c>
      <c r="S447" s="65"/>
      <c r="T447" s="65"/>
      <c r="U447" s="65"/>
      <c r="V447" s="65"/>
      <c r="W447" s="65"/>
      <c r="X447" s="65"/>
      <c r="Y447" s="65"/>
      <c r="Z447" s="65"/>
      <c r="AA447" s="65"/>
      <c r="AB447" s="65"/>
      <c r="AC447" s="65"/>
      <c r="AD447" s="65"/>
      <c r="AE447" s="65">
        <f t="shared" si="104"/>
        <v>0</v>
      </c>
      <c r="AF447" s="65"/>
      <c r="AG447" s="248">
        <f t="shared" si="105"/>
        <v>0</v>
      </c>
      <c r="AH447" s="95" t="str">
        <f t="shared" si="106"/>
        <v/>
      </c>
      <c r="AI447" s="97" t="str">
        <f t="shared" si="107"/>
        <v/>
      </c>
      <c r="AJ447" s="11"/>
    </row>
    <row r="448" spans="1:36" x14ac:dyDescent="0.25">
      <c r="A448">
        <f t="shared" si="97"/>
        <v>446</v>
      </c>
      <c r="D448" s="14">
        <v>46121</v>
      </c>
      <c r="E448" s="7"/>
      <c r="F448" s="7"/>
      <c r="G448" s="66"/>
      <c r="H448" s="59"/>
      <c r="I448" s="59"/>
      <c r="J448" s="47">
        <f t="shared" si="98"/>
        <v>0</v>
      </c>
      <c r="K448" s="8">
        <f t="shared" si="99"/>
        <v>0</v>
      </c>
      <c r="L448" s="96" t="str">
        <f t="shared" si="100"/>
        <v/>
      </c>
      <c r="M448" s="81"/>
      <c r="N448" s="8">
        <v>300</v>
      </c>
      <c r="O448" s="8">
        <v>60</v>
      </c>
      <c r="P448" s="96" t="str">
        <f t="shared" si="101"/>
        <v/>
      </c>
      <c r="Q448" s="59">
        <f t="shared" si="102"/>
        <v>0</v>
      </c>
      <c r="R448" s="59">
        <f t="shared" si="103"/>
        <v>0</v>
      </c>
      <c r="S448" s="65"/>
      <c r="T448" s="65"/>
      <c r="U448" s="65"/>
      <c r="V448" s="65"/>
      <c r="W448" s="65"/>
      <c r="X448" s="65"/>
      <c r="Y448" s="65"/>
      <c r="Z448" s="65"/>
      <c r="AA448" s="65"/>
      <c r="AB448" s="65"/>
      <c r="AC448" s="65"/>
      <c r="AD448" s="65"/>
      <c r="AE448" s="65">
        <f t="shared" si="104"/>
        <v>0</v>
      </c>
      <c r="AF448" s="65"/>
      <c r="AG448" s="248">
        <f t="shared" si="105"/>
        <v>0</v>
      </c>
      <c r="AH448" s="95" t="str">
        <f t="shared" si="106"/>
        <v/>
      </c>
      <c r="AI448" s="97" t="str">
        <f t="shared" si="107"/>
        <v/>
      </c>
      <c r="AJ448" s="11"/>
    </row>
    <row r="449" spans="1:36" x14ac:dyDescent="0.25">
      <c r="A449">
        <f t="shared" si="97"/>
        <v>447</v>
      </c>
      <c r="D449" s="14">
        <v>46122</v>
      </c>
      <c r="E449" s="7"/>
      <c r="F449" s="7"/>
      <c r="G449" s="66"/>
      <c r="H449" s="59"/>
      <c r="I449" s="59"/>
      <c r="J449" s="47">
        <f t="shared" si="98"/>
        <v>0</v>
      </c>
      <c r="K449" s="8">
        <f t="shared" si="99"/>
        <v>0</v>
      </c>
      <c r="L449" s="96" t="str">
        <f t="shared" si="100"/>
        <v/>
      </c>
      <c r="M449" s="81"/>
      <c r="N449" s="8">
        <v>300</v>
      </c>
      <c r="O449" s="8">
        <v>60</v>
      </c>
      <c r="P449" s="96" t="str">
        <f t="shared" si="101"/>
        <v/>
      </c>
      <c r="Q449" s="59">
        <f t="shared" si="102"/>
        <v>0</v>
      </c>
      <c r="R449" s="59">
        <f t="shared" si="103"/>
        <v>0</v>
      </c>
      <c r="S449" s="65"/>
      <c r="T449" s="65"/>
      <c r="U449" s="65"/>
      <c r="V449" s="65"/>
      <c r="W449" s="65"/>
      <c r="X449" s="65"/>
      <c r="Y449" s="65"/>
      <c r="Z449" s="65"/>
      <c r="AA449" s="65"/>
      <c r="AB449" s="65"/>
      <c r="AC449" s="65"/>
      <c r="AD449" s="65"/>
      <c r="AE449" s="65">
        <f t="shared" si="104"/>
        <v>0</v>
      </c>
      <c r="AF449" s="65"/>
      <c r="AG449" s="248">
        <f t="shared" si="105"/>
        <v>0</v>
      </c>
      <c r="AH449" s="95" t="str">
        <f t="shared" si="106"/>
        <v/>
      </c>
      <c r="AI449" s="97" t="str">
        <f t="shared" si="107"/>
        <v/>
      </c>
      <c r="AJ449" s="11"/>
    </row>
    <row r="450" spans="1:36" x14ac:dyDescent="0.25">
      <c r="A450">
        <f t="shared" si="97"/>
        <v>448</v>
      </c>
      <c r="D450" s="14">
        <v>46123</v>
      </c>
      <c r="E450" s="7"/>
      <c r="F450" s="7"/>
      <c r="G450" s="66"/>
      <c r="H450" s="59"/>
      <c r="I450" s="59"/>
      <c r="J450" s="47">
        <f t="shared" si="98"/>
        <v>0</v>
      </c>
      <c r="K450" s="8">
        <f t="shared" si="99"/>
        <v>0</v>
      </c>
      <c r="L450" s="96" t="str">
        <f t="shared" si="100"/>
        <v/>
      </c>
      <c r="M450" s="81"/>
      <c r="N450" s="8">
        <v>300</v>
      </c>
      <c r="O450" s="8">
        <v>60</v>
      </c>
      <c r="P450" s="96" t="str">
        <f t="shared" si="101"/>
        <v/>
      </c>
      <c r="Q450" s="59">
        <f t="shared" si="102"/>
        <v>0</v>
      </c>
      <c r="R450" s="59">
        <f t="shared" si="103"/>
        <v>0</v>
      </c>
      <c r="S450" s="65"/>
      <c r="T450" s="65"/>
      <c r="U450" s="65"/>
      <c r="V450" s="65"/>
      <c r="W450" s="65"/>
      <c r="X450" s="65"/>
      <c r="Y450" s="65"/>
      <c r="Z450" s="65"/>
      <c r="AA450" s="65"/>
      <c r="AB450" s="65"/>
      <c r="AC450" s="65"/>
      <c r="AD450" s="65"/>
      <c r="AE450" s="65">
        <f t="shared" si="104"/>
        <v>0</v>
      </c>
      <c r="AF450" s="65"/>
      <c r="AG450" s="248">
        <f t="shared" si="105"/>
        <v>0</v>
      </c>
      <c r="AH450" s="95" t="str">
        <f t="shared" si="106"/>
        <v/>
      </c>
      <c r="AI450" s="97" t="str">
        <f t="shared" si="107"/>
        <v/>
      </c>
      <c r="AJ450" s="11"/>
    </row>
    <row r="451" spans="1:36" x14ac:dyDescent="0.25">
      <c r="A451">
        <f t="shared" si="97"/>
        <v>449</v>
      </c>
      <c r="D451" s="14">
        <v>46124</v>
      </c>
      <c r="E451" s="7"/>
      <c r="F451" s="7"/>
      <c r="G451" s="66"/>
      <c r="H451" s="59"/>
      <c r="I451" s="59"/>
      <c r="J451" s="47">
        <f t="shared" si="98"/>
        <v>0</v>
      </c>
      <c r="K451" s="8">
        <f t="shared" si="99"/>
        <v>0</v>
      </c>
      <c r="L451" s="96" t="str">
        <f t="shared" si="100"/>
        <v/>
      </c>
      <c r="M451" s="81"/>
      <c r="N451" s="8">
        <v>300</v>
      </c>
      <c r="O451" s="8">
        <v>60</v>
      </c>
      <c r="P451" s="96" t="str">
        <f t="shared" si="101"/>
        <v/>
      </c>
      <c r="Q451" s="59">
        <f t="shared" si="102"/>
        <v>0</v>
      </c>
      <c r="R451" s="59">
        <f t="shared" si="103"/>
        <v>0</v>
      </c>
      <c r="S451" s="65"/>
      <c r="T451" s="65"/>
      <c r="U451" s="65"/>
      <c r="V451" s="65"/>
      <c r="W451" s="65"/>
      <c r="X451" s="65"/>
      <c r="Y451" s="65"/>
      <c r="Z451" s="65"/>
      <c r="AA451" s="65"/>
      <c r="AB451" s="65"/>
      <c r="AC451" s="65"/>
      <c r="AD451" s="65"/>
      <c r="AE451" s="65">
        <f t="shared" si="104"/>
        <v>0</v>
      </c>
      <c r="AF451" s="65"/>
      <c r="AG451" s="248">
        <f t="shared" si="105"/>
        <v>0</v>
      </c>
      <c r="AH451" s="95" t="str">
        <f t="shared" si="106"/>
        <v/>
      </c>
      <c r="AI451" s="97" t="str">
        <f t="shared" si="107"/>
        <v/>
      </c>
      <c r="AJ451" s="11"/>
    </row>
    <row r="452" spans="1:36" x14ac:dyDescent="0.25">
      <c r="A452">
        <f t="shared" si="97"/>
        <v>450</v>
      </c>
      <c r="D452" s="14">
        <v>46125</v>
      </c>
      <c r="E452" s="7"/>
      <c r="F452" s="7"/>
      <c r="G452" s="66"/>
      <c r="H452" s="59"/>
      <c r="I452" s="59"/>
      <c r="J452" s="47">
        <f t="shared" si="98"/>
        <v>0</v>
      </c>
      <c r="K452" s="8">
        <f t="shared" si="99"/>
        <v>0</v>
      </c>
      <c r="L452" s="96" t="str">
        <f t="shared" si="100"/>
        <v/>
      </c>
      <c r="M452" s="81"/>
      <c r="N452" s="8">
        <v>300</v>
      </c>
      <c r="O452" s="8">
        <v>60</v>
      </c>
      <c r="P452" s="96" t="str">
        <f t="shared" si="101"/>
        <v/>
      </c>
      <c r="Q452" s="59">
        <f t="shared" si="102"/>
        <v>0</v>
      </c>
      <c r="R452" s="59">
        <f t="shared" si="103"/>
        <v>0</v>
      </c>
      <c r="S452" s="65"/>
      <c r="T452" s="65"/>
      <c r="U452" s="65"/>
      <c r="V452" s="65"/>
      <c r="W452" s="65"/>
      <c r="X452" s="65"/>
      <c r="Y452" s="65"/>
      <c r="Z452" s="65"/>
      <c r="AA452" s="65"/>
      <c r="AB452" s="65"/>
      <c r="AC452" s="65"/>
      <c r="AD452" s="65"/>
      <c r="AE452" s="65">
        <f t="shared" si="104"/>
        <v>0</v>
      </c>
      <c r="AF452" s="65"/>
      <c r="AG452" s="248">
        <f t="shared" si="105"/>
        <v>0</v>
      </c>
      <c r="AH452" s="95" t="str">
        <f t="shared" si="106"/>
        <v/>
      </c>
      <c r="AI452" s="97" t="str">
        <f t="shared" si="107"/>
        <v/>
      </c>
      <c r="AJ452" s="11"/>
    </row>
    <row r="453" spans="1:36" x14ac:dyDescent="0.25">
      <c r="A453">
        <f t="shared" ref="A453:A516" si="108">A452+1</f>
        <v>451</v>
      </c>
      <c r="D453" s="14">
        <v>46126</v>
      </c>
      <c r="E453" s="7"/>
      <c r="F453" s="7"/>
      <c r="G453" s="66"/>
      <c r="H453" s="59"/>
      <c r="I453" s="59"/>
      <c r="J453" s="47">
        <f t="shared" si="98"/>
        <v>0</v>
      </c>
      <c r="K453" s="8">
        <f t="shared" si="99"/>
        <v>0</v>
      </c>
      <c r="L453" s="96" t="str">
        <f t="shared" si="100"/>
        <v/>
      </c>
      <c r="M453" s="81"/>
      <c r="N453" s="8">
        <v>300</v>
      </c>
      <c r="O453" s="8">
        <v>60</v>
      </c>
      <c r="P453" s="96" t="str">
        <f t="shared" si="101"/>
        <v/>
      </c>
      <c r="Q453" s="59">
        <f t="shared" si="102"/>
        <v>0</v>
      </c>
      <c r="R453" s="59">
        <f t="shared" si="103"/>
        <v>0</v>
      </c>
      <c r="S453" s="65"/>
      <c r="T453" s="65"/>
      <c r="U453" s="65"/>
      <c r="V453" s="65"/>
      <c r="W453" s="65"/>
      <c r="X453" s="65"/>
      <c r="Y453" s="65"/>
      <c r="Z453" s="65"/>
      <c r="AA453" s="65"/>
      <c r="AB453" s="65"/>
      <c r="AC453" s="65"/>
      <c r="AD453" s="65"/>
      <c r="AE453" s="65">
        <f t="shared" si="104"/>
        <v>0</v>
      </c>
      <c r="AF453" s="65"/>
      <c r="AG453" s="248">
        <f t="shared" si="105"/>
        <v>0</v>
      </c>
      <c r="AH453" s="95" t="str">
        <f t="shared" si="106"/>
        <v/>
      </c>
      <c r="AI453" s="97" t="str">
        <f t="shared" si="107"/>
        <v/>
      </c>
      <c r="AJ453" s="11"/>
    </row>
    <row r="454" spans="1:36" x14ac:dyDescent="0.25">
      <c r="A454">
        <f t="shared" si="108"/>
        <v>452</v>
      </c>
      <c r="D454" s="14">
        <v>46127</v>
      </c>
      <c r="E454" s="7"/>
      <c r="F454" s="7"/>
      <c r="G454" s="66"/>
      <c r="H454" s="59"/>
      <c r="I454" s="59"/>
      <c r="J454" s="47">
        <f t="shared" si="98"/>
        <v>0</v>
      </c>
      <c r="K454" s="8">
        <f t="shared" si="99"/>
        <v>0</v>
      </c>
      <c r="L454" s="96" t="str">
        <f t="shared" si="100"/>
        <v/>
      </c>
      <c r="M454" s="81"/>
      <c r="N454" s="8">
        <v>300</v>
      </c>
      <c r="O454" s="8">
        <v>60</v>
      </c>
      <c r="P454" s="96" t="str">
        <f t="shared" si="101"/>
        <v/>
      </c>
      <c r="Q454" s="59">
        <f t="shared" si="102"/>
        <v>0</v>
      </c>
      <c r="R454" s="59">
        <f t="shared" si="103"/>
        <v>0</v>
      </c>
      <c r="S454" s="65"/>
      <c r="T454" s="65"/>
      <c r="U454" s="65"/>
      <c r="V454" s="65"/>
      <c r="W454" s="65"/>
      <c r="X454" s="65"/>
      <c r="Y454" s="65"/>
      <c r="Z454" s="65"/>
      <c r="AA454" s="65"/>
      <c r="AB454" s="65"/>
      <c r="AC454" s="65"/>
      <c r="AD454" s="65"/>
      <c r="AE454" s="65">
        <f t="shared" si="104"/>
        <v>0</v>
      </c>
      <c r="AF454" s="65"/>
      <c r="AG454" s="248">
        <f t="shared" si="105"/>
        <v>0</v>
      </c>
      <c r="AH454" s="95" t="str">
        <f t="shared" si="106"/>
        <v/>
      </c>
      <c r="AI454" s="97" t="str">
        <f t="shared" si="107"/>
        <v/>
      </c>
      <c r="AJ454" s="11"/>
    </row>
    <row r="455" spans="1:36" x14ac:dyDescent="0.25">
      <c r="A455">
        <f t="shared" si="108"/>
        <v>453</v>
      </c>
      <c r="D455" s="14">
        <v>46128</v>
      </c>
      <c r="E455" s="7"/>
      <c r="F455" s="7"/>
      <c r="G455" s="66"/>
      <c r="H455" s="59"/>
      <c r="I455" s="59"/>
      <c r="J455" s="47">
        <f t="shared" si="98"/>
        <v>0</v>
      </c>
      <c r="K455" s="8">
        <f t="shared" si="99"/>
        <v>0</v>
      </c>
      <c r="L455" s="96" t="str">
        <f t="shared" si="100"/>
        <v/>
      </c>
      <c r="M455" s="81"/>
      <c r="N455" s="8">
        <v>300</v>
      </c>
      <c r="O455" s="8">
        <v>60</v>
      </c>
      <c r="P455" s="96" t="str">
        <f t="shared" si="101"/>
        <v/>
      </c>
      <c r="Q455" s="59">
        <f t="shared" si="102"/>
        <v>0</v>
      </c>
      <c r="R455" s="59">
        <f t="shared" si="103"/>
        <v>0</v>
      </c>
      <c r="S455" s="65"/>
      <c r="T455" s="65"/>
      <c r="U455" s="65"/>
      <c r="V455" s="65"/>
      <c r="W455" s="65"/>
      <c r="X455" s="65"/>
      <c r="Y455" s="65"/>
      <c r="Z455" s="65"/>
      <c r="AA455" s="65"/>
      <c r="AB455" s="65"/>
      <c r="AC455" s="65"/>
      <c r="AD455" s="65"/>
      <c r="AE455" s="65">
        <f t="shared" si="104"/>
        <v>0</v>
      </c>
      <c r="AF455" s="65"/>
      <c r="AG455" s="248">
        <f t="shared" si="105"/>
        <v>0</v>
      </c>
      <c r="AH455" s="95" t="str">
        <f t="shared" si="106"/>
        <v/>
      </c>
      <c r="AI455" s="97" t="str">
        <f t="shared" si="107"/>
        <v/>
      </c>
      <c r="AJ455" s="11"/>
    </row>
    <row r="456" spans="1:36" x14ac:dyDescent="0.25">
      <c r="A456">
        <f t="shared" si="108"/>
        <v>454</v>
      </c>
      <c r="D456" s="14">
        <v>46129</v>
      </c>
      <c r="E456" s="7"/>
      <c r="F456" s="7"/>
      <c r="G456" s="66"/>
      <c r="H456" s="59"/>
      <c r="I456" s="59"/>
      <c r="J456" s="47">
        <f t="shared" si="98"/>
        <v>0</v>
      </c>
      <c r="K456" s="8">
        <f t="shared" si="99"/>
        <v>0</v>
      </c>
      <c r="L456" s="96" t="str">
        <f t="shared" si="100"/>
        <v/>
      </c>
      <c r="M456" s="81"/>
      <c r="N456" s="8">
        <v>300</v>
      </c>
      <c r="O456" s="8">
        <v>60</v>
      </c>
      <c r="P456" s="96" t="str">
        <f t="shared" si="101"/>
        <v/>
      </c>
      <c r="Q456" s="59">
        <f t="shared" si="102"/>
        <v>0</v>
      </c>
      <c r="R456" s="59">
        <f t="shared" si="103"/>
        <v>0</v>
      </c>
      <c r="S456" s="65"/>
      <c r="T456" s="65"/>
      <c r="U456" s="65"/>
      <c r="V456" s="65"/>
      <c r="W456" s="65"/>
      <c r="X456" s="65"/>
      <c r="Y456" s="65"/>
      <c r="Z456" s="65"/>
      <c r="AA456" s="65"/>
      <c r="AB456" s="65"/>
      <c r="AC456" s="65"/>
      <c r="AD456" s="65"/>
      <c r="AE456" s="65">
        <f t="shared" si="104"/>
        <v>0</v>
      </c>
      <c r="AF456" s="65"/>
      <c r="AG456" s="248">
        <f t="shared" si="105"/>
        <v>0</v>
      </c>
      <c r="AH456" s="95" t="str">
        <f t="shared" si="106"/>
        <v/>
      </c>
      <c r="AI456" s="97" t="str">
        <f t="shared" si="107"/>
        <v/>
      </c>
      <c r="AJ456" s="11"/>
    </row>
    <row r="457" spans="1:36" x14ac:dyDescent="0.25">
      <c r="A457">
        <f t="shared" si="108"/>
        <v>455</v>
      </c>
      <c r="D457" s="14">
        <v>46130</v>
      </c>
      <c r="E457" s="7"/>
      <c r="F457" s="7"/>
      <c r="G457" s="66"/>
      <c r="H457" s="59"/>
      <c r="I457" s="59"/>
      <c r="J457" s="47">
        <f t="shared" si="98"/>
        <v>0</v>
      </c>
      <c r="K457" s="8">
        <f t="shared" si="99"/>
        <v>0</v>
      </c>
      <c r="L457" s="96" t="str">
        <f t="shared" si="100"/>
        <v/>
      </c>
      <c r="M457" s="81"/>
      <c r="N457" s="8">
        <v>300</v>
      </c>
      <c r="O457" s="8">
        <v>60</v>
      </c>
      <c r="P457" s="96" t="str">
        <f t="shared" si="101"/>
        <v/>
      </c>
      <c r="Q457" s="59">
        <f t="shared" si="102"/>
        <v>0</v>
      </c>
      <c r="R457" s="59">
        <f t="shared" si="103"/>
        <v>0</v>
      </c>
      <c r="S457" s="65"/>
      <c r="T457" s="65"/>
      <c r="U457" s="65"/>
      <c r="V457" s="65"/>
      <c r="W457" s="65"/>
      <c r="X457" s="65"/>
      <c r="Y457" s="65"/>
      <c r="Z457" s="65"/>
      <c r="AA457" s="65"/>
      <c r="AB457" s="65"/>
      <c r="AC457" s="65"/>
      <c r="AD457" s="65"/>
      <c r="AE457" s="65">
        <f t="shared" si="104"/>
        <v>0</v>
      </c>
      <c r="AF457" s="65"/>
      <c r="AG457" s="248">
        <f t="shared" si="105"/>
        <v>0</v>
      </c>
      <c r="AH457" s="95" t="str">
        <f t="shared" si="106"/>
        <v/>
      </c>
      <c r="AI457" s="97" t="str">
        <f t="shared" si="107"/>
        <v/>
      </c>
      <c r="AJ457" s="11"/>
    </row>
    <row r="458" spans="1:36" x14ac:dyDescent="0.25">
      <c r="A458">
        <f t="shared" si="108"/>
        <v>456</v>
      </c>
      <c r="D458" s="14">
        <v>46131</v>
      </c>
      <c r="E458" s="7"/>
      <c r="F458" s="7"/>
      <c r="G458" s="66"/>
      <c r="H458" s="59"/>
      <c r="I458" s="59"/>
      <c r="J458" s="47">
        <f t="shared" si="98"/>
        <v>0</v>
      </c>
      <c r="K458" s="8">
        <f t="shared" si="99"/>
        <v>0</v>
      </c>
      <c r="L458" s="96" t="str">
        <f t="shared" si="100"/>
        <v/>
      </c>
      <c r="M458" s="81"/>
      <c r="N458" s="8">
        <v>300</v>
      </c>
      <c r="O458" s="8">
        <v>60</v>
      </c>
      <c r="P458" s="96" t="str">
        <f t="shared" si="101"/>
        <v/>
      </c>
      <c r="Q458" s="59">
        <f t="shared" si="102"/>
        <v>0</v>
      </c>
      <c r="R458" s="59">
        <f t="shared" si="103"/>
        <v>0</v>
      </c>
      <c r="S458" s="65"/>
      <c r="T458" s="65"/>
      <c r="U458" s="65"/>
      <c r="V458" s="65"/>
      <c r="W458" s="65"/>
      <c r="X458" s="65"/>
      <c r="Y458" s="65"/>
      <c r="Z458" s="65"/>
      <c r="AA458" s="65"/>
      <c r="AB458" s="65"/>
      <c r="AC458" s="65"/>
      <c r="AD458" s="65"/>
      <c r="AE458" s="65">
        <f t="shared" si="104"/>
        <v>0</v>
      </c>
      <c r="AF458" s="65"/>
      <c r="AG458" s="248">
        <f t="shared" si="105"/>
        <v>0</v>
      </c>
      <c r="AH458" s="95" t="str">
        <f t="shared" si="106"/>
        <v/>
      </c>
      <c r="AI458" s="97" t="str">
        <f t="shared" si="107"/>
        <v/>
      </c>
      <c r="AJ458" s="11"/>
    </row>
    <row r="459" spans="1:36" x14ac:dyDescent="0.25">
      <c r="A459">
        <f t="shared" si="108"/>
        <v>457</v>
      </c>
      <c r="D459" s="14">
        <v>46132</v>
      </c>
      <c r="E459" s="7"/>
      <c r="F459" s="7"/>
      <c r="G459" s="66"/>
      <c r="H459" s="59"/>
      <c r="I459" s="59"/>
      <c r="J459" s="47">
        <f t="shared" si="98"/>
        <v>0</v>
      </c>
      <c r="K459" s="8">
        <f t="shared" si="99"/>
        <v>0</v>
      </c>
      <c r="L459" s="96" t="str">
        <f t="shared" si="100"/>
        <v/>
      </c>
      <c r="M459" s="81"/>
      <c r="N459" s="8">
        <v>300</v>
      </c>
      <c r="O459" s="8">
        <v>60</v>
      </c>
      <c r="P459" s="96" t="str">
        <f t="shared" si="101"/>
        <v/>
      </c>
      <c r="Q459" s="59">
        <f t="shared" si="102"/>
        <v>0</v>
      </c>
      <c r="R459" s="59">
        <f t="shared" si="103"/>
        <v>0</v>
      </c>
      <c r="S459" s="65"/>
      <c r="T459" s="65"/>
      <c r="U459" s="65"/>
      <c r="V459" s="65"/>
      <c r="W459" s="65"/>
      <c r="X459" s="65"/>
      <c r="Y459" s="65"/>
      <c r="Z459" s="65"/>
      <c r="AA459" s="65"/>
      <c r="AB459" s="65"/>
      <c r="AC459" s="65"/>
      <c r="AD459" s="65"/>
      <c r="AE459" s="65">
        <f t="shared" si="104"/>
        <v>0</v>
      </c>
      <c r="AF459" s="65"/>
      <c r="AG459" s="248">
        <f t="shared" si="105"/>
        <v>0</v>
      </c>
      <c r="AH459" s="95" t="str">
        <f t="shared" si="106"/>
        <v/>
      </c>
      <c r="AI459" s="97" t="str">
        <f t="shared" si="107"/>
        <v/>
      </c>
      <c r="AJ459" s="11"/>
    </row>
    <row r="460" spans="1:36" x14ac:dyDescent="0.25">
      <c r="A460">
        <f t="shared" si="108"/>
        <v>458</v>
      </c>
      <c r="D460" s="14">
        <v>46133</v>
      </c>
      <c r="E460" s="7"/>
      <c r="F460" s="7"/>
      <c r="G460" s="66"/>
      <c r="H460" s="59"/>
      <c r="I460" s="59"/>
      <c r="J460" s="47">
        <f t="shared" si="98"/>
        <v>0</v>
      </c>
      <c r="K460" s="8">
        <f t="shared" si="99"/>
        <v>0</v>
      </c>
      <c r="L460" s="96" t="str">
        <f t="shared" si="100"/>
        <v/>
      </c>
      <c r="M460" s="81"/>
      <c r="N460" s="8">
        <v>300</v>
      </c>
      <c r="O460" s="8">
        <v>60</v>
      </c>
      <c r="P460" s="96" t="str">
        <f t="shared" si="101"/>
        <v/>
      </c>
      <c r="Q460" s="59">
        <f t="shared" si="102"/>
        <v>0</v>
      </c>
      <c r="R460" s="59">
        <f t="shared" si="103"/>
        <v>0</v>
      </c>
      <c r="S460" s="65"/>
      <c r="T460" s="65"/>
      <c r="U460" s="65"/>
      <c r="V460" s="65"/>
      <c r="W460" s="65"/>
      <c r="X460" s="65"/>
      <c r="Y460" s="65"/>
      <c r="Z460" s="65"/>
      <c r="AA460" s="65"/>
      <c r="AB460" s="65"/>
      <c r="AC460" s="65"/>
      <c r="AD460" s="65"/>
      <c r="AE460" s="65">
        <f t="shared" si="104"/>
        <v>0</v>
      </c>
      <c r="AF460" s="65"/>
      <c r="AG460" s="248">
        <f t="shared" si="105"/>
        <v>0</v>
      </c>
      <c r="AH460" s="95" t="str">
        <f t="shared" si="106"/>
        <v/>
      </c>
      <c r="AI460" s="97" t="str">
        <f t="shared" si="107"/>
        <v/>
      </c>
      <c r="AJ460" s="11"/>
    </row>
    <row r="461" spans="1:36" x14ac:dyDescent="0.25">
      <c r="A461">
        <f t="shared" si="108"/>
        <v>459</v>
      </c>
      <c r="D461" s="14">
        <v>46134</v>
      </c>
      <c r="E461" s="7"/>
      <c r="F461" s="7"/>
      <c r="G461" s="66"/>
      <c r="H461" s="59"/>
      <c r="I461" s="59"/>
      <c r="J461" s="47">
        <f t="shared" si="98"/>
        <v>0</v>
      </c>
      <c r="K461" s="8">
        <f t="shared" si="99"/>
        <v>0</v>
      </c>
      <c r="L461" s="96" t="str">
        <f t="shared" si="100"/>
        <v/>
      </c>
      <c r="M461" s="81"/>
      <c r="N461" s="8">
        <v>300</v>
      </c>
      <c r="O461" s="8">
        <v>60</v>
      </c>
      <c r="P461" s="96" t="str">
        <f t="shared" si="101"/>
        <v/>
      </c>
      <c r="Q461" s="59">
        <f t="shared" si="102"/>
        <v>0</v>
      </c>
      <c r="R461" s="59">
        <f t="shared" si="103"/>
        <v>0</v>
      </c>
      <c r="S461" s="65"/>
      <c r="T461" s="65"/>
      <c r="U461" s="65"/>
      <c r="V461" s="65"/>
      <c r="W461" s="65"/>
      <c r="X461" s="65"/>
      <c r="Y461" s="65"/>
      <c r="Z461" s="65"/>
      <c r="AA461" s="65"/>
      <c r="AB461" s="65"/>
      <c r="AC461" s="65"/>
      <c r="AD461" s="65"/>
      <c r="AE461" s="65">
        <f t="shared" si="104"/>
        <v>0</v>
      </c>
      <c r="AF461" s="65"/>
      <c r="AG461" s="248">
        <f t="shared" si="105"/>
        <v>0</v>
      </c>
      <c r="AH461" s="95" t="str">
        <f t="shared" si="106"/>
        <v/>
      </c>
      <c r="AI461" s="97" t="str">
        <f t="shared" si="107"/>
        <v/>
      </c>
      <c r="AJ461" s="11"/>
    </row>
    <row r="462" spans="1:36" x14ac:dyDescent="0.25">
      <c r="A462">
        <f t="shared" si="108"/>
        <v>460</v>
      </c>
      <c r="D462" s="14">
        <v>46135</v>
      </c>
      <c r="E462" s="7"/>
      <c r="F462" s="7"/>
      <c r="G462" s="66"/>
      <c r="H462" s="59"/>
      <c r="I462" s="59"/>
      <c r="J462" s="47">
        <f t="shared" ref="J462:J517" si="109">I462+H462</f>
        <v>0</v>
      </c>
      <c r="K462" s="8">
        <f t="shared" ref="K462:K517" si="110">IFERROR(J462-E462-F462-G462,"")</f>
        <v>0</v>
      </c>
      <c r="L462" s="96" t="str">
        <f t="shared" ref="L462:L517" si="111">IFERROR(K462/J462,"")</f>
        <v/>
      </c>
      <c r="M462" s="81"/>
      <c r="N462" s="8">
        <v>300</v>
      </c>
      <c r="O462" s="8">
        <v>60</v>
      </c>
      <c r="P462" s="96" t="str">
        <f t="shared" ref="P462:P517" si="112">IFERROR((M462/N462*O462)/K462,"")</f>
        <v/>
      </c>
      <c r="Q462" s="59">
        <f t="shared" ref="Q462:Q517" si="113">M462</f>
        <v>0</v>
      </c>
      <c r="R462" s="59">
        <f t="shared" ref="R462:R517" si="114">Q462+AE462</f>
        <v>0</v>
      </c>
      <c r="S462" s="65"/>
      <c r="T462" s="65"/>
      <c r="U462" s="65"/>
      <c r="V462" s="65"/>
      <c r="W462" s="65"/>
      <c r="X462" s="65"/>
      <c r="Y462" s="65"/>
      <c r="Z462" s="65"/>
      <c r="AA462" s="65"/>
      <c r="AB462" s="65"/>
      <c r="AC462" s="65"/>
      <c r="AD462" s="65"/>
      <c r="AE462" s="65">
        <f t="shared" ref="AE462:AE517" si="115">SUM(S462:AD462)</f>
        <v>0</v>
      </c>
      <c r="AF462" s="65"/>
      <c r="AG462" s="248">
        <f t="shared" ref="AG462:AG517" si="116">AE462</f>
        <v>0</v>
      </c>
      <c r="AH462" s="95" t="str">
        <f t="shared" ref="AH462:AH517" si="117">IFERROR(Q462/R462,"")</f>
        <v/>
      </c>
      <c r="AI462" s="97" t="str">
        <f t="shared" ref="AI462:AI517" si="118">IFERROR(AH462*P462*L462,"")</f>
        <v/>
      </c>
      <c r="AJ462" s="11"/>
    </row>
    <row r="463" spans="1:36" x14ac:dyDescent="0.25">
      <c r="A463">
        <f t="shared" si="108"/>
        <v>461</v>
      </c>
      <c r="D463" s="14">
        <v>46136</v>
      </c>
      <c r="E463" s="7"/>
      <c r="F463" s="7"/>
      <c r="G463" s="66"/>
      <c r="H463" s="59"/>
      <c r="I463" s="59"/>
      <c r="J463" s="47">
        <f t="shared" si="109"/>
        <v>0</v>
      </c>
      <c r="K463" s="8">
        <f t="shared" si="110"/>
        <v>0</v>
      </c>
      <c r="L463" s="96" t="str">
        <f t="shared" si="111"/>
        <v/>
      </c>
      <c r="M463" s="81"/>
      <c r="N463" s="8">
        <v>300</v>
      </c>
      <c r="O463" s="8">
        <v>60</v>
      </c>
      <c r="P463" s="96" t="str">
        <f t="shared" si="112"/>
        <v/>
      </c>
      <c r="Q463" s="59">
        <f t="shared" si="113"/>
        <v>0</v>
      </c>
      <c r="R463" s="59">
        <f t="shared" si="114"/>
        <v>0</v>
      </c>
      <c r="S463" s="65"/>
      <c r="T463" s="65"/>
      <c r="U463" s="65"/>
      <c r="V463" s="65"/>
      <c r="W463" s="65"/>
      <c r="X463" s="65"/>
      <c r="Y463" s="65"/>
      <c r="Z463" s="65"/>
      <c r="AA463" s="65"/>
      <c r="AB463" s="65"/>
      <c r="AC463" s="65"/>
      <c r="AD463" s="65"/>
      <c r="AE463" s="65">
        <f t="shared" si="115"/>
        <v>0</v>
      </c>
      <c r="AF463" s="65"/>
      <c r="AG463" s="248">
        <f t="shared" si="116"/>
        <v>0</v>
      </c>
      <c r="AH463" s="95" t="str">
        <f t="shared" si="117"/>
        <v/>
      </c>
      <c r="AI463" s="97" t="str">
        <f t="shared" si="118"/>
        <v/>
      </c>
      <c r="AJ463" s="11"/>
    </row>
    <row r="464" spans="1:36" x14ac:dyDescent="0.25">
      <c r="A464">
        <f t="shared" si="108"/>
        <v>462</v>
      </c>
      <c r="D464" s="14">
        <v>46137</v>
      </c>
      <c r="E464" s="7"/>
      <c r="F464" s="7"/>
      <c r="G464" s="66"/>
      <c r="H464" s="59"/>
      <c r="I464" s="59"/>
      <c r="J464" s="47">
        <f t="shared" si="109"/>
        <v>0</v>
      </c>
      <c r="K464" s="8">
        <f t="shared" si="110"/>
        <v>0</v>
      </c>
      <c r="L464" s="96" t="str">
        <f t="shared" si="111"/>
        <v/>
      </c>
      <c r="M464" s="81"/>
      <c r="N464" s="8">
        <v>300</v>
      </c>
      <c r="O464" s="8">
        <v>60</v>
      </c>
      <c r="P464" s="96" t="str">
        <f t="shared" si="112"/>
        <v/>
      </c>
      <c r="Q464" s="59">
        <f t="shared" si="113"/>
        <v>0</v>
      </c>
      <c r="R464" s="59">
        <f t="shared" si="114"/>
        <v>0</v>
      </c>
      <c r="S464" s="65"/>
      <c r="T464" s="65"/>
      <c r="U464" s="65"/>
      <c r="V464" s="65"/>
      <c r="W464" s="65"/>
      <c r="X464" s="65"/>
      <c r="Y464" s="65"/>
      <c r="Z464" s="65"/>
      <c r="AA464" s="65"/>
      <c r="AB464" s="65"/>
      <c r="AC464" s="65"/>
      <c r="AD464" s="65"/>
      <c r="AE464" s="65">
        <f t="shared" si="115"/>
        <v>0</v>
      </c>
      <c r="AF464" s="65"/>
      <c r="AG464" s="248">
        <f t="shared" si="116"/>
        <v>0</v>
      </c>
      <c r="AH464" s="95" t="str">
        <f t="shared" si="117"/>
        <v/>
      </c>
      <c r="AI464" s="97" t="str">
        <f t="shared" si="118"/>
        <v/>
      </c>
      <c r="AJ464" s="11"/>
    </row>
    <row r="465" spans="1:36" x14ac:dyDescent="0.25">
      <c r="A465">
        <f t="shared" si="108"/>
        <v>463</v>
      </c>
      <c r="D465" s="14">
        <v>46138</v>
      </c>
      <c r="E465" s="7"/>
      <c r="F465" s="7"/>
      <c r="G465" s="66"/>
      <c r="H465" s="59"/>
      <c r="I465" s="59"/>
      <c r="J465" s="47">
        <f t="shared" si="109"/>
        <v>0</v>
      </c>
      <c r="K465" s="8">
        <f t="shared" si="110"/>
        <v>0</v>
      </c>
      <c r="L465" s="96" t="str">
        <f t="shared" si="111"/>
        <v/>
      </c>
      <c r="M465" s="81"/>
      <c r="N465" s="8">
        <v>300</v>
      </c>
      <c r="O465" s="8">
        <v>60</v>
      </c>
      <c r="P465" s="96" t="str">
        <f t="shared" si="112"/>
        <v/>
      </c>
      <c r="Q465" s="59">
        <f t="shared" si="113"/>
        <v>0</v>
      </c>
      <c r="R465" s="59">
        <f t="shared" si="114"/>
        <v>0</v>
      </c>
      <c r="S465" s="65"/>
      <c r="T465" s="65"/>
      <c r="U465" s="65"/>
      <c r="V465" s="65"/>
      <c r="W465" s="65"/>
      <c r="X465" s="65"/>
      <c r="Y465" s="65"/>
      <c r="Z465" s="65"/>
      <c r="AA465" s="65"/>
      <c r="AB465" s="65"/>
      <c r="AC465" s="65"/>
      <c r="AD465" s="65"/>
      <c r="AE465" s="65">
        <f t="shared" si="115"/>
        <v>0</v>
      </c>
      <c r="AF465" s="65"/>
      <c r="AG465" s="248">
        <f t="shared" si="116"/>
        <v>0</v>
      </c>
      <c r="AH465" s="95" t="str">
        <f t="shared" si="117"/>
        <v/>
      </c>
      <c r="AI465" s="97" t="str">
        <f t="shared" si="118"/>
        <v/>
      </c>
      <c r="AJ465" s="11"/>
    </row>
    <row r="466" spans="1:36" x14ac:dyDescent="0.25">
      <c r="A466">
        <f t="shared" si="108"/>
        <v>464</v>
      </c>
      <c r="D466" s="14">
        <v>46139</v>
      </c>
      <c r="E466" s="7"/>
      <c r="F466" s="7"/>
      <c r="G466" s="66"/>
      <c r="H466" s="59"/>
      <c r="I466" s="59"/>
      <c r="J466" s="47">
        <f t="shared" si="109"/>
        <v>0</v>
      </c>
      <c r="K466" s="8">
        <f t="shared" si="110"/>
        <v>0</v>
      </c>
      <c r="L466" s="96" t="str">
        <f t="shared" si="111"/>
        <v/>
      </c>
      <c r="M466" s="81"/>
      <c r="N466" s="8">
        <v>300</v>
      </c>
      <c r="O466" s="8">
        <v>60</v>
      </c>
      <c r="P466" s="96" t="str">
        <f t="shared" si="112"/>
        <v/>
      </c>
      <c r="Q466" s="59">
        <f t="shared" si="113"/>
        <v>0</v>
      </c>
      <c r="R466" s="59">
        <f t="shared" si="114"/>
        <v>0</v>
      </c>
      <c r="S466" s="65"/>
      <c r="T466" s="65"/>
      <c r="U466" s="65"/>
      <c r="V466" s="65"/>
      <c r="W466" s="65"/>
      <c r="X466" s="65"/>
      <c r="Y466" s="65"/>
      <c r="Z466" s="65"/>
      <c r="AA466" s="65"/>
      <c r="AB466" s="65"/>
      <c r="AC466" s="65"/>
      <c r="AD466" s="65"/>
      <c r="AE466" s="65">
        <f t="shared" si="115"/>
        <v>0</v>
      </c>
      <c r="AF466" s="65"/>
      <c r="AG466" s="248">
        <f t="shared" si="116"/>
        <v>0</v>
      </c>
      <c r="AH466" s="95" t="str">
        <f t="shared" si="117"/>
        <v/>
      </c>
      <c r="AI466" s="97" t="str">
        <f t="shared" si="118"/>
        <v/>
      </c>
      <c r="AJ466" s="11"/>
    </row>
    <row r="467" spans="1:36" x14ac:dyDescent="0.25">
      <c r="A467">
        <f t="shared" si="108"/>
        <v>465</v>
      </c>
      <c r="D467" s="14">
        <v>46140</v>
      </c>
      <c r="E467" s="7"/>
      <c r="F467" s="7"/>
      <c r="G467" s="66"/>
      <c r="H467" s="59"/>
      <c r="I467" s="59"/>
      <c r="J467" s="47">
        <f t="shared" si="109"/>
        <v>0</v>
      </c>
      <c r="K467" s="8">
        <f t="shared" si="110"/>
        <v>0</v>
      </c>
      <c r="L467" s="96" t="str">
        <f t="shared" si="111"/>
        <v/>
      </c>
      <c r="M467" s="81"/>
      <c r="N467" s="8">
        <v>300</v>
      </c>
      <c r="O467" s="8">
        <v>60</v>
      </c>
      <c r="P467" s="96" t="str">
        <f t="shared" si="112"/>
        <v/>
      </c>
      <c r="Q467" s="59">
        <f t="shared" si="113"/>
        <v>0</v>
      </c>
      <c r="R467" s="59">
        <f t="shared" si="114"/>
        <v>0</v>
      </c>
      <c r="S467" s="65"/>
      <c r="T467" s="65"/>
      <c r="U467" s="65"/>
      <c r="V467" s="65"/>
      <c r="W467" s="65"/>
      <c r="X467" s="65"/>
      <c r="Y467" s="65"/>
      <c r="Z467" s="65"/>
      <c r="AA467" s="65"/>
      <c r="AB467" s="65"/>
      <c r="AC467" s="65"/>
      <c r="AD467" s="65"/>
      <c r="AE467" s="65">
        <f t="shared" si="115"/>
        <v>0</v>
      </c>
      <c r="AF467" s="65"/>
      <c r="AG467" s="248">
        <f t="shared" si="116"/>
        <v>0</v>
      </c>
      <c r="AH467" s="95" t="str">
        <f t="shared" si="117"/>
        <v/>
      </c>
      <c r="AI467" s="97" t="str">
        <f t="shared" si="118"/>
        <v/>
      </c>
      <c r="AJ467" s="11"/>
    </row>
    <row r="468" spans="1:36" x14ac:dyDescent="0.25">
      <c r="A468">
        <f t="shared" si="108"/>
        <v>466</v>
      </c>
      <c r="D468" s="14">
        <v>46141</v>
      </c>
      <c r="E468" s="7"/>
      <c r="F468" s="7"/>
      <c r="G468" s="66"/>
      <c r="H468" s="59"/>
      <c r="I468" s="59"/>
      <c r="J468" s="47">
        <f t="shared" si="109"/>
        <v>0</v>
      </c>
      <c r="K468" s="8">
        <f t="shared" si="110"/>
        <v>0</v>
      </c>
      <c r="L468" s="96" t="str">
        <f t="shared" si="111"/>
        <v/>
      </c>
      <c r="M468" s="81"/>
      <c r="N468" s="8">
        <v>300</v>
      </c>
      <c r="O468" s="8">
        <v>60</v>
      </c>
      <c r="P468" s="96" t="str">
        <f t="shared" si="112"/>
        <v/>
      </c>
      <c r="Q468" s="59">
        <f t="shared" si="113"/>
        <v>0</v>
      </c>
      <c r="R468" s="59">
        <f t="shared" si="114"/>
        <v>0</v>
      </c>
      <c r="S468" s="65"/>
      <c r="T468" s="65"/>
      <c r="U468" s="65"/>
      <c r="V468" s="65"/>
      <c r="W468" s="65"/>
      <c r="X468" s="65"/>
      <c r="Y468" s="65"/>
      <c r="Z468" s="65"/>
      <c r="AA468" s="65"/>
      <c r="AB468" s="65"/>
      <c r="AC468" s="65"/>
      <c r="AD468" s="65"/>
      <c r="AE468" s="65">
        <f t="shared" si="115"/>
        <v>0</v>
      </c>
      <c r="AF468" s="65"/>
      <c r="AG468" s="248">
        <f t="shared" si="116"/>
        <v>0</v>
      </c>
      <c r="AH468" s="95" t="str">
        <f t="shared" si="117"/>
        <v/>
      </c>
      <c r="AI468" s="97" t="str">
        <f t="shared" si="118"/>
        <v/>
      </c>
      <c r="AJ468" s="11"/>
    </row>
    <row r="469" spans="1:36" x14ac:dyDescent="0.25">
      <c r="A469">
        <f t="shared" si="108"/>
        <v>467</v>
      </c>
      <c r="D469" s="14">
        <v>46142</v>
      </c>
      <c r="E469" s="7"/>
      <c r="F469" s="7"/>
      <c r="G469" s="66"/>
      <c r="H469" s="59"/>
      <c r="I469" s="59"/>
      <c r="J469" s="47">
        <f t="shared" si="109"/>
        <v>0</v>
      </c>
      <c r="K469" s="8">
        <f t="shared" si="110"/>
        <v>0</v>
      </c>
      <c r="L469" s="96" t="str">
        <f t="shared" si="111"/>
        <v/>
      </c>
      <c r="M469" s="81"/>
      <c r="N469" s="8">
        <v>300</v>
      </c>
      <c r="O469" s="8">
        <v>60</v>
      </c>
      <c r="P469" s="96" t="str">
        <f t="shared" si="112"/>
        <v/>
      </c>
      <c r="Q469" s="59">
        <f t="shared" si="113"/>
        <v>0</v>
      </c>
      <c r="R469" s="59">
        <f t="shared" si="114"/>
        <v>0</v>
      </c>
      <c r="S469" s="65"/>
      <c r="T469" s="65"/>
      <c r="U469" s="65"/>
      <c r="V469" s="65"/>
      <c r="W469" s="65"/>
      <c r="X469" s="65"/>
      <c r="Y469" s="65"/>
      <c r="Z469" s="65"/>
      <c r="AA469" s="65"/>
      <c r="AB469" s="65"/>
      <c r="AC469" s="65"/>
      <c r="AD469" s="65"/>
      <c r="AE469" s="65">
        <f t="shared" si="115"/>
        <v>0</v>
      </c>
      <c r="AF469" s="65"/>
      <c r="AG469" s="248">
        <f t="shared" si="116"/>
        <v>0</v>
      </c>
      <c r="AH469" s="95" t="str">
        <f t="shared" si="117"/>
        <v/>
      </c>
      <c r="AI469" s="97" t="str">
        <f t="shared" si="118"/>
        <v/>
      </c>
      <c r="AJ469" s="11"/>
    </row>
    <row r="470" spans="1:36" x14ac:dyDescent="0.25">
      <c r="A470">
        <f t="shared" si="108"/>
        <v>468</v>
      </c>
      <c r="D470" s="14">
        <v>46143</v>
      </c>
      <c r="E470" s="7"/>
      <c r="F470" s="7"/>
      <c r="G470" s="66"/>
      <c r="H470" s="59"/>
      <c r="I470" s="59"/>
      <c r="J470" s="47">
        <f t="shared" si="109"/>
        <v>0</v>
      </c>
      <c r="K470" s="8">
        <f t="shared" si="110"/>
        <v>0</v>
      </c>
      <c r="L470" s="96" t="str">
        <f t="shared" si="111"/>
        <v/>
      </c>
      <c r="M470" s="81"/>
      <c r="N470" s="8">
        <v>300</v>
      </c>
      <c r="O470" s="8">
        <v>60</v>
      </c>
      <c r="P470" s="96" t="str">
        <f t="shared" si="112"/>
        <v/>
      </c>
      <c r="Q470" s="59">
        <f t="shared" si="113"/>
        <v>0</v>
      </c>
      <c r="R470" s="59">
        <f t="shared" si="114"/>
        <v>0</v>
      </c>
      <c r="S470" s="65"/>
      <c r="T470" s="65"/>
      <c r="U470" s="65"/>
      <c r="V470" s="65"/>
      <c r="W470" s="65"/>
      <c r="X470" s="65"/>
      <c r="Y470" s="65"/>
      <c r="Z470" s="65"/>
      <c r="AA470" s="65"/>
      <c r="AB470" s="65"/>
      <c r="AC470" s="65"/>
      <c r="AD470" s="65"/>
      <c r="AE470" s="65">
        <f t="shared" si="115"/>
        <v>0</v>
      </c>
      <c r="AF470" s="65"/>
      <c r="AG470" s="248">
        <f t="shared" si="116"/>
        <v>0</v>
      </c>
      <c r="AH470" s="95" t="str">
        <f t="shared" si="117"/>
        <v/>
      </c>
      <c r="AI470" s="97" t="str">
        <f t="shared" si="118"/>
        <v/>
      </c>
      <c r="AJ470" s="11"/>
    </row>
    <row r="471" spans="1:36" x14ac:dyDescent="0.25">
      <c r="A471">
        <f t="shared" si="108"/>
        <v>469</v>
      </c>
      <c r="D471" s="14">
        <v>46144</v>
      </c>
      <c r="E471" s="7"/>
      <c r="F471" s="7"/>
      <c r="G471" s="66"/>
      <c r="H471" s="59"/>
      <c r="I471" s="59"/>
      <c r="J471" s="47">
        <f t="shared" si="109"/>
        <v>0</v>
      </c>
      <c r="K471" s="8">
        <f t="shared" si="110"/>
        <v>0</v>
      </c>
      <c r="L471" s="96" t="str">
        <f t="shared" si="111"/>
        <v/>
      </c>
      <c r="M471" s="81"/>
      <c r="N471" s="8">
        <v>300</v>
      </c>
      <c r="O471" s="8">
        <v>60</v>
      </c>
      <c r="P471" s="96" t="str">
        <f t="shared" si="112"/>
        <v/>
      </c>
      <c r="Q471" s="59">
        <f t="shared" si="113"/>
        <v>0</v>
      </c>
      <c r="R471" s="59">
        <f t="shared" si="114"/>
        <v>0</v>
      </c>
      <c r="S471" s="65"/>
      <c r="T471" s="65"/>
      <c r="U471" s="65"/>
      <c r="V471" s="65"/>
      <c r="W471" s="65"/>
      <c r="X471" s="65"/>
      <c r="Y471" s="65"/>
      <c r="Z471" s="65"/>
      <c r="AA471" s="65"/>
      <c r="AB471" s="65"/>
      <c r="AC471" s="65"/>
      <c r="AD471" s="65"/>
      <c r="AE471" s="65">
        <f t="shared" si="115"/>
        <v>0</v>
      </c>
      <c r="AF471" s="65"/>
      <c r="AG471" s="248">
        <f t="shared" si="116"/>
        <v>0</v>
      </c>
      <c r="AH471" s="95" t="str">
        <f t="shared" si="117"/>
        <v/>
      </c>
      <c r="AI471" s="97" t="str">
        <f t="shared" si="118"/>
        <v/>
      </c>
      <c r="AJ471" s="11"/>
    </row>
    <row r="472" spans="1:36" x14ac:dyDescent="0.25">
      <c r="A472">
        <f t="shared" si="108"/>
        <v>470</v>
      </c>
      <c r="D472" s="14">
        <v>46145</v>
      </c>
      <c r="E472" s="7"/>
      <c r="F472" s="7"/>
      <c r="G472" s="66"/>
      <c r="H472" s="59"/>
      <c r="I472" s="59"/>
      <c r="J472" s="47">
        <f t="shared" si="109"/>
        <v>0</v>
      </c>
      <c r="K472" s="8">
        <f t="shared" si="110"/>
        <v>0</v>
      </c>
      <c r="L472" s="96" t="str">
        <f t="shared" si="111"/>
        <v/>
      </c>
      <c r="M472" s="81"/>
      <c r="N472" s="8">
        <v>300</v>
      </c>
      <c r="O472" s="8">
        <v>60</v>
      </c>
      <c r="P472" s="96" t="str">
        <f t="shared" si="112"/>
        <v/>
      </c>
      <c r="Q472" s="59">
        <f t="shared" si="113"/>
        <v>0</v>
      </c>
      <c r="R472" s="59">
        <f t="shared" si="114"/>
        <v>0</v>
      </c>
      <c r="S472" s="65"/>
      <c r="T472" s="65"/>
      <c r="U472" s="65"/>
      <c r="V472" s="65"/>
      <c r="W472" s="65"/>
      <c r="X472" s="65"/>
      <c r="Y472" s="65"/>
      <c r="Z472" s="65"/>
      <c r="AA472" s="65"/>
      <c r="AB472" s="65"/>
      <c r="AC472" s="65"/>
      <c r="AD472" s="65"/>
      <c r="AE472" s="65">
        <f t="shared" si="115"/>
        <v>0</v>
      </c>
      <c r="AF472" s="65"/>
      <c r="AG472" s="248">
        <f t="shared" si="116"/>
        <v>0</v>
      </c>
      <c r="AH472" s="95" t="str">
        <f t="shared" si="117"/>
        <v/>
      </c>
      <c r="AI472" s="97" t="str">
        <f t="shared" si="118"/>
        <v/>
      </c>
      <c r="AJ472" s="11"/>
    </row>
    <row r="473" spans="1:36" x14ac:dyDescent="0.25">
      <c r="A473">
        <f t="shared" si="108"/>
        <v>471</v>
      </c>
      <c r="D473" s="14">
        <v>46146</v>
      </c>
      <c r="E473" s="7"/>
      <c r="F473" s="7"/>
      <c r="G473" s="66"/>
      <c r="H473" s="59"/>
      <c r="I473" s="59"/>
      <c r="J473" s="47">
        <f t="shared" si="109"/>
        <v>0</v>
      </c>
      <c r="K473" s="8">
        <f t="shared" si="110"/>
        <v>0</v>
      </c>
      <c r="L473" s="96" t="str">
        <f t="shared" si="111"/>
        <v/>
      </c>
      <c r="M473" s="81"/>
      <c r="N473" s="8">
        <v>300</v>
      </c>
      <c r="O473" s="8">
        <v>60</v>
      </c>
      <c r="P473" s="96" t="str">
        <f t="shared" si="112"/>
        <v/>
      </c>
      <c r="Q473" s="59">
        <f t="shared" si="113"/>
        <v>0</v>
      </c>
      <c r="R473" s="59">
        <f t="shared" si="114"/>
        <v>0</v>
      </c>
      <c r="S473" s="65"/>
      <c r="T473" s="65"/>
      <c r="U473" s="65"/>
      <c r="V473" s="65"/>
      <c r="W473" s="65"/>
      <c r="X473" s="65"/>
      <c r="Y473" s="65"/>
      <c r="Z473" s="65"/>
      <c r="AA473" s="65"/>
      <c r="AB473" s="65"/>
      <c r="AC473" s="65"/>
      <c r="AD473" s="65"/>
      <c r="AE473" s="65">
        <f t="shared" si="115"/>
        <v>0</v>
      </c>
      <c r="AF473" s="65"/>
      <c r="AG473" s="248">
        <f t="shared" si="116"/>
        <v>0</v>
      </c>
      <c r="AH473" s="95" t="str">
        <f t="shared" si="117"/>
        <v/>
      </c>
      <c r="AI473" s="97" t="str">
        <f t="shared" si="118"/>
        <v/>
      </c>
      <c r="AJ473" s="11"/>
    </row>
    <row r="474" spans="1:36" x14ac:dyDescent="0.25">
      <c r="A474">
        <f t="shared" si="108"/>
        <v>472</v>
      </c>
      <c r="D474" s="14">
        <v>46147</v>
      </c>
      <c r="E474" s="7"/>
      <c r="F474" s="7"/>
      <c r="G474" s="66"/>
      <c r="H474" s="59"/>
      <c r="I474" s="59"/>
      <c r="J474" s="47">
        <f t="shared" si="109"/>
        <v>0</v>
      </c>
      <c r="K474" s="8">
        <f t="shared" si="110"/>
        <v>0</v>
      </c>
      <c r="L474" s="96" t="str">
        <f t="shared" si="111"/>
        <v/>
      </c>
      <c r="M474" s="81"/>
      <c r="N474" s="8">
        <v>300</v>
      </c>
      <c r="O474" s="8">
        <v>60</v>
      </c>
      <c r="P474" s="96" t="str">
        <f t="shared" si="112"/>
        <v/>
      </c>
      <c r="Q474" s="59">
        <f t="shared" si="113"/>
        <v>0</v>
      </c>
      <c r="R474" s="59">
        <f t="shared" si="114"/>
        <v>0</v>
      </c>
      <c r="S474" s="65"/>
      <c r="T474" s="65"/>
      <c r="U474" s="65"/>
      <c r="V474" s="65"/>
      <c r="W474" s="65"/>
      <c r="X474" s="65"/>
      <c r="Y474" s="65"/>
      <c r="Z474" s="65"/>
      <c r="AA474" s="65"/>
      <c r="AB474" s="65"/>
      <c r="AC474" s="65"/>
      <c r="AD474" s="65"/>
      <c r="AE474" s="65">
        <f t="shared" si="115"/>
        <v>0</v>
      </c>
      <c r="AF474" s="65"/>
      <c r="AG474" s="248">
        <f t="shared" si="116"/>
        <v>0</v>
      </c>
      <c r="AH474" s="95" t="str">
        <f t="shared" si="117"/>
        <v/>
      </c>
      <c r="AI474" s="97" t="str">
        <f t="shared" si="118"/>
        <v/>
      </c>
      <c r="AJ474" s="11"/>
    </row>
    <row r="475" spans="1:36" x14ac:dyDescent="0.25">
      <c r="A475">
        <f t="shared" si="108"/>
        <v>473</v>
      </c>
      <c r="D475" s="14">
        <v>46148</v>
      </c>
      <c r="E475" s="7"/>
      <c r="F475" s="7"/>
      <c r="G475" s="66"/>
      <c r="H475" s="59"/>
      <c r="I475" s="59"/>
      <c r="J475" s="47">
        <f t="shared" si="109"/>
        <v>0</v>
      </c>
      <c r="K475" s="8">
        <f t="shared" si="110"/>
        <v>0</v>
      </c>
      <c r="L475" s="96" t="str">
        <f t="shared" si="111"/>
        <v/>
      </c>
      <c r="M475" s="81"/>
      <c r="N475" s="8">
        <v>300</v>
      </c>
      <c r="O475" s="8">
        <v>60</v>
      </c>
      <c r="P475" s="96" t="str">
        <f t="shared" si="112"/>
        <v/>
      </c>
      <c r="Q475" s="59">
        <f t="shared" si="113"/>
        <v>0</v>
      </c>
      <c r="R475" s="59">
        <f t="shared" si="114"/>
        <v>0</v>
      </c>
      <c r="S475" s="65"/>
      <c r="T475" s="65"/>
      <c r="U475" s="65"/>
      <c r="V475" s="65"/>
      <c r="W475" s="65"/>
      <c r="X475" s="65"/>
      <c r="Y475" s="65"/>
      <c r="Z475" s="65"/>
      <c r="AA475" s="65"/>
      <c r="AB475" s="65"/>
      <c r="AC475" s="65"/>
      <c r="AD475" s="65"/>
      <c r="AE475" s="65">
        <f t="shared" si="115"/>
        <v>0</v>
      </c>
      <c r="AF475" s="65"/>
      <c r="AG475" s="248">
        <f t="shared" si="116"/>
        <v>0</v>
      </c>
      <c r="AH475" s="95" t="str">
        <f t="shared" si="117"/>
        <v/>
      </c>
      <c r="AI475" s="97" t="str">
        <f t="shared" si="118"/>
        <v/>
      </c>
      <c r="AJ475" s="11"/>
    </row>
    <row r="476" spans="1:36" x14ac:dyDescent="0.25">
      <c r="A476">
        <f t="shared" si="108"/>
        <v>474</v>
      </c>
      <c r="D476" s="14">
        <v>46149</v>
      </c>
      <c r="E476" s="7"/>
      <c r="F476" s="7"/>
      <c r="G476" s="66"/>
      <c r="H476" s="59"/>
      <c r="I476" s="59"/>
      <c r="J476" s="47">
        <f t="shared" si="109"/>
        <v>0</v>
      </c>
      <c r="K476" s="8">
        <f t="shared" si="110"/>
        <v>0</v>
      </c>
      <c r="L476" s="96" t="str">
        <f t="shared" si="111"/>
        <v/>
      </c>
      <c r="M476" s="81"/>
      <c r="N476" s="8">
        <v>300</v>
      </c>
      <c r="O476" s="8">
        <v>60</v>
      </c>
      <c r="P476" s="96" t="str">
        <f t="shared" si="112"/>
        <v/>
      </c>
      <c r="Q476" s="59">
        <f t="shared" si="113"/>
        <v>0</v>
      </c>
      <c r="R476" s="59">
        <f t="shared" si="114"/>
        <v>0</v>
      </c>
      <c r="S476" s="65"/>
      <c r="T476" s="65"/>
      <c r="U476" s="65"/>
      <c r="V476" s="65"/>
      <c r="W476" s="65"/>
      <c r="X476" s="65"/>
      <c r="Y476" s="65"/>
      <c r="Z476" s="65"/>
      <c r="AA476" s="65"/>
      <c r="AB476" s="65"/>
      <c r="AC476" s="65"/>
      <c r="AD476" s="65"/>
      <c r="AE476" s="65">
        <f t="shared" si="115"/>
        <v>0</v>
      </c>
      <c r="AF476" s="65"/>
      <c r="AG476" s="248">
        <f t="shared" si="116"/>
        <v>0</v>
      </c>
      <c r="AH476" s="95" t="str">
        <f t="shared" si="117"/>
        <v/>
      </c>
      <c r="AI476" s="97" t="str">
        <f t="shared" si="118"/>
        <v/>
      </c>
      <c r="AJ476" s="11"/>
    </row>
    <row r="477" spans="1:36" x14ac:dyDescent="0.25">
      <c r="A477">
        <f t="shared" si="108"/>
        <v>475</v>
      </c>
      <c r="D477" s="14">
        <v>46150</v>
      </c>
      <c r="E477" s="7"/>
      <c r="F477" s="7"/>
      <c r="G477" s="66"/>
      <c r="H477" s="59"/>
      <c r="I477" s="59"/>
      <c r="J477" s="47">
        <f t="shared" si="109"/>
        <v>0</v>
      </c>
      <c r="K477" s="8">
        <f t="shared" si="110"/>
        <v>0</v>
      </c>
      <c r="L477" s="96" t="str">
        <f t="shared" si="111"/>
        <v/>
      </c>
      <c r="M477" s="81"/>
      <c r="N477" s="8">
        <v>300</v>
      </c>
      <c r="O477" s="8">
        <v>60</v>
      </c>
      <c r="P477" s="96" t="str">
        <f t="shared" si="112"/>
        <v/>
      </c>
      <c r="Q477" s="59">
        <f t="shared" si="113"/>
        <v>0</v>
      </c>
      <c r="R477" s="59">
        <f t="shared" si="114"/>
        <v>0</v>
      </c>
      <c r="S477" s="65"/>
      <c r="T477" s="65"/>
      <c r="U477" s="65"/>
      <c r="V477" s="65"/>
      <c r="W477" s="65"/>
      <c r="X477" s="65"/>
      <c r="Y477" s="65"/>
      <c r="Z477" s="65"/>
      <c r="AA477" s="65"/>
      <c r="AB477" s="65"/>
      <c r="AC477" s="65"/>
      <c r="AD477" s="65"/>
      <c r="AE477" s="65">
        <f t="shared" si="115"/>
        <v>0</v>
      </c>
      <c r="AF477" s="65"/>
      <c r="AG477" s="248">
        <f t="shared" si="116"/>
        <v>0</v>
      </c>
      <c r="AH477" s="95" t="str">
        <f t="shared" si="117"/>
        <v/>
      </c>
      <c r="AI477" s="97" t="str">
        <f t="shared" si="118"/>
        <v/>
      </c>
      <c r="AJ477" s="11"/>
    </row>
    <row r="478" spans="1:36" x14ac:dyDescent="0.25">
      <c r="A478">
        <f t="shared" si="108"/>
        <v>476</v>
      </c>
      <c r="D478" s="14">
        <v>46151</v>
      </c>
      <c r="E478" s="7"/>
      <c r="F478" s="7"/>
      <c r="G478" s="66"/>
      <c r="H478" s="59"/>
      <c r="I478" s="59"/>
      <c r="J478" s="47">
        <f t="shared" si="109"/>
        <v>0</v>
      </c>
      <c r="K478" s="8">
        <f t="shared" si="110"/>
        <v>0</v>
      </c>
      <c r="L478" s="96" t="str">
        <f t="shared" si="111"/>
        <v/>
      </c>
      <c r="M478" s="81"/>
      <c r="N478" s="8">
        <v>300</v>
      </c>
      <c r="O478" s="8">
        <v>60</v>
      </c>
      <c r="P478" s="96" t="str">
        <f t="shared" si="112"/>
        <v/>
      </c>
      <c r="Q478" s="59">
        <f t="shared" si="113"/>
        <v>0</v>
      </c>
      <c r="R478" s="59">
        <f t="shared" si="114"/>
        <v>0</v>
      </c>
      <c r="S478" s="65"/>
      <c r="T478" s="65"/>
      <c r="U478" s="65"/>
      <c r="V478" s="65"/>
      <c r="W478" s="65"/>
      <c r="X478" s="65"/>
      <c r="Y478" s="65"/>
      <c r="Z478" s="65"/>
      <c r="AA478" s="65"/>
      <c r="AB478" s="65"/>
      <c r="AC478" s="65"/>
      <c r="AD478" s="65"/>
      <c r="AE478" s="65">
        <f t="shared" si="115"/>
        <v>0</v>
      </c>
      <c r="AF478" s="65"/>
      <c r="AG478" s="248">
        <f t="shared" si="116"/>
        <v>0</v>
      </c>
      <c r="AH478" s="95" t="str">
        <f t="shared" si="117"/>
        <v/>
      </c>
      <c r="AI478" s="97" t="str">
        <f t="shared" si="118"/>
        <v/>
      </c>
      <c r="AJ478" s="11"/>
    </row>
    <row r="479" spans="1:36" x14ac:dyDescent="0.25">
      <c r="A479">
        <f t="shared" si="108"/>
        <v>477</v>
      </c>
      <c r="D479" s="14">
        <v>46152</v>
      </c>
      <c r="E479" s="7"/>
      <c r="F479" s="7"/>
      <c r="G479" s="66"/>
      <c r="H479" s="59"/>
      <c r="I479" s="59"/>
      <c r="J479" s="47">
        <f t="shared" si="109"/>
        <v>0</v>
      </c>
      <c r="K479" s="8">
        <f t="shared" si="110"/>
        <v>0</v>
      </c>
      <c r="L479" s="96" t="str">
        <f t="shared" si="111"/>
        <v/>
      </c>
      <c r="M479" s="81"/>
      <c r="N479" s="8">
        <v>300</v>
      </c>
      <c r="O479" s="8">
        <v>60</v>
      </c>
      <c r="P479" s="96" t="str">
        <f t="shared" si="112"/>
        <v/>
      </c>
      <c r="Q479" s="59">
        <f t="shared" si="113"/>
        <v>0</v>
      </c>
      <c r="R479" s="59">
        <f t="shared" si="114"/>
        <v>0</v>
      </c>
      <c r="S479" s="65"/>
      <c r="T479" s="65"/>
      <c r="U479" s="65"/>
      <c r="V479" s="65"/>
      <c r="W479" s="65"/>
      <c r="X479" s="65"/>
      <c r="Y479" s="65"/>
      <c r="Z479" s="65"/>
      <c r="AA479" s="65"/>
      <c r="AB479" s="65"/>
      <c r="AC479" s="65"/>
      <c r="AD479" s="65"/>
      <c r="AE479" s="65">
        <f t="shared" si="115"/>
        <v>0</v>
      </c>
      <c r="AF479" s="65"/>
      <c r="AG479" s="248">
        <f t="shared" si="116"/>
        <v>0</v>
      </c>
      <c r="AH479" s="95" t="str">
        <f t="shared" si="117"/>
        <v/>
      </c>
      <c r="AI479" s="97" t="str">
        <f t="shared" si="118"/>
        <v/>
      </c>
      <c r="AJ479" s="11"/>
    </row>
    <row r="480" spans="1:36" x14ac:dyDescent="0.25">
      <c r="A480">
        <f t="shared" si="108"/>
        <v>478</v>
      </c>
      <c r="D480" s="14">
        <v>46153</v>
      </c>
      <c r="E480" s="7"/>
      <c r="F480" s="7"/>
      <c r="G480" s="66"/>
      <c r="H480" s="59"/>
      <c r="I480" s="59"/>
      <c r="J480" s="47">
        <f t="shared" si="109"/>
        <v>0</v>
      </c>
      <c r="K480" s="8">
        <f t="shared" si="110"/>
        <v>0</v>
      </c>
      <c r="L480" s="96" t="str">
        <f t="shared" si="111"/>
        <v/>
      </c>
      <c r="M480" s="81"/>
      <c r="N480" s="8">
        <v>300</v>
      </c>
      <c r="O480" s="8">
        <v>60</v>
      </c>
      <c r="P480" s="96" t="str">
        <f t="shared" si="112"/>
        <v/>
      </c>
      <c r="Q480" s="59">
        <f t="shared" si="113"/>
        <v>0</v>
      </c>
      <c r="R480" s="59">
        <f t="shared" si="114"/>
        <v>0</v>
      </c>
      <c r="S480" s="65"/>
      <c r="T480" s="65"/>
      <c r="U480" s="65"/>
      <c r="V480" s="65"/>
      <c r="W480" s="65"/>
      <c r="X480" s="65"/>
      <c r="Y480" s="65"/>
      <c r="Z480" s="65"/>
      <c r="AA480" s="65"/>
      <c r="AB480" s="65"/>
      <c r="AC480" s="65"/>
      <c r="AD480" s="65"/>
      <c r="AE480" s="65">
        <f t="shared" si="115"/>
        <v>0</v>
      </c>
      <c r="AF480" s="65"/>
      <c r="AG480" s="248">
        <f t="shared" si="116"/>
        <v>0</v>
      </c>
      <c r="AH480" s="95" t="str">
        <f t="shared" si="117"/>
        <v/>
      </c>
      <c r="AI480" s="97" t="str">
        <f t="shared" si="118"/>
        <v/>
      </c>
      <c r="AJ480" s="11"/>
    </row>
    <row r="481" spans="1:36" x14ac:dyDescent="0.25">
      <c r="A481">
        <f t="shared" si="108"/>
        <v>479</v>
      </c>
      <c r="D481" s="14">
        <v>46154</v>
      </c>
      <c r="E481" s="7"/>
      <c r="F481" s="7"/>
      <c r="G481" s="66"/>
      <c r="H481" s="59"/>
      <c r="I481" s="59"/>
      <c r="J481" s="47">
        <f t="shared" si="109"/>
        <v>0</v>
      </c>
      <c r="K481" s="8">
        <f t="shared" si="110"/>
        <v>0</v>
      </c>
      <c r="L481" s="96" t="str">
        <f t="shared" si="111"/>
        <v/>
      </c>
      <c r="M481" s="81"/>
      <c r="N481" s="8">
        <v>300</v>
      </c>
      <c r="O481" s="8">
        <v>60</v>
      </c>
      <c r="P481" s="96" t="str">
        <f t="shared" si="112"/>
        <v/>
      </c>
      <c r="Q481" s="59">
        <f t="shared" si="113"/>
        <v>0</v>
      </c>
      <c r="R481" s="59">
        <f t="shared" si="114"/>
        <v>0</v>
      </c>
      <c r="S481" s="65"/>
      <c r="T481" s="65"/>
      <c r="U481" s="65"/>
      <c r="V481" s="65"/>
      <c r="W481" s="65"/>
      <c r="X481" s="65"/>
      <c r="Y481" s="65"/>
      <c r="Z481" s="65"/>
      <c r="AA481" s="65"/>
      <c r="AB481" s="65"/>
      <c r="AC481" s="65"/>
      <c r="AD481" s="65"/>
      <c r="AE481" s="65">
        <f t="shared" si="115"/>
        <v>0</v>
      </c>
      <c r="AF481" s="65"/>
      <c r="AG481" s="248">
        <f t="shared" si="116"/>
        <v>0</v>
      </c>
      <c r="AH481" s="95" t="str">
        <f t="shared" si="117"/>
        <v/>
      </c>
      <c r="AI481" s="97" t="str">
        <f t="shared" si="118"/>
        <v/>
      </c>
      <c r="AJ481" s="11"/>
    </row>
    <row r="482" spans="1:36" x14ac:dyDescent="0.25">
      <c r="A482">
        <f t="shared" si="108"/>
        <v>480</v>
      </c>
      <c r="D482" s="14">
        <v>46155</v>
      </c>
      <c r="E482" s="7"/>
      <c r="F482" s="7"/>
      <c r="G482" s="66"/>
      <c r="H482" s="59"/>
      <c r="I482" s="59"/>
      <c r="J482" s="47">
        <f t="shared" si="109"/>
        <v>0</v>
      </c>
      <c r="K482" s="8">
        <f t="shared" si="110"/>
        <v>0</v>
      </c>
      <c r="L482" s="96" t="str">
        <f t="shared" si="111"/>
        <v/>
      </c>
      <c r="M482" s="81"/>
      <c r="N482" s="8">
        <v>300</v>
      </c>
      <c r="O482" s="8">
        <v>60</v>
      </c>
      <c r="P482" s="96" t="str">
        <f t="shared" si="112"/>
        <v/>
      </c>
      <c r="Q482" s="59">
        <f t="shared" si="113"/>
        <v>0</v>
      </c>
      <c r="R482" s="59">
        <f t="shared" si="114"/>
        <v>0</v>
      </c>
      <c r="S482" s="65"/>
      <c r="T482" s="65"/>
      <c r="U482" s="65"/>
      <c r="V482" s="65"/>
      <c r="W482" s="65"/>
      <c r="X482" s="65"/>
      <c r="Y482" s="65"/>
      <c r="Z482" s="65"/>
      <c r="AA482" s="65"/>
      <c r="AB482" s="65"/>
      <c r="AC482" s="65"/>
      <c r="AD482" s="65"/>
      <c r="AE482" s="65">
        <f t="shared" si="115"/>
        <v>0</v>
      </c>
      <c r="AF482" s="65"/>
      <c r="AG482" s="248">
        <f t="shared" si="116"/>
        <v>0</v>
      </c>
      <c r="AH482" s="95" t="str">
        <f t="shared" si="117"/>
        <v/>
      </c>
      <c r="AI482" s="97" t="str">
        <f t="shared" si="118"/>
        <v/>
      </c>
      <c r="AJ482" s="11"/>
    </row>
    <row r="483" spans="1:36" x14ac:dyDescent="0.25">
      <c r="A483">
        <f t="shared" si="108"/>
        <v>481</v>
      </c>
      <c r="D483" s="14">
        <v>46156</v>
      </c>
      <c r="E483" s="7"/>
      <c r="F483" s="7"/>
      <c r="G483" s="66"/>
      <c r="H483" s="59"/>
      <c r="I483" s="59"/>
      <c r="J483" s="47">
        <f t="shared" si="109"/>
        <v>0</v>
      </c>
      <c r="K483" s="8">
        <f t="shared" si="110"/>
        <v>0</v>
      </c>
      <c r="L483" s="96" t="str">
        <f t="shared" si="111"/>
        <v/>
      </c>
      <c r="M483" s="81"/>
      <c r="N483" s="8">
        <v>300</v>
      </c>
      <c r="O483" s="8">
        <v>60</v>
      </c>
      <c r="P483" s="96" t="str">
        <f t="shared" si="112"/>
        <v/>
      </c>
      <c r="Q483" s="59">
        <f t="shared" si="113"/>
        <v>0</v>
      </c>
      <c r="R483" s="59">
        <f t="shared" si="114"/>
        <v>0</v>
      </c>
      <c r="S483" s="65"/>
      <c r="T483" s="65"/>
      <c r="U483" s="65"/>
      <c r="V483" s="65"/>
      <c r="W483" s="65"/>
      <c r="X483" s="65"/>
      <c r="Y483" s="65"/>
      <c r="Z483" s="65"/>
      <c r="AA483" s="65"/>
      <c r="AB483" s="65"/>
      <c r="AC483" s="65"/>
      <c r="AD483" s="65"/>
      <c r="AE483" s="65">
        <f t="shared" si="115"/>
        <v>0</v>
      </c>
      <c r="AF483" s="65"/>
      <c r="AG483" s="248">
        <f t="shared" si="116"/>
        <v>0</v>
      </c>
      <c r="AH483" s="95" t="str">
        <f t="shared" si="117"/>
        <v/>
      </c>
      <c r="AI483" s="97" t="str">
        <f t="shared" si="118"/>
        <v/>
      </c>
      <c r="AJ483" s="11"/>
    </row>
    <row r="484" spans="1:36" x14ac:dyDescent="0.25">
      <c r="A484">
        <f t="shared" si="108"/>
        <v>482</v>
      </c>
      <c r="D484" s="14">
        <v>46157</v>
      </c>
      <c r="E484" s="7"/>
      <c r="F484" s="7"/>
      <c r="G484" s="66"/>
      <c r="H484" s="59"/>
      <c r="I484" s="59"/>
      <c r="J484" s="47">
        <f t="shared" si="109"/>
        <v>0</v>
      </c>
      <c r="K484" s="8">
        <f t="shared" si="110"/>
        <v>0</v>
      </c>
      <c r="L484" s="96" t="str">
        <f t="shared" si="111"/>
        <v/>
      </c>
      <c r="M484" s="81"/>
      <c r="N484" s="8">
        <v>300</v>
      </c>
      <c r="O484" s="8">
        <v>60</v>
      </c>
      <c r="P484" s="96" t="str">
        <f t="shared" si="112"/>
        <v/>
      </c>
      <c r="Q484" s="59">
        <f t="shared" si="113"/>
        <v>0</v>
      </c>
      <c r="R484" s="59">
        <f t="shared" si="114"/>
        <v>0</v>
      </c>
      <c r="S484" s="65"/>
      <c r="T484" s="65"/>
      <c r="U484" s="65"/>
      <c r="V484" s="65"/>
      <c r="W484" s="65"/>
      <c r="X484" s="65"/>
      <c r="Y484" s="65"/>
      <c r="Z484" s="65"/>
      <c r="AA484" s="65"/>
      <c r="AB484" s="65"/>
      <c r="AC484" s="65"/>
      <c r="AD484" s="65"/>
      <c r="AE484" s="65">
        <f t="shared" si="115"/>
        <v>0</v>
      </c>
      <c r="AF484" s="65"/>
      <c r="AG484" s="248">
        <f t="shared" si="116"/>
        <v>0</v>
      </c>
      <c r="AH484" s="95" t="str">
        <f t="shared" si="117"/>
        <v/>
      </c>
      <c r="AI484" s="97" t="str">
        <f t="shared" si="118"/>
        <v/>
      </c>
      <c r="AJ484" s="11"/>
    </row>
    <row r="485" spans="1:36" x14ac:dyDescent="0.25">
      <c r="A485">
        <f t="shared" si="108"/>
        <v>483</v>
      </c>
      <c r="D485" s="14">
        <v>46158</v>
      </c>
      <c r="E485" s="7"/>
      <c r="F485" s="7"/>
      <c r="G485" s="66"/>
      <c r="H485" s="59"/>
      <c r="I485" s="59"/>
      <c r="J485" s="47">
        <f t="shared" si="109"/>
        <v>0</v>
      </c>
      <c r="K485" s="8">
        <f t="shared" si="110"/>
        <v>0</v>
      </c>
      <c r="L485" s="96" t="str">
        <f t="shared" si="111"/>
        <v/>
      </c>
      <c r="M485" s="81"/>
      <c r="N485" s="8">
        <v>300</v>
      </c>
      <c r="O485" s="8">
        <v>60</v>
      </c>
      <c r="P485" s="96" t="str">
        <f t="shared" si="112"/>
        <v/>
      </c>
      <c r="Q485" s="59">
        <f t="shared" si="113"/>
        <v>0</v>
      </c>
      <c r="R485" s="59">
        <f t="shared" si="114"/>
        <v>0</v>
      </c>
      <c r="S485" s="65"/>
      <c r="T485" s="65"/>
      <c r="U485" s="65"/>
      <c r="V485" s="65"/>
      <c r="W485" s="65"/>
      <c r="X485" s="65"/>
      <c r="Y485" s="65"/>
      <c r="Z485" s="65"/>
      <c r="AA485" s="65"/>
      <c r="AB485" s="65"/>
      <c r="AC485" s="65"/>
      <c r="AD485" s="65"/>
      <c r="AE485" s="65">
        <f t="shared" si="115"/>
        <v>0</v>
      </c>
      <c r="AF485" s="65"/>
      <c r="AG485" s="248">
        <f t="shared" si="116"/>
        <v>0</v>
      </c>
      <c r="AH485" s="95" t="str">
        <f t="shared" si="117"/>
        <v/>
      </c>
      <c r="AI485" s="97" t="str">
        <f t="shared" si="118"/>
        <v/>
      </c>
      <c r="AJ485" s="11"/>
    </row>
    <row r="486" spans="1:36" x14ac:dyDescent="0.25">
      <c r="A486">
        <f t="shared" si="108"/>
        <v>484</v>
      </c>
      <c r="D486" s="14">
        <v>46159</v>
      </c>
      <c r="E486" s="7"/>
      <c r="F486" s="7"/>
      <c r="G486" s="66"/>
      <c r="H486" s="59"/>
      <c r="I486" s="59"/>
      <c r="J486" s="47">
        <f t="shared" si="109"/>
        <v>0</v>
      </c>
      <c r="K486" s="8">
        <f t="shared" si="110"/>
        <v>0</v>
      </c>
      <c r="L486" s="96" t="str">
        <f t="shared" si="111"/>
        <v/>
      </c>
      <c r="M486" s="81"/>
      <c r="N486" s="8">
        <v>300</v>
      </c>
      <c r="O486" s="8">
        <v>60</v>
      </c>
      <c r="P486" s="96" t="str">
        <f t="shared" si="112"/>
        <v/>
      </c>
      <c r="Q486" s="59">
        <f t="shared" si="113"/>
        <v>0</v>
      </c>
      <c r="R486" s="59">
        <f t="shared" si="114"/>
        <v>0</v>
      </c>
      <c r="S486" s="65"/>
      <c r="T486" s="65"/>
      <c r="U486" s="65"/>
      <c r="V486" s="65"/>
      <c r="W486" s="65"/>
      <c r="X486" s="65"/>
      <c r="Y486" s="65"/>
      <c r="Z486" s="65"/>
      <c r="AA486" s="65"/>
      <c r="AB486" s="65"/>
      <c r="AC486" s="65"/>
      <c r="AD486" s="65"/>
      <c r="AE486" s="65">
        <f t="shared" si="115"/>
        <v>0</v>
      </c>
      <c r="AF486" s="65"/>
      <c r="AG486" s="248">
        <f t="shared" si="116"/>
        <v>0</v>
      </c>
      <c r="AH486" s="95" t="str">
        <f t="shared" si="117"/>
        <v/>
      </c>
      <c r="AI486" s="97" t="str">
        <f t="shared" si="118"/>
        <v/>
      </c>
      <c r="AJ486" s="11"/>
    </row>
    <row r="487" spans="1:36" x14ac:dyDescent="0.25">
      <c r="A487">
        <f t="shared" si="108"/>
        <v>485</v>
      </c>
      <c r="D487" s="14">
        <v>46160</v>
      </c>
      <c r="E487" s="7"/>
      <c r="F487" s="7"/>
      <c r="G487" s="66"/>
      <c r="H487" s="59"/>
      <c r="I487" s="59"/>
      <c r="J487" s="47">
        <f t="shared" si="109"/>
        <v>0</v>
      </c>
      <c r="K487" s="8">
        <f t="shared" si="110"/>
        <v>0</v>
      </c>
      <c r="L487" s="96" t="str">
        <f t="shared" si="111"/>
        <v/>
      </c>
      <c r="M487" s="81"/>
      <c r="N487" s="8">
        <v>300</v>
      </c>
      <c r="O487" s="8">
        <v>60</v>
      </c>
      <c r="P487" s="96" t="str">
        <f t="shared" si="112"/>
        <v/>
      </c>
      <c r="Q487" s="59">
        <f t="shared" si="113"/>
        <v>0</v>
      </c>
      <c r="R487" s="59">
        <f t="shared" si="114"/>
        <v>0</v>
      </c>
      <c r="S487" s="65"/>
      <c r="T487" s="65"/>
      <c r="U487" s="65"/>
      <c r="V487" s="65"/>
      <c r="W487" s="65"/>
      <c r="X487" s="65"/>
      <c r="Y487" s="65"/>
      <c r="Z487" s="65"/>
      <c r="AA487" s="65"/>
      <c r="AB487" s="65"/>
      <c r="AC487" s="65"/>
      <c r="AD487" s="65"/>
      <c r="AE487" s="65">
        <f t="shared" si="115"/>
        <v>0</v>
      </c>
      <c r="AF487" s="65"/>
      <c r="AG487" s="248">
        <f t="shared" si="116"/>
        <v>0</v>
      </c>
      <c r="AH487" s="95" t="str">
        <f t="shared" si="117"/>
        <v/>
      </c>
      <c r="AI487" s="97" t="str">
        <f t="shared" si="118"/>
        <v/>
      </c>
      <c r="AJ487" s="11"/>
    </row>
    <row r="488" spans="1:36" x14ac:dyDescent="0.25">
      <c r="A488">
        <f t="shared" si="108"/>
        <v>486</v>
      </c>
      <c r="D488" s="14">
        <v>46161</v>
      </c>
      <c r="E488" s="7"/>
      <c r="F488" s="7"/>
      <c r="G488" s="66"/>
      <c r="H488" s="59"/>
      <c r="I488" s="59"/>
      <c r="J488" s="47">
        <f t="shared" si="109"/>
        <v>0</v>
      </c>
      <c r="K488" s="8">
        <f t="shared" si="110"/>
        <v>0</v>
      </c>
      <c r="L488" s="96" t="str">
        <f t="shared" si="111"/>
        <v/>
      </c>
      <c r="M488" s="81"/>
      <c r="N488" s="8">
        <v>300</v>
      </c>
      <c r="O488" s="8">
        <v>60</v>
      </c>
      <c r="P488" s="96" t="str">
        <f t="shared" si="112"/>
        <v/>
      </c>
      <c r="Q488" s="59">
        <f t="shared" si="113"/>
        <v>0</v>
      </c>
      <c r="R488" s="59">
        <f t="shared" si="114"/>
        <v>0</v>
      </c>
      <c r="S488" s="65"/>
      <c r="T488" s="65"/>
      <c r="U488" s="65"/>
      <c r="V488" s="65"/>
      <c r="W488" s="65"/>
      <c r="X488" s="65"/>
      <c r="Y488" s="65"/>
      <c r="Z488" s="65"/>
      <c r="AA488" s="65"/>
      <c r="AB488" s="65"/>
      <c r="AC488" s="65"/>
      <c r="AD488" s="65"/>
      <c r="AE488" s="65">
        <f t="shared" si="115"/>
        <v>0</v>
      </c>
      <c r="AF488" s="65"/>
      <c r="AG488" s="248">
        <f t="shared" si="116"/>
        <v>0</v>
      </c>
      <c r="AH488" s="95" t="str">
        <f t="shared" si="117"/>
        <v/>
      </c>
      <c r="AI488" s="97" t="str">
        <f t="shared" si="118"/>
        <v/>
      </c>
      <c r="AJ488" s="11"/>
    </row>
    <row r="489" spans="1:36" x14ac:dyDescent="0.25">
      <c r="A489">
        <f t="shared" si="108"/>
        <v>487</v>
      </c>
      <c r="D489" s="14">
        <v>46162</v>
      </c>
      <c r="E489" s="7"/>
      <c r="F489" s="7"/>
      <c r="G489" s="66"/>
      <c r="H489" s="59"/>
      <c r="I489" s="59"/>
      <c r="J489" s="47">
        <f t="shared" si="109"/>
        <v>0</v>
      </c>
      <c r="K489" s="8">
        <f t="shared" si="110"/>
        <v>0</v>
      </c>
      <c r="L489" s="96" t="str">
        <f t="shared" si="111"/>
        <v/>
      </c>
      <c r="M489" s="81"/>
      <c r="N489" s="8">
        <v>300</v>
      </c>
      <c r="O489" s="8">
        <v>60</v>
      </c>
      <c r="P489" s="96" t="str">
        <f t="shared" si="112"/>
        <v/>
      </c>
      <c r="Q489" s="59">
        <f t="shared" si="113"/>
        <v>0</v>
      </c>
      <c r="R489" s="59">
        <f t="shared" si="114"/>
        <v>0</v>
      </c>
      <c r="S489" s="65"/>
      <c r="T489" s="65"/>
      <c r="U489" s="65"/>
      <c r="V489" s="65"/>
      <c r="W489" s="65"/>
      <c r="X489" s="65"/>
      <c r="Y489" s="65"/>
      <c r="Z489" s="65"/>
      <c r="AA489" s="65"/>
      <c r="AB489" s="65"/>
      <c r="AC489" s="65"/>
      <c r="AD489" s="65"/>
      <c r="AE489" s="65">
        <f t="shared" si="115"/>
        <v>0</v>
      </c>
      <c r="AF489" s="65"/>
      <c r="AG489" s="248">
        <f t="shared" si="116"/>
        <v>0</v>
      </c>
      <c r="AH489" s="95" t="str">
        <f t="shared" si="117"/>
        <v/>
      </c>
      <c r="AI489" s="97" t="str">
        <f t="shared" si="118"/>
        <v/>
      </c>
      <c r="AJ489" s="11"/>
    </row>
    <row r="490" spans="1:36" x14ac:dyDescent="0.25">
      <c r="A490">
        <f t="shared" si="108"/>
        <v>488</v>
      </c>
      <c r="D490" s="14">
        <v>46163</v>
      </c>
      <c r="E490" s="7"/>
      <c r="F490" s="7"/>
      <c r="G490" s="66"/>
      <c r="H490" s="59"/>
      <c r="I490" s="59"/>
      <c r="J490" s="47">
        <f t="shared" si="109"/>
        <v>0</v>
      </c>
      <c r="K490" s="8">
        <f t="shared" si="110"/>
        <v>0</v>
      </c>
      <c r="L490" s="96" t="str">
        <f t="shared" si="111"/>
        <v/>
      </c>
      <c r="M490" s="81"/>
      <c r="N490" s="8">
        <v>300</v>
      </c>
      <c r="O490" s="8">
        <v>60</v>
      </c>
      <c r="P490" s="96" t="str">
        <f t="shared" si="112"/>
        <v/>
      </c>
      <c r="Q490" s="59">
        <f t="shared" si="113"/>
        <v>0</v>
      </c>
      <c r="R490" s="59">
        <f t="shared" si="114"/>
        <v>0</v>
      </c>
      <c r="S490" s="65"/>
      <c r="T490" s="65"/>
      <c r="U490" s="65"/>
      <c r="V490" s="65"/>
      <c r="W490" s="65"/>
      <c r="X490" s="65"/>
      <c r="Y490" s="65"/>
      <c r="Z490" s="65"/>
      <c r="AA490" s="65"/>
      <c r="AB490" s="65"/>
      <c r="AC490" s="65"/>
      <c r="AD490" s="65"/>
      <c r="AE490" s="65">
        <f t="shared" si="115"/>
        <v>0</v>
      </c>
      <c r="AF490" s="65"/>
      <c r="AG490" s="248">
        <f t="shared" si="116"/>
        <v>0</v>
      </c>
      <c r="AH490" s="95" t="str">
        <f t="shared" si="117"/>
        <v/>
      </c>
      <c r="AI490" s="97" t="str">
        <f t="shared" si="118"/>
        <v/>
      </c>
      <c r="AJ490" s="11"/>
    </row>
    <row r="491" spans="1:36" x14ac:dyDescent="0.25">
      <c r="A491">
        <f t="shared" si="108"/>
        <v>489</v>
      </c>
      <c r="D491" s="14">
        <v>46164</v>
      </c>
      <c r="E491" s="7"/>
      <c r="F491" s="7"/>
      <c r="G491" s="66"/>
      <c r="H491" s="59"/>
      <c r="I491" s="59"/>
      <c r="J491" s="47">
        <f t="shared" si="109"/>
        <v>0</v>
      </c>
      <c r="K491" s="8">
        <f t="shared" si="110"/>
        <v>0</v>
      </c>
      <c r="L491" s="96" t="str">
        <f t="shared" si="111"/>
        <v/>
      </c>
      <c r="M491" s="81"/>
      <c r="N491" s="8">
        <v>300</v>
      </c>
      <c r="O491" s="8">
        <v>60</v>
      </c>
      <c r="P491" s="96" t="str">
        <f t="shared" si="112"/>
        <v/>
      </c>
      <c r="Q491" s="59">
        <f t="shared" si="113"/>
        <v>0</v>
      </c>
      <c r="R491" s="59">
        <f t="shared" si="114"/>
        <v>0</v>
      </c>
      <c r="S491" s="65"/>
      <c r="T491" s="65"/>
      <c r="U491" s="65"/>
      <c r="V491" s="65"/>
      <c r="W491" s="65"/>
      <c r="X491" s="65"/>
      <c r="Y491" s="65"/>
      <c r="Z491" s="65"/>
      <c r="AA491" s="65"/>
      <c r="AB491" s="65"/>
      <c r="AC491" s="65"/>
      <c r="AD491" s="65"/>
      <c r="AE491" s="65">
        <f t="shared" si="115"/>
        <v>0</v>
      </c>
      <c r="AF491" s="65"/>
      <c r="AG491" s="248">
        <f t="shared" si="116"/>
        <v>0</v>
      </c>
      <c r="AH491" s="95" t="str">
        <f t="shared" si="117"/>
        <v/>
      </c>
      <c r="AI491" s="97" t="str">
        <f t="shared" si="118"/>
        <v/>
      </c>
      <c r="AJ491" s="11"/>
    </row>
    <row r="492" spans="1:36" x14ac:dyDescent="0.25">
      <c r="A492">
        <f t="shared" si="108"/>
        <v>490</v>
      </c>
      <c r="D492" s="14">
        <v>46165</v>
      </c>
      <c r="E492" s="7"/>
      <c r="F492" s="7"/>
      <c r="G492" s="66"/>
      <c r="H492" s="59"/>
      <c r="I492" s="59"/>
      <c r="J492" s="47">
        <f t="shared" si="109"/>
        <v>0</v>
      </c>
      <c r="K492" s="8">
        <f t="shared" si="110"/>
        <v>0</v>
      </c>
      <c r="L492" s="96" t="str">
        <f t="shared" si="111"/>
        <v/>
      </c>
      <c r="M492" s="81"/>
      <c r="N492" s="8">
        <v>300</v>
      </c>
      <c r="O492" s="8">
        <v>60</v>
      </c>
      <c r="P492" s="96" t="str">
        <f t="shared" si="112"/>
        <v/>
      </c>
      <c r="Q492" s="59">
        <f t="shared" si="113"/>
        <v>0</v>
      </c>
      <c r="R492" s="59">
        <f t="shared" si="114"/>
        <v>0</v>
      </c>
      <c r="S492" s="65"/>
      <c r="T492" s="65"/>
      <c r="U492" s="65"/>
      <c r="V492" s="65"/>
      <c r="W492" s="65"/>
      <c r="X492" s="65"/>
      <c r="Y492" s="65"/>
      <c r="Z492" s="65"/>
      <c r="AA492" s="65"/>
      <c r="AB492" s="65"/>
      <c r="AC492" s="65"/>
      <c r="AD492" s="65"/>
      <c r="AE492" s="65">
        <f t="shared" si="115"/>
        <v>0</v>
      </c>
      <c r="AF492" s="65"/>
      <c r="AG492" s="248">
        <f t="shared" si="116"/>
        <v>0</v>
      </c>
      <c r="AH492" s="95" t="str">
        <f t="shared" si="117"/>
        <v/>
      </c>
      <c r="AI492" s="97" t="str">
        <f t="shared" si="118"/>
        <v/>
      </c>
      <c r="AJ492" s="11"/>
    </row>
    <row r="493" spans="1:36" x14ac:dyDescent="0.25">
      <c r="A493">
        <f t="shared" si="108"/>
        <v>491</v>
      </c>
      <c r="D493" s="14">
        <v>46166</v>
      </c>
      <c r="E493" s="7"/>
      <c r="F493" s="7"/>
      <c r="G493" s="66"/>
      <c r="H493" s="59"/>
      <c r="I493" s="59"/>
      <c r="J493" s="47">
        <f t="shared" si="109"/>
        <v>0</v>
      </c>
      <c r="K493" s="8">
        <f t="shared" si="110"/>
        <v>0</v>
      </c>
      <c r="L493" s="96" t="str">
        <f t="shared" si="111"/>
        <v/>
      </c>
      <c r="M493" s="81"/>
      <c r="N493" s="8">
        <v>300</v>
      </c>
      <c r="O493" s="8">
        <v>60</v>
      </c>
      <c r="P493" s="96" t="str">
        <f t="shared" si="112"/>
        <v/>
      </c>
      <c r="Q493" s="59">
        <f t="shared" si="113"/>
        <v>0</v>
      </c>
      <c r="R493" s="59">
        <f t="shared" si="114"/>
        <v>0</v>
      </c>
      <c r="S493" s="65"/>
      <c r="T493" s="65"/>
      <c r="U493" s="65"/>
      <c r="V493" s="65"/>
      <c r="W493" s="65"/>
      <c r="X493" s="65"/>
      <c r="Y493" s="65"/>
      <c r="Z493" s="65"/>
      <c r="AA493" s="65"/>
      <c r="AB493" s="65"/>
      <c r="AC493" s="65"/>
      <c r="AD493" s="65"/>
      <c r="AE493" s="65">
        <f t="shared" si="115"/>
        <v>0</v>
      </c>
      <c r="AF493" s="65"/>
      <c r="AG493" s="248">
        <f t="shared" si="116"/>
        <v>0</v>
      </c>
      <c r="AH493" s="95" t="str">
        <f t="shared" si="117"/>
        <v/>
      </c>
      <c r="AI493" s="97" t="str">
        <f t="shared" si="118"/>
        <v/>
      </c>
      <c r="AJ493" s="11"/>
    </row>
    <row r="494" spans="1:36" x14ac:dyDescent="0.25">
      <c r="A494">
        <f t="shared" si="108"/>
        <v>492</v>
      </c>
      <c r="D494" s="14">
        <v>46167</v>
      </c>
      <c r="E494" s="7"/>
      <c r="F494" s="7"/>
      <c r="G494" s="66"/>
      <c r="H494" s="59"/>
      <c r="I494" s="59"/>
      <c r="J494" s="47">
        <f t="shared" si="109"/>
        <v>0</v>
      </c>
      <c r="K494" s="8">
        <f t="shared" si="110"/>
        <v>0</v>
      </c>
      <c r="L494" s="96" t="str">
        <f t="shared" si="111"/>
        <v/>
      </c>
      <c r="M494" s="81"/>
      <c r="N494" s="8">
        <v>300</v>
      </c>
      <c r="O494" s="8">
        <v>60</v>
      </c>
      <c r="P494" s="96" t="str">
        <f t="shared" si="112"/>
        <v/>
      </c>
      <c r="Q494" s="59">
        <f t="shared" si="113"/>
        <v>0</v>
      </c>
      <c r="R494" s="59">
        <f t="shared" si="114"/>
        <v>0</v>
      </c>
      <c r="S494" s="65"/>
      <c r="T494" s="65"/>
      <c r="U494" s="65"/>
      <c r="V494" s="65"/>
      <c r="W494" s="65"/>
      <c r="X494" s="65"/>
      <c r="Y494" s="65"/>
      <c r="Z494" s="65"/>
      <c r="AA494" s="65"/>
      <c r="AB494" s="65"/>
      <c r="AC494" s="65"/>
      <c r="AD494" s="65"/>
      <c r="AE494" s="65">
        <f t="shared" si="115"/>
        <v>0</v>
      </c>
      <c r="AF494" s="65"/>
      <c r="AG494" s="248">
        <f t="shared" si="116"/>
        <v>0</v>
      </c>
      <c r="AH494" s="95" t="str">
        <f t="shared" si="117"/>
        <v/>
      </c>
      <c r="AI494" s="97" t="str">
        <f t="shared" si="118"/>
        <v/>
      </c>
      <c r="AJ494" s="11"/>
    </row>
    <row r="495" spans="1:36" x14ac:dyDescent="0.25">
      <c r="A495">
        <f t="shared" si="108"/>
        <v>493</v>
      </c>
      <c r="D495" s="14">
        <v>46168</v>
      </c>
      <c r="E495" s="7"/>
      <c r="F495" s="7"/>
      <c r="G495" s="66"/>
      <c r="H495" s="59"/>
      <c r="I495" s="59"/>
      <c r="J495" s="47">
        <f t="shared" si="109"/>
        <v>0</v>
      </c>
      <c r="K495" s="8">
        <f t="shared" si="110"/>
        <v>0</v>
      </c>
      <c r="L495" s="96" t="str">
        <f t="shared" si="111"/>
        <v/>
      </c>
      <c r="M495" s="81"/>
      <c r="N495" s="8">
        <v>300</v>
      </c>
      <c r="O495" s="8">
        <v>60</v>
      </c>
      <c r="P495" s="96" t="str">
        <f t="shared" si="112"/>
        <v/>
      </c>
      <c r="Q495" s="59">
        <f t="shared" si="113"/>
        <v>0</v>
      </c>
      <c r="R495" s="59">
        <f t="shared" si="114"/>
        <v>0</v>
      </c>
      <c r="S495" s="65"/>
      <c r="T495" s="65"/>
      <c r="U495" s="65"/>
      <c r="V495" s="65"/>
      <c r="W495" s="65"/>
      <c r="X495" s="65"/>
      <c r="Y495" s="65"/>
      <c r="Z495" s="65"/>
      <c r="AA495" s="65"/>
      <c r="AB495" s="65"/>
      <c r="AC495" s="65"/>
      <c r="AD495" s="65"/>
      <c r="AE495" s="65">
        <f t="shared" si="115"/>
        <v>0</v>
      </c>
      <c r="AF495" s="65"/>
      <c r="AG495" s="248">
        <f t="shared" si="116"/>
        <v>0</v>
      </c>
      <c r="AH495" s="95" t="str">
        <f t="shared" si="117"/>
        <v/>
      </c>
      <c r="AI495" s="97" t="str">
        <f t="shared" si="118"/>
        <v/>
      </c>
      <c r="AJ495" s="11"/>
    </row>
    <row r="496" spans="1:36" x14ac:dyDescent="0.25">
      <c r="A496">
        <f t="shared" si="108"/>
        <v>494</v>
      </c>
      <c r="D496" s="14">
        <v>46169</v>
      </c>
      <c r="E496" s="7"/>
      <c r="F496" s="7"/>
      <c r="G496" s="66"/>
      <c r="H496" s="59"/>
      <c r="I496" s="59"/>
      <c r="J496" s="47">
        <f t="shared" si="109"/>
        <v>0</v>
      </c>
      <c r="K496" s="8">
        <f t="shared" si="110"/>
        <v>0</v>
      </c>
      <c r="L496" s="96" t="str">
        <f t="shared" si="111"/>
        <v/>
      </c>
      <c r="M496" s="81"/>
      <c r="N496" s="8">
        <v>300</v>
      </c>
      <c r="O496" s="8">
        <v>60</v>
      </c>
      <c r="P496" s="96" t="str">
        <f t="shared" si="112"/>
        <v/>
      </c>
      <c r="Q496" s="59">
        <f t="shared" si="113"/>
        <v>0</v>
      </c>
      <c r="R496" s="59">
        <f t="shared" si="114"/>
        <v>0</v>
      </c>
      <c r="S496" s="65"/>
      <c r="T496" s="65"/>
      <c r="U496" s="65"/>
      <c r="V496" s="65"/>
      <c r="W496" s="65"/>
      <c r="X496" s="65"/>
      <c r="Y496" s="65"/>
      <c r="Z496" s="65"/>
      <c r="AA496" s="65"/>
      <c r="AB496" s="65"/>
      <c r="AC496" s="65"/>
      <c r="AD496" s="65"/>
      <c r="AE496" s="65">
        <f t="shared" si="115"/>
        <v>0</v>
      </c>
      <c r="AF496" s="65"/>
      <c r="AG496" s="248">
        <f t="shared" si="116"/>
        <v>0</v>
      </c>
      <c r="AH496" s="95" t="str">
        <f t="shared" si="117"/>
        <v/>
      </c>
      <c r="AI496" s="97" t="str">
        <f t="shared" si="118"/>
        <v/>
      </c>
      <c r="AJ496" s="11"/>
    </row>
    <row r="497" spans="1:36" x14ac:dyDescent="0.25">
      <c r="A497">
        <f t="shared" si="108"/>
        <v>495</v>
      </c>
      <c r="D497" s="14">
        <v>46170</v>
      </c>
      <c r="E497" s="7"/>
      <c r="F497" s="7"/>
      <c r="G497" s="66"/>
      <c r="H497" s="59"/>
      <c r="I497" s="59"/>
      <c r="J497" s="47">
        <f t="shared" si="109"/>
        <v>0</v>
      </c>
      <c r="K497" s="8">
        <f t="shared" si="110"/>
        <v>0</v>
      </c>
      <c r="L497" s="96" t="str">
        <f t="shared" si="111"/>
        <v/>
      </c>
      <c r="M497" s="81"/>
      <c r="N497" s="8">
        <v>300</v>
      </c>
      <c r="O497" s="8">
        <v>60</v>
      </c>
      <c r="P497" s="96" t="str">
        <f t="shared" si="112"/>
        <v/>
      </c>
      <c r="Q497" s="59">
        <f t="shared" si="113"/>
        <v>0</v>
      </c>
      <c r="R497" s="59">
        <f t="shared" si="114"/>
        <v>0</v>
      </c>
      <c r="S497" s="65"/>
      <c r="T497" s="65"/>
      <c r="U497" s="65"/>
      <c r="V497" s="65"/>
      <c r="W497" s="65"/>
      <c r="X497" s="65"/>
      <c r="Y497" s="65"/>
      <c r="Z497" s="65"/>
      <c r="AA497" s="65"/>
      <c r="AB497" s="65"/>
      <c r="AC497" s="65"/>
      <c r="AD497" s="65"/>
      <c r="AE497" s="65">
        <f t="shared" si="115"/>
        <v>0</v>
      </c>
      <c r="AF497" s="65"/>
      <c r="AG497" s="248">
        <f t="shared" si="116"/>
        <v>0</v>
      </c>
      <c r="AH497" s="95" t="str">
        <f t="shared" si="117"/>
        <v/>
      </c>
      <c r="AI497" s="97" t="str">
        <f t="shared" si="118"/>
        <v/>
      </c>
      <c r="AJ497" s="11"/>
    </row>
    <row r="498" spans="1:36" x14ac:dyDescent="0.25">
      <c r="A498">
        <f t="shared" si="108"/>
        <v>496</v>
      </c>
      <c r="D498" s="14">
        <v>46171</v>
      </c>
      <c r="E498" s="7"/>
      <c r="F498" s="7"/>
      <c r="G498" s="66"/>
      <c r="H498" s="59"/>
      <c r="I498" s="59"/>
      <c r="J498" s="47">
        <f t="shared" si="109"/>
        <v>0</v>
      </c>
      <c r="K498" s="8">
        <f t="shared" si="110"/>
        <v>0</v>
      </c>
      <c r="L498" s="96" t="str">
        <f t="shared" si="111"/>
        <v/>
      </c>
      <c r="M498" s="81"/>
      <c r="N498" s="8">
        <v>300</v>
      </c>
      <c r="O498" s="8">
        <v>60</v>
      </c>
      <c r="P498" s="96" t="str">
        <f t="shared" si="112"/>
        <v/>
      </c>
      <c r="Q498" s="59">
        <f t="shared" si="113"/>
        <v>0</v>
      </c>
      <c r="R498" s="59">
        <f t="shared" si="114"/>
        <v>0</v>
      </c>
      <c r="S498" s="65"/>
      <c r="T498" s="65"/>
      <c r="U498" s="65"/>
      <c r="V498" s="65"/>
      <c r="W498" s="65"/>
      <c r="X498" s="65"/>
      <c r="Y498" s="65"/>
      <c r="Z498" s="65"/>
      <c r="AA498" s="65"/>
      <c r="AB498" s="65"/>
      <c r="AC498" s="65"/>
      <c r="AD498" s="65"/>
      <c r="AE498" s="65">
        <f t="shared" si="115"/>
        <v>0</v>
      </c>
      <c r="AF498" s="65"/>
      <c r="AG498" s="248">
        <f t="shared" si="116"/>
        <v>0</v>
      </c>
      <c r="AH498" s="95" t="str">
        <f t="shared" si="117"/>
        <v/>
      </c>
      <c r="AI498" s="97" t="str">
        <f t="shared" si="118"/>
        <v/>
      </c>
      <c r="AJ498" s="11"/>
    </row>
    <row r="499" spans="1:36" x14ac:dyDescent="0.25">
      <c r="A499">
        <f t="shared" si="108"/>
        <v>497</v>
      </c>
      <c r="D499" s="14">
        <v>46172</v>
      </c>
      <c r="E499" s="7"/>
      <c r="F499" s="7"/>
      <c r="G499" s="66"/>
      <c r="H499" s="59"/>
      <c r="I499" s="59"/>
      <c r="J499" s="47">
        <f t="shared" si="109"/>
        <v>0</v>
      </c>
      <c r="K499" s="8">
        <f t="shared" si="110"/>
        <v>0</v>
      </c>
      <c r="L499" s="96" t="str">
        <f t="shared" si="111"/>
        <v/>
      </c>
      <c r="M499" s="81"/>
      <c r="N499" s="8">
        <v>300</v>
      </c>
      <c r="O499" s="8">
        <v>60</v>
      </c>
      <c r="P499" s="96" t="str">
        <f t="shared" si="112"/>
        <v/>
      </c>
      <c r="Q499" s="59">
        <f t="shared" si="113"/>
        <v>0</v>
      </c>
      <c r="R499" s="59">
        <f t="shared" si="114"/>
        <v>0</v>
      </c>
      <c r="S499" s="65"/>
      <c r="T499" s="65"/>
      <c r="U499" s="65"/>
      <c r="V499" s="65"/>
      <c r="W499" s="65"/>
      <c r="X499" s="65"/>
      <c r="Y499" s="65"/>
      <c r="Z499" s="65"/>
      <c r="AA499" s="65"/>
      <c r="AB499" s="65"/>
      <c r="AC499" s="65"/>
      <c r="AD499" s="65"/>
      <c r="AE499" s="65">
        <f t="shared" si="115"/>
        <v>0</v>
      </c>
      <c r="AF499" s="65"/>
      <c r="AG499" s="248">
        <f t="shared" si="116"/>
        <v>0</v>
      </c>
      <c r="AH499" s="95" t="str">
        <f t="shared" si="117"/>
        <v/>
      </c>
      <c r="AI499" s="97" t="str">
        <f t="shared" si="118"/>
        <v/>
      </c>
      <c r="AJ499" s="11"/>
    </row>
    <row r="500" spans="1:36" x14ac:dyDescent="0.25">
      <c r="A500">
        <f t="shared" si="108"/>
        <v>498</v>
      </c>
      <c r="D500" s="14">
        <v>46173</v>
      </c>
      <c r="E500" s="7"/>
      <c r="F500" s="7"/>
      <c r="G500" s="66"/>
      <c r="H500" s="59"/>
      <c r="I500" s="59"/>
      <c r="J500" s="47">
        <f t="shared" si="109"/>
        <v>0</v>
      </c>
      <c r="K500" s="8">
        <f t="shared" si="110"/>
        <v>0</v>
      </c>
      <c r="L500" s="96" t="str">
        <f t="shared" si="111"/>
        <v/>
      </c>
      <c r="M500" s="81"/>
      <c r="N500" s="8">
        <v>300</v>
      </c>
      <c r="O500" s="8">
        <v>60</v>
      </c>
      <c r="P500" s="96" t="str">
        <f t="shared" si="112"/>
        <v/>
      </c>
      <c r="Q500" s="59">
        <f t="shared" si="113"/>
        <v>0</v>
      </c>
      <c r="R500" s="59">
        <f t="shared" si="114"/>
        <v>0</v>
      </c>
      <c r="S500" s="65"/>
      <c r="T500" s="65"/>
      <c r="U500" s="65"/>
      <c r="V500" s="65"/>
      <c r="W500" s="65"/>
      <c r="X500" s="65"/>
      <c r="Y500" s="65"/>
      <c r="Z500" s="65"/>
      <c r="AA500" s="65"/>
      <c r="AB500" s="65"/>
      <c r="AC500" s="65"/>
      <c r="AD500" s="65"/>
      <c r="AE500" s="65">
        <f t="shared" si="115"/>
        <v>0</v>
      </c>
      <c r="AF500" s="65"/>
      <c r="AG500" s="248">
        <f t="shared" si="116"/>
        <v>0</v>
      </c>
      <c r="AH500" s="95" t="str">
        <f t="shared" si="117"/>
        <v/>
      </c>
      <c r="AI500" s="97" t="str">
        <f t="shared" si="118"/>
        <v/>
      </c>
      <c r="AJ500" s="11"/>
    </row>
    <row r="501" spans="1:36" x14ac:dyDescent="0.25">
      <c r="A501">
        <f t="shared" si="108"/>
        <v>499</v>
      </c>
      <c r="D501" s="14">
        <v>46174</v>
      </c>
      <c r="E501" s="7"/>
      <c r="F501" s="7"/>
      <c r="G501" s="66"/>
      <c r="H501" s="59"/>
      <c r="I501" s="59"/>
      <c r="J501" s="47">
        <f t="shared" si="109"/>
        <v>0</v>
      </c>
      <c r="K501" s="8">
        <f t="shared" si="110"/>
        <v>0</v>
      </c>
      <c r="L501" s="96" t="str">
        <f t="shared" si="111"/>
        <v/>
      </c>
      <c r="M501" s="81"/>
      <c r="N501" s="8">
        <v>300</v>
      </c>
      <c r="O501" s="8">
        <v>60</v>
      </c>
      <c r="P501" s="96" t="str">
        <f t="shared" si="112"/>
        <v/>
      </c>
      <c r="Q501" s="59">
        <f t="shared" si="113"/>
        <v>0</v>
      </c>
      <c r="R501" s="59">
        <f t="shared" si="114"/>
        <v>0</v>
      </c>
      <c r="S501" s="65"/>
      <c r="T501" s="65"/>
      <c r="U501" s="65"/>
      <c r="V501" s="65"/>
      <c r="W501" s="65"/>
      <c r="X501" s="65"/>
      <c r="Y501" s="65"/>
      <c r="Z501" s="65"/>
      <c r="AA501" s="65"/>
      <c r="AB501" s="65"/>
      <c r="AC501" s="65"/>
      <c r="AD501" s="65"/>
      <c r="AE501" s="65">
        <f t="shared" si="115"/>
        <v>0</v>
      </c>
      <c r="AF501" s="65"/>
      <c r="AG501" s="248">
        <f t="shared" si="116"/>
        <v>0</v>
      </c>
      <c r="AH501" s="95" t="str">
        <f t="shared" si="117"/>
        <v/>
      </c>
      <c r="AI501" s="97" t="str">
        <f t="shared" si="118"/>
        <v/>
      </c>
      <c r="AJ501" s="11"/>
    </row>
    <row r="502" spans="1:36" x14ac:dyDescent="0.25">
      <c r="A502">
        <f t="shared" si="108"/>
        <v>500</v>
      </c>
      <c r="D502" s="14">
        <v>46175</v>
      </c>
      <c r="E502" s="7"/>
      <c r="F502" s="7"/>
      <c r="G502" s="66"/>
      <c r="H502" s="59"/>
      <c r="I502" s="59"/>
      <c r="J502" s="47">
        <f t="shared" si="109"/>
        <v>0</v>
      </c>
      <c r="K502" s="8">
        <f t="shared" si="110"/>
        <v>0</v>
      </c>
      <c r="L502" s="96" t="str">
        <f t="shared" si="111"/>
        <v/>
      </c>
      <c r="M502" s="81"/>
      <c r="N502" s="8">
        <v>300</v>
      </c>
      <c r="O502" s="8">
        <v>60</v>
      </c>
      <c r="P502" s="96" t="str">
        <f t="shared" si="112"/>
        <v/>
      </c>
      <c r="Q502" s="59">
        <f t="shared" si="113"/>
        <v>0</v>
      </c>
      <c r="R502" s="59">
        <f t="shared" si="114"/>
        <v>0</v>
      </c>
      <c r="S502" s="65"/>
      <c r="T502" s="65"/>
      <c r="U502" s="65"/>
      <c r="V502" s="65"/>
      <c r="W502" s="65"/>
      <c r="X502" s="65"/>
      <c r="Y502" s="65"/>
      <c r="Z502" s="65"/>
      <c r="AA502" s="65"/>
      <c r="AB502" s="65"/>
      <c r="AC502" s="65"/>
      <c r="AD502" s="65"/>
      <c r="AE502" s="65">
        <f t="shared" si="115"/>
        <v>0</v>
      </c>
      <c r="AF502" s="65"/>
      <c r="AG502" s="248">
        <f t="shared" si="116"/>
        <v>0</v>
      </c>
      <c r="AH502" s="95" t="str">
        <f t="shared" si="117"/>
        <v/>
      </c>
      <c r="AI502" s="97" t="str">
        <f t="shared" si="118"/>
        <v/>
      </c>
      <c r="AJ502" s="11"/>
    </row>
    <row r="503" spans="1:36" x14ac:dyDescent="0.25">
      <c r="A503">
        <f t="shared" si="108"/>
        <v>501</v>
      </c>
      <c r="D503" s="14">
        <v>46176</v>
      </c>
      <c r="E503" s="7"/>
      <c r="F503" s="7"/>
      <c r="G503" s="66"/>
      <c r="H503" s="59"/>
      <c r="I503" s="59"/>
      <c r="J503" s="47">
        <f t="shared" si="109"/>
        <v>0</v>
      </c>
      <c r="K503" s="8">
        <f t="shared" si="110"/>
        <v>0</v>
      </c>
      <c r="L503" s="96" t="str">
        <f t="shared" si="111"/>
        <v/>
      </c>
      <c r="M503" s="81"/>
      <c r="N503" s="8">
        <v>300</v>
      </c>
      <c r="O503" s="8">
        <v>60</v>
      </c>
      <c r="P503" s="96" t="str">
        <f t="shared" si="112"/>
        <v/>
      </c>
      <c r="Q503" s="59">
        <f t="shared" si="113"/>
        <v>0</v>
      </c>
      <c r="R503" s="59">
        <f t="shared" si="114"/>
        <v>0</v>
      </c>
      <c r="S503" s="65"/>
      <c r="T503" s="65"/>
      <c r="U503" s="65"/>
      <c r="V503" s="65"/>
      <c r="W503" s="65"/>
      <c r="X503" s="65"/>
      <c r="Y503" s="65"/>
      <c r="Z503" s="65"/>
      <c r="AA503" s="65"/>
      <c r="AB503" s="65"/>
      <c r="AC503" s="65"/>
      <c r="AD503" s="65"/>
      <c r="AE503" s="65">
        <f t="shared" si="115"/>
        <v>0</v>
      </c>
      <c r="AF503" s="65"/>
      <c r="AG503" s="248">
        <f t="shared" si="116"/>
        <v>0</v>
      </c>
      <c r="AH503" s="95" t="str">
        <f t="shared" si="117"/>
        <v/>
      </c>
      <c r="AI503" s="97" t="str">
        <f t="shared" si="118"/>
        <v/>
      </c>
      <c r="AJ503" s="11"/>
    </row>
    <row r="504" spans="1:36" x14ac:dyDescent="0.25">
      <c r="A504">
        <f t="shared" si="108"/>
        <v>502</v>
      </c>
      <c r="D504" s="14">
        <v>46177</v>
      </c>
      <c r="E504" s="7"/>
      <c r="F504" s="7"/>
      <c r="G504" s="66"/>
      <c r="H504" s="59"/>
      <c r="I504" s="59"/>
      <c r="J504" s="47">
        <f t="shared" si="109"/>
        <v>0</v>
      </c>
      <c r="K504" s="8">
        <f t="shared" si="110"/>
        <v>0</v>
      </c>
      <c r="L504" s="96" t="str">
        <f t="shared" si="111"/>
        <v/>
      </c>
      <c r="M504" s="81"/>
      <c r="N504" s="8">
        <v>300</v>
      </c>
      <c r="O504" s="8">
        <v>60</v>
      </c>
      <c r="P504" s="96" t="str">
        <f t="shared" si="112"/>
        <v/>
      </c>
      <c r="Q504" s="59">
        <f t="shared" si="113"/>
        <v>0</v>
      </c>
      <c r="R504" s="59">
        <f t="shared" si="114"/>
        <v>0</v>
      </c>
      <c r="S504" s="65"/>
      <c r="T504" s="65"/>
      <c r="U504" s="65"/>
      <c r="V504" s="65"/>
      <c r="W504" s="65"/>
      <c r="X504" s="65"/>
      <c r="Y504" s="65"/>
      <c r="Z504" s="65"/>
      <c r="AA504" s="65"/>
      <c r="AB504" s="65"/>
      <c r="AC504" s="65"/>
      <c r="AD504" s="65"/>
      <c r="AE504" s="65">
        <f t="shared" si="115"/>
        <v>0</v>
      </c>
      <c r="AF504" s="65"/>
      <c r="AG504" s="248">
        <f t="shared" si="116"/>
        <v>0</v>
      </c>
      <c r="AH504" s="95" t="str">
        <f t="shared" si="117"/>
        <v/>
      </c>
      <c r="AI504" s="97" t="str">
        <f t="shared" si="118"/>
        <v/>
      </c>
      <c r="AJ504" s="11"/>
    </row>
    <row r="505" spans="1:36" x14ac:dyDescent="0.25">
      <c r="A505">
        <f t="shared" si="108"/>
        <v>503</v>
      </c>
      <c r="D505" s="14">
        <v>46178</v>
      </c>
      <c r="E505" s="7"/>
      <c r="F505" s="7"/>
      <c r="G505" s="66"/>
      <c r="H505" s="59"/>
      <c r="I505" s="59"/>
      <c r="J505" s="47">
        <f t="shared" si="109"/>
        <v>0</v>
      </c>
      <c r="K505" s="8">
        <f t="shared" si="110"/>
        <v>0</v>
      </c>
      <c r="L505" s="96" t="str">
        <f t="shared" si="111"/>
        <v/>
      </c>
      <c r="M505" s="81"/>
      <c r="N505" s="8">
        <v>300</v>
      </c>
      <c r="O505" s="8">
        <v>60</v>
      </c>
      <c r="P505" s="96" t="str">
        <f t="shared" si="112"/>
        <v/>
      </c>
      <c r="Q505" s="59">
        <f t="shared" si="113"/>
        <v>0</v>
      </c>
      <c r="R505" s="59">
        <f t="shared" si="114"/>
        <v>0</v>
      </c>
      <c r="S505" s="65"/>
      <c r="T505" s="65"/>
      <c r="U505" s="65"/>
      <c r="V505" s="65"/>
      <c r="W505" s="65"/>
      <c r="X505" s="65"/>
      <c r="Y505" s="65"/>
      <c r="Z505" s="65"/>
      <c r="AA505" s="65"/>
      <c r="AB505" s="65"/>
      <c r="AC505" s="65"/>
      <c r="AD505" s="65"/>
      <c r="AE505" s="65">
        <f t="shared" si="115"/>
        <v>0</v>
      </c>
      <c r="AF505" s="65"/>
      <c r="AG505" s="248">
        <f t="shared" si="116"/>
        <v>0</v>
      </c>
      <c r="AH505" s="95" t="str">
        <f t="shared" si="117"/>
        <v/>
      </c>
      <c r="AI505" s="97" t="str">
        <f t="shared" si="118"/>
        <v/>
      </c>
      <c r="AJ505" s="11"/>
    </row>
    <row r="506" spans="1:36" x14ac:dyDescent="0.25">
      <c r="A506">
        <f t="shared" si="108"/>
        <v>504</v>
      </c>
      <c r="D506" s="14">
        <v>46179</v>
      </c>
      <c r="E506" s="7"/>
      <c r="F506" s="7"/>
      <c r="G506" s="66"/>
      <c r="H506" s="59"/>
      <c r="I506" s="59"/>
      <c r="J506" s="47">
        <f t="shared" si="109"/>
        <v>0</v>
      </c>
      <c r="K506" s="8">
        <f t="shared" si="110"/>
        <v>0</v>
      </c>
      <c r="L506" s="96" t="str">
        <f t="shared" si="111"/>
        <v/>
      </c>
      <c r="M506" s="81"/>
      <c r="N506" s="8">
        <v>300</v>
      </c>
      <c r="O506" s="8">
        <v>60</v>
      </c>
      <c r="P506" s="96" t="str">
        <f t="shared" si="112"/>
        <v/>
      </c>
      <c r="Q506" s="59">
        <f t="shared" si="113"/>
        <v>0</v>
      </c>
      <c r="R506" s="59">
        <f t="shared" si="114"/>
        <v>0</v>
      </c>
      <c r="S506" s="65"/>
      <c r="T506" s="65"/>
      <c r="U506" s="65"/>
      <c r="V506" s="65"/>
      <c r="W506" s="65"/>
      <c r="X506" s="65"/>
      <c r="Y506" s="65"/>
      <c r="Z506" s="65"/>
      <c r="AA506" s="65"/>
      <c r="AB506" s="65"/>
      <c r="AC506" s="65"/>
      <c r="AD506" s="65"/>
      <c r="AE506" s="65">
        <f t="shared" si="115"/>
        <v>0</v>
      </c>
      <c r="AF506" s="65"/>
      <c r="AG506" s="248">
        <f t="shared" si="116"/>
        <v>0</v>
      </c>
      <c r="AH506" s="95" t="str">
        <f t="shared" si="117"/>
        <v/>
      </c>
      <c r="AI506" s="97" t="str">
        <f t="shared" si="118"/>
        <v/>
      </c>
      <c r="AJ506" s="11"/>
    </row>
    <row r="507" spans="1:36" x14ac:dyDescent="0.25">
      <c r="A507">
        <f t="shared" si="108"/>
        <v>505</v>
      </c>
      <c r="D507" s="14">
        <v>46180</v>
      </c>
      <c r="E507" s="7"/>
      <c r="F507" s="7"/>
      <c r="G507" s="66"/>
      <c r="H507" s="59"/>
      <c r="I507" s="59"/>
      <c r="J507" s="47">
        <f t="shared" si="109"/>
        <v>0</v>
      </c>
      <c r="K507" s="8">
        <f t="shared" si="110"/>
        <v>0</v>
      </c>
      <c r="L507" s="96" t="str">
        <f t="shared" si="111"/>
        <v/>
      </c>
      <c r="M507" s="81"/>
      <c r="N507" s="8">
        <v>300</v>
      </c>
      <c r="O507" s="8">
        <v>60</v>
      </c>
      <c r="P507" s="96" t="str">
        <f t="shared" si="112"/>
        <v/>
      </c>
      <c r="Q507" s="59">
        <f t="shared" si="113"/>
        <v>0</v>
      </c>
      <c r="R507" s="59">
        <f t="shared" si="114"/>
        <v>0</v>
      </c>
      <c r="S507" s="65"/>
      <c r="T507" s="65"/>
      <c r="U507" s="65"/>
      <c r="V507" s="65"/>
      <c r="W507" s="65"/>
      <c r="X507" s="65"/>
      <c r="Y507" s="65"/>
      <c r="Z507" s="65"/>
      <c r="AA507" s="65"/>
      <c r="AB507" s="65"/>
      <c r="AC507" s="65"/>
      <c r="AD507" s="65"/>
      <c r="AE507" s="65">
        <f t="shared" si="115"/>
        <v>0</v>
      </c>
      <c r="AF507" s="65"/>
      <c r="AG507" s="248">
        <f t="shared" si="116"/>
        <v>0</v>
      </c>
      <c r="AH507" s="95" t="str">
        <f t="shared" si="117"/>
        <v/>
      </c>
      <c r="AI507" s="97" t="str">
        <f t="shared" si="118"/>
        <v/>
      </c>
      <c r="AJ507" s="11"/>
    </row>
    <row r="508" spans="1:36" x14ac:dyDescent="0.25">
      <c r="A508">
        <f t="shared" si="108"/>
        <v>506</v>
      </c>
      <c r="D508" s="14">
        <v>46181</v>
      </c>
      <c r="E508" s="7"/>
      <c r="F508" s="7"/>
      <c r="G508" s="66"/>
      <c r="H508" s="59"/>
      <c r="I508" s="59"/>
      <c r="J508" s="47">
        <f t="shared" si="109"/>
        <v>0</v>
      </c>
      <c r="K508" s="8">
        <f t="shared" si="110"/>
        <v>0</v>
      </c>
      <c r="L508" s="96" t="str">
        <f t="shared" si="111"/>
        <v/>
      </c>
      <c r="M508" s="81"/>
      <c r="N508" s="8">
        <v>300</v>
      </c>
      <c r="O508" s="8">
        <v>60</v>
      </c>
      <c r="P508" s="96" t="str">
        <f t="shared" si="112"/>
        <v/>
      </c>
      <c r="Q508" s="59">
        <f t="shared" si="113"/>
        <v>0</v>
      </c>
      <c r="R508" s="59">
        <f t="shared" si="114"/>
        <v>0</v>
      </c>
      <c r="S508" s="65"/>
      <c r="T508" s="65"/>
      <c r="U508" s="65"/>
      <c r="V508" s="65"/>
      <c r="W508" s="65"/>
      <c r="X508" s="65"/>
      <c r="Y508" s="65"/>
      <c r="Z508" s="65"/>
      <c r="AA508" s="65"/>
      <c r="AB508" s="65"/>
      <c r="AC508" s="65"/>
      <c r="AD508" s="65"/>
      <c r="AE508" s="65">
        <f t="shared" si="115"/>
        <v>0</v>
      </c>
      <c r="AF508" s="65"/>
      <c r="AG508" s="248">
        <f t="shared" si="116"/>
        <v>0</v>
      </c>
      <c r="AH508" s="95" t="str">
        <f t="shared" si="117"/>
        <v/>
      </c>
      <c r="AI508" s="97" t="str">
        <f t="shared" si="118"/>
        <v/>
      </c>
      <c r="AJ508" s="11"/>
    </row>
    <row r="509" spans="1:36" x14ac:dyDescent="0.25">
      <c r="A509">
        <f t="shared" si="108"/>
        <v>507</v>
      </c>
      <c r="D509" s="14">
        <v>46182</v>
      </c>
      <c r="E509" s="7"/>
      <c r="F509" s="7"/>
      <c r="G509" s="66"/>
      <c r="H509" s="59"/>
      <c r="I509" s="59"/>
      <c r="J509" s="47">
        <f t="shared" si="109"/>
        <v>0</v>
      </c>
      <c r="K509" s="8">
        <f t="shared" si="110"/>
        <v>0</v>
      </c>
      <c r="L509" s="96" t="str">
        <f t="shared" si="111"/>
        <v/>
      </c>
      <c r="M509" s="81"/>
      <c r="N509" s="8">
        <v>300</v>
      </c>
      <c r="O509" s="8">
        <v>60</v>
      </c>
      <c r="P509" s="96" t="str">
        <f t="shared" si="112"/>
        <v/>
      </c>
      <c r="Q509" s="59">
        <f t="shared" si="113"/>
        <v>0</v>
      </c>
      <c r="R509" s="59">
        <f t="shared" si="114"/>
        <v>0</v>
      </c>
      <c r="S509" s="65"/>
      <c r="T509" s="65"/>
      <c r="U509" s="65"/>
      <c r="V509" s="65"/>
      <c r="W509" s="65"/>
      <c r="X509" s="65"/>
      <c r="Y509" s="65"/>
      <c r="Z509" s="65"/>
      <c r="AA509" s="65"/>
      <c r="AB509" s="65"/>
      <c r="AC509" s="65"/>
      <c r="AD509" s="65"/>
      <c r="AE509" s="65">
        <f t="shared" si="115"/>
        <v>0</v>
      </c>
      <c r="AF509" s="65"/>
      <c r="AG509" s="248">
        <f t="shared" si="116"/>
        <v>0</v>
      </c>
      <c r="AH509" s="95" t="str">
        <f t="shared" si="117"/>
        <v/>
      </c>
      <c r="AI509" s="97" t="str">
        <f t="shared" si="118"/>
        <v/>
      </c>
      <c r="AJ509" s="11"/>
    </row>
    <row r="510" spans="1:36" x14ac:dyDescent="0.25">
      <c r="A510">
        <f t="shared" si="108"/>
        <v>508</v>
      </c>
      <c r="D510" s="14">
        <v>46183</v>
      </c>
      <c r="E510" s="7"/>
      <c r="F510" s="7"/>
      <c r="G510" s="66"/>
      <c r="H510" s="59"/>
      <c r="I510" s="59"/>
      <c r="J510" s="47">
        <f t="shared" si="109"/>
        <v>0</v>
      </c>
      <c r="K510" s="8">
        <f t="shared" si="110"/>
        <v>0</v>
      </c>
      <c r="L510" s="96" t="str">
        <f t="shared" si="111"/>
        <v/>
      </c>
      <c r="M510" s="81"/>
      <c r="N510" s="8">
        <v>300</v>
      </c>
      <c r="O510" s="8">
        <v>60</v>
      </c>
      <c r="P510" s="96" t="str">
        <f t="shared" si="112"/>
        <v/>
      </c>
      <c r="Q510" s="59">
        <f t="shared" si="113"/>
        <v>0</v>
      </c>
      <c r="R510" s="59">
        <f t="shared" si="114"/>
        <v>0</v>
      </c>
      <c r="S510" s="65"/>
      <c r="T510" s="65"/>
      <c r="U510" s="65"/>
      <c r="V510" s="65"/>
      <c r="W510" s="65"/>
      <c r="X510" s="65"/>
      <c r="Y510" s="65"/>
      <c r="Z510" s="65"/>
      <c r="AA510" s="65"/>
      <c r="AB510" s="65"/>
      <c r="AC510" s="65"/>
      <c r="AD510" s="65"/>
      <c r="AE510" s="65">
        <f t="shared" si="115"/>
        <v>0</v>
      </c>
      <c r="AF510" s="65"/>
      <c r="AG510" s="248">
        <f t="shared" si="116"/>
        <v>0</v>
      </c>
      <c r="AH510" s="95" t="str">
        <f t="shared" si="117"/>
        <v/>
      </c>
      <c r="AI510" s="97" t="str">
        <f t="shared" si="118"/>
        <v/>
      </c>
      <c r="AJ510" s="11"/>
    </row>
    <row r="511" spans="1:36" x14ac:dyDescent="0.25">
      <c r="A511">
        <f t="shared" si="108"/>
        <v>509</v>
      </c>
      <c r="D511" s="14">
        <v>46184</v>
      </c>
      <c r="E511" s="7"/>
      <c r="F511" s="7"/>
      <c r="G511" s="66"/>
      <c r="H511" s="59"/>
      <c r="I511" s="59"/>
      <c r="J511" s="47">
        <f t="shared" si="109"/>
        <v>0</v>
      </c>
      <c r="K511" s="8">
        <f t="shared" si="110"/>
        <v>0</v>
      </c>
      <c r="L511" s="96" t="str">
        <f t="shared" si="111"/>
        <v/>
      </c>
      <c r="M511" s="81"/>
      <c r="N511" s="8">
        <v>300</v>
      </c>
      <c r="O511" s="8">
        <v>60</v>
      </c>
      <c r="P511" s="96" t="str">
        <f t="shared" si="112"/>
        <v/>
      </c>
      <c r="Q511" s="59">
        <f t="shared" si="113"/>
        <v>0</v>
      </c>
      <c r="R511" s="59">
        <f t="shared" si="114"/>
        <v>0</v>
      </c>
      <c r="S511" s="65"/>
      <c r="T511" s="65"/>
      <c r="U511" s="65"/>
      <c r="V511" s="65"/>
      <c r="W511" s="65"/>
      <c r="X511" s="65"/>
      <c r="Y511" s="65"/>
      <c r="Z511" s="65"/>
      <c r="AA511" s="65"/>
      <c r="AB511" s="65"/>
      <c r="AC511" s="65"/>
      <c r="AD511" s="65"/>
      <c r="AE511" s="65">
        <f t="shared" si="115"/>
        <v>0</v>
      </c>
      <c r="AF511" s="65"/>
      <c r="AG511" s="248">
        <f t="shared" si="116"/>
        <v>0</v>
      </c>
      <c r="AH511" s="95" t="str">
        <f t="shared" si="117"/>
        <v/>
      </c>
      <c r="AI511" s="97" t="str">
        <f t="shared" si="118"/>
        <v/>
      </c>
      <c r="AJ511" s="11"/>
    </row>
    <row r="512" spans="1:36" x14ac:dyDescent="0.25">
      <c r="A512">
        <f t="shared" si="108"/>
        <v>510</v>
      </c>
      <c r="D512" s="14">
        <v>46185</v>
      </c>
      <c r="E512" s="7"/>
      <c r="F512" s="7"/>
      <c r="G512" s="66"/>
      <c r="H512" s="59"/>
      <c r="I512" s="59"/>
      <c r="J512" s="47">
        <f t="shared" si="109"/>
        <v>0</v>
      </c>
      <c r="K512" s="8">
        <f t="shared" si="110"/>
        <v>0</v>
      </c>
      <c r="L512" s="96" t="str">
        <f t="shared" si="111"/>
        <v/>
      </c>
      <c r="M512" s="81"/>
      <c r="N512" s="8">
        <v>300</v>
      </c>
      <c r="O512" s="8">
        <v>60</v>
      </c>
      <c r="P512" s="96" t="str">
        <f t="shared" si="112"/>
        <v/>
      </c>
      <c r="Q512" s="59">
        <f t="shared" si="113"/>
        <v>0</v>
      </c>
      <c r="R512" s="59">
        <f t="shared" si="114"/>
        <v>0</v>
      </c>
      <c r="S512" s="65"/>
      <c r="T512" s="65"/>
      <c r="U512" s="65"/>
      <c r="V512" s="65"/>
      <c r="W512" s="65"/>
      <c r="X512" s="65"/>
      <c r="Y512" s="65"/>
      <c r="Z512" s="65"/>
      <c r="AA512" s="65"/>
      <c r="AB512" s="65"/>
      <c r="AC512" s="65"/>
      <c r="AD512" s="65"/>
      <c r="AE512" s="65">
        <f t="shared" si="115"/>
        <v>0</v>
      </c>
      <c r="AF512" s="65"/>
      <c r="AG512" s="248">
        <f t="shared" si="116"/>
        <v>0</v>
      </c>
      <c r="AH512" s="95" t="str">
        <f t="shared" si="117"/>
        <v/>
      </c>
      <c r="AI512" s="97" t="str">
        <f t="shared" si="118"/>
        <v/>
      </c>
      <c r="AJ512" s="11"/>
    </row>
    <row r="513" spans="1:36" x14ac:dyDescent="0.25">
      <c r="A513">
        <f t="shared" si="108"/>
        <v>511</v>
      </c>
      <c r="D513" s="14">
        <v>46186</v>
      </c>
      <c r="E513" s="7"/>
      <c r="F513" s="7"/>
      <c r="G513" s="66"/>
      <c r="H513" s="59"/>
      <c r="I513" s="59"/>
      <c r="J513" s="47">
        <f t="shared" si="109"/>
        <v>0</v>
      </c>
      <c r="K513" s="8">
        <f t="shared" si="110"/>
        <v>0</v>
      </c>
      <c r="L513" s="96" t="str">
        <f t="shared" si="111"/>
        <v/>
      </c>
      <c r="M513" s="81"/>
      <c r="N513" s="8">
        <v>300</v>
      </c>
      <c r="O513" s="8">
        <v>60</v>
      </c>
      <c r="P513" s="96" t="str">
        <f t="shared" si="112"/>
        <v/>
      </c>
      <c r="Q513" s="59">
        <f t="shared" si="113"/>
        <v>0</v>
      </c>
      <c r="R513" s="59">
        <f t="shared" si="114"/>
        <v>0</v>
      </c>
      <c r="S513" s="65"/>
      <c r="T513" s="65"/>
      <c r="U513" s="65"/>
      <c r="V513" s="65"/>
      <c r="W513" s="65"/>
      <c r="X513" s="65"/>
      <c r="Y513" s="65"/>
      <c r="Z513" s="65"/>
      <c r="AA513" s="65"/>
      <c r="AB513" s="65"/>
      <c r="AC513" s="65"/>
      <c r="AD513" s="65"/>
      <c r="AE513" s="65">
        <f t="shared" si="115"/>
        <v>0</v>
      </c>
      <c r="AF513" s="65"/>
      <c r="AG513" s="248">
        <f t="shared" si="116"/>
        <v>0</v>
      </c>
      <c r="AH513" s="95" t="str">
        <f t="shared" si="117"/>
        <v/>
      </c>
      <c r="AI513" s="97" t="str">
        <f t="shared" si="118"/>
        <v/>
      </c>
      <c r="AJ513" s="11"/>
    </row>
    <row r="514" spans="1:36" x14ac:dyDescent="0.25">
      <c r="A514">
        <f t="shared" si="108"/>
        <v>512</v>
      </c>
      <c r="D514" s="14">
        <v>46187</v>
      </c>
      <c r="E514" s="7"/>
      <c r="F514" s="7"/>
      <c r="G514" s="66"/>
      <c r="H514" s="59"/>
      <c r="I514" s="59"/>
      <c r="J514" s="47">
        <f t="shared" si="109"/>
        <v>0</v>
      </c>
      <c r="K514" s="8">
        <f t="shared" si="110"/>
        <v>0</v>
      </c>
      <c r="L514" s="96" t="str">
        <f t="shared" si="111"/>
        <v/>
      </c>
      <c r="M514" s="81"/>
      <c r="N514" s="8">
        <v>300</v>
      </c>
      <c r="O514" s="8">
        <v>60</v>
      </c>
      <c r="P514" s="96" t="str">
        <f t="shared" si="112"/>
        <v/>
      </c>
      <c r="Q514" s="59">
        <f t="shared" si="113"/>
        <v>0</v>
      </c>
      <c r="R514" s="59">
        <f t="shared" si="114"/>
        <v>0</v>
      </c>
      <c r="S514" s="65"/>
      <c r="T514" s="65"/>
      <c r="U514" s="65"/>
      <c r="V514" s="65"/>
      <c r="W514" s="65"/>
      <c r="X514" s="65"/>
      <c r="Y514" s="65"/>
      <c r="Z514" s="65"/>
      <c r="AA514" s="65"/>
      <c r="AB514" s="65"/>
      <c r="AC514" s="65"/>
      <c r="AD514" s="65"/>
      <c r="AE514" s="65">
        <f t="shared" si="115"/>
        <v>0</v>
      </c>
      <c r="AF514" s="65"/>
      <c r="AG514" s="248">
        <f t="shared" si="116"/>
        <v>0</v>
      </c>
      <c r="AH514" s="95" t="str">
        <f t="shared" si="117"/>
        <v/>
      </c>
      <c r="AI514" s="97" t="str">
        <f t="shared" si="118"/>
        <v/>
      </c>
      <c r="AJ514" s="11"/>
    </row>
    <row r="515" spans="1:36" x14ac:dyDescent="0.25">
      <c r="A515">
        <f t="shared" si="108"/>
        <v>513</v>
      </c>
      <c r="D515" s="14">
        <v>46188</v>
      </c>
      <c r="E515" s="7"/>
      <c r="F515" s="7"/>
      <c r="G515" s="66"/>
      <c r="H515" s="59"/>
      <c r="I515" s="59"/>
      <c r="J515" s="47">
        <f t="shared" si="109"/>
        <v>0</v>
      </c>
      <c r="K515" s="8">
        <f t="shared" si="110"/>
        <v>0</v>
      </c>
      <c r="L515" s="96" t="str">
        <f t="shared" si="111"/>
        <v/>
      </c>
      <c r="M515" s="81"/>
      <c r="N515" s="8">
        <v>300</v>
      </c>
      <c r="O515" s="8">
        <v>60</v>
      </c>
      <c r="P515" s="96" t="str">
        <f t="shared" si="112"/>
        <v/>
      </c>
      <c r="Q515" s="59">
        <f t="shared" si="113"/>
        <v>0</v>
      </c>
      <c r="R515" s="59">
        <f t="shared" si="114"/>
        <v>0</v>
      </c>
      <c r="S515" s="65"/>
      <c r="T515" s="65"/>
      <c r="U515" s="65"/>
      <c r="V515" s="65"/>
      <c r="W515" s="65"/>
      <c r="X515" s="65"/>
      <c r="Y515" s="65"/>
      <c r="Z515" s="65"/>
      <c r="AA515" s="65"/>
      <c r="AB515" s="65"/>
      <c r="AC515" s="65"/>
      <c r="AD515" s="65"/>
      <c r="AE515" s="65">
        <f t="shared" si="115"/>
        <v>0</v>
      </c>
      <c r="AF515" s="65"/>
      <c r="AG515" s="248">
        <f t="shared" si="116"/>
        <v>0</v>
      </c>
      <c r="AH515" s="95" t="str">
        <f t="shared" si="117"/>
        <v/>
      </c>
      <c r="AI515" s="97" t="str">
        <f t="shared" si="118"/>
        <v/>
      </c>
      <c r="AJ515" s="11"/>
    </row>
    <row r="516" spans="1:36" x14ac:dyDescent="0.25">
      <c r="A516">
        <f t="shared" si="108"/>
        <v>514</v>
      </c>
      <c r="D516" s="14">
        <v>46189</v>
      </c>
      <c r="E516" s="7"/>
      <c r="F516" s="7"/>
      <c r="G516" s="66"/>
      <c r="H516" s="59"/>
      <c r="I516" s="59"/>
      <c r="J516" s="47">
        <f t="shared" si="109"/>
        <v>0</v>
      </c>
      <c r="K516" s="8">
        <f t="shared" si="110"/>
        <v>0</v>
      </c>
      <c r="L516" s="96" t="str">
        <f t="shared" si="111"/>
        <v/>
      </c>
      <c r="M516" s="81"/>
      <c r="N516" s="8">
        <v>300</v>
      </c>
      <c r="O516" s="8">
        <v>60</v>
      </c>
      <c r="P516" s="96" t="str">
        <f t="shared" si="112"/>
        <v/>
      </c>
      <c r="Q516" s="59">
        <f t="shared" si="113"/>
        <v>0</v>
      </c>
      <c r="R516" s="59">
        <f t="shared" si="114"/>
        <v>0</v>
      </c>
      <c r="S516" s="65"/>
      <c r="T516" s="65"/>
      <c r="U516" s="65"/>
      <c r="V516" s="65"/>
      <c r="W516" s="65"/>
      <c r="X516" s="65"/>
      <c r="Y516" s="65"/>
      <c r="Z516" s="65"/>
      <c r="AA516" s="65"/>
      <c r="AB516" s="65"/>
      <c r="AC516" s="65"/>
      <c r="AD516" s="65"/>
      <c r="AE516" s="65">
        <f t="shared" si="115"/>
        <v>0</v>
      </c>
      <c r="AF516" s="65"/>
      <c r="AG516" s="248">
        <f t="shared" si="116"/>
        <v>0</v>
      </c>
      <c r="AH516" s="95" t="str">
        <f t="shared" si="117"/>
        <v/>
      </c>
      <c r="AI516" s="97" t="str">
        <f t="shared" si="118"/>
        <v/>
      </c>
      <c r="AJ516" s="11"/>
    </row>
    <row r="517" spans="1:36" x14ac:dyDescent="0.25">
      <c r="A517">
        <f t="shared" ref="A517" si="119">A516+1</f>
        <v>515</v>
      </c>
      <c r="D517" s="14">
        <v>46190</v>
      </c>
      <c r="E517" s="7"/>
      <c r="F517" s="7"/>
      <c r="G517" s="66"/>
      <c r="H517" s="59"/>
      <c r="I517" s="59"/>
      <c r="J517" s="47">
        <f t="shared" si="109"/>
        <v>0</v>
      </c>
      <c r="K517" s="8">
        <f t="shared" si="110"/>
        <v>0</v>
      </c>
      <c r="L517" s="96" t="str">
        <f t="shared" si="111"/>
        <v/>
      </c>
      <c r="M517" s="81"/>
      <c r="N517" s="8">
        <v>300</v>
      </c>
      <c r="O517" s="8">
        <v>60</v>
      </c>
      <c r="P517" s="96" t="str">
        <f t="shared" si="112"/>
        <v/>
      </c>
      <c r="Q517" s="59">
        <f t="shared" si="113"/>
        <v>0</v>
      </c>
      <c r="R517" s="59">
        <f t="shared" si="114"/>
        <v>0</v>
      </c>
      <c r="S517" s="65"/>
      <c r="T517" s="65"/>
      <c r="U517" s="65"/>
      <c r="V517" s="65"/>
      <c r="W517" s="65"/>
      <c r="X517" s="65"/>
      <c r="Y517" s="65"/>
      <c r="Z517" s="65"/>
      <c r="AA517" s="65"/>
      <c r="AB517" s="65"/>
      <c r="AC517" s="65"/>
      <c r="AD517" s="65"/>
      <c r="AE517" s="65">
        <f t="shared" si="115"/>
        <v>0</v>
      </c>
      <c r="AF517" s="65"/>
      <c r="AG517" s="248">
        <f t="shared" si="116"/>
        <v>0</v>
      </c>
      <c r="AH517" s="95" t="str">
        <f t="shared" si="117"/>
        <v/>
      </c>
      <c r="AI517" s="97" t="str">
        <f t="shared" si="118"/>
        <v/>
      </c>
      <c r="AJ517" s="11"/>
    </row>
  </sheetData>
  <sheetProtection formatCells="0" formatColumns="0" formatRows="0" insertColumns="0" insertRows="0" insertHyperlinks="0" deleteColumns="0" deleteRows="0" selectLockedCells="1" sort="0" autoFilter="0" pivotTables="0"/>
  <autoFilter ref="A2:AI205" xr:uid="{00000000-0009-0000-0000-00000F000000}"/>
  <mergeCells count="5">
    <mergeCell ref="A1:D1"/>
    <mergeCell ref="E1:G1"/>
    <mergeCell ref="H1:L1"/>
    <mergeCell ref="M1:P1"/>
    <mergeCell ref="Q1:AH1"/>
  </mergeCells>
  <phoneticPr fontId="68" type="noConversion"/>
  <pageMargins left="0.7" right="0.7" top="0.75" bottom="0.75" header="0.3" footer="0.3"/>
  <pageSetup paperSize="9" orientation="landscape" r:id="rId1"/>
  <ignoredErrors>
    <ignoredError sqref="AE3:AE43" formulaRange="1"/>
  </ignoredError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66FF"/>
    <pageSetUpPr fitToPage="1"/>
  </sheetPr>
  <dimension ref="A2:E36"/>
  <sheetViews>
    <sheetView workbookViewId="0">
      <selection activeCell="W13" sqref="W13"/>
    </sheetView>
  </sheetViews>
  <sheetFormatPr baseColWidth="10" defaultColWidth="11.42578125" defaultRowHeight="15" x14ac:dyDescent="0.25"/>
  <cols>
    <col min="3" max="3" width="13.5703125" customWidth="1"/>
  </cols>
  <sheetData>
    <row r="2" spans="1:5" x14ac:dyDescent="0.25">
      <c r="A2" s="278" t="s">
        <v>12</v>
      </c>
      <c r="B2" s="278" t="s">
        <v>1788</v>
      </c>
      <c r="C2" s="278" t="s">
        <v>1775</v>
      </c>
      <c r="D2" s="278" t="s">
        <v>1789</v>
      </c>
      <c r="E2" s="278" t="s">
        <v>1790</v>
      </c>
    </row>
    <row r="3" spans="1:5" x14ac:dyDescent="0.25">
      <c r="A3" s="270">
        <v>45505</v>
      </c>
      <c r="B3" s="271">
        <v>0.88969138730629527</v>
      </c>
      <c r="C3" s="272">
        <v>5765.1906916612807</v>
      </c>
      <c r="D3" s="271">
        <v>0.92578486450760078</v>
      </c>
      <c r="E3" s="201">
        <v>7</v>
      </c>
    </row>
    <row r="4" spans="1:5" x14ac:dyDescent="0.25">
      <c r="A4" s="270">
        <v>45506</v>
      </c>
      <c r="B4" s="271">
        <v>0.85902127442996734</v>
      </c>
      <c r="C4" s="272">
        <v>3257.328990228013</v>
      </c>
      <c r="D4" s="271">
        <v>0.90781250000000002</v>
      </c>
      <c r="E4" s="201">
        <v>2</v>
      </c>
    </row>
    <row r="5" spans="1:5" x14ac:dyDescent="0.25">
      <c r="A5" s="270">
        <v>45511</v>
      </c>
      <c r="B5" s="271">
        <v>9.08078264238667E-2</v>
      </c>
      <c r="C5" s="272">
        <v>6896.5517241379312</v>
      </c>
      <c r="D5" s="271">
        <v>0.10533707865168539</v>
      </c>
      <c r="E5" s="201">
        <v>1</v>
      </c>
    </row>
    <row r="6" spans="1:5" x14ac:dyDescent="0.25">
      <c r="A6" s="270">
        <v>45512</v>
      </c>
      <c r="B6" s="271">
        <v>0.66325918406263973</v>
      </c>
      <c r="C6" s="272">
        <v>4177.8020179983632</v>
      </c>
      <c r="D6" s="271">
        <v>0.70753056840713813</v>
      </c>
      <c r="E6" s="201">
        <v>4</v>
      </c>
    </row>
    <row r="7" spans="1:5" x14ac:dyDescent="0.25">
      <c r="A7" s="270">
        <v>45516</v>
      </c>
      <c r="B7" s="271">
        <v>0.91989977880567997</v>
      </c>
      <c r="C7" s="272">
        <v>1716.6446509001596</v>
      </c>
      <c r="D7" s="271">
        <v>0.92554527428949096</v>
      </c>
      <c r="E7" s="201">
        <v>2</v>
      </c>
    </row>
    <row r="8" spans="1:5" x14ac:dyDescent="0.25">
      <c r="A8" s="270">
        <v>45517</v>
      </c>
      <c r="B8" s="271">
        <v>0.45184248734825505</v>
      </c>
      <c r="C8" s="272">
        <v>1742.1602787456445</v>
      </c>
      <c r="D8" s="271">
        <v>0.45456047587574355</v>
      </c>
      <c r="E8" s="201">
        <v>1</v>
      </c>
    </row>
    <row r="9" spans="1:5" x14ac:dyDescent="0.25">
      <c r="A9" s="270">
        <v>45518</v>
      </c>
      <c r="B9" s="271">
        <v>0.78698035784320508</v>
      </c>
      <c r="C9" s="272">
        <v>2904.162633107454</v>
      </c>
      <c r="D9" s="271">
        <v>0.79888466622604093</v>
      </c>
      <c r="E9" s="201">
        <v>3</v>
      </c>
    </row>
    <row r="10" spans="1:5" x14ac:dyDescent="0.25">
      <c r="A10" s="270">
        <v>45519</v>
      </c>
      <c r="B10" s="271">
        <v>0.86364493256578556</v>
      </c>
      <c r="C10" s="272">
        <v>4989.8512173379468</v>
      </c>
      <c r="D10" s="271">
        <v>0.87386814276272307</v>
      </c>
      <c r="E10" s="201">
        <v>6</v>
      </c>
    </row>
    <row r="11" spans="1:5" x14ac:dyDescent="0.25">
      <c r="A11" s="270">
        <v>45523</v>
      </c>
      <c r="B11" s="271">
        <v>0.74918879085034995</v>
      </c>
      <c r="C11" s="272">
        <v>19636.744009128946</v>
      </c>
      <c r="D11" s="271">
        <v>0.81471813725490205</v>
      </c>
      <c r="E11" s="201">
        <v>6</v>
      </c>
    </row>
    <row r="12" spans="1:5" x14ac:dyDescent="0.25">
      <c r="A12" s="270">
        <v>45524</v>
      </c>
      <c r="B12" s="271">
        <v>0.53363095238095237</v>
      </c>
      <c r="C12" s="272">
        <v>0</v>
      </c>
      <c r="D12" s="271">
        <v>0.67500000000000004</v>
      </c>
      <c r="E12" s="201">
        <v>0</v>
      </c>
    </row>
    <row r="13" spans="1:5" x14ac:dyDescent="0.25">
      <c r="A13" s="270">
        <v>45527</v>
      </c>
      <c r="B13" s="271">
        <v>0.68496749167294879</v>
      </c>
      <c r="C13" s="272">
        <v>30318.278137247256</v>
      </c>
      <c r="D13" s="271">
        <v>0.71587078651685387</v>
      </c>
      <c r="E13" s="201">
        <v>18</v>
      </c>
    </row>
    <row r="14" spans="1:5" x14ac:dyDescent="0.25">
      <c r="A14" s="270">
        <v>45530</v>
      </c>
      <c r="B14" s="271">
        <v>1</v>
      </c>
      <c r="C14" s="272">
        <v>775</v>
      </c>
      <c r="D14" s="271">
        <v>1.01</v>
      </c>
      <c r="E14" s="201">
        <v>1</v>
      </c>
    </row>
    <row r="15" spans="1:5" x14ac:dyDescent="0.25">
      <c r="A15" s="270">
        <v>45531</v>
      </c>
      <c r="B15" s="271">
        <v>1.06</v>
      </c>
      <c r="C15" s="272">
        <v>1484</v>
      </c>
      <c r="D15" s="271">
        <v>0.8</v>
      </c>
      <c r="E15" s="201">
        <v>7</v>
      </c>
    </row>
    <row r="16" spans="1:5" x14ac:dyDescent="0.25">
      <c r="A16" s="270">
        <v>45532</v>
      </c>
      <c r="B16" s="271"/>
      <c r="C16" s="272"/>
      <c r="D16" s="271"/>
      <c r="E16" s="201"/>
    </row>
    <row r="17" spans="1:5" x14ac:dyDescent="0.25">
      <c r="A17" s="270">
        <v>45533</v>
      </c>
      <c r="B17" s="271"/>
      <c r="C17" s="272"/>
      <c r="D17" s="271"/>
      <c r="E17" s="201"/>
    </row>
    <row r="18" spans="1:5" x14ac:dyDescent="0.25">
      <c r="A18" s="270">
        <v>45534</v>
      </c>
      <c r="B18" s="271"/>
      <c r="C18" s="272"/>
      <c r="D18" s="271"/>
      <c r="E18" s="201"/>
    </row>
    <row r="19" spans="1:5" x14ac:dyDescent="0.25">
      <c r="A19" s="270">
        <v>45535</v>
      </c>
      <c r="B19" s="271"/>
      <c r="C19" s="272"/>
      <c r="D19" s="271"/>
      <c r="E19" s="201"/>
    </row>
    <row r="20" spans="1:5" x14ac:dyDescent="0.25">
      <c r="A20" s="270">
        <v>45536</v>
      </c>
      <c r="B20" s="271"/>
      <c r="C20" s="272"/>
      <c r="D20" s="271"/>
      <c r="E20" s="201"/>
    </row>
    <row r="21" spans="1:5" x14ac:dyDescent="0.25">
      <c r="A21" s="270">
        <v>45537</v>
      </c>
      <c r="B21" s="271"/>
      <c r="C21" s="272"/>
      <c r="D21" s="271"/>
      <c r="E21" s="201"/>
    </row>
    <row r="22" spans="1:5" x14ac:dyDescent="0.25">
      <c r="A22" s="270">
        <v>45538</v>
      </c>
      <c r="B22" s="271"/>
      <c r="C22" s="272"/>
      <c r="D22" s="271"/>
      <c r="E22" s="201"/>
    </row>
    <row r="23" spans="1:5" x14ac:dyDescent="0.25">
      <c r="A23" s="270">
        <v>45539</v>
      </c>
      <c r="B23" s="271"/>
      <c r="C23" s="272"/>
      <c r="D23" s="271"/>
      <c r="E23" s="201"/>
    </row>
    <row r="24" spans="1:5" x14ac:dyDescent="0.25">
      <c r="A24" s="270">
        <v>45540</v>
      </c>
      <c r="B24" s="271"/>
      <c r="C24" s="272"/>
      <c r="D24" s="271"/>
      <c r="E24" s="201"/>
    </row>
    <row r="25" spans="1:5" x14ac:dyDescent="0.25">
      <c r="A25" s="270">
        <v>45541</v>
      </c>
      <c r="B25" s="271"/>
      <c r="C25" s="272"/>
      <c r="D25" s="271"/>
      <c r="E25" s="201"/>
    </row>
    <row r="26" spans="1:5" x14ac:dyDescent="0.25">
      <c r="A26" s="270">
        <v>45542</v>
      </c>
      <c r="B26" s="271"/>
      <c r="C26" s="272"/>
      <c r="D26" s="271"/>
      <c r="E26" s="201"/>
    </row>
    <row r="27" spans="1:5" x14ac:dyDescent="0.25">
      <c r="A27" s="270">
        <v>45543</v>
      </c>
      <c r="B27" s="271"/>
      <c r="C27" s="272"/>
      <c r="D27" s="271"/>
      <c r="E27" s="201"/>
    </row>
    <row r="28" spans="1:5" x14ac:dyDescent="0.25">
      <c r="A28" s="270">
        <v>45544</v>
      </c>
      <c r="B28" s="271"/>
      <c r="C28" s="272"/>
      <c r="D28" s="271"/>
      <c r="E28" s="201"/>
    </row>
    <row r="29" spans="1:5" x14ac:dyDescent="0.25">
      <c r="A29" s="270">
        <v>45545</v>
      </c>
      <c r="B29" s="271"/>
      <c r="C29" s="272"/>
      <c r="D29" s="271"/>
      <c r="E29" s="201"/>
    </row>
    <row r="30" spans="1:5" x14ac:dyDescent="0.25">
      <c r="A30" s="270">
        <v>45546</v>
      </c>
      <c r="B30" s="271"/>
      <c r="C30" s="272"/>
      <c r="D30" s="271"/>
      <c r="E30" s="201"/>
    </row>
    <row r="31" spans="1:5" x14ac:dyDescent="0.25">
      <c r="A31" s="270">
        <v>45547</v>
      </c>
      <c r="B31" s="271"/>
      <c r="C31" s="272"/>
      <c r="D31" s="271"/>
      <c r="E31" s="201"/>
    </row>
    <row r="32" spans="1:5" x14ac:dyDescent="0.25">
      <c r="A32" s="270">
        <v>45548</v>
      </c>
      <c r="B32" s="271"/>
      <c r="C32" s="272"/>
      <c r="D32" s="271"/>
      <c r="E32" s="201"/>
    </row>
    <row r="33" spans="1:5" x14ac:dyDescent="0.25">
      <c r="A33" s="270">
        <v>45549</v>
      </c>
      <c r="B33" s="271"/>
      <c r="C33" s="272"/>
      <c r="D33" s="271"/>
      <c r="E33" s="201"/>
    </row>
    <row r="34" spans="1:5" x14ac:dyDescent="0.25">
      <c r="A34" s="270">
        <v>45550</v>
      </c>
      <c r="B34" s="271"/>
      <c r="C34" s="272"/>
      <c r="D34" s="271"/>
      <c r="E34" s="201"/>
    </row>
    <row r="35" spans="1:5" x14ac:dyDescent="0.25">
      <c r="A35" s="270">
        <v>45551</v>
      </c>
      <c r="B35" s="271"/>
      <c r="C35" s="272"/>
      <c r="D35" s="271"/>
      <c r="E35" s="201"/>
    </row>
    <row r="36" spans="1:5" x14ac:dyDescent="0.25">
      <c r="A36" s="270">
        <v>45552</v>
      </c>
      <c r="B36" s="271"/>
      <c r="C36" s="272"/>
      <c r="D36" s="271"/>
      <c r="E36" s="201"/>
    </row>
  </sheetData>
  <pageMargins left="0.70866141732283472" right="0.70866141732283472" top="0.74803149606299213" bottom="0.74803149606299213" header="0.31496062992125984" footer="0.31496062992125984"/>
  <pageSetup paperSize="9"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0">
    <tabColor rgb="FF0066FF"/>
    <pageSetUpPr fitToPage="1"/>
  </sheetPr>
  <dimension ref="A1:U35"/>
  <sheetViews>
    <sheetView showGridLines="0" zoomScale="84" zoomScaleNormal="84" workbookViewId="0">
      <selection activeCell="B6" sqref="B6"/>
    </sheetView>
  </sheetViews>
  <sheetFormatPr baseColWidth="10" defaultColWidth="9.140625" defaultRowHeight="15" customHeight="1" x14ac:dyDescent="0.25"/>
  <cols>
    <col min="1" max="1" width="31.42578125" bestFit="1" customWidth="1"/>
    <col min="2" max="14" width="15.7109375" customWidth="1"/>
    <col min="15" max="15" width="6.28515625" customWidth="1"/>
    <col min="16" max="16" width="22.7109375" bestFit="1" customWidth="1"/>
    <col min="17" max="17" width="11" customWidth="1"/>
    <col min="18" max="20" width="10.7109375" customWidth="1"/>
    <col min="21" max="21" width="3.85546875" customWidth="1"/>
  </cols>
  <sheetData>
    <row r="1" spans="1:21" ht="15" customHeight="1" x14ac:dyDescent="0.3">
      <c r="P1" s="375"/>
      <c r="Q1" s="375"/>
      <c r="R1" s="375"/>
      <c r="S1" s="375"/>
      <c r="T1" s="375"/>
      <c r="U1" s="375"/>
    </row>
    <row r="2" spans="1:21" ht="15" customHeight="1" x14ac:dyDescent="0.3">
      <c r="P2" s="139"/>
      <c r="Q2" s="375"/>
      <c r="R2" s="375"/>
      <c r="S2" s="375"/>
      <c r="T2" s="375"/>
      <c r="U2" s="375"/>
    </row>
    <row r="3" spans="1:21" ht="15" customHeight="1" x14ac:dyDescent="0.3">
      <c r="A3" s="21"/>
      <c r="B3" s="2"/>
      <c r="C3" s="2"/>
      <c r="I3" s="132"/>
      <c r="J3" s="132"/>
      <c r="K3" s="132"/>
      <c r="L3" s="132"/>
      <c r="M3" s="132"/>
      <c r="P3" s="139"/>
      <c r="Q3" s="375"/>
      <c r="R3" s="375"/>
      <c r="S3" s="375"/>
      <c r="T3" s="375"/>
      <c r="U3" s="375"/>
    </row>
    <row r="4" spans="1:21" ht="15" customHeight="1" thickBot="1" x14ac:dyDescent="0.35">
      <c r="A4" s="2"/>
      <c r="B4" s="2"/>
      <c r="C4" s="2"/>
      <c r="I4" s="132"/>
      <c r="J4" s="132"/>
      <c r="K4" s="132"/>
      <c r="L4" s="132"/>
      <c r="M4" s="132"/>
      <c r="P4" s="139"/>
      <c r="Q4" s="375"/>
      <c r="R4" s="375"/>
      <c r="S4" s="375"/>
      <c r="T4" s="375"/>
      <c r="U4" s="375"/>
    </row>
    <row r="5" spans="1:21" ht="15.95" customHeight="1" x14ac:dyDescent="0.3">
      <c r="A5" s="178" t="s">
        <v>1678</v>
      </c>
      <c r="B5" s="161" t="s">
        <v>35</v>
      </c>
      <c r="C5" s="161" t="s">
        <v>36</v>
      </c>
      <c r="D5" s="161" t="s">
        <v>37</v>
      </c>
      <c r="E5" s="161" t="s">
        <v>38</v>
      </c>
      <c r="F5" s="161" t="s">
        <v>39</v>
      </c>
      <c r="G5" s="161" t="s">
        <v>40</v>
      </c>
      <c r="H5" s="161" t="s">
        <v>41</v>
      </c>
      <c r="I5" s="161" t="s">
        <v>42</v>
      </c>
      <c r="J5" s="162" t="s">
        <v>43</v>
      </c>
      <c r="K5" s="162" t="s">
        <v>44</v>
      </c>
      <c r="L5" s="162" t="s">
        <v>45</v>
      </c>
      <c r="M5" s="162" t="s">
        <v>46</v>
      </c>
      <c r="N5" s="163">
        <v>2022</v>
      </c>
    </row>
    <row r="6" spans="1:21" ht="15.95" customHeight="1" x14ac:dyDescent="0.3">
      <c r="A6" s="167" t="s">
        <v>47</v>
      </c>
      <c r="B6" s="150">
        <f>SUM('OEE MONTH REA'!B6:E6)</f>
        <v>196946</v>
      </c>
      <c r="C6" s="150" t="e">
        <f>SUM('OEE REA'!#REF!)</f>
        <v>#REF!</v>
      </c>
      <c r="D6" s="150" t="e">
        <f>SUM('OEE REA'!#REF!)</f>
        <v>#REF!</v>
      </c>
      <c r="E6" s="150" t="e">
        <f>SUM('OEE REA'!#REF!)</f>
        <v>#REF!</v>
      </c>
      <c r="F6" s="150" t="e">
        <f>SUM('OEE REA'!#REF!)</f>
        <v>#REF!</v>
      </c>
      <c r="G6" s="150" t="e">
        <f>SUM('OEE REA'!#REF!)</f>
        <v>#REF!</v>
      </c>
      <c r="H6" s="150" t="e">
        <f>SUM('OEE REA'!#REF!)</f>
        <v>#REF!</v>
      </c>
      <c r="I6" s="150" t="e">
        <f>SUM('OEE REA'!#REF!)</f>
        <v>#REF!</v>
      </c>
      <c r="J6" s="150" t="e">
        <f>SUM('OEE REA'!#REF!)</f>
        <v>#REF!</v>
      </c>
      <c r="K6" s="150" t="e">
        <f>SUM('OEE REA'!#REF!)</f>
        <v>#REF!</v>
      </c>
      <c r="L6" s="150" t="e">
        <f>SUM('OEE MONTH REA'!#REF!)</f>
        <v>#REF!</v>
      </c>
      <c r="M6" s="150"/>
      <c r="N6" s="164" t="e">
        <f t="shared" ref="N6:N11" si="0">SUM(B6:M6)</f>
        <v>#REF!</v>
      </c>
    </row>
    <row r="7" spans="1:21" ht="15.95" customHeight="1" x14ac:dyDescent="0.3">
      <c r="A7" s="168" t="s">
        <v>48</v>
      </c>
      <c r="B7" s="151">
        <f>SUM('OEE MONTH REA'!B7:E7)</f>
        <v>1725</v>
      </c>
      <c r="C7" s="151" t="e">
        <f>SUM('OEE REA'!#REF!)</f>
        <v>#REF!</v>
      </c>
      <c r="D7" s="151" t="e">
        <f>SUM('OEE REA'!#REF!)</f>
        <v>#REF!</v>
      </c>
      <c r="E7" s="151" t="e">
        <f>SUM('OEE REA'!#REF!)</f>
        <v>#REF!</v>
      </c>
      <c r="F7" s="151" t="e">
        <f>SUM('OEE REA'!#REF!)</f>
        <v>#REF!</v>
      </c>
      <c r="G7" s="151" t="e">
        <f>SUM('OEE REA'!#REF!)</f>
        <v>#REF!</v>
      </c>
      <c r="H7" s="151" t="e">
        <f>SUM('OEE REA'!#REF!)</f>
        <v>#REF!</v>
      </c>
      <c r="I7" s="151" t="e">
        <f>SUM('OEE REA'!#REF!)</f>
        <v>#REF!</v>
      </c>
      <c r="J7" s="151" t="e">
        <f>SUM('OEE REA'!#REF!)</f>
        <v>#REF!</v>
      </c>
      <c r="K7" s="151" t="e">
        <f>SUM('OEE REA'!#REF!)</f>
        <v>#REF!</v>
      </c>
      <c r="L7" s="245" t="e">
        <f>SUM('OEE MONTH REA'!#REF!)</f>
        <v>#REF!</v>
      </c>
      <c r="M7" s="245"/>
      <c r="N7" s="140" t="e">
        <f t="shared" si="0"/>
        <v>#REF!</v>
      </c>
    </row>
    <row r="8" spans="1:21" ht="15.95" customHeight="1" x14ac:dyDescent="0.3">
      <c r="A8" s="169" t="s">
        <v>49</v>
      </c>
      <c r="B8" s="152">
        <f t="shared" ref="B8:M8" si="1">B6-B7</f>
        <v>195221</v>
      </c>
      <c r="C8" s="152" t="e">
        <f t="shared" si="1"/>
        <v>#REF!</v>
      </c>
      <c r="D8" s="152" t="e">
        <f t="shared" si="1"/>
        <v>#REF!</v>
      </c>
      <c r="E8" s="152" t="e">
        <f t="shared" si="1"/>
        <v>#REF!</v>
      </c>
      <c r="F8" s="152" t="e">
        <f t="shared" si="1"/>
        <v>#REF!</v>
      </c>
      <c r="G8" s="152" t="e">
        <f t="shared" si="1"/>
        <v>#REF!</v>
      </c>
      <c r="H8" s="152" t="e">
        <f t="shared" si="1"/>
        <v>#REF!</v>
      </c>
      <c r="I8" s="152" t="e">
        <f t="shared" si="1"/>
        <v>#REF!</v>
      </c>
      <c r="J8" s="152" t="e">
        <f t="shared" si="1"/>
        <v>#REF!</v>
      </c>
      <c r="K8" s="152" t="e">
        <f t="shared" si="1"/>
        <v>#REF!</v>
      </c>
      <c r="L8" s="152" t="e">
        <f t="shared" si="1"/>
        <v>#REF!</v>
      </c>
      <c r="M8" s="152">
        <f t="shared" si="1"/>
        <v>0</v>
      </c>
      <c r="N8" s="141" t="e">
        <f t="shared" si="0"/>
        <v>#REF!</v>
      </c>
    </row>
    <row r="9" spans="1:21" ht="15.95" customHeight="1" x14ac:dyDescent="0.3">
      <c r="A9" s="170" t="s">
        <v>1676</v>
      </c>
      <c r="B9" s="153">
        <f>SUM('OEE MONTH REA'!B9:E9)</f>
        <v>1285.0065359477126</v>
      </c>
      <c r="C9" s="153" t="e">
        <f>SUM('SPEED FACTOR REA'!#REF!)/60</f>
        <v>#REF!</v>
      </c>
      <c r="D9" s="153" t="e">
        <f>SUM('SPEED FACTOR REA'!#REF!)/60</f>
        <v>#REF!</v>
      </c>
      <c r="E9" s="153" t="e">
        <f>SUM('SPEED FACTOR REA'!#REF!)/60</f>
        <v>#REF!</v>
      </c>
      <c r="F9" s="153" t="e">
        <f>SUM('SPEED FACTOR REA'!#REF!)/60</f>
        <v>#REF!</v>
      </c>
      <c r="G9" s="153" t="e">
        <f>SUM('SPEED FACTOR REA'!#REF!)/60</f>
        <v>#REF!</v>
      </c>
      <c r="H9" s="153" t="e">
        <f>SUM('SPEED FACTOR REA'!#REF!)/60</f>
        <v>#REF!</v>
      </c>
      <c r="I9" s="153" t="e">
        <f>SUM('SPEED FACTOR REA'!#REF!)/60</f>
        <v>#REF!</v>
      </c>
      <c r="J9" s="153" t="e">
        <f>SUM('SPEED FACTOR REA'!#REF!)/60</f>
        <v>#REF!</v>
      </c>
      <c r="K9" s="153">
        <f>SUM('SPEED FACTOR REA'!M2:M2)/60</f>
        <v>0.36601307189542481</v>
      </c>
      <c r="L9" s="153" t="e">
        <f>SUM('OEE MONTH REA'!#REF!)</f>
        <v>#REF!</v>
      </c>
      <c r="M9" s="153"/>
      <c r="N9" s="142" t="e">
        <f t="shared" si="0"/>
        <v>#REF!</v>
      </c>
    </row>
    <row r="10" spans="1:21" ht="15.95" customHeight="1" x14ac:dyDescent="0.3">
      <c r="A10" s="171" t="s">
        <v>1675</v>
      </c>
      <c r="B10" s="154">
        <f>SUM('OEE MONTH REA'!B10:E10)</f>
        <v>1759.8333333333335</v>
      </c>
      <c r="C10" s="154" t="e">
        <f>SUM('SPEED FACTOR REA'!#REF!)/60</f>
        <v>#REF!</v>
      </c>
      <c r="D10" s="154" t="e">
        <f>SUM('SPEED FACTOR REA'!#REF!)/60</f>
        <v>#REF!</v>
      </c>
      <c r="E10" s="154" t="e">
        <f>SUM('SPEED FACTOR REA'!#REF!)/60</f>
        <v>#REF!</v>
      </c>
      <c r="F10" s="154" t="e">
        <f>SUM('SPEED FACTOR REA'!#REF!)/60</f>
        <v>#REF!</v>
      </c>
      <c r="G10" s="154" t="e">
        <f>SUM('SPEED FACTOR REA'!#REF!)/60</f>
        <v>#REF!</v>
      </c>
      <c r="H10" s="154" t="e">
        <f>SUM('SPEED FACTOR REA'!#REF!)/60</f>
        <v>#REF!</v>
      </c>
      <c r="I10" s="154" t="e">
        <f>SUM('SPEED FACTOR REA'!#REF!)/60</f>
        <v>#REF!</v>
      </c>
      <c r="J10" s="154" t="e">
        <f>SUM('SPEED FACTOR REA'!#REF!)/60</f>
        <v>#REF!</v>
      </c>
      <c r="K10" s="154">
        <f>SUM('SPEED FACTOR REA'!N2:N2)/60</f>
        <v>4.25</v>
      </c>
      <c r="L10" s="154" t="e">
        <f>SUM('OEE MONTH REA'!#REF!)</f>
        <v>#REF!</v>
      </c>
      <c r="M10" s="154"/>
      <c r="N10" s="143" t="e">
        <f t="shared" si="0"/>
        <v>#REF!</v>
      </c>
    </row>
    <row r="11" spans="1:21" ht="15.95" customHeight="1" x14ac:dyDescent="0.3">
      <c r="A11" s="172" t="s">
        <v>1674</v>
      </c>
      <c r="B11" s="155">
        <f>SUM('OEE MONTH REA'!B11:E11)</f>
        <v>1957.95</v>
      </c>
      <c r="C11" s="155" t="e">
        <f>SUM('SPEED FACTOR REA'!#REF!)/60</f>
        <v>#REF!</v>
      </c>
      <c r="D11" s="155" t="e">
        <f>SUM('SPEED FACTOR REA'!#REF!)/60</f>
        <v>#REF!</v>
      </c>
      <c r="E11" s="155" t="e">
        <f>SUM('SPEED FACTOR REA'!#REF!)/60</f>
        <v>#REF!</v>
      </c>
      <c r="F11" s="155" t="e">
        <f>SUM('SPEED FACTOR REA'!#REF!)/60</f>
        <v>#REF!</v>
      </c>
      <c r="G11" s="155" t="e">
        <f>SUM('SPEED FACTOR REA'!#REF!)/60</f>
        <v>#REF!</v>
      </c>
      <c r="H11" s="155" t="e">
        <f>SUM('SPEED FACTOR REA'!#REF!)/60</f>
        <v>#REF!</v>
      </c>
      <c r="I11" s="155" t="e">
        <f>SUM('SPEED FACTOR REA'!#REF!)/60</f>
        <v>#REF!</v>
      </c>
      <c r="J11" s="155" t="e">
        <f>SUM('SPEED FACTOR REA'!#REF!)/60</f>
        <v>#REF!</v>
      </c>
      <c r="K11" s="155">
        <f>SUM('SPEED FACTOR REA'!O2:O2)/60</f>
        <v>5</v>
      </c>
      <c r="L11" s="155" t="e">
        <f>SUM('OEE MONTH REA'!#REF!)</f>
        <v>#REF!</v>
      </c>
      <c r="M11" s="155"/>
      <c r="N11" s="144" t="e">
        <f t="shared" si="0"/>
        <v>#REF!</v>
      </c>
    </row>
    <row r="12" spans="1:21" ht="15.95" customHeight="1" x14ac:dyDescent="0.3">
      <c r="A12" s="173" t="s">
        <v>50</v>
      </c>
      <c r="B12" s="156">
        <f t="shared" ref="B12" si="2">B11-B10</f>
        <v>198.11666666666656</v>
      </c>
      <c r="C12" s="156" t="e">
        <f t="shared" ref="C12:D12" si="3">C11-C10</f>
        <v>#REF!</v>
      </c>
      <c r="D12" s="156" t="e">
        <f t="shared" si="3"/>
        <v>#REF!</v>
      </c>
      <c r="E12" s="156" t="e">
        <f t="shared" ref="E12:F12" si="4">E11-E10</f>
        <v>#REF!</v>
      </c>
      <c r="F12" s="156" t="e">
        <f t="shared" si="4"/>
        <v>#REF!</v>
      </c>
      <c r="G12" s="156" t="e">
        <f t="shared" ref="G12" si="5">G11-G10</f>
        <v>#REF!</v>
      </c>
      <c r="H12" s="156" t="e">
        <f t="shared" ref="H12" si="6">H11-H10</f>
        <v>#REF!</v>
      </c>
      <c r="I12" s="156" t="e">
        <f t="shared" ref="I12:J12" si="7">I11-I10</f>
        <v>#REF!</v>
      </c>
      <c r="J12" s="156" t="e">
        <f t="shared" si="7"/>
        <v>#REF!</v>
      </c>
      <c r="K12" s="156">
        <f t="shared" ref="K12" si="8">K11-K10</f>
        <v>0.75</v>
      </c>
      <c r="L12" s="156" t="e">
        <f t="shared" ref="L12:N12" si="9">L11-L10</f>
        <v>#REF!</v>
      </c>
      <c r="M12" s="156">
        <f t="shared" si="9"/>
        <v>0</v>
      </c>
      <c r="N12" s="156" t="e">
        <f t="shared" si="9"/>
        <v>#REF!</v>
      </c>
    </row>
    <row r="13" spans="1:21" ht="15.95" customHeight="1" x14ac:dyDescent="0.3">
      <c r="A13" s="174" t="s">
        <v>51</v>
      </c>
      <c r="B13" s="157">
        <f t="shared" ref="B13" si="10">IFERROR(B7/B6*1000000,"")</f>
        <v>8758.7460522173587</v>
      </c>
      <c r="C13" s="157" t="str">
        <f t="shared" ref="C13:D13" si="11">IFERROR(C7/C6*1000000,"")</f>
        <v/>
      </c>
      <c r="D13" s="157" t="str">
        <f t="shared" si="11"/>
        <v/>
      </c>
      <c r="E13" s="157" t="str">
        <f t="shared" ref="E13:F13" si="12">IFERROR(E7/E6*1000000,"")</f>
        <v/>
      </c>
      <c r="F13" s="157" t="str">
        <f t="shared" si="12"/>
        <v/>
      </c>
      <c r="G13" s="157" t="str">
        <f t="shared" ref="G13" si="13">IFERROR(G7/G6*1000000,"")</f>
        <v/>
      </c>
      <c r="H13" s="157" t="str">
        <f t="shared" ref="H13" si="14">IFERROR(H7/H6*1000000,"")</f>
        <v/>
      </c>
      <c r="I13" s="157" t="str">
        <f t="shared" ref="I13:J13" si="15">IFERROR(I7/I6*1000000,"")</f>
        <v/>
      </c>
      <c r="J13" s="157" t="str">
        <f t="shared" si="15"/>
        <v/>
      </c>
      <c r="K13" s="157" t="str">
        <f t="shared" ref="K13" si="16">IFERROR(K7/K6*1000000,"")</f>
        <v/>
      </c>
      <c r="L13" s="157" t="str">
        <f t="shared" ref="L13:N13" si="17">IFERROR(L7/L6*1000000,"")</f>
        <v/>
      </c>
      <c r="M13" s="157" t="str">
        <f t="shared" si="17"/>
        <v/>
      </c>
      <c r="N13" s="157" t="str">
        <f t="shared" si="17"/>
        <v/>
      </c>
      <c r="P13" s="376" t="s">
        <v>1673</v>
      </c>
      <c r="Q13" s="376"/>
      <c r="R13" s="376"/>
      <c r="S13" s="376"/>
      <c r="T13" s="376"/>
      <c r="U13" s="376"/>
    </row>
    <row r="14" spans="1:21" ht="15.95" customHeight="1" x14ac:dyDescent="0.3">
      <c r="A14" s="174" t="s">
        <v>52</v>
      </c>
      <c r="B14" s="158">
        <f t="shared" ref="B14" si="18">IFERROR(1-(B13/1000000),"")</f>
        <v>0.99124125394778262</v>
      </c>
      <c r="C14" s="158" t="str">
        <f t="shared" ref="C14:D14" si="19">IFERROR(1-(C13/1000000),"")</f>
        <v/>
      </c>
      <c r="D14" s="158" t="str">
        <f t="shared" si="19"/>
        <v/>
      </c>
      <c r="E14" s="158" t="str">
        <f t="shared" ref="E14:F14" si="20">IFERROR(1-(E13/1000000),"")</f>
        <v/>
      </c>
      <c r="F14" s="158" t="str">
        <f t="shared" si="20"/>
        <v/>
      </c>
      <c r="G14" s="158" t="str">
        <f t="shared" ref="G14" si="21">IFERROR(1-(G13/1000000),"")</f>
        <v/>
      </c>
      <c r="H14" s="158" t="str">
        <f t="shared" ref="H14" si="22">IFERROR(1-(H13/1000000),"")</f>
        <v/>
      </c>
      <c r="I14" s="158" t="str">
        <f t="shared" ref="I14:J14" si="23">IFERROR(1-(I13/1000000),"")</f>
        <v/>
      </c>
      <c r="J14" s="158" t="str">
        <f t="shared" si="23"/>
        <v/>
      </c>
      <c r="K14" s="158" t="str">
        <f t="shared" ref="K14" si="24">IFERROR(1-(K13/1000000),"")</f>
        <v/>
      </c>
      <c r="L14" s="158" t="str">
        <f t="shared" ref="L14:N14" si="25">IFERROR(1-(L13/1000000),"")</f>
        <v/>
      </c>
      <c r="M14" s="158" t="str">
        <f t="shared" si="25"/>
        <v/>
      </c>
      <c r="N14" s="158" t="str">
        <f t="shared" si="25"/>
        <v/>
      </c>
      <c r="P14" s="135" t="s">
        <v>52</v>
      </c>
      <c r="Q14" s="374" t="s">
        <v>1669</v>
      </c>
      <c r="R14" s="374"/>
      <c r="S14" s="374"/>
      <c r="T14" s="374"/>
      <c r="U14" s="374"/>
    </row>
    <row r="15" spans="1:21" ht="15.95" customHeight="1" x14ac:dyDescent="0.3">
      <c r="A15" s="175" t="s">
        <v>33</v>
      </c>
      <c r="B15" s="159">
        <f>IFERROR(B9/B10," ")</f>
        <v>0.73018649641881572</v>
      </c>
      <c r="C15" s="159" t="str">
        <f>IFERROR(C9/C10," ")</f>
        <v xml:space="preserve"> </v>
      </c>
      <c r="D15" s="159" t="str">
        <f>IFERROR(D9/D10," ")</f>
        <v xml:space="preserve"> </v>
      </c>
      <c r="E15" s="159" t="str">
        <f t="shared" ref="E15:N15" si="26">IFERROR(E9/E10," ")</f>
        <v xml:space="preserve"> </v>
      </c>
      <c r="F15" s="159" t="str">
        <f t="shared" si="26"/>
        <v xml:space="preserve"> </v>
      </c>
      <c r="G15" s="159" t="str">
        <f t="shared" si="26"/>
        <v xml:space="preserve"> </v>
      </c>
      <c r="H15" s="159" t="str">
        <f t="shared" si="26"/>
        <v xml:space="preserve"> </v>
      </c>
      <c r="I15" s="159" t="str">
        <f t="shared" si="26"/>
        <v xml:space="preserve"> </v>
      </c>
      <c r="J15" s="159" t="str">
        <f t="shared" si="26"/>
        <v xml:space="preserve"> </v>
      </c>
      <c r="K15" s="159">
        <f t="shared" si="26"/>
        <v>8.612072279892348E-2</v>
      </c>
      <c r="L15" s="159" t="str">
        <f t="shared" si="26"/>
        <v xml:space="preserve"> </v>
      </c>
      <c r="M15" s="159" t="str">
        <f t="shared" si="26"/>
        <v xml:space="preserve"> </v>
      </c>
      <c r="N15" s="159" t="str">
        <f t="shared" si="26"/>
        <v xml:space="preserve"> </v>
      </c>
      <c r="P15" s="136" t="s">
        <v>33</v>
      </c>
      <c r="Q15" s="374" t="s">
        <v>1670</v>
      </c>
      <c r="R15" s="374"/>
      <c r="S15" s="374"/>
      <c r="T15" s="374"/>
      <c r="U15" s="374"/>
    </row>
    <row r="16" spans="1:21" ht="15.95" customHeight="1" x14ac:dyDescent="0.3">
      <c r="A16" s="176" t="s">
        <v>34</v>
      </c>
      <c r="B16" s="160">
        <f t="shared" ref="B16" si="27">IFERROR(B10/B11,"")</f>
        <v>0.89881423597810639</v>
      </c>
      <c r="C16" s="160" t="str">
        <f t="shared" ref="C16:D16" si="28">IFERROR(C10/C11,"")</f>
        <v/>
      </c>
      <c r="D16" s="160" t="str">
        <f t="shared" si="28"/>
        <v/>
      </c>
      <c r="E16" s="160" t="str">
        <f t="shared" ref="E16:F16" si="29">IFERROR(E10/E11,"")</f>
        <v/>
      </c>
      <c r="F16" s="160" t="str">
        <f t="shared" si="29"/>
        <v/>
      </c>
      <c r="G16" s="160" t="str">
        <f t="shared" ref="G16" si="30">IFERROR(G10/G11,"")</f>
        <v/>
      </c>
      <c r="H16" s="160" t="str">
        <f t="shared" ref="H16" si="31">IFERROR(H10/H11,"")</f>
        <v/>
      </c>
      <c r="I16" s="160" t="str">
        <f t="shared" ref="I16:J16" si="32">IFERROR(I10/I11,"")</f>
        <v/>
      </c>
      <c r="J16" s="160" t="str">
        <f t="shared" si="32"/>
        <v/>
      </c>
      <c r="K16" s="160">
        <f t="shared" ref="K16" si="33">IFERROR(K10/K11,"")</f>
        <v>0.85</v>
      </c>
      <c r="L16" s="160" t="str">
        <f t="shared" ref="L16:N16" si="34">IFERROR(L10/L11,"")</f>
        <v/>
      </c>
      <c r="M16" s="160" t="str">
        <f t="shared" si="34"/>
        <v/>
      </c>
      <c r="N16" s="160" t="str">
        <f t="shared" si="34"/>
        <v/>
      </c>
      <c r="P16" s="137" t="s">
        <v>34</v>
      </c>
      <c r="Q16" s="374" t="s">
        <v>1671</v>
      </c>
      <c r="R16" s="374"/>
      <c r="S16" s="374"/>
      <c r="T16" s="374"/>
      <c r="U16" s="374"/>
    </row>
    <row r="17" spans="1:21" ht="15.95" customHeight="1" thickBot="1" x14ac:dyDescent="0.35">
      <c r="A17" s="177" t="s">
        <v>10</v>
      </c>
      <c r="B17" s="165">
        <f t="shared" ref="B17" si="35">IFERROR(B14*B15*B16,"")</f>
        <v>0.65055363519186238</v>
      </c>
      <c r="C17" s="165" t="str">
        <f t="shared" ref="C17:D17" si="36">IFERROR(C14*C15*C16,"")</f>
        <v/>
      </c>
      <c r="D17" s="165" t="str">
        <f t="shared" si="36"/>
        <v/>
      </c>
      <c r="E17" s="165" t="str">
        <f t="shared" ref="E17:F17" si="37">IFERROR(E14*E15*E16,"")</f>
        <v/>
      </c>
      <c r="F17" s="165" t="str">
        <f t="shared" si="37"/>
        <v/>
      </c>
      <c r="G17" s="165" t="str">
        <f t="shared" ref="G17" si="38">IFERROR(G14*G15*G16,"")</f>
        <v/>
      </c>
      <c r="H17" s="165" t="str">
        <f t="shared" ref="H17" si="39">IFERROR(H14*H15*H16,"")</f>
        <v/>
      </c>
      <c r="I17" s="165" t="str">
        <f t="shared" ref="I17:J17" si="40">IFERROR(I14*I15*I16,"")</f>
        <v/>
      </c>
      <c r="J17" s="165" t="str">
        <f t="shared" si="40"/>
        <v/>
      </c>
      <c r="K17" s="165" t="str">
        <f t="shared" ref="K17" si="41">IFERROR(K14*K15*K16,"")</f>
        <v/>
      </c>
      <c r="L17" s="165" t="str">
        <f t="shared" ref="L17:N17" si="42">IFERROR(L14*L15*L16,"")</f>
        <v/>
      </c>
      <c r="M17" s="165" t="str">
        <f t="shared" si="42"/>
        <v/>
      </c>
      <c r="N17" s="165" t="str">
        <f t="shared" si="42"/>
        <v/>
      </c>
      <c r="P17" s="138" t="s">
        <v>10</v>
      </c>
      <c r="Q17" s="374" t="s">
        <v>1672</v>
      </c>
      <c r="R17" s="374"/>
      <c r="S17" s="374"/>
      <c r="T17" s="374"/>
      <c r="U17" s="374"/>
    </row>
    <row r="18" spans="1:21" ht="15" customHeight="1" x14ac:dyDescent="0.25">
      <c r="B18" s="2"/>
      <c r="C18" s="2"/>
      <c r="D18" s="2"/>
    </row>
    <row r="21" spans="1:21" ht="15" customHeight="1" x14ac:dyDescent="0.25">
      <c r="A21" s="21"/>
      <c r="B21" s="21"/>
      <c r="C21" s="2"/>
      <c r="D21" s="2"/>
      <c r="K21" s="55" t="s">
        <v>53</v>
      </c>
    </row>
    <row r="23" spans="1:21" ht="15" customHeight="1" x14ac:dyDescent="0.25">
      <c r="B23" s="11" t="s">
        <v>1659</v>
      </c>
      <c r="C23" s="11" t="s">
        <v>1660</v>
      </c>
      <c r="D23" s="11" t="s">
        <v>1661</v>
      </c>
    </row>
    <row r="24" spans="1:21" ht="15" customHeight="1" x14ac:dyDescent="0.25">
      <c r="A24" s="133" t="s">
        <v>1662</v>
      </c>
      <c r="B24" s="134">
        <f>B14</f>
        <v>0.99124125394778262</v>
      </c>
      <c r="C24" s="134">
        <f>B15</f>
        <v>0.73018649641881572</v>
      </c>
      <c r="D24" s="134">
        <f>B16</f>
        <v>0.89881423597810639</v>
      </c>
    </row>
    <row r="25" spans="1:21" ht="15" customHeight="1" x14ac:dyDescent="0.25">
      <c r="A25" s="133" t="s">
        <v>1663</v>
      </c>
      <c r="B25" s="134" t="str">
        <f>C14</f>
        <v/>
      </c>
      <c r="C25" s="134" t="str">
        <f>C15</f>
        <v xml:space="preserve"> </v>
      </c>
      <c r="D25" s="134" t="str">
        <f>C16</f>
        <v/>
      </c>
    </row>
    <row r="26" spans="1:21" ht="15" customHeight="1" x14ac:dyDescent="0.25">
      <c r="A26" s="133" t="s">
        <v>37</v>
      </c>
      <c r="B26" s="134" t="str">
        <f>D14</f>
        <v/>
      </c>
      <c r="C26" s="134" t="str">
        <f>D15</f>
        <v xml:space="preserve"> </v>
      </c>
      <c r="D26" s="134" t="str">
        <f>D16</f>
        <v/>
      </c>
    </row>
    <row r="27" spans="1:21" ht="15" customHeight="1" x14ac:dyDescent="0.25">
      <c r="A27" s="133" t="s">
        <v>38</v>
      </c>
      <c r="B27" s="134" t="str">
        <f>E14</f>
        <v/>
      </c>
      <c r="C27" s="134" t="str">
        <f>E15</f>
        <v xml:space="preserve"> </v>
      </c>
      <c r="D27" s="134" t="str">
        <f>E16</f>
        <v/>
      </c>
    </row>
    <row r="28" spans="1:21" ht="15" customHeight="1" x14ac:dyDescent="0.25">
      <c r="A28" s="133" t="s">
        <v>39</v>
      </c>
      <c r="B28" s="134" t="str">
        <f>F14</f>
        <v/>
      </c>
      <c r="C28" s="134" t="str">
        <f>F15</f>
        <v xml:space="preserve"> </v>
      </c>
      <c r="D28" s="134" t="str">
        <f>F16</f>
        <v/>
      </c>
    </row>
    <row r="29" spans="1:21" ht="15" customHeight="1" x14ac:dyDescent="0.25">
      <c r="A29" s="133" t="s">
        <v>40</v>
      </c>
      <c r="B29" s="134" t="str">
        <f>G14</f>
        <v/>
      </c>
      <c r="C29" s="134" t="str">
        <f>G15</f>
        <v xml:space="preserve"> </v>
      </c>
      <c r="D29" s="134" t="str">
        <f>G16</f>
        <v/>
      </c>
    </row>
    <row r="30" spans="1:21" ht="15" customHeight="1" x14ac:dyDescent="0.25">
      <c r="A30" s="133" t="s">
        <v>1664</v>
      </c>
      <c r="B30" s="134" t="str">
        <f>H14</f>
        <v/>
      </c>
      <c r="C30" s="134" t="str">
        <f>H15</f>
        <v xml:space="preserve"> </v>
      </c>
      <c r="D30" s="134" t="str">
        <f>H16</f>
        <v/>
      </c>
    </row>
    <row r="31" spans="1:21" ht="15" customHeight="1" x14ac:dyDescent="0.25">
      <c r="A31" s="133" t="s">
        <v>42</v>
      </c>
      <c r="B31" s="134" t="str">
        <f>I14</f>
        <v/>
      </c>
      <c r="C31" s="134" t="str">
        <f>I15</f>
        <v xml:space="preserve"> </v>
      </c>
      <c r="D31" s="134" t="str">
        <f>I16</f>
        <v/>
      </c>
    </row>
    <row r="32" spans="1:21" ht="15" customHeight="1" x14ac:dyDescent="0.25">
      <c r="A32" s="133" t="s">
        <v>1665</v>
      </c>
      <c r="B32" s="134" t="str">
        <f>J14</f>
        <v/>
      </c>
      <c r="C32" s="134" t="str">
        <f>J15</f>
        <v xml:space="preserve"> </v>
      </c>
      <c r="D32" s="134" t="str">
        <f>J16</f>
        <v/>
      </c>
    </row>
    <row r="33" spans="1:4" ht="15" customHeight="1" x14ac:dyDescent="0.25">
      <c r="A33" s="133" t="s">
        <v>1666</v>
      </c>
      <c r="B33" s="134" t="str">
        <f>K14</f>
        <v/>
      </c>
      <c r="C33" s="134">
        <f>K15</f>
        <v>8.612072279892348E-2</v>
      </c>
      <c r="D33" s="134">
        <f>K16</f>
        <v>0.85</v>
      </c>
    </row>
    <row r="34" spans="1:4" ht="15" customHeight="1" x14ac:dyDescent="0.25">
      <c r="A34" s="133" t="s">
        <v>1667</v>
      </c>
      <c r="B34" s="134" t="str">
        <f>L14</f>
        <v/>
      </c>
      <c r="C34" s="134" t="str">
        <f>L15</f>
        <v xml:space="preserve"> </v>
      </c>
      <c r="D34" s="134" t="str">
        <f>L16</f>
        <v/>
      </c>
    </row>
    <row r="35" spans="1:4" ht="15" customHeight="1" x14ac:dyDescent="0.25">
      <c r="A35" s="133" t="s">
        <v>1668</v>
      </c>
      <c r="B35" s="134" t="str">
        <f>M14</f>
        <v/>
      </c>
      <c r="C35" s="134" t="str">
        <f>M15</f>
        <v xml:space="preserve"> </v>
      </c>
      <c r="D35" s="134" t="str">
        <f>M16</f>
        <v/>
      </c>
    </row>
  </sheetData>
  <sheetProtection formatCells="0" formatColumns="0" formatRows="0" insertColumns="0" insertRows="0" insertHyperlinks="0" deleteColumns="0" deleteRows="0" sort="0" autoFilter="0" pivotTables="0"/>
  <mergeCells count="9">
    <mergeCell ref="Q15:U15"/>
    <mergeCell ref="Q16:U16"/>
    <mergeCell ref="Q17:U17"/>
    <mergeCell ref="P1:U1"/>
    <mergeCell ref="Q2:U2"/>
    <mergeCell ref="Q3:U3"/>
    <mergeCell ref="Q4:U4"/>
    <mergeCell ref="P13:U13"/>
    <mergeCell ref="Q14:U14"/>
  </mergeCells>
  <pageMargins left="0.23622047244094491" right="0.23622047244094491" top="0.74803149606299213" bottom="0.74803149606299213" header="0.31496062992125984" footer="0.31496062992125984"/>
  <pageSetup paperSize="9" scale="73" fitToHeight="0"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32"/>
  <sheetViews>
    <sheetView workbookViewId="0">
      <selection activeCell="J28" sqref="J28"/>
    </sheetView>
  </sheetViews>
  <sheetFormatPr baseColWidth="10" defaultColWidth="11.42578125" defaultRowHeight="15" x14ac:dyDescent="0.25"/>
  <cols>
    <col min="6" max="6" width="26.28515625" bestFit="1" customWidth="1"/>
    <col min="7" max="7" width="5.7109375" customWidth="1"/>
    <col min="8" max="8" width="23" bestFit="1" customWidth="1"/>
    <col min="9" max="9" width="5.7109375" customWidth="1"/>
    <col min="10" max="10" width="23.85546875" bestFit="1" customWidth="1"/>
    <col min="11" max="11" width="5.7109375" customWidth="1"/>
    <col min="13" max="13" width="11.42578125" hidden="1" customWidth="1"/>
    <col min="14" max="14" width="14.140625" hidden="1" customWidth="1"/>
    <col min="15" max="15" width="20.5703125" style="90" bestFit="1" customWidth="1"/>
    <col min="16" max="16" width="13.140625" style="90" bestFit="1" customWidth="1"/>
    <col min="17" max="17" width="15.42578125" style="90" bestFit="1" customWidth="1"/>
    <col min="18" max="18" width="16.7109375" style="90" bestFit="1" customWidth="1"/>
    <col min="19" max="19" width="12.85546875" style="90" customWidth="1"/>
    <col min="20" max="22" width="11.42578125" style="90"/>
  </cols>
  <sheetData>
    <row r="1" spans="1:18" x14ac:dyDescent="0.25">
      <c r="A1" s="90"/>
      <c r="B1" s="90"/>
      <c r="C1" s="90"/>
      <c r="D1" s="90"/>
      <c r="E1" s="90"/>
      <c r="F1" s="90"/>
      <c r="G1" s="90"/>
      <c r="H1" s="90"/>
      <c r="I1" s="90"/>
      <c r="J1" s="90"/>
      <c r="K1" s="90"/>
      <c r="L1" s="90"/>
      <c r="M1" s="90"/>
      <c r="N1" s="90"/>
    </row>
    <row r="2" spans="1:18" x14ac:dyDescent="0.25">
      <c r="A2" s="90"/>
      <c r="B2" s="90"/>
      <c r="C2" s="90"/>
      <c r="D2" s="90"/>
      <c r="E2" s="90"/>
      <c r="F2" s="90"/>
      <c r="G2" s="90"/>
      <c r="H2" s="90"/>
      <c r="I2" s="90"/>
      <c r="J2" s="90"/>
      <c r="K2" s="90"/>
      <c r="L2" s="90"/>
      <c r="M2" s="90"/>
      <c r="N2" s="90"/>
    </row>
    <row r="3" spans="1:18" x14ac:dyDescent="0.25">
      <c r="A3" s="90"/>
      <c r="B3" s="90"/>
      <c r="C3" s="90"/>
      <c r="D3" s="90"/>
      <c r="E3" s="90"/>
      <c r="F3" s="90"/>
      <c r="G3" s="90"/>
      <c r="H3" s="90"/>
      <c r="I3" s="90"/>
      <c r="J3" s="90"/>
      <c r="K3" s="90"/>
      <c r="L3" s="90"/>
      <c r="M3" s="90"/>
      <c r="N3" s="90"/>
    </row>
    <row r="4" spans="1:18" x14ac:dyDescent="0.25">
      <c r="A4" s="90"/>
      <c r="B4" s="90"/>
      <c r="C4" s="90"/>
      <c r="D4" s="90"/>
      <c r="E4" s="90"/>
      <c r="F4" s="90"/>
      <c r="G4" s="90"/>
      <c r="H4" s="90"/>
      <c r="I4" s="90"/>
      <c r="J4" s="90"/>
      <c r="K4" s="90"/>
      <c r="L4" s="90"/>
      <c r="M4" s="90"/>
      <c r="N4" s="90"/>
    </row>
    <row r="5" spans="1:18" x14ac:dyDescent="0.25">
      <c r="A5" s="90"/>
      <c r="B5" s="90"/>
      <c r="C5" s="90"/>
      <c r="D5" s="90"/>
      <c r="E5" s="90"/>
      <c r="F5" s="90"/>
      <c r="G5" s="90"/>
      <c r="H5" s="90"/>
      <c r="I5" s="90"/>
      <c r="J5" s="90"/>
      <c r="K5" s="90"/>
      <c r="L5" s="90"/>
      <c r="M5" s="90"/>
      <c r="N5" s="90"/>
    </row>
    <row r="6" spans="1:18" x14ac:dyDescent="0.25">
      <c r="A6" s="90"/>
      <c r="B6" s="90"/>
      <c r="C6" s="90"/>
      <c r="D6" s="90"/>
      <c r="E6" s="90"/>
      <c r="F6" s="90"/>
      <c r="G6" s="90"/>
      <c r="H6" s="90"/>
      <c r="I6" s="90"/>
      <c r="J6" s="90"/>
      <c r="K6" s="90"/>
      <c r="L6" s="90"/>
      <c r="M6" s="378" t="s">
        <v>1750</v>
      </c>
      <c r="N6" s="378" t="s">
        <v>1749</v>
      </c>
    </row>
    <row r="7" spans="1:18" ht="21" x14ac:dyDescent="0.35">
      <c r="A7" s="90"/>
      <c r="B7" s="90"/>
      <c r="C7" s="90"/>
      <c r="D7" s="90"/>
      <c r="E7" s="90"/>
      <c r="F7" s="377" t="s">
        <v>1744</v>
      </c>
      <c r="G7" s="377"/>
      <c r="H7" s="377"/>
      <c r="I7" s="377"/>
      <c r="J7" s="377"/>
      <c r="K7" s="377"/>
      <c r="L7" s="90"/>
      <c r="M7" s="378"/>
      <c r="N7" s="378"/>
      <c r="O7" s="233" t="s">
        <v>1745</v>
      </c>
      <c r="P7" s="233" t="s">
        <v>1746</v>
      </c>
      <c r="Q7" s="233" t="s">
        <v>1747</v>
      </c>
      <c r="R7" s="233" t="s">
        <v>1748</v>
      </c>
    </row>
    <row r="8" spans="1:18" ht="18.75" x14ac:dyDescent="0.25">
      <c r="A8" s="90"/>
      <c r="B8" s="90"/>
      <c r="C8" s="90"/>
      <c r="D8" s="90"/>
      <c r="E8" s="90"/>
      <c r="F8" s="230" t="s">
        <v>1587</v>
      </c>
      <c r="G8" s="230" t="s">
        <v>1742</v>
      </c>
      <c r="H8" s="230" t="s">
        <v>1596</v>
      </c>
      <c r="I8" s="230" t="s">
        <v>1742</v>
      </c>
      <c r="J8" s="230" t="s">
        <v>1645</v>
      </c>
      <c r="K8" s="230" t="s">
        <v>1742</v>
      </c>
      <c r="L8" s="90"/>
      <c r="M8" s="209">
        <v>1.69</v>
      </c>
      <c r="N8" s="209">
        <v>2.89</v>
      </c>
      <c r="O8" s="234" t="s">
        <v>1682</v>
      </c>
      <c r="P8" s="229">
        <v>886</v>
      </c>
      <c r="Q8" s="232">
        <v>0.49719416386083054</v>
      </c>
      <c r="R8" s="209">
        <f>P8*N8</f>
        <v>2560.54</v>
      </c>
    </row>
    <row r="9" spans="1:18" ht="18.75" x14ac:dyDescent="0.25">
      <c r="A9" s="90"/>
      <c r="B9" s="90"/>
      <c r="C9" s="90"/>
      <c r="D9" s="90"/>
      <c r="E9" s="90"/>
      <c r="F9" s="230" t="s">
        <v>1588</v>
      </c>
      <c r="G9" s="230" t="s">
        <v>1742</v>
      </c>
      <c r="H9" s="230" t="s">
        <v>1584</v>
      </c>
      <c r="I9" s="230" t="s">
        <v>1742</v>
      </c>
      <c r="J9" s="231" t="s">
        <v>1646</v>
      </c>
      <c r="K9" s="230" t="s">
        <v>1743</v>
      </c>
      <c r="L9" s="90"/>
      <c r="M9" s="90"/>
      <c r="N9" s="90"/>
      <c r="O9" s="234" t="s">
        <v>1643</v>
      </c>
      <c r="P9" s="229">
        <v>269</v>
      </c>
      <c r="Q9" s="232">
        <v>0.15095398428731763</v>
      </c>
      <c r="R9" s="209">
        <f>+P9*N8</f>
        <v>777.41000000000008</v>
      </c>
    </row>
    <row r="10" spans="1:18" ht="18.75" x14ac:dyDescent="0.25">
      <c r="A10" s="90"/>
      <c r="B10" s="90"/>
      <c r="C10" s="90"/>
      <c r="D10" s="90"/>
      <c r="E10" s="90"/>
      <c r="F10" s="230" t="s">
        <v>1589</v>
      </c>
      <c r="G10" s="230" t="s">
        <v>1742</v>
      </c>
      <c r="H10" s="231" t="s">
        <v>1638</v>
      </c>
      <c r="I10" s="230" t="s">
        <v>1743</v>
      </c>
      <c r="J10" s="230" t="s">
        <v>1699</v>
      </c>
      <c r="K10" s="230" t="s">
        <v>1742</v>
      </c>
      <c r="L10" s="90"/>
      <c r="M10" s="90"/>
      <c r="N10" s="90"/>
      <c r="O10" s="234" t="s">
        <v>1681</v>
      </c>
      <c r="P10" s="229">
        <v>257</v>
      </c>
      <c r="Q10" s="232">
        <v>0.1442199775533109</v>
      </c>
      <c r="R10" s="209">
        <f>+P10*N8</f>
        <v>742.73</v>
      </c>
    </row>
    <row r="11" spans="1:18" ht="18.75" x14ac:dyDescent="0.25">
      <c r="A11" s="90"/>
      <c r="B11" s="90"/>
      <c r="C11" s="90"/>
      <c r="D11" s="90"/>
      <c r="E11" s="90"/>
      <c r="F11" s="230" t="s">
        <v>1590</v>
      </c>
      <c r="G11" s="230" t="s">
        <v>1742</v>
      </c>
      <c r="H11" s="230" t="s">
        <v>1639</v>
      </c>
      <c r="I11" s="230" t="s">
        <v>1742</v>
      </c>
      <c r="J11" s="230" t="s">
        <v>1679</v>
      </c>
      <c r="K11" s="230" t="s">
        <v>1742</v>
      </c>
      <c r="L11" s="90"/>
      <c r="M11" s="90"/>
      <c r="N11" s="90"/>
      <c r="O11" s="234" t="s">
        <v>1584</v>
      </c>
      <c r="P11" s="229">
        <v>198</v>
      </c>
      <c r="Q11" s="232">
        <v>0.1111111111111111</v>
      </c>
      <c r="R11" s="209">
        <f>+P11*N8</f>
        <v>572.22</v>
      </c>
    </row>
    <row r="12" spans="1:18" ht="18.75" x14ac:dyDescent="0.25">
      <c r="A12" s="90"/>
      <c r="B12" s="90"/>
      <c r="C12" s="90"/>
      <c r="D12" s="90"/>
      <c r="E12" s="90"/>
      <c r="F12" s="230" t="s">
        <v>1591</v>
      </c>
      <c r="G12" s="230" t="s">
        <v>1742</v>
      </c>
      <c r="H12" s="230" t="s">
        <v>1640</v>
      </c>
      <c r="I12" s="230" t="s">
        <v>1742</v>
      </c>
      <c r="J12" s="230" t="s">
        <v>1680</v>
      </c>
      <c r="K12" s="230" t="s">
        <v>1742</v>
      </c>
      <c r="L12" s="90"/>
      <c r="M12" s="90"/>
      <c r="N12" s="90"/>
      <c r="O12" s="234" t="s">
        <v>1633</v>
      </c>
      <c r="P12" s="229">
        <v>90</v>
      </c>
      <c r="Q12" s="232">
        <v>5.0505050505050504E-2</v>
      </c>
      <c r="R12" s="209">
        <f>+P12*N8</f>
        <v>260.10000000000002</v>
      </c>
    </row>
    <row r="13" spans="1:18" ht="18.75" x14ac:dyDescent="0.25">
      <c r="A13" s="90"/>
      <c r="B13" s="90"/>
      <c r="C13" s="90"/>
      <c r="D13" s="90"/>
      <c r="E13" s="90"/>
      <c r="F13" s="230" t="s">
        <v>1592</v>
      </c>
      <c r="G13" s="230" t="s">
        <v>1742</v>
      </c>
      <c r="H13" s="231" t="s">
        <v>1733</v>
      </c>
      <c r="I13" s="230" t="s">
        <v>1743</v>
      </c>
      <c r="J13" s="231" t="s">
        <v>1681</v>
      </c>
      <c r="K13" s="230" t="s">
        <v>1743</v>
      </c>
      <c r="L13" s="90"/>
      <c r="M13" s="90"/>
      <c r="N13" s="90"/>
      <c r="O13" s="234" t="s">
        <v>1646</v>
      </c>
      <c r="P13" s="229">
        <v>50</v>
      </c>
      <c r="Q13" s="232">
        <v>2.8058361391694726E-2</v>
      </c>
      <c r="R13" s="209">
        <f>+P13*N8</f>
        <v>144.5</v>
      </c>
    </row>
    <row r="14" spans="1:18" ht="18.75" x14ac:dyDescent="0.25">
      <c r="A14" s="90"/>
      <c r="B14" s="90"/>
      <c r="C14" s="90"/>
      <c r="D14" s="90"/>
      <c r="E14" s="90"/>
      <c r="F14" s="230" t="s">
        <v>1593</v>
      </c>
      <c r="G14" s="230" t="s">
        <v>1742</v>
      </c>
      <c r="H14" s="230" t="s">
        <v>1641</v>
      </c>
      <c r="I14" s="230" t="s">
        <v>1742</v>
      </c>
      <c r="J14" s="231" t="s">
        <v>1682</v>
      </c>
      <c r="K14" s="230" t="s">
        <v>1743</v>
      </c>
      <c r="L14" s="90"/>
      <c r="M14" s="90"/>
      <c r="N14" s="90"/>
      <c r="O14" s="234" t="s">
        <v>1733</v>
      </c>
      <c r="P14" s="229">
        <v>32</v>
      </c>
      <c r="Q14" s="232">
        <v>1.7957351290684626E-2</v>
      </c>
      <c r="R14" s="209">
        <f>+P14*N8</f>
        <v>92.48</v>
      </c>
    </row>
    <row r="15" spans="1:18" ht="18.75" x14ac:dyDescent="0.25">
      <c r="A15" s="90"/>
      <c r="B15" s="90"/>
      <c r="C15" s="90"/>
      <c r="D15" s="90"/>
      <c r="E15" s="90"/>
      <c r="F15" s="230" t="s">
        <v>1594</v>
      </c>
      <c r="G15" s="230" t="s">
        <v>1742</v>
      </c>
      <c r="H15" s="230" t="s">
        <v>1642</v>
      </c>
      <c r="I15" s="230" t="s">
        <v>1742</v>
      </c>
      <c r="J15" s="231" t="s">
        <v>1633</v>
      </c>
      <c r="K15" s="230" t="s">
        <v>1743</v>
      </c>
      <c r="L15" s="90"/>
      <c r="M15" s="90"/>
      <c r="N15" s="90"/>
      <c r="O15" s="234" t="s">
        <v>1751</v>
      </c>
      <c r="P15" s="235">
        <f>SUM(P8:P14)</f>
        <v>1782</v>
      </c>
      <c r="Q15" s="236">
        <f>SUM(Q8:Q14)</f>
        <v>1</v>
      </c>
      <c r="R15" s="237">
        <f>SUM(R8:R14)</f>
        <v>5149.9799999999996</v>
      </c>
    </row>
    <row r="16" spans="1:18" ht="18" x14ac:dyDescent="0.25">
      <c r="A16" s="90"/>
      <c r="B16" s="90"/>
      <c r="C16" s="90"/>
      <c r="D16" s="90"/>
      <c r="E16" s="90"/>
      <c r="F16" s="230" t="s">
        <v>1595</v>
      </c>
      <c r="G16" s="230" t="s">
        <v>1742</v>
      </c>
      <c r="H16" s="231" t="s">
        <v>1643</v>
      </c>
      <c r="I16" s="230" t="s">
        <v>1743</v>
      </c>
      <c r="J16" s="230" t="s">
        <v>1734</v>
      </c>
      <c r="K16" s="230" t="s">
        <v>1742</v>
      </c>
      <c r="L16" s="90"/>
      <c r="M16" s="90"/>
      <c r="N16" s="90"/>
    </row>
    <row r="17" spans="1:14" ht="18" x14ac:dyDescent="0.25">
      <c r="A17" s="90"/>
      <c r="B17" s="90"/>
      <c r="C17" s="90"/>
      <c r="D17" s="90"/>
      <c r="E17" s="90"/>
      <c r="F17" s="230" t="s">
        <v>1740</v>
      </c>
      <c r="G17" s="230" t="s">
        <v>1742</v>
      </c>
      <c r="H17" s="230" t="s">
        <v>1644</v>
      </c>
      <c r="I17" s="230" t="s">
        <v>1742</v>
      </c>
      <c r="J17" s="230" t="s">
        <v>1684</v>
      </c>
      <c r="K17" s="230" t="s">
        <v>1742</v>
      </c>
      <c r="L17" s="90"/>
      <c r="M17" s="90"/>
      <c r="N17" s="90"/>
    </row>
    <row r="18" spans="1:14" x14ac:dyDescent="0.25">
      <c r="A18" s="90"/>
      <c r="B18" s="90"/>
      <c r="C18" s="90"/>
      <c r="D18" s="90"/>
      <c r="E18" s="90"/>
      <c r="F18" s="90"/>
      <c r="G18" s="90"/>
      <c r="H18" s="90"/>
      <c r="I18" s="90"/>
      <c r="J18" s="90"/>
      <c r="K18" s="90"/>
      <c r="L18" s="90"/>
      <c r="M18" s="90"/>
      <c r="N18" s="90"/>
    </row>
    <row r="19" spans="1:14" x14ac:dyDescent="0.25">
      <c r="A19" s="90"/>
      <c r="B19" s="90"/>
      <c r="C19" s="90"/>
      <c r="D19" s="90"/>
      <c r="E19" s="90"/>
      <c r="F19" s="90"/>
      <c r="G19" s="90"/>
      <c r="H19" s="90"/>
      <c r="I19" s="90"/>
      <c r="J19" s="90"/>
      <c r="K19" s="90"/>
      <c r="L19" s="90"/>
      <c r="M19" s="90"/>
      <c r="N19" s="90"/>
    </row>
    <row r="20" spans="1:14" x14ac:dyDescent="0.25">
      <c r="A20" s="90"/>
      <c r="B20" s="90"/>
      <c r="C20" s="90"/>
      <c r="D20" s="90"/>
      <c r="E20" s="90"/>
      <c r="F20" s="90"/>
      <c r="G20" s="90"/>
      <c r="H20" s="90"/>
      <c r="I20" s="90"/>
      <c r="J20" s="90"/>
      <c r="K20" s="90"/>
      <c r="L20" s="90"/>
      <c r="M20" s="90"/>
      <c r="N20" s="90"/>
    </row>
    <row r="21" spans="1:14" x14ac:dyDescent="0.25">
      <c r="A21" s="90"/>
      <c r="B21" s="90"/>
      <c r="C21" s="90"/>
      <c r="D21" s="90"/>
      <c r="E21" s="90"/>
      <c r="F21" s="90"/>
      <c r="G21" s="90"/>
      <c r="H21" s="90"/>
      <c r="I21" s="90"/>
      <c r="J21" s="90"/>
      <c r="K21" s="90"/>
      <c r="L21" s="90"/>
      <c r="M21" s="90"/>
      <c r="N21" s="90"/>
    </row>
    <row r="22" spans="1:14" x14ac:dyDescent="0.25">
      <c r="A22" s="90"/>
      <c r="B22" s="90"/>
      <c r="C22" s="90"/>
      <c r="D22" s="90"/>
      <c r="E22" s="90"/>
      <c r="F22" s="90"/>
      <c r="G22" s="90"/>
      <c r="H22" s="90"/>
      <c r="I22" s="90"/>
      <c r="J22" s="90"/>
      <c r="K22" s="90"/>
      <c r="L22" s="90"/>
      <c r="M22" s="90"/>
      <c r="N22" s="90"/>
    </row>
    <row r="23" spans="1:14" x14ac:dyDescent="0.25">
      <c r="A23" s="90"/>
      <c r="B23" s="90"/>
      <c r="C23" s="90"/>
      <c r="D23" s="90"/>
      <c r="E23" s="90"/>
      <c r="F23" s="90"/>
      <c r="G23" s="90"/>
      <c r="H23" s="90"/>
      <c r="I23" s="90"/>
      <c r="J23" s="90"/>
      <c r="K23" s="90"/>
      <c r="L23" s="90"/>
      <c r="M23" s="90"/>
      <c r="N23" s="90"/>
    </row>
    <row r="24" spans="1:14" x14ac:dyDescent="0.25">
      <c r="A24" s="90"/>
      <c r="B24" s="90"/>
      <c r="C24" s="90"/>
      <c r="D24" s="90"/>
      <c r="E24" s="90"/>
      <c r="F24" s="90"/>
      <c r="G24" s="90"/>
      <c r="H24" s="90"/>
      <c r="I24" s="90"/>
      <c r="J24" s="90"/>
      <c r="K24" s="90"/>
      <c r="L24" s="90"/>
      <c r="M24" s="90"/>
      <c r="N24" s="90"/>
    </row>
    <row r="25" spans="1:14" x14ac:dyDescent="0.25">
      <c r="A25" s="90"/>
      <c r="B25" s="90"/>
      <c r="C25" s="90"/>
      <c r="D25" s="90"/>
      <c r="E25" s="90"/>
      <c r="F25" s="90"/>
      <c r="G25" s="90"/>
      <c r="H25" s="90"/>
      <c r="I25" s="90"/>
      <c r="J25" s="90"/>
      <c r="K25" s="90"/>
      <c r="L25" s="90"/>
      <c r="M25" s="90"/>
      <c r="N25" s="90"/>
    </row>
    <row r="26" spans="1:14" x14ac:dyDescent="0.25">
      <c r="A26" s="90"/>
      <c r="B26" s="90"/>
      <c r="C26" s="90"/>
      <c r="D26" s="90"/>
      <c r="E26" s="90"/>
      <c r="F26" s="90"/>
      <c r="G26" s="90"/>
      <c r="H26" s="90"/>
      <c r="I26" s="90"/>
      <c r="J26" s="90"/>
      <c r="K26" s="90"/>
      <c r="L26" s="90"/>
      <c r="M26" s="90"/>
      <c r="N26" s="90"/>
    </row>
    <row r="27" spans="1:14" x14ac:dyDescent="0.25">
      <c r="A27" s="90"/>
      <c r="B27" s="90"/>
      <c r="C27" s="90"/>
      <c r="D27" s="90"/>
      <c r="E27" s="90"/>
      <c r="F27" s="90"/>
      <c r="G27" s="90"/>
      <c r="H27" s="90"/>
      <c r="I27" s="90"/>
      <c r="J27" s="90"/>
      <c r="K27" s="90"/>
      <c r="L27" s="90"/>
      <c r="M27" s="90"/>
      <c r="N27" s="90"/>
    </row>
    <row r="28" spans="1:14" x14ac:dyDescent="0.25">
      <c r="A28" s="90"/>
      <c r="B28" s="90"/>
      <c r="C28" s="90"/>
      <c r="D28" s="90"/>
      <c r="E28" s="90"/>
      <c r="F28" s="90"/>
      <c r="G28" s="90"/>
      <c r="H28" s="90"/>
      <c r="I28" s="90"/>
      <c r="J28" s="90"/>
      <c r="K28" s="90"/>
      <c r="L28" s="90"/>
      <c r="M28" s="90"/>
      <c r="N28" s="90"/>
    </row>
    <row r="29" spans="1:14" x14ac:dyDescent="0.25">
      <c r="A29" s="90"/>
      <c r="B29" s="90"/>
      <c r="C29" s="90"/>
      <c r="D29" s="90"/>
      <c r="E29" s="90"/>
      <c r="F29" s="90"/>
      <c r="G29" s="90"/>
      <c r="H29" s="90"/>
      <c r="I29" s="90"/>
      <c r="J29" s="90"/>
      <c r="K29" s="90"/>
      <c r="L29" s="90"/>
      <c r="M29" s="90"/>
      <c r="N29" s="90"/>
    </row>
    <row r="30" spans="1:14" x14ac:dyDescent="0.25">
      <c r="A30" s="90"/>
      <c r="B30" s="90"/>
      <c r="C30" s="90"/>
      <c r="D30" s="90"/>
      <c r="E30" s="90"/>
      <c r="F30" s="90"/>
      <c r="G30" s="90"/>
      <c r="H30" s="90"/>
      <c r="I30" s="90"/>
      <c r="J30" s="90"/>
      <c r="K30" s="90"/>
      <c r="L30" s="90"/>
      <c r="M30" s="90"/>
      <c r="N30" s="90"/>
    </row>
    <row r="31" spans="1:14" x14ac:dyDescent="0.25">
      <c r="A31" s="90"/>
      <c r="B31" s="90"/>
      <c r="C31" s="90"/>
      <c r="D31" s="90"/>
      <c r="E31" s="90"/>
    </row>
    <row r="32" spans="1:14" x14ac:dyDescent="0.25">
      <c r="A32" s="90"/>
      <c r="B32" s="90"/>
      <c r="C32" s="90"/>
      <c r="D32" s="90"/>
      <c r="E32" s="90"/>
    </row>
  </sheetData>
  <sortState xmlns:xlrd2="http://schemas.microsoft.com/office/spreadsheetml/2017/richdata2" ref="O8:R14">
    <sortCondition descending="1" ref="P8:P14"/>
  </sortState>
  <mergeCells count="3">
    <mergeCell ref="F7:K7"/>
    <mergeCell ref="M6:M7"/>
    <mergeCell ref="N6:N7"/>
  </mergeCells>
  <conditionalFormatting sqref="G8:G17">
    <cfRule type="containsText" dxfId="5" priority="5" operator="containsText" text="L">
      <formula>NOT(ISERROR(SEARCH("L",G8)))</formula>
    </cfRule>
    <cfRule type="containsText" dxfId="4" priority="6" operator="containsText" text="F">
      <formula>NOT(ISERROR(SEARCH("F",G8)))</formula>
    </cfRule>
  </conditionalFormatting>
  <conditionalFormatting sqref="I8:I17">
    <cfRule type="containsText" dxfId="3" priority="3" operator="containsText" text="L">
      <formula>NOT(ISERROR(SEARCH("L",I8)))</formula>
    </cfRule>
    <cfRule type="containsText" dxfId="2" priority="4" operator="containsText" text="F">
      <formula>NOT(ISERROR(SEARCH("F",I8)))</formula>
    </cfRule>
  </conditionalFormatting>
  <conditionalFormatting sqref="K8:K17">
    <cfRule type="containsText" dxfId="1" priority="1" operator="containsText" text="L">
      <formula>NOT(ISERROR(SEARCH("L",K8)))</formula>
    </cfRule>
    <cfRule type="containsText" dxfId="0" priority="2" operator="containsText" text="F">
      <formula>NOT(ISERROR(SEARCH("F",K8)))</formula>
    </cfRule>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4"/>
  <dimension ref="A1:I1099"/>
  <sheetViews>
    <sheetView topLeftCell="A877" zoomScale="85" zoomScaleNormal="85" workbookViewId="0">
      <selection activeCell="B1032" sqref="B1032"/>
    </sheetView>
  </sheetViews>
  <sheetFormatPr baseColWidth="10" defaultColWidth="11.42578125" defaultRowHeight="15" x14ac:dyDescent="0.25"/>
  <cols>
    <col min="1" max="1" width="21.5703125" style="52" bestFit="1" customWidth="1"/>
    <col min="2" max="2" width="34.42578125" bestFit="1" customWidth="1"/>
    <col min="3" max="3" width="35.140625" customWidth="1"/>
    <col min="4" max="4" width="11.85546875" bestFit="1" customWidth="1"/>
  </cols>
  <sheetData>
    <row r="1" spans="1:9" x14ac:dyDescent="0.25">
      <c r="A1" s="50" t="s">
        <v>114</v>
      </c>
      <c r="B1" s="51" t="s">
        <v>57</v>
      </c>
      <c r="C1" s="51" t="s">
        <v>1045</v>
      </c>
      <c r="D1" s="51" t="s">
        <v>1046</v>
      </c>
      <c r="E1" s="51" t="s">
        <v>1047</v>
      </c>
    </row>
    <row r="2" spans="1:9" x14ac:dyDescent="0.25">
      <c r="A2" s="52">
        <v>18923</v>
      </c>
      <c r="B2" s="53" t="s">
        <v>1048</v>
      </c>
      <c r="C2">
        <v>0.21</v>
      </c>
      <c r="D2">
        <v>0.5</v>
      </c>
      <c r="E2">
        <f>60/C2</f>
        <v>285.71428571428572</v>
      </c>
      <c r="I2">
        <f>C2*60</f>
        <v>12.6</v>
      </c>
    </row>
    <row r="3" spans="1:9" x14ac:dyDescent="0.25">
      <c r="A3" s="52">
        <v>19139</v>
      </c>
      <c r="B3" s="53" t="s">
        <v>1049</v>
      </c>
      <c r="C3">
        <v>0.29399999999999998</v>
      </c>
      <c r="D3">
        <v>0.5</v>
      </c>
      <c r="E3">
        <f t="shared" ref="E3:E67" si="0">60/C3</f>
        <v>204.08163265306123</v>
      </c>
    </row>
    <row r="4" spans="1:9" x14ac:dyDescent="0.25">
      <c r="A4" s="52">
        <v>19340</v>
      </c>
      <c r="B4" s="53" t="s">
        <v>1050</v>
      </c>
      <c r="C4">
        <v>0.20300000000000001</v>
      </c>
      <c r="D4">
        <v>0.5</v>
      </c>
      <c r="E4">
        <f t="shared" si="0"/>
        <v>295.56650246305418</v>
      </c>
    </row>
    <row r="5" spans="1:9" x14ac:dyDescent="0.25">
      <c r="A5" s="52">
        <v>24015</v>
      </c>
      <c r="B5" t="s">
        <v>1051</v>
      </c>
      <c r="C5">
        <v>1.4E-2</v>
      </c>
      <c r="D5">
        <v>1.5</v>
      </c>
      <c r="E5">
        <f t="shared" si="0"/>
        <v>4285.7142857142853</v>
      </c>
    </row>
    <row r="6" spans="1:9" x14ac:dyDescent="0.25">
      <c r="A6" s="52">
        <v>393145</v>
      </c>
      <c r="B6" t="s">
        <v>1052</v>
      </c>
      <c r="C6">
        <v>0.58799999999999997</v>
      </c>
      <c r="D6">
        <v>0.25</v>
      </c>
      <c r="E6">
        <f t="shared" si="0"/>
        <v>102.04081632653062</v>
      </c>
    </row>
    <row r="7" spans="1:9" x14ac:dyDescent="0.25">
      <c r="A7" s="52">
        <v>18004702</v>
      </c>
      <c r="B7" t="s">
        <v>1053</v>
      </c>
      <c r="C7">
        <v>0.78400000000000003</v>
      </c>
      <c r="D7">
        <v>0.25</v>
      </c>
      <c r="E7">
        <f t="shared" si="0"/>
        <v>76.530612244897952</v>
      </c>
    </row>
    <row r="8" spans="1:9" x14ac:dyDescent="0.25">
      <c r="A8" s="52">
        <v>18013201</v>
      </c>
      <c r="B8" s="53" t="s">
        <v>1054</v>
      </c>
      <c r="C8">
        <v>0.16700000000000001</v>
      </c>
      <c r="D8">
        <v>0.25</v>
      </c>
      <c r="E8">
        <f t="shared" si="0"/>
        <v>359.28143712574848</v>
      </c>
    </row>
    <row r="9" spans="1:9" x14ac:dyDescent="0.25">
      <c r="A9" s="52">
        <v>24018000</v>
      </c>
      <c r="B9" t="s">
        <v>1055</v>
      </c>
      <c r="C9">
        <v>0.03</v>
      </c>
      <c r="D9">
        <v>0.5</v>
      </c>
      <c r="E9">
        <f t="shared" si="0"/>
        <v>2000</v>
      </c>
    </row>
    <row r="10" spans="1:9" x14ac:dyDescent="0.25">
      <c r="A10" s="52">
        <v>30250000</v>
      </c>
      <c r="B10" s="53" t="s">
        <v>1056</v>
      </c>
      <c r="C10">
        <v>0.33700000000000002</v>
      </c>
      <c r="D10">
        <v>0.5</v>
      </c>
      <c r="E10">
        <f t="shared" si="0"/>
        <v>178.04154302670622</v>
      </c>
    </row>
    <row r="11" spans="1:9" x14ac:dyDescent="0.25">
      <c r="A11" s="52">
        <v>46000895</v>
      </c>
      <c r="B11" s="53" t="s">
        <v>1057</v>
      </c>
      <c r="C11">
        <v>6.8000000000000005E-2</v>
      </c>
      <c r="D11">
        <v>0.25</v>
      </c>
      <c r="E11">
        <f t="shared" si="0"/>
        <v>882.35294117647049</v>
      </c>
    </row>
    <row r="12" spans="1:9" x14ac:dyDescent="0.25">
      <c r="A12" s="52">
        <v>49042700</v>
      </c>
      <c r="B12" s="53" t="s">
        <v>1058</v>
      </c>
      <c r="C12">
        <v>0.39500000000000002</v>
      </c>
      <c r="D12">
        <v>0.5</v>
      </c>
      <c r="E12">
        <f t="shared" si="0"/>
        <v>151.89873417721518</v>
      </c>
    </row>
    <row r="13" spans="1:9" x14ac:dyDescent="0.25">
      <c r="A13" s="52">
        <v>49060600</v>
      </c>
      <c r="B13" t="s">
        <v>1059</v>
      </c>
      <c r="C13">
        <v>0.39200000000000002</v>
      </c>
      <c r="D13">
        <v>0.25</v>
      </c>
      <c r="E13">
        <f t="shared" si="0"/>
        <v>153.0612244897959</v>
      </c>
    </row>
    <row r="14" spans="1:9" x14ac:dyDescent="0.25">
      <c r="A14" s="52">
        <v>53009703</v>
      </c>
      <c r="B14" t="s">
        <v>1060</v>
      </c>
      <c r="C14">
        <v>0.98</v>
      </c>
      <c r="D14">
        <v>0.25</v>
      </c>
      <c r="E14">
        <f t="shared" si="0"/>
        <v>61.224489795918366</v>
      </c>
    </row>
    <row r="15" spans="1:9" x14ac:dyDescent="0.25">
      <c r="A15" s="52">
        <v>55486913</v>
      </c>
      <c r="B15" t="s">
        <v>1061</v>
      </c>
      <c r="C15">
        <v>0.109</v>
      </c>
      <c r="D15">
        <v>3</v>
      </c>
      <c r="E15">
        <f t="shared" si="0"/>
        <v>550.45871559633031</v>
      </c>
    </row>
    <row r="16" spans="1:9" x14ac:dyDescent="0.25">
      <c r="A16" s="52">
        <v>55486914</v>
      </c>
      <c r="B16" t="s">
        <v>1062</v>
      </c>
      <c r="C16">
        <v>0.109</v>
      </c>
      <c r="D16">
        <v>3</v>
      </c>
      <c r="E16">
        <f t="shared" si="0"/>
        <v>550.45871559633031</v>
      </c>
    </row>
    <row r="17" spans="1:5" x14ac:dyDescent="0.25">
      <c r="A17" s="52">
        <v>70115700</v>
      </c>
      <c r="B17" t="s">
        <v>1063</v>
      </c>
      <c r="C17">
        <v>0.39200000000000002</v>
      </c>
      <c r="D17">
        <v>0.25</v>
      </c>
      <c r="E17">
        <f t="shared" si="0"/>
        <v>153.0612244897959</v>
      </c>
    </row>
    <row r="18" spans="1:5" x14ac:dyDescent="0.25">
      <c r="A18" s="52">
        <v>70505200</v>
      </c>
      <c r="B18" t="s">
        <v>1064</v>
      </c>
      <c r="C18">
        <v>0.78400000000000003</v>
      </c>
      <c r="D18">
        <v>0.25</v>
      </c>
      <c r="E18">
        <f t="shared" si="0"/>
        <v>76.530612244897952</v>
      </c>
    </row>
    <row r="19" spans="1:5" x14ac:dyDescent="0.25">
      <c r="A19" s="52">
        <v>70525701</v>
      </c>
      <c r="B19" t="s">
        <v>1065</v>
      </c>
      <c r="C19">
        <v>0.58799999999999997</v>
      </c>
      <c r="D19">
        <v>0.25</v>
      </c>
      <c r="E19">
        <f t="shared" si="0"/>
        <v>102.04081632653062</v>
      </c>
    </row>
    <row r="20" spans="1:5" x14ac:dyDescent="0.25">
      <c r="A20" s="52">
        <v>70525702</v>
      </c>
      <c r="B20" t="s">
        <v>1066</v>
      </c>
      <c r="C20">
        <v>0.58799999999999997</v>
      </c>
      <c r="D20">
        <v>0.25</v>
      </c>
      <c r="E20">
        <f t="shared" si="0"/>
        <v>102.04081632653062</v>
      </c>
    </row>
    <row r="21" spans="1:5" x14ac:dyDescent="0.25">
      <c r="A21" s="52">
        <v>70530200</v>
      </c>
      <c r="B21" t="s">
        <v>1067</v>
      </c>
      <c r="C21">
        <v>0.78400000000000003</v>
      </c>
      <c r="D21">
        <v>0.25</v>
      </c>
      <c r="E21">
        <f t="shared" si="0"/>
        <v>76.530612244897952</v>
      </c>
    </row>
    <row r="22" spans="1:5" x14ac:dyDescent="0.25">
      <c r="A22" s="52">
        <v>70530300</v>
      </c>
      <c r="B22" t="s">
        <v>1068</v>
      </c>
      <c r="C22">
        <v>0.78400000000000003</v>
      </c>
      <c r="D22">
        <v>0.25</v>
      </c>
      <c r="E22">
        <f t="shared" si="0"/>
        <v>76.530612244897952</v>
      </c>
    </row>
    <row r="23" spans="1:5" x14ac:dyDescent="0.25">
      <c r="A23" s="52">
        <v>201287000</v>
      </c>
      <c r="B23" t="s">
        <v>1069</v>
      </c>
      <c r="C23">
        <v>0.2</v>
      </c>
      <c r="D23">
        <v>0.5</v>
      </c>
      <c r="E23">
        <f t="shared" si="0"/>
        <v>300</v>
      </c>
    </row>
    <row r="24" spans="1:5" x14ac:dyDescent="0.25">
      <c r="A24" s="52">
        <v>202700086</v>
      </c>
      <c r="B24" s="53" t="s">
        <v>1070</v>
      </c>
      <c r="C24">
        <v>8.9999999999999993E-3</v>
      </c>
      <c r="D24">
        <v>0.5</v>
      </c>
      <c r="E24">
        <f t="shared" si="0"/>
        <v>6666.666666666667</v>
      </c>
    </row>
    <row r="25" spans="1:5" x14ac:dyDescent="0.25">
      <c r="A25" s="52">
        <v>202700094</v>
      </c>
      <c r="B25" s="53" t="s">
        <v>1071</v>
      </c>
      <c r="C25">
        <v>1.9E-2</v>
      </c>
      <c r="D25">
        <v>0.5</v>
      </c>
      <c r="E25">
        <f t="shared" si="0"/>
        <v>3157.8947368421054</v>
      </c>
    </row>
    <row r="26" spans="1:5" x14ac:dyDescent="0.25">
      <c r="A26" s="52">
        <v>202700101</v>
      </c>
      <c r="B26" t="s">
        <v>1072</v>
      </c>
      <c r="C26">
        <v>0.58799999999999997</v>
      </c>
      <c r="D26">
        <v>0.25</v>
      </c>
      <c r="E26">
        <f t="shared" si="0"/>
        <v>102.04081632653062</v>
      </c>
    </row>
    <row r="27" spans="1:5" x14ac:dyDescent="0.25">
      <c r="A27" s="52">
        <v>202700102</v>
      </c>
      <c r="B27" t="s">
        <v>1073</v>
      </c>
      <c r="C27">
        <v>0.58799999999999997</v>
      </c>
      <c r="D27">
        <v>0.25</v>
      </c>
      <c r="E27">
        <f t="shared" si="0"/>
        <v>102.04081632653062</v>
      </c>
    </row>
    <row r="28" spans="1:5" x14ac:dyDescent="0.25">
      <c r="A28" s="52">
        <v>202700103</v>
      </c>
      <c r="B28" t="s">
        <v>1074</v>
      </c>
      <c r="C28">
        <v>0.58799999999999997</v>
      </c>
      <c r="D28">
        <v>0.25</v>
      </c>
      <c r="E28">
        <f t="shared" si="0"/>
        <v>102.04081632653062</v>
      </c>
    </row>
    <row r="29" spans="1:5" x14ac:dyDescent="0.25">
      <c r="A29" s="52">
        <v>202700104</v>
      </c>
      <c r="B29" t="s">
        <v>1075</v>
      </c>
      <c r="C29">
        <v>0.58799999999999997</v>
      </c>
      <c r="D29">
        <v>0.25</v>
      </c>
      <c r="E29">
        <f t="shared" si="0"/>
        <v>102.04081632653062</v>
      </c>
    </row>
    <row r="30" spans="1:5" x14ac:dyDescent="0.25">
      <c r="A30" s="52">
        <v>202700105</v>
      </c>
      <c r="B30" s="53" t="s">
        <v>1076</v>
      </c>
      <c r="C30">
        <v>3.5999999999999997E-2</v>
      </c>
      <c r="D30">
        <v>0.5</v>
      </c>
      <c r="E30">
        <f t="shared" si="0"/>
        <v>1666.6666666666667</v>
      </c>
    </row>
    <row r="31" spans="1:5" x14ac:dyDescent="0.25">
      <c r="A31" s="52">
        <v>202700106</v>
      </c>
      <c r="B31" t="s">
        <v>1077</v>
      </c>
      <c r="C31">
        <v>0.58799999999999997</v>
      </c>
      <c r="D31">
        <v>0.5</v>
      </c>
      <c r="E31">
        <f t="shared" si="0"/>
        <v>102.04081632653062</v>
      </c>
    </row>
    <row r="32" spans="1:5" x14ac:dyDescent="0.25">
      <c r="A32" s="52">
        <v>204300002</v>
      </c>
      <c r="B32" s="53" t="s">
        <v>1078</v>
      </c>
      <c r="C32">
        <v>2.4E-2</v>
      </c>
      <c r="D32">
        <v>0.5</v>
      </c>
      <c r="E32">
        <f t="shared" si="0"/>
        <v>2500</v>
      </c>
    </row>
    <row r="33" spans="1:5" x14ac:dyDescent="0.25">
      <c r="A33" s="52">
        <v>204300003</v>
      </c>
      <c r="B33" t="s">
        <v>1079</v>
      </c>
      <c r="C33">
        <v>0.39200000000000002</v>
      </c>
      <c r="D33">
        <v>0.25</v>
      </c>
      <c r="E33">
        <f t="shared" si="0"/>
        <v>153.0612244897959</v>
      </c>
    </row>
    <row r="34" spans="1:5" x14ac:dyDescent="0.25">
      <c r="A34" s="52">
        <v>304800007</v>
      </c>
      <c r="B34" t="s">
        <v>1080</v>
      </c>
      <c r="C34">
        <v>0.58799999999999997</v>
      </c>
      <c r="D34">
        <v>0.5</v>
      </c>
      <c r="E34">
        <f t="shared" si="0"/>
        <v>102.04081632653062</v>
      </c>
    </row>
    <row r="35" spans="1:5" x14ac:dyDescent="0.25">
      <c r="A35" s="52">
        <v>304900001</v>
      </c>
      <c r="B35" t="s">
        <v>1081</v>
      </c>
      <c r="C35">
        <v>0.98</v>
      </c>
      <c r="D35">
        <v>0.25</v>
      </c>
      <c r="E35">
        <f t="shared" si="0"/>
        <v>61.224489795918366</v>
      </c>
    </row>
    <row r="36" spans="1:5" x14ac:dyDescent="0.25">
      <c r="A36" s="52">
        <v>304900002</v>
      </c>
      <c r="B36" t="s">
        <v>1082</v>
      </c>
      <c r="C36">
        <v>0.58799999999999997</v>
      </c>
      <c r="D36">
        <v>0.25</v>
      </c>
      <c r="E36">
        <f t="shared" si="0"/>
        <v>102.04081632653062</v>
      </c>
    </row>
    <row r="37" spans="1:5" x14ac:dyDescent="0.25">
      <c r="A37" s="52">
        <v>304900003</v>
      </c>
      <c r="B37" t="s">
        <v>1083</v>
      </c>
      <c r="C37">
        <v>0.58799999999999997</v>
      </c>
      <c r="D37">
        <v>0.25</v>
      </c>
      <c r="E37">
        <f t="shared" si="0"/>
        <v>102.04081632653062</v>
      </c>
    </row>
    <row r="38" spans="1:5" x14ac:dyDescent="0.25">
      <c r="A38" s="52">
        <v>304900004</v>
      </c>
      <c r="B38" t="s">
        <v>1084</v>
      </c>
      <c r="C38">
        <v>1.569</v>
      </c>
      <c r="D38">
        <v>0.25</v>
      </c>
      <c r="E38">
        <f t="shared" si="0"/>
        <v>38.24091778202677</v>
      </c>
    </row>
    <row r="39" spans="1:5" x14ac:dyDescent="0.25">
      <c r="A39" s="52">
        <v>304900005</v>
      </c>
      <c r="B39" t="s">
        <v>1085</v>
      </c>
      <c r="C39">
        <v>1.1759999999999999</v>
      </c>
      <c r="D39">
        <v>0.25</v>
      </c>
      <c r="E39">
        <f t="shared" si="0"/>
        <v>51.020408163265309</v>
      </c>
    </row>
    <row r="40" spans="1:5" x14ac:dyDescent="0.25">
      <c r="A40" s="52">
        <v>304900006</v>
      </c>
      <c r="B40" t="s">
        <v>1086</v>
      </c>
      <c r="C40">
        <v>1.7649999999999999</v>
      </c>
      <c r="D40">
        <v>0.25</v>
      </c>
      <c r="E40">
        <f t="shared" si="0"/>
        <v>33.994334277620396</v>
      </c>
    </row>
    <row r="41" spans="1:5" x14ac:dyDescent="0.25">
      <c r="A41" s="52">
        <v>304900007</v>
      </c>
      <c r="B41" t="s">
        <v>1087</v>
      </c>
      <c r="C41">
        <v>0.98</v>
      </c>
      <c r="D41">
        <v>0.25</v>
      </c>
      <c r="E41">
        <f t="shared" si="0"/>
        <v>61.224489795918366</v>
      </c>
    </row>
    <row r="42" spans="1:5" x14ac:dyDescent="0.25">
      <c r="A42" s="52">
        <v>304900008</v>
      </c>
      <c r="B42" t="s">
        <v>1088</v>
      </c>
      <c r="C42">
        <v>1.569</v>
      </c>
      <c r="D42">
        <v>0.25</v>
      </c>
      <c r="E42">
        <f t="shared" si="0"/>
        <v>38.24091778202677</v>
      </c>
    </row>
    <row r="43" spans="1:5" x14ac:dyDescent="0.25">
      <c r="A43" s="52">
        <v>304900009</v>
      </c>
      <c r="B43" t="s">
        <v>1089</v>
      </c>
      <c r="C43">
        <v>1.569</v>
      </c>
      <c r="D43">
        <v>0.25</v>
      </c>
      <c r="E43">
        <f t="shared" si="0"/>
        <v>38.24091778202677</v>
      </c>
    </row>
    <row r="44" spans="1:5" x14ac:dyDescent="0.25">
      <c r="A44" s="52">
        <v>324300001</v>
      </c>
      <c r="B44" t="s">
        <v>1090</v>
      </c>
      <c r="C44">
        <v>15.833</v>
      </c>
      <c r="D44">
        <v>0.25</v>
      </c>
      <c r="E44">
        <f t="shared" si="0"/>
        <v>3.7895534642834585</v>
      </c>
    </row>
    <row r="45" spans="1:5" x14ac:dyDescent="0.25">
      <c r="A45" s="52">
        <v>4619270001</v>
      </c>
      <c r="B45" s="53" t="s">
        <v>1091</v>
      </c>
      <c r="C45">
        <v>0.82899999999999996</v>
      </c>
      <c r="D45">
        <v>0.5</v>
      </c>
      <c r="E45">
        <f t="shared" si="0"/>
        <v>72.376357056694815</v>
      </c>
    </row>
    <row r="46" spans="1:5" x14ac:dyDescent="0.25">
      <c r="A46" s="52">
        <v>4690820009</v>
      </c>
      <c r="B46" s="53" t="s">
        <v>1092</v>
      </c>
      <c r="C46">
        <v>2.0649999999999999</v>
      </c>
      <c r="D46">
        <v>0.5</v>
      </c>
      <c r="E46">
        <f t="shared" si="0"/>
        <v>29.055690072639226</v>
      </c>
    </row>
    <row r="47" spans="1:5" x14ac:dyDescent="0.25">
      <c r="A47" s="52">
        <v>4691270003</v>
      </c>
      <c r="B47" s="53" t="s">
        <v>1091</v>
      </c>
      <c r="C47">
        <v>0.82499999999999996</v>
      </c>
      <c r="D47">
        <v>0.5</v>
      </c>
      <c r="E47">
        <f t="shared" si="0"/>
        <v>72.727272727272734</v>
      </c>
    </row>
    <row r="48" spans="1:5" x14ac:dyDescent="0.25">
      <c r="A48" s="52">
        <v>4699730005</v>
      </c>
      <c r="B48" s="53" t="s">
        <v>1092</v>
      </c>
      <c r="C48">
        <v>1.716</v>
      </c>
      <c r="D48">
        <v>0.5</v>
      </c>
      <c r="E48">
        <f t="shared" si="0"/>
        <v>34.965034965034967</v>
      </c>
    </row>
    <row r="49" spans="1:5" x14ac:dyDescent="0.25">
      <c r="A49" s="52">
        <v>4699740009</v>
      </c>
      <c r="B49" s="53" t="s">
        <v>1092</v>
      </c>
      <c r="C49">
        <v>2.0649999999999999</v>
      </c>
      <c r="D49">
        <v>0.5</v>
      </c>
      <c r="E49">
        <f t="shared" si="0"/>
        <v>29.055690072639226</v>
      </c>
    </row>
    <row r="50" spans="1:5" x14ac:dyDescent="0.25">
      <c r="A50" s="52">
        <v>4699750000</v>
      </c>
      <c r="B50" s="53" t="s">
        <v>1093</v>
      </c>
      <c r="C50">
        <v>0.45500000000000002</v>
      </c>
      <c r="D50">
        <v>0.5</v>
      </c>
      <c r="E50">
        <f t="shared" si="0"/>
        <v>131.86813186813185</v>
      </c>
    </row>
    <row r="51" spans="1:5" x14ac:dyDescent="0.25">
      <c r="A51" s="52">
        <v>4699760000</v>
      </c>
      <c r="B51" s="53" t="s">
        <v>1094</v>
      </c>
      <c r="C51">
        <v>0.55700000000000005</v>
      </c>
      <c r="D51">
        <v>0.5</v>
      </c>
      <c r="E51">
        <f t="shared" si="0"/>
        <v>107.71992818671453</v>
      </c>
    </row>
    <row r="52" spans="1:5" x14ac:dyDescent="0.25">
      <c r="A52" s="52">
        <v>4699770000</v>
      </c>
      <c r="B52" s="53" t="s">
        <v>1095</v>
      </c>
      <c r="C52">
        <v>0.35499999999999998</v>
      </c>
      <c r="D52">
        <v>0.5</v>
      </c>
      <c r="E52">
        <f t="shared" si="0"/>
        <v>169.01408450704227</v>
      </c>
    </row>
    <row r="53" spans="1:5" x14ac:dyDescent="0.25">
      <c r="A53" s="52">
        <v>4920260013</v>
      </c>
      <c r="B53" t="s">
        <v>1096</v>
      </c>
      <c r="C53">
        <v>3.5419999999999998</v>
      </c>
      <c r="D53">
        <v>0.25</v>
      </c>
      <c r="E53">
        <f t="shared" si="0"/>
        <v>16.939582156973461</v>
      </c>
    </row>
    <row r="54" spans="1:5" x14ac:dyDescent="0.25">
      <c r="A54" s="52">
        <v>7083830002</v>
      </c>
      <c r="B54" t="s">
        <v>1097</v>
      </c>
      <c r="C54">
        <v>0.98</v>
      </c>
      <c r="D54">
        <v>0.25</v>
      </c>
      <c r="E54">
        <f t="shared" si="0"/>
        <v>61.224489795918366</v>
      </c>
    </row>
    <row r="55" spans="1:5" x14ac:dyDescent="0.25">
      <c r="A55" s="52">
        <v>7083860001</v>
      </c>
      <c r="B55" t="s">
        <v>1092</v>
      </c>
      <c r="C55">
        <v>0.58799999999999997</v>
      </c>
      <c r="D55">
        <v>0.25</v>
      </c>
      <c r="E55">
        <f t="shared" si="0"/>
        <v>102.04081632653062</v>
      </c>
    </row>
    <row r="56" spans="1:5" x14ac:dyDescent="0.25">
      <c r="A56" s="52">
        <v>7102960001</v>
      </c>
      <c r="B56" t="s">
        <v>1098</v>
      </c>
      <c r="C56">
        <v>2.9169999999999998</v>
      </c>
      <c r="D56">
        <v>0.25</v>
      </c>
      <c r="E56">
        <f t="shared" si="0"/>
        <v>20.569077819677752</v>
      </c>
    </row>
    <row r="57" spans="1:5" x14ac:dyDescent="0.25">
      <c r="A57" s="52">
        <v>7102970001</v>
      </c>
      <c r="B57" t="s">
        <v>1099</v>
      </c>
      <c r="C57">
        <v>2.9169999999999998</v>
      </c>
      <c r="D57">
        <v>0.25</v>
      </c>
      <c r="E57">
        <f t="shared" si="0"/>
        <v>20.569077819677752</v>
      </c>
    </row>
    <row r="58" spans="1:5" x14ac:dyDescent="0.25">
      <c r="A58" s="52">
        <v>18501652001</v>
      </c>
      <c r="B58" t="s">
        <v>1100</v>
      </c>
      <c r="C58">
        <v>0.12</v>
      </c>
      <c r="D58">
        <v>0.5</v>
      </c>
      <c r="E58">
        <f t="shared" si="0"/>
        <v>500</v>
      </c>
    </row>
    <row r="59" spans="1:5" x14ac:dyDescent="0.25">
      <c r="A59" s="52">
        <v>18511652002</v>
      </c>
      <c r="B59" t="s">
        <v>1101</v>
      </c>
      <c r="C59">
        <v>0.12</v>
      </c>
      <c r="D59">
        <v>0.5</v>
      </c>
      <c r="E59">
        <f t="shared" si="0"/>
        <v>500</v>
      </c>
    </row>
    <row r="60" spans="1:5" x14ac:dyDescent="0.25">
      <c r="A60" s="52">
        <v>53031652058</v>
      </c>
      <c r="B60" t="s">
        <v>1100</v>
      </c>
      <c r="C60">
        <v>0.12</v>
      </c>
      <c r="D60">
        <v>0.5</v>
      </c>
      <c r="E60">
        <f t="shared" si="0"/>
        <v>500</v>
      </c>
    </row>
    <row r="61" spans="1:5" x14ac:dyDescent="0.25">
      <c r="A61" s="52" t="s">
        <v>115</v>
      </c>
      <c r="B61" t="s">
        <v>1102</v>
      </c>
      <c r="C61">
        <v>0.58799999999999997</v>
      </c>
      <c r="D61">
        <v>0.5</v>
      </c>
      <c r="E61">
        <f t="shared" si="0"/>
        <v>102.04081632653062</v>
      </c>
    </row>
    <row r="62" spans="1:5" x14ac:dyDescent="0.25">
      <c r="A62" s="52" t="s">
        <v>69</v>
      </c>
      <c r="B62" t="s">
        <v>1102</v>
      </c>
      <c r="C62">
        <v>1.7250000000000001</v>
      </c>
      <c r="D62">
        <v>0.25</v>
      </c>
      <c r="E62">
        <f t="shared" si="0"/>
        <v>34.782608695652172</v>
      </c>
    </row>
    <row r="63" spans="1:5" x14ac:dyDescent="0.25">
      <c r="A63" s="52" t="s">
        <v>116</v>
      </c>
      <c r="B63" t="s">
        <v>1102</v>
      </c>
      <c r="C63">
        <v>0.98</v>
      </c>
      <c r="D63">
        <v>0.25</v>
      </c>
      <c r="E63">
        <f t="shared" si="0"/>
        <v>61.224489795918366</v>
      </c>
    </row>
    <row r="64" spans="1:5" x14ac:dyDescent="0.25">
      <c r="A64" s="52" t="s">
        <v>71</v>
      </c>
      <c r="B64" s="53" t="s">
        <v>1102</v>
      </c>
      <c r="C64">
        <v>2.8250000000000002</v>
      </c>
      <c r="D64">
        <v>0.5</v>
      </c>
      <c r="E64">
        <f t="shared" si="0"/>
        <v>21.238938053097343</v>
      </c>
    </row>
    <row r="65" spans="1:5" x14ac:dyDescent="0.25">
      <c r="A65" s="52" t="s">
        <v>117</v>
      </c>
      <c r="B65" t="s">
        <v>1102</v>
      </c>
      <c r="C65">
        <v>0.58799999999999997</v>
      </c>
      <c r="D65">
        <v>0.5</v>
      </c>
      <c r="E65">
        <f t="shared" si="0"/>
        <v>102.04081632653062</v>
      </c>
    </row>
    <row r="66" spans="1:5" x14ac:dyDescent="0.25">
      <c r="A66" s="52" t="s">
        <v>118</v>
      </c>
      <c r="B66" t="s">
        <v>1102</v>
      </c>
      <c r="C66">
        <v>0.58799999999999997</v>
      </c>
      <c r="D66">
        <v>0.5</v>
      </c>
      <c r="E66">
        <f t="shared" si="0"/>
        <v>102.04081632653062</v>
      </c>
    </row>
    <row r="67" spans="1:5" x14ac:dyDescent="0.25">
      <c r="A67" s="52" t="s">
        <v>70</v>
      </c>
      <c r="B67" t="s">
        <v>1103</v>
      </c>
      <c r="C67">
        <v>0.98</v>
      </c>
      <c r="D67">
        <v>0.25</v>
      </c>
      <c r="E67">
        <f t="shared" si="0"/>
        <v>61.224489795918366</v>
      </c>
    </row>
    <row r="68" spans="1:5" x14ac:dyDescent="0.25">
      <c r="A68" s="52" t="s">
        <v>119</v>
      </c>
      <c r="B68" t="s">
        <v>1103</v>
      </c>
      <c r="C68">
        <v>0.39200000000000002</v>
      </c>
      <c r="D68">
        <v>0.25</v>
      </c>
      <c r="E68">
        <f t="shared" ref="E68:E131" si="1">60/C68</f>
        <v>153.0612244897959</v>
      </c>
    </row>
    <row r="69" spans="1:5" x14ac:dyDescent="0.25">
      <c r="A69" s="52" t="s">
        <v>68</v>
      </c>
      <c r="B69" s="53" t="s">
        <v>1103</v>
      </c>
      <c r="C69">
        <v>1.1000000000000001</v>
      </c>
      <c r="D69">
        <v>0.5</v>
      </c>
      <c r="E69">
        <f t="shared" si="1"/>
        <v>54.54545454545454</v>
      </c>
    </row>
    <row r="70" spans="1:5" x14ac:dyDescent="0.25">
      <c r="A70" s="52" t="s">
        <v>82</v>
      </c>
      <c r="B70" s="53" t="s">
        <v>1104</v>
      </c>
      <c r="C70">
        <v>0.22</v>
      </c>
      <c r="D70">
        <v>0.15</v>
      </c>
      <c r="E70">
        <f t="shared" si="1"/>
        <v>272.72727272727275</v>
      </c>
    </row>
    <row r="71" spans="1:5" x14ac:dyDescent="0.25">
      <c r="A71" s="52" t="s">
        <v>120</v>
      </c>
      <c r="B71" s="53" t="s">
        <v>1104</v>
      </c>
      <c r="C71">
        <v>0.72</v>
      </c>
      <c r="D71">
        <v>0.5</v>
      </c>
      <c r="E71">
        <f t="shared" si="1"/>
        <v>83.333333333333343</v>
      </c>
    </row>
    <row r="72" spans="1:5" x14ac:dyDescent="0.25">
      <c r="A72" s="52" t="s">
        <v>121</v>
      </c>
      <c r="B72" t="s">
        <v>1105</v>
      </c>
      <c r="C72">
        <v>0.39200000000000002</v>
      </c>
      <c r="D72">
        <v>0.25</v>
      </c>
      <c r="E72">
        <f t="shared" si="1"/>
        <v>153.0612244897959</v>
      </c>
    </row>
    <row r="73" spans="1:5" x14ac:dyDescent="0.25">
      <c r="A73" s="52" t="s">
        <v>122</v>
      </c>
      <c r="B73" s="53" t="s">
        <v>1105</v>
      </c>
      <c r="C73">
        <v>0.32</v>
      </c>
      <c r="D73">
        <v>0.5</v>
      </c>
      <c r="E73">
        <f t="shared" si="1"/>
        <v>187.5</v>
      </c>
    </row>
    <row r="74" spans="1:5" x14ac:dyDescent="0.25">
      <c r="A74" s="52" t="s">
        <v>123</v>
      </c>
      <c r="B74" t="s">
        <v>1106</v>
      </c>
      <c r="C74">
        <v>0.39200000000000002</v>
      </c>
      <c r="D74">
        <v>0.25</v>
      </c>
      <c r="E74">
        <f t="shared" si="1"/>
        <v>153.0612244897959</v>
      </c>
    </row>
    <row r="75" spans="1:5" x14ac:dyDescent="0.25">
      <c r="A75" s="52" t="s">
        <v>124</v>
      </c>
      <c r="B75" s="53" t="s">
        <v>1106</v>
      </c>
      <c r="C75">
        <v>0.32300000000000001</v>
      </c>
      <c r="D75">
        <v>0.5</v>
      </c>
      <c r="E75">
        <f t="shared" si="1"/>
        <v>185.75851393188853</v>
      </c>
    </row>
    <row r="76" spans="1:5" x14ac:dyDescent="0.25">
      <c r="A76" s="52" t="s">
        <v>125</v>
      </c>
      <c r="B76" t="s">
        <v>1107</v>
      </c>
      <c r="C76">
        <v>0.25</v>
      </c>
      <c r="D76">
        <v>0.5</v>
      </c>
      <c r="E76">
        <f t="shared" si="1"/>
        <v>240</v>
      </c>
    </row>
    <row r="77" spans="1:5" x14ac:dyDescent="0.25">
      <c r="A77" s="52" t="s">
        <v>126</v>
      </c>
      <c r="B77" t="s">
        <v>1108</v>
      </c>
      <c r="C77">
        <v>8</v>
      </c>
      <c r="D77">
        <v>0.5</v>
      </c>
      <c r="E77">
        <f t="shared" si="1"/>
        <v>7.5</v>
      </c>
    </row>
    <row r="78" spans="1:5" x14ac:dyDescent="0.25">
      <c r="A78" s="52" t="s">
        <v>127</v>
      </c>
      <c r="B78" t="s">
        <v>1109</v>
      </c>
      <c r="C78">
        <v>0.58799999999999997</v>
      </c>
      <c r="D78">
        <v>0.5</v>
      </c>
      <c r="E78">
        <f t="shared" si="1"/>
        <v>102.04081632653062</v>
      </c>
    </row>
    <row r="79" spans="1:5" x14ac:dyDescent="0.25">
      <c r="A79" s="52" t="s">
        <v>128</v>
      </c>
      <c r="B79" t="s">
        <v>1110</v>
      </c>
      <c r="C79">
        <v>0.58799999999999997</v>
      </c>
      <c r="D79">
        <v>0.5</v>
      </c>
      <c r="E79">
        <f t="shared" si="1"/>
        <v>102.04081632653062</v>
      </c>
    </row>
    <row r="80" spans="1:5" x14ac:dyDescent="0.25">
      <c r="A80" s="52" t="s">
        <v>129</v>
      </c>
      <c r="B80" t="s">
        <v>1111</v>
      </c>
      <c r="C80">
        <v>1.5</v>
      </c>
      <c r="D80">
        <v>0.5</v>
      </c>
      <c r="E80">
        <f t="shared" si="1"/>
        <v>40</v>
      </c>
    </row>
    <row r="81" spans="1:5" x14ac:dyDescent="0.25">
      <c r="A81" s="52" t="s">
        <v>130</v>
      </c>
      <c r="B81" t="s">
        <v>1112</v>
      </c>
      <c r="C81">
        <v>1.5</v>
      </c>
      <c r="D81">
        <v>0.5</v>
      </c>
      <c r="E81">
        <f t="shared" si="1"/>
        <v>40</v>
      </c>
    </row>
    <row r="82" spans="1:5" x14ac:dyDescent="0.25">
      <c r="A82" s="52" t="s">
        <v>131</v>
      </c>
      <c r="B82" t="s">
        <v>1113</v>
      </c>
      <c r="C82">
        <v>1.5</v>
      </c>
      <c r="D82">
        <v>0.5</v>
      </c>
      <c r="E82">
        <f t="shared" si="1"/>
        <v>40</v>
      </c>
    </row>
    <row r="83" spans="1:5" x14ac:dyDescent="0.25">
      <c r="A83" s="52" t="s">
        <v>132</v>
      </c>
      <c r="B83" t="s">
        <v>1114</v>
      </c>
      <c r="C83">
        <v>0.98</v>
      </c>
      <c r="D83">
        <v>0.25</v>
      </c>
      <c r="E83">
        <f t="shared" si="1"/>
        <v>61.224489795918366</v>
      </c>
    </row>
    <row r="84" spans="1:5" x14ac:dyDescent="0.25">
      <c r="A84" s="52" t="s">
        <v>133</v>
      </c>
      <c r="B84" s="53" t="s">
        <v>1114</v>
      </c>
      <c r="C84">
        <v>0.35799999999999998</v>
      </c>
      <c r="D84">
        <v>0.5</v>
      </c>
      <c r="E84">
        <f t="shared" si="1"/>
        <v>167.5977653631285</v>
      </c>
    </row>
    <row r="85" spans="1:5" x14ac:dyDescent="0.25">
      <c r="A85" s="52" t="s">
        <v>134</v>
      </c>
      <c r="B85" t="s">
        <v>1115</v>
      </c>
      <c r="C85">
        <v>0.58799999999999997</v>
      </c>
      <c r="D85">
        <v>0.25</v>
      </c>
      <c r="E85">
        <f t="shared" si="1"/>
        <v>102.04081632653062</v>
      </c>
    </row>
    <row r="86" spans="1:5" x14ac:dyDescent="0.25">
      <c r="A86" s="52" t="s">
        <v>135</v>
      </c>
      <c r="B86" s="53" t="s">
        <v>1115</v>
      </c>
      <c r="C86">
        <v>0.16600000000000001</v>
      </c>
      <c r="D86">
        <v>0.5</v>
      </c>
      <c r="E86">
        <f t="shared" si="1"/>
        <v>361.4457831325301</v>
      </c>
    </row>
    <row r="87" spans="1:5" x14ac:dyDescent="0.25">
      <c r="A87" s="52" t="s">
        <v>136</v>
      </c>
      <c r="B87" t="s">
        <v>1116</v>
      </c>
      <c r="C87">
        <v>0.78400000000000003</v>
      </c>
      <c r="D87">
        <v>0.25</v>
      </c>
      <c r="E87">
        <f t="shared" si="1"/>
        <v>76.530612244897952</v>
      </c>
    </row>
    <row r="88" spans="1:5" x14ac:dyDescent="0.25">
      <c r="A88" s="52" t="s">
        <v>137</v>
      </c>
      <c r="B88" s="53" t="s">
        <v>1116</v>
      </c>
      <c r="C88">
        <v>0.54900000000000004</v>
      </c>
      <c r="D88">
        <v>0.5</v>
      </c>
      <c r="E88">
        <f t="shared" si="1"/>
        <v>109.28961748633878</v>
      </c>
    </row>
    <row r="89" spans="1:5" x14ac:dyDescent="0.25">
      <c r="A89" s="52" t="s">
        <v>138</v>
      </c>
      <c r="B89" t="s">
        <v>1117</v>
      </c>
      <c r="C89">
        <v>0.98</v>
      </c>
      <c r="D89">
        <v>0.25</v>
      </c>
      <c r="E89">
        <f t="shared" si="1"/>
        <v>61.224489795918366</v>
      </c>
    </row>
    <row r="90" spans="1:5" x14ac:dyDescent="0.25">
      <c r="A90" s="52" t="s">
        <v>139</v>
      </c>
      <c r="B90" s="53" t="s">
        <v>1117</v>
      </c>
      <c r="C90">
        <v>0.219</v>
      </c>
      <c r="D90">
        <v>0.5</v>
      </c>
      <c r="E90">
        <f t="shared" si="1"/>
        <v>273.97260273972603</v>
      </c>
    </row>
    <row r="91" spans="1:5" x14ac:dyDescent="0.25">
      <c r="A91" s="52" t="s">
        <v>140</v>
      </c>
      <c r="B91" t="s">
        <v>1118</v>
      </c>
      <c r="C91">
        <v>1.9610000000000001</v>
      </c>
      <c r="D91">
        <v>0.25</v>
      </c>
      <c r="E91">
        <f t="shared" si="1"/>
        <v>30.596634370219274</v>
      </c>
    </row>
    <row r="92" spans="1:5" x14ac:dyDescent="0.25">
      <c r="A92" s="52" t="s">
        <v>141</v>
      </c>
      <c r="B92" s="53" t="s">
        <v>1118</v>
      </c>
      <c r="C92">
        <v>0.109</v>
      </c>
      <c r="D92">
        <v>0.5</v>
      </c>
      <c r="E92">
        <f t="shared" si="1"/>
        <v>550.45871559633031</v>
      </c>
    </row>
    <row r="93" spans="1:5" x14ac:dyDescent="0.25">
      <c r="A93" s="52" t="s">
        <v>142</v>
      </c>
      <c r="B93" t="s">
        <v>1119</v>
      </c>
      <c r="C93">
        <v>0.39200000000000002</v>
      </c>
      <c r="D93">
        <v>0.25</v>
      </c>
      <c r="E93">
        <f t="shared" si="1"/>
        <v>153.0612244897959</v>
      </c>
    </row>
    <row r="94" spans="1:5" x14ac:dyDescent="0.25">
      <c r="A94" s="52" t="s">
        <v>143</v>
      </c>
      <c r="B94" s="53" t="s">
        <v>1119</v>
      </c>
      <c r="C94">
        <v>1.875</v>
      </c>
      <c r="D94">
        <v>0.5</v>
      </c>
      <c r="E94">
        <f t="shared" si="1"/>
        <v>32</v>
      </c>
    </row>
    <row r="95" spans="1:5" x14ac:dyDescent="0.25">
      <c r="A95" s="52" t="s">
        <v>144</v>
      </c>
      <c r="B95" t="s">
        <v>1120</v>
      </c>
      <c r="C95">
        <v>0.39200000000000002</v>
      </c>
      <c r="D95">
        <v>0.25</v>
      </c>
      <c r="E95">
        <f t="shared" si="1"/>
        <v>153.0612244897959</v>
      </c>
    </row>
    <row r="96" spans="1:5" x14ac:dyDescent="0.25">
      <c r="A96" s="52" t="s">
        <v>145</v>
      </c>
      <c r="B96" s="53" t="s">
        <v>1120</v>
      </c>
      <c r="C96">
        <v>0.47499999999999998</v>
      </c>
      <c r="D96">
        <v>0.5</v>
      </c>
      <c r="E96">
        <f t="shared" si="1"/>
        <v>126.31578947368422</v>
      </c>
    </row>
    <row r="97" spans="1:5" x14ac:dyDescent="0.25">
      <c r="A97" s="52" t="s">
        <v>146</v>
      </c>
      <c r="B97" t="s">
        <v>1121</v>
      </c>
      <c r="C97">
        <v>0.39200000000000002</v>
      </c>
      <c r="D97">
        <v>0.25</v>
      </c>
      <c r="E97">
        <f t="shared" si="1"/>
        <v>153.0612244897959</v>
      </c>
    </row>
    <row r="98" spans="1:5" x14ac:dyDescent="0.25">
      <c r="A98" s="52" t="s">
        <v>147</v>
      </c>
      <c r="B98" s="53" t="s">
        <v>1121</v>
      </c>
      <c r="C98">
        <v>1.333</v>
      </c>
      <c r="D98">
        <v>0.5</v>
      </c>
      <c r="E98">
        <f t="shared" si="1"/>
        <v>45.011252813203299</v>
      </c>
    </row>
    <row r="99" spans="1:5" x14ac:dyDescent="0.25">
      <c r="A99" s="52" t="s">
        <v>148</v>
      </c>
      <c r="B99" t="s">
        <v>1122</v>
      </c>
      <c r="C99">
        <v>2.1960000000000002</v>
      </c>
      <c r="D99">
        <v>0.25</v>
      </c>
      <c r="E99">
        <f t="shared" si="1"/>
        <v>27.322404371584696</v>
      </c>
    </row>
    <row r="100" spans="1:5" x14ac:dyDescent="0.25">
      <c r="A100" s="52" t="s">
        <v>149</v>
      </c>
      <c r="B100" s="53" t="s">
        <v>1122</v>
      </c>
      <c r="C100">
        <v>13.569000000000001</v>
      </c>
      <c r="D100">
        <v>0.5</v>
      </c>
      <c r="E100">
        <f t="shared" si="1"/>
        <v>4.4218439089100148</v>
      </c>
    </row>
    <row r="101" spans="1:5" x14ac:dyDescent="0.25">
      <c r="A101" s="52" t="s">
        <v>150</v>
      </c>
      <c r="B101" t="s">
        <v>1123</v>
      </c>
      <c r="C101">
        <v>0.39200000000000002</v>
      </c>
      <c r="D101">
        <v>0.25</v>
      </c>
      <c r="E101">
        <f t="shared" si="1"/>
        <v>153.0612244897959</v>
      </c>
    </row>
    <row r="102" spans="1:5" x14ac:dyDescent="0.25">
      <c r="A102" s="52" t="s">
        <v>151</v>
      </c>
      <c r="B102" s="53" t="s">
        <v>1123</v>
      </c>
      <c r="C102">
        <v>0.30599999999999999</v>
      </c>
      <c r="D102">
        <v>0.5</v>
      </c>
      <c r="E102">
        <f t="shared" si="1"/>
        <v>196.07843137254903</v>
      </c>
    </row>
    <row r="103" spans="1:5" x14ac:dyDescent="0.25">
      <c r="A103" s="52" t="s">
        <v>152</v>
      </c>
      <c r="B103" s="53" t="s">
        <v>1119</v>
      </c>
      <c r="C103">
        <v>0.39200000000000002</v>
      </c>
      <c r="D103">
        <v>0.25</v>
      </c>
      <c r="E103">
        <f t="shared" si="1"/>
        <v>153.0612244897959</v>
      </c>
    </row>
    <row r="104" spans="1:5" x14ac:dyDescent="0.25">
      <c r="A104" s="52" t="s">
        <v>153</v>
      </c>
      <c r="B104" s="53" t="s">
        <v>1119</v>
      </c>
      <c r="C104">
        <v>2.2320000000000002</v>
      </c>
      <c r="D104">
        <v>0.5</v>
      </c>
      <c r="E104">
        <f t="shared" si="1"/>
        <v>26.881720430107524</v>
      </c>
    </row>
    <row r="105" spans="1:5" x14ac:dyDescent="0.25">
      <c r="A105" s="52" t="s">
        <v>154</v>
      </c>
      <c r="B105" s="53" t="s">
        <v>1124</v>
      </c>
      <c r="C105">
        <v>0.39200000000000002</v>
      </c>
      <c r="D105">
        <v>0.25</v>
      </c>
      <c r="E105">
        <f t="shared" si="1"/>
        <v>153.0612244897959</v>
      </c>
    </row>
    <row r="106" spans="1:5" x14ac:dyDescent="0.25">
      <c r="A106" s="52" t="s">
        <v>155</v>
      </c>
      <c r="B106" s="53" t="s">
        <v>1124</v>
      </c>
      <c r="C106">
        <v>2.036</v>
      </c>
      <c r="D106">
        <v>0.5</v>
      </c>
      <c r="E106">
        <f t="shared" si="1"/>
        <v>29.469548133595286</v>
      </c>
    </row>
    <row r="107" spans="1:5" x14ac:dyDescent="0.25">
      <c r="A107" s="52" t="s">
        <v>156</v>
      </c>
      <c r="B107" s="53" t="s">
        <v>1125</v>
      </c>
      <c r="C107">
        <v>1.49</v>
      </c>
      <c r="D107">
        <v>0.25</v>
      </c>
      <c r="E107">
        <f t="shared" si="1"/>
        <v>40.268456375838923</v>
      </c>
    </row>
    <row r="108" spans="1:5" x14ac:dyDescent="0.25">
      <c r="A108" s="52" t="s">
        <v>157</v>
      </c>
      <c r="B108" s="53" t="s">
        <v>1125</v>
      </c>
      <c r="C108">
        <v>0.51900000000000002</v>
      </c>
      <c r="D108">
        <v>0.5</v>
      </c>
      <c r="E108">
        <f t="shared" si="1"/>
        <v>115.60693641618496</v>
      </c>
    </row>
    <row r="109" spans="1:5" x14ac:dyDescent="0.25">
      <c r="A109" s="52" t="s">
        <v>158</v>
      </c>
      <c r="B109" s="53" t="s">
        <v>1126</v>
      </c>
      <c r="C109">
        <v>1.49</v>
      </c>
      <c r="D109">
        <v>0.25</v>
      </c>
      <c r="E109">
        <f t="shared" si="1"/>
        <v>40.268456375838923</v>
      </c>
    </row>
    <row r="110" spans="1:5" x14ac:dyDescent="0.25">
      <c r="A110" s="52" t="s">
        <v>159</v>
      </c>
      <c r="B110" s="53" t="s">
        <v>1126</v>
      </c>
      <c r="C110">
        <v>0.54400000000000004</v>
      </c>
      <c r="D110">
        <v>0.5</v>
      </c>
      <c r="E110">
        <f t="shared" si="1"/>
        <v>110.29411764705881</v>
      </c>
    </row>
    <row r="111" spans="1:5" x14ac:dyDescent="0.25">
      <c r="A111" s="52" t="s">
        <v>160</v>
      </c>
      <c r="B111" s="53" t="s">
        <v>1127</v>
      </c>
      <c r="C111">
        <v>4.7649999999999997</v>
      </c>
      <c r="D111">
        <v>0.5</v>
      </c>
      <c r="E111">
        <f t="shared" si="1"/>
        <v>12.591815320041974</v>
      </c>
    </row>
    <row r="112" spans="1:5" x14ac:dyDescent="0.25">
      <c r="A112" s="52" t="s">
        <v>161</v>
      </c>
      <c r="B112" s="53" t="s">
        <v>1128</v>
      </c>
      <c r="C112">
        <v>0.33900000000000002</v>
      </c>
      <c r="D112">
        <v>0.5</v>
      </c>
      <c r="E112">
        <f t="shared" si="1"/>
        <v>176.99115044247787</v>
      </c>
    </row>
    <row r="113" spans="1:5" x14ac:dyDescent="0.25">
      <c r="A113" s="52" t="s">
        <v>162</v>
      </c>
      <c r="B113" t="s">
        <v>1129</v>
      </c>
      <c r="C113">
        <v>2.157</v>
      </c>
      <c r="D113">
        <v>0.25</v>
      </c>
      <c r="E113">
        <f t="shared" si="1"/>
        <v>27.816411682892905</v>
      </c>
    </row>
    <row r="114" spans="1:5" x14ac:dyDescent="0.25">
      <c r="A114" s="52" t="s">
        <v>163</v>
      </c>
      <c r="B114" s="53" t="s">
        <v>1129</v>
      </c>
      <c r="C114">
        <v>3.0880000000000001</v>
      </c>
      <c r="D114">
        <v>0.5</v>
      </c>
      <c r="E114">
        <f t="shared" si="1"/>
        <v>19.430051813471501</v>
      </c>
    </row>
    <row r="115" spans="1:5" x14ac:dyDescent="0.25">
      <c r="A115" s="52" t="s">
        <v>164</v>
      </c>
      <c r="B115" s="53" t="s">
        <v>1130</v>
      </c>
      <c r="C115">
        <v>1.3089999999999999</v>
      </c>
      <c r="D115">
        <v>0.5</v>
      </c>
      <c r="E115">
        <f t="shared" si="1"/>
        <v>45.836516424751721</v>
      </c>
    </row>
    <row r="116" spans="1:5" x14ac:dyDescent="0.25">
      <c r="A116" s="52" t="s">
        <v>59</v>
      </c>
      <c r="B116" t="s">
        <v>1131</v>
      </c>
      <c r="C116">
        <v>0.5</v>
      </c>
      <c r="D116">
        <v>1.5</v>
      </c>
      <c r="E116">
        <f t="shared" si="1"/>
        <v>120</v>
      </c>
    </row>
    <row r="117" spans="1:5" x14ac:dyDescent="0.25">
      <c r="A117" s="52" t="s">
        <v>75</v>
      </c>
      <c r="B117" t="s">
        <v>1131</v>
      </c>
      <c r="C117">
        <v>0.98</v>
      </c>
      <c r="D117">
        <v>0.25</v>
      </c>
      <c r="E117">
        <f t="shared" si="1"/>
        <v>61.224489795918366</v>
      </c>
    </row>
    <row r="118" spans="1:5" x14ac:dyDescent="0.25">
      <c r="A118" s="52" t="s">
        <v>165</v>
      </c>
      <c r="B118" s="53" t="s">
        <v>1131</v>
      </c>
      <c r="C118">
        <v>2.36</v>
      </c>
      <c r="D118">
        <v>0.5</v>
      </c>
      <c r="E118">
        <f t="shared" si="1"/>
        <v>25.423728813559322</v>
      </c>
    </row>
    <row r="119" spans="1:5" x14ac:dyDescent="0.25">
      <c r="A119" s="52" t="s">
        <v>166</v>
      </c>
      <c r="B119" t="s">
        <v>1131</v>
      </c>
      <c r="C119">
        <v>0.24</v>
      </c>
      <c r="D119">
        <v>1.5</v>
      </c>
      <c r="E119">
        <f t="shared" si="1"/>
        <v>250</v>
      </c>
    </row>
    <row r="120" spans="1:5" x14ac:dyDescent="0.25">
      <c r="A120" s="52" t="s">
        <v>60</v>
      </c>
      <c r="B120" t="s">
        <v>1132</v>
      </c>
      <c r="C120">
        <v>0.33300000000000002</v>
      </c>
      <c r="D120">
        <v>1.5</v>
      </c>
      <c r="E120">
        <f t="shared" si="1"/>
        <v>180.18018018018017</v>
      </c>
    </row>
    <row r="121" spans="1:5" x14ac:dyDescent="0.25">
      <c r="A121" s="52" t="s">
        <v>167</v>
      </c>
      <c r="B121" t="s">
        <v>1132</v>
      </c>
      <c r="C121">
        <v>0.58799999999999997</v>
      </c>
      <c r="D121">
        <v>0.25</v>
      </c>
      <c r="E121">
        <f t="shared" si="1"/>
        <v>102.04081632653062</v>
      </c>
    </row>
    <row r="122" spans="1:5" x14ac:dyDescent="0.25">
      <c r="A122" s="52" t="s">
        <v>168</v>
      </c>
      <c r="B122" s="53" t="s">
        <v>1132</v>
      </c>
      <c r="C122">
        <v>1.0389999999999999</v>
      </c>
      <c r="D122">
        <v>0.5</v>
      </c>
      <c r="E122">
        <f t="shared" si="1"/>
        <v>57.747834456207897</v>
      </c>
    </row>
    <row r="123" spans="1:5" x14ac:dyDescent="0.25">
      <c r="A123" s="52" t="s">
        <v>169</v>
      </c>
      <c r="B123" t="s">
        <v>1132</v>
      </c>
      <c r="C123">
        <v>0.75</v>
      </c>
      <c r="D123">
        <v>0.5</v>
      </c>
      <c r="E123">
        <f t="shared" si="1"/>
        <v>80</v>
      </c>
    </row>
    <row r="124" spans="1:5" x14ac:dyDescent="0.25">
      <c r="A124" s="52" t="s">
        <v>170</v>
      </c>
      <c r="B124" t="s">
        <v>1132</v>
      </c>
      <c r="C124">
        <v>0.17100000000000001</v>
      </c>
      <c r="D124">
        <v>1.5</v>
      </c>
      <c r="E124">
        <f t="shared" si="1"/>
        <v>350.87719298245611</v>
      </c>
    </row>
    <row r="125" spans="1:5" x14ac:dyDescent="0.25">
      <c r="A125" s="52" t="s">
        <v>58</v>
      </c>
      <c r="B125" t="s">
        <v>1133</v>
      </c>
      <c r="C125">
        <v>0.5</v>
      </c>
      <c r="D125">
        <v>1.5</v>
      </c>
      <c r="E125">
        <f t="shared" si="1"/>
        <v>120</v>
      </c>
    </row>
    <row r="126" spans="1:5" x14ac:dyDescent="0.25">
      <c r="A126" s="52" t="s">
        <v>78</v>
      </c>
      <c r="B126" t="s">
        <v>1133</v>
      </c>
      <c r="C126">
        <v>0.39200000000000002</v>
      </c>
      <c r="D126">
        <v>0.25</v>
      </c>
      <c r="E126">
        <f t="shared" si="1"/>
        <v>153.0612244897959</v>
      </c>
    </row>
    <row r="127" spans="1:5" x14ac:dyDescent="0.25">
      <c r="A127" s="52" t="s">
        <v>171</v>
      </c>
      <c r="B127" s="53" t="s">
        <v>1133</v>
      </c>
      <c r="C127">
        <v>1.861</v>
      </c>
      <c r="D127">
        <v>0.5</v>
      </c>
      <c r="E127">
        <f t="shared" si="1"/>
        <v>32.240730789897903</v>
      </c>
    </row>
    <row r="128" spans="1:5" x14ac:dyDescent="0.25">
      <c r="A128" s="52" t="s">
        <v>172</v>
      </c>
      <c r="B128" t="s">
        <v>1133</v>
      </c>
      <c r="C128">
        <v>0.17100000000000001</v>
      </c>
      <c r="D128">
        <v>1.5</v>
      </c>
      <c r="E128">
        <f t="shared" si="1"/>
        <v>350.87719298245611</v>
      </c>
    </row>
    <row r="129" spans="1:5" x14ac:dyDescent="0.25">
      <c r="A129" s="52" t="s">
        <v>173</v>
      </c>
      <c r="B129" s="53" t="s">
        <v>1134</v>
      </c>
      <c r="C129">
        <v>1.49</v>
      </c>
      <c r="D129">
        <v>0.5</v>
      </c>
      <c r="E129">
        <f t="shared" si="1"/>
        <v>40.268456375838923</v>
      </c>
    </row>
    <row r="130" spans="1:5" x14ac:dyDescent="0.25">
      <c r="A130" s="52" t="s">
        <v>174</v>
      </c>
      <c r="B130" t="s">
        <v>1135</v>
      </c>
      <c r="C130">
        <v>1.177</v>
      </c>
      <c r="D130">
        <v>0.25</v>
      </c>
      <c r="E130">
        <f t="shared" si="1"/>
        <v>50.977060322854712</v>
      </c>
    </row>
    <row r="131" spans="1:5" x14ac:dyDescent="0.25">
      <c r="A131" s="52" t="s">
        <v>175</v>
      </c>
      <c r="B131" s="53" t="s">
        <v>1135</v>
      </c>
      <c r="C131">
        <v>0.80600000000000005</v>
      </c>
      <c r="D131">
        <v>0.5</v>
      </c>
      <c r="E131">
        <f t="shared" si="1"/>
        <v>74.441687344913149</v>
      </c>
    </row>
    <row r="132" spans="1:5" x14ac:dyDescent="0.25">
      <c r="A132" s="52" t="s">
        <v>176</v>
      </c>
      <c r="B132" t="s">
        <v>1136</v>
      </c>
      <c r="C132">
        <v>0.98</v>
      </c>
      <c r="D132">
        <v>0.25</v>
      </c>
      <c r="E132">
        <f t="shared" ref="E132:E195" si="2">60/C132</f>
        <v>61.224489795918366</v>
      </c>
    </row>
    <row r="133" spans="1:5" x14ac:dyDescent="0.25">
      <c r="A133" s="52" t="s">
        <v>177</v>
      </c>
      <c r="B133" s="53" t="s">
        <v>1136</v>
      </c>
      <c r="C133">
        <v>0.63500000000000001</v>
      </c>
      <c r="D133">
        <v>0.5</v>
      </c>
      <c r="E133">
        <f t="shared" si="2"/>
        <v>94.488188976377955</v>
      </c>
    </row>
    <row r="134" spans="1:5" x14ac:dyDescent="0.25">
      <c r="A134" s="52" t="s">
        <v>178</v>
      </c>
      <c r="B134" s="53" t="s">
        <v>1137</v>
      </c>
      <c r="C134">
        <v>2.7450000000000001</v>
      </c>
      <c r="D134">
        <v>0.25</v>
      </c>
      <c r="E134">
        <f t="shared" si="2"/>
        <v>21.857923497267759</v>
      </c>
    </row>
    <row r="135" spans="1:5" x14ac:dyDescent="0.25">
      <c r="A135" s="52" t="s">
        <v>179</v>
      </c>
      <c r="B135" t="s">
        <v>1138</v>
      </c>
      <c r="C135">
        <v>0.39200000000000002</v>
      </c>
      <c r="D135">
        <v>0.25</v>
      </c>
      <c r="E135">
        <f t="shared" si="2"/>
        <v>153.0612244897959</v>
      </c>
    </row>
    <row r="136" spans="1:5" x14ac:dyDescent="0.25">
      <c r="A136" s="52" t="s">
        <v>180</v>
      </c>
      <c r="B136" s="53" t="s">
        <v>1138</v>
      </c>
      <c r="C136">
        <v>3.0449999999999999</v>
      </c>
      <c r="D136">
        <v>0.5</v>
      </c>
      <c r="E136">
        <f t="shared" si="2"/>
        <v>19.704433497536947</v>
      </c>
    </row>
    <row r="137" spans="1:5" x14ac:dyDescent="0.25">
      <c r="A137" s="52" t="s">
        <v>181</v>
      </c>
      <c r="B137" s="53" t="s">
        <v>1139</v>
      </c>
      <c r="C137">
        <v>0.88100000000000001</v>
      </c>
      <c r="D137">
        <v>0.5</v>
      </c>
      <c r="E137">
        <f t="shared" si="2"/>
        <v>68.104426787741204</v>
      </c>
    </row>
    <row r="138" spans="1:5" x14ac:dyDescent="0.25">
      <c r="A138" s="52" t="s">
        <v>182</v>
      </c>
      <c r="B138" t="s">
        <v>1140</v>
      </c>
      <c r="C138">
        <v>0.39200000000000002</v>
      </c>
      <c r="D138">
        <v>0.25</v>
      </c>
      <c r="E138">
        <f t="shared" si="2"/>
        <v>153.0612244897959</v>
      </c>
    </row>
    <row r="139" spans="1:5" x14ac:dyDescent="0.25">
      <c r="A139" s="52" t="s">
        <v>183</v>
      </c>
      <c r="B139" s="53" t="s">
        <v>1140</v>
      </c>
      <c r="C139">
        <v>1.94</v>
      </c>
      <c r="D139">
        <v>0.5</v>
      </c>
      <c r="E139">
        <f t="shared" si="2"/>
        <v>30.927835051546392</v>
      </c>
    </row>
    <row r="140" spans="1:5" x14ac:dyDescent="0.25">
      <c r="A140" s="52" t="s">
        <v>184</v>
      </c>
      <c r="B140" t="s">
        <v>1141</v>
      </c>
      <c r="C140">
        <v>0.39200000000000002</v>
      </c>
      <c r="D140">
        <v>0.25</v>
      </c>
      <c r="E140">
        <f t="shared" si="2"/>
        <v>153.0612244897959</v>
      </c>
    </row>
    <row r="141" spans="1:5" x14ac:dyDescent="0.25">
      <c r="A141" s="52" t="s">
        <v>185</v>
      </c>
      <c r="B141" s="53" t="s">
        <v>1141</v>
      </c>
      <c r="C141">
        <v>0.42399999999999999</v>
      </c>
      <c r="D141">
        <v>0.5</v>
      </c>
      <c r="E141">
        <f t="shared" si="2"/>
        <v>141.50943396226415</v>
      </c>
    </row>
    <row r="142" spans="1:5" x14ac:dyDescent="0.25">
      <c r="A142" s="52" t="s">
        <v>186</v>
      </c>
      <c r="B142" t="s">
        <v>1142</v>
      </c>
      <c r="C142">
        <v>2.1960000000000002</v>
      </c>
      <c r="D142">
        <v>0.25</v>
      </c>
      <c r="E142">
        <f t="shared" si="2"/>
        <v>27.322404371584696</v>
      </c>
    </row>
    <row r="143" spans="1:5" x14ac:dyDescent="0.25">
      <c r="A143" s="52" t="s">
        <v>187</v>
      </c>
      <c r="B143" s="53" t="s">
        <v>1142</v>
      </c>
      <c r="C143">
        <v>2.6179999999999999</v>
      </c>
      <c r="D143">
        <v>0.5</v>
      </c>
      <c r="E143">
        <f t="shared" si="2"/>
        <v>22.918258212375861</v>
      </c>
    </row>
    <row r="144" spans="1:5" x14ac:dyDescent="0.25">
      <c r="A144" s="52" t="s">
        <v>87</v>
      </c>
      <c r="B144" s="53" t="s">
        <v>1143</v>
      </c>
      <c r="C144">
        <v>8.2349999999999994</v>
      </c>
      <c r="D144">
        <v>0.5</v>
      </c>
      <c r="E144">
        <f t="shared" si="2"/>
        <v>7.2859744990892539</v>
      </c>
    </row>
    <row r="145" spans="1:5" x14ac:dyDescent="0.25">
      <c r="A145" s="52" t="s">
        <v>84</v>
      </c>
      <c r="B145" t="s">
        <v>1144</v>
      </c>
      <c r="C145">
        <v>1.373</v>
      </c>
      <c r="D145">
        <v>0.25</v>
      </c>
      <c r="E145">
        <f t="shared" si="2"/>
        <v>43.699927166788058</v>
      </c>
    </row>
    <row r="146" spans="1:5" x14ac:dyDescent="0.25">
      <c r="A146" s="52" t="s">
        <v>188</v>
      </c>
      <c r="B146" s="53" t="s">
        <v>1144</v>
      </c>
      <c r="C146">
        <v>3.02</v>
      </c>
      <c r="D146">
        <v>0.5</v>
      </c>
      <c r="E146">
        <f t="shared" si="2"/>
        <v>19.867549668874172</v>
      </c>
    </row>
    <row r="147" spans="1:5" x14ac:dyDescent="0.25">
      <c r="A147" s="52" t="s">
        <v>88</v>
      </c>
      <c r="B147" t="s">
        <v>1145</v>
      </c>
      <c r="C147">
        <v>1.373</v>
      </c>
      <c r="D147">
        <v>0.25</v>
      </c>
      <c r="E147">
        <f t="shared" si="2"/>
        <v>43.699927166788058</v>
      </c>
    </row>
    <row r="148" spans="1:5" x14ac:dyDescent="0.25">
      <c r="A148" s="52" t="s">
        <v>189</v>
      </c>
      <c r="B148" s="53" t="s">
        <v>1145</v>
      </c>
      <c r="C148">
        <v>3.2160000000000002</v>
      </c>
      <c r="D148">
        <v>0.5</v>
      </c>
      <c r="E148">
        <f t="shared" si="2"/>
        <v>18.656716417910445</v>
      </c>
    </row>
    <row r="149" spans="1:5" x14ac:dyDescent="0.25">
      <c r="A149" s="52" t="s">
        <v>89</v>
      </c>
      <c r="B149" t="s">
        <v>1146</v>
      </c>
      <c r="C149">
        <v>0.98</v>
      </c>
      <c r="D149">
        <v>0.25</v>
      </c>
      <c r="E149">
        <f t="shared" si="2"/>
        <v>61.224489795918366</v>
      </c>
    </row>
    <row r="150" spans="1:5" x14ac:dyDescent="0.25">
      <c r="A150" s="52" t="s">
        <v>190</v>
      </c>
      <c r="B150" s="53" t="s">
        <v>1146</v>
      </c>
      <c r="C150">
        <v>6.1760000000000002</v>
      </c>
      <c r="D150">
        <v>0.5</v>
      </c>
      <c r="E150">
        <f t="shared" si="2"/>
        <v>9.7150259067357503</v>
      </c>
    </row>
    <row r="151" spans="1:5" x14ac:dyDescent="0.25">
      <c r="A151" s="52" t="s">
        <v>91</v>
      </c>
      <c r="B151" t="s">
        <v>1147</v>
      </c>
      <c r="C151">
        <v>0.98</v>
      </c>
      <c r="D151">
        <v>0.25</v>
      </c>
      <c r="E151">
        <f t="shared" si="2"/>
        <v>61.224489795918366</v>
      </c>
    </row>
    <row r="152" spans="1:5" x14ac:dyDescent="0.25">
      <c r="A152" s="52" t="s">
        <v>112</v>
      </c>
      <c r="B152" s="53" t="s">
        <v>1147</v>
      </c>
      <c r="C152">
        <v>1.02</v>
      </c>
      <c r="D152">
        <v>0.5</v>
      </c>
      <c r="E152">
        <f t="shared" si="2"/>
        <v>58.823529411764703</v>
      </c>
    </row>
    <row r="153" spans="1:5" x14ac:dyDescent="0.25">
      <c r="A153" s="52" t="s">
        <v>90</v>
      </c>
      <c r="B153" t="s">
        <v>1148</v>
      </c>
      <c r="C153">
        <v>0.98</v>
      </c>
      <c r="D153">
        <v>0.25</v>
      </c>
      <c r="E153">
        <f t="shared" si="2"/>
        <v>61.224489795918366</v>
      </c>
    </row>
    <row r="154" spans="1:5" x14ac:dyDescent="0.25">
      <c r="A154" s="52" t="s">
        <v>191</v>
      </c>
      <c r="B154" s="53" t="s">
        <v>1148</v>
      </c>
      <c r="C154">
        <v>1.863</v>
      </c>
      <c r="D154">
        <v>0.5</v>
      </c>
      <c r="E154">
        <f t="shared" si="2"/>
        <v>32.206119162640903</v>
      </c>
    </row>
    <row r="155" spans="1:5" x14ac:dyDescent="0.25">
      <c r="A155" s="52" t="s">
        <v>99</v>
      </c>
      <c r="B155" t="s">
        <v>1149</v>
      </c>
      <c r="C155">
        <v>2.157</v>
      </c>
      <c r="D155">
        <v>0.25</v>
      </c>
      <c r="E155">
        <f t="shared" si="2"/>
        <v>27.816411682892905</v>
      </c>
    </row>
    <row r="156" spans="1:5" x14ac:dyDescent="0.25">
      <c r="A156" s="52" t="s">
        <v>106</v>
      </c>
      <c r="B156" s="53" t="s">
        <v>1149</v>
      </c>
      <c r="C156">
        <v>1.784</v>
      </c>
      <c r="D156">
        <v>0.5</v>
      </c>
      <c r="E156">
        <f t="shared" si="2"/>
        <v>33.632286995515692</v>
      </c>
    </row>
    <row r="157" spans="1:5" x14ac:dyDescent="0.25">
      <c r="A157" s="52" t="s">
        <v>97</v>
      </c>
      <c r="B157" t="s">
        <v>1150</v>
      </c>
      <c r="C157">
        <v>0.98</v>
      </c>
      <c r="D157">
        <v>0.25</v>
      </c>
      <c r="E157">
        <f t="shared" si="2"/>
        <v>61.224489795918366</v>
      </c>
    </row>
    <row r="158" spans="1:5" x14ac:dyDescent="0.25">
      <c r="A158" s="52" t="s">
        <v>105</v>
      </c>
      <c r="B158" s="53" t="s">
        <v>1150</v>
      </c>
      <c r="C158">
        <v>0.66400000000000003</v>
      </c>
      <c r="D158">
        <v>0.5</v>
      </c>
      <c r="E158">
        <f t="shared" si="2"/>
        <v>90.361445783132524</v>
      </c>
    </row>
    <row r="159" spans="1:5" x14ac:dyDescent="0.25">
      <c r="A159" s="52" t="s">
        <v>96</v>
      </c>
      <c r="B159" t="s">
        <v>1151</v>
      </c>
      <c r="C159">
        <v>0.39200000000000002</v>
      </c>
      <c r="D159">
        <v>0.25</v>
      </c>
      <c r="E159">
        <f t="shared" si="2"/>
        <v>153.0612244897959</v>
      </c>
    </row>
    <row r="160" spans="1:5" x14ac:dyDescent="0.25">
      <c r="A160" s="52" t="s">
        <v>111</v>
      </c>
      <c r="B160" s="53" t="s">
        <v>1151</v>
      </c>
      <c r="C160">
        <v>0.309</v>
      </c>
      <c r="D160">
        <v>0.5</v>
      </c>
      <c r="E160">
        <f t="shared" si="2"/>
        <v>194.17475728155341</v>
      </c>
    </row>
    <row r="161" spans="1:5" x14ac:dyDescent="0.25">
      <c r="A161" s="52" t="s">
        <v>95</v>
      </c>
      <c r="B161" t="s">
        <v>1152</v>
      </c>
      <c r="C161">
        <v>0.39200000000000002</v>
      </c>
      <c r="D161">
        <v>0.25</v>
      </c>
      <c r="E161">
        <f t="shared" si="2"/>
        <v>153.0612244897959</v>
      </c>
    </row>
    <row r="162" spans="1:5" x14ac:dyDescent="0.25">
      <c r="A162" s="52" t="s">
        <v>192</v>
      </c>
      <c r="B162" s="53" t="s">
        <v>1152</v>
      </c>
      <c r="C162">
        <v>0.26200000000000001</v>
      </c>
      <c r="D162">
        <v>0.5</v>
      </c>
      <c r="E162">
        <f t="shared" si="2"/>
        <v>229.00763358778624</v>
      </c>
    </row>
    <row r="163" spans="1:5" x14ac:dyDescent="0.25">
      <c r="A163" s="52" t="s">
        <v>193</v>
      </c>
      <c r="B163" t="s">
        <v>1153</v>
      </c>
      <c r="C163">
        <v>1.373</v>
      </c>
      <c r="D163">
        <v>0.25</v>
      </c>
      <c r="E163">
        <f t="shared" si="2"/>
        <v>43.699927166788058</v>
      </c>
    </row>
    <row r="164" spans="1:5" x14ac:dyDescent="0.25">
      <c r="A164" s="52" t="s">
        <v>194</v>
      </c>
      <c r="B164" s="53" t="s">
        <v>1153</v>
      </c>
      <c r="C164">
        <v>0.27</v>
      </c>
      <c r="D164">
        <v>0.5</v>
      </c>
      <c r="E164">
        <f t="shared" si="2"/>
        <v>222.2222222222222</v>
      </c>
    </row>
    <row r="165" spans="1:5" x14ac:dyDescent="0.25">
      <c r="A165" s="52" t="s">
        <v>195</v>
      </c>
      <c r="B165" s="53" t="s">
        <v>1154</v>
      </c>
      <c r="C165">
        <v>1.8819999999999999</v>
      </c>
      <c r="D165">
        <v>0.5</v>
      </c>
      <c r="E165">
        <f t="shared" si="2"/>
        <v>31.880977683315624</v>
      </c>
    </row>
    <row r="166" spans="1:5" x14ac:dyDescent="0.25">
      <c r="A166" s="52" t="s">
        <v>196</v>
      </c>
      <c r="B166" t="s">
        <v>1155</v>
      </c>
      <c r="C166">
        <v>0.98</v>
      </c>
      <c r="D166">
        <v>0.25</v>
      </c>
      <c r="E166">
        <f t="shared" si="2"/>
        <v>61.224489795918366</v>
      </c>
    </row>
    <row r="167" spans="1:5" x14ac:dyDescent="0.25">
      <c r="A167" s="52" t="s">
        <v>113</v>
      </c>
      <c r="B167" s="53" t="s">
        <v>1155</v>
      </c>
      <c r="C167">
        <v>2.7090000000000001</v>
      </c>
      <c r="D167">
        <v>0.5</v>
      </c>
      <c r="E167">
        <f t="shared" si="2"/>
        <v>22.148394241417495</v>
      </c>
    </row>
    <row r="168" spans="1:5" x14ac:dyDescent="0.25">
      <c r="A168" s="52" t="s">
        <v>93</v>
      </c>
      <c r="B168" t="s">
        <v>1156</v>
      </c>
      <c r="C168">
        <v>0.98</v>
      </c>
      <c r="D168">
        <v>0.25</v>
      </c>
      <c r="E168">
        <f t="shared" si="2"/>
        <v>61.224489795918366</v>
      </c>
    </row>
    <row r="169" spans="1:5" x14ac:dyDescent="0.25">
      <c r="A169" s="52" t="s">
        <v>109</v>
      </c>
      <c r="B169" s="53" t="s">
        <v>1156</v>
      </c>
      <c r="C169">
        <v>1.19</v>
      </c>
      <c r="D169">
        <v>0.5</v>
      </c>
      <c r="E169">
        <f t="shared" si="2"/>
        <v>50.420168067226896</v>
      </c>
    </row>
    <row r="170" spans="1:5" x14ac:dyDescent="0.25">
      <c r="A170" s="52" t="s">
        <v>86</v>
      </c>
      <c r="B170" t="s">
        <v>1157</v>
      </c>
      <c r="C170">
        <v>0.58799999999999997</v>
      </c>
      <c r="D170">
        <v>0.25</v>
      </c>
      <c r="E170">
        <f t="shared" si="2"/>
        <v>102.04081632653062</v>
      </c>
    </row>
    <row r="171" spans="1:5" x14ac:dyDescent="0.25">
      <c r="A171" s="52" t="s">
        <v>197</v>
      </c>
      <c r="B171" t="s">
        <v>1157</v>
      </c>
      <c r="C171">
        <v>1.36</v>
      </c>
      <c r="D171">
        <v>0.5</v>
      </c>
      <c r="E171">
        <f t="shared" si="2"/>
        <v>44.117647058823529</v>
      </c>
    </row>
    <row r="172" spans="1:5" x14ac:dyDescent="0.25">
      <c r="A172" s="52" t="s">
        <v>98</v>
      </c>
      <c r="B172" t="s">
        <v>1158</v>
      </c>
      <c r="C172">
        <v>0.58799999999999997</v>
      </c>
      <c r="D172">
        <v>0.25</v>
      </c>
      <c r="E172">
        <f t="shared" si="2"/>
        <v>102.04081632653062</v>
      </c>
    </row>
    <row r="173" spans="1:5" x14ac:dyDescent="0.25">
      <c r="A173" s="52" t="s">
        <v>108</v>
      </c>
      <c r="B173" s="53" t="s">
        <v>1158</v>
      </c>
      <c r="C173">
        <v>0.56000000000000005</v>
      </c>
      <c r="D173">
        <v>0.5</v>
      </c>
      <c r="E173">
        <f t="shared" si="2"/>
        <v>107.14285714285714</v>
      </c>
    </row>
    <row r="174" spans="1:5" x14ac:dyDescent="0.25">
      <c r="A174" s="52" t="s">
        <v>101</v>
      </c>
      <c r="B174" t="s">
        <v>1159</v>
      </c>
      <c r="C174">
        <v>0.58799999999999997</v>
      </c>
      <c r="D174">
        <v>0.25</v>
      </c>
      <c r="E174">
        <f t="shared" si="2"/>
        <v>102.04081632653062</v>
      </c>
    </row>
    <row r="175" spans="1:5" x14ac:dyDescent="0.25">
      <c r="A175" s="52" t="s">
        <v>198</v>
      </c>
      <c r="B175" s="53" t="s">
        <v>1159</v>
      </c>
      <c r="C175">
        <v>0.30199999999999999</v>
      </c>
      <c r="D175">
        <v>0.5</v>
      </c>
      <c r="E175">
        <f t="shared" si="2"/>
        <v>198.67549668874173</v>
      </c>
    </row>
    <row r="176" spans="1:5" x14ac:dyDescent="0.25">
      <c r="A176" s="52" t="s">
        <v>94</v>
      </c>
      <c r="B176" t="s">
        <v>1160</v>
      </c>
      <c r="C176">
        <v>0.58799999999999997</v>
      </c>
      <c r="D176">
        <v>0.25</v>
      </c>
      <c r="E176">
        <f t="shared" si="2"/>
        <v>102.04081632653062</v>
      </c>
    </row>
    <row r="177" spans="1:5" x14ac:dyDescent="0.25">
      <c r="A177" s="52" t="s">
        <v>199</v>
      </c>
      <c r="B177" s="53" t="s">
        <v>1160</v>
      </c>
      <c r="C177">
        <v>0.14299999999999999</v>
      </c>
      <c r="D177">
        <v>0.5</v>
      </c>
      <c r="E177">
        <f t="shared" si="2"/>
        <v>419.58041958041963</v>
      </c>
    </row>
    <row r="178" spans="1:5" x14ac:dyDescent="0.25">
      <c r="A178" s="52" t="s">
        <v>200</v>
      </c>
      <c r="B178" t="s">
        <v>1161</v>
      </c>
      <c r="C178">
        <v>0.58799999999999997</v>
      </c>
      <c r="D178">
        <v>0.5</v>
      </c>
      <c r="E178">
        <f t="shared" si="2"/>
        <v>102.04081632653062</v>
      </c>
    </row>
    <row r="179" spans="1:5" x14ac:dyDescent="0.25">
      <c r="A179" s="52" t="s">
        <v>102</v>
      </c>
      <c r="B179" t="s">
        <v>1162</v>
      </c>
      <c r="C179">
        <v>0.98</v>
      </c>
      <c r="D179">
        <v>0.25</v>
      </c>
      <c r="E179">
        <f t="shared" si="2"/>
        <v>61.224489795918366</v>
      </c>
    </row>
    <row r="180" spans="1:5" x14ac:dyDescent="0.25">
      <c r="A180" s="52" t="s">
        <v>201</v>
      </c>
      <c r="B180" s="53" t="s">
        <v>1162</v>
      </c>
      <c r="C180">
        <v>2.7090000000000001</v>
      </c>
      <c r="D180">
        <v>0.5</v>
      </c>
      <c r="E180">
        <f t="shared" si="2"/>
        <v>22.148394241417495</v>
      </c>
    </row>
    <row r="181" spans="1:5" x14ac:dyDescent="0.25">
      <c r="A181" s="52" t="s">
        <v>92</v>
      </c>
      <c r="B181" t="s">
        <v>1162</v>
      </c>
      <c r="C181">
        <v>0.98</v>
      </c>
      <c r="D181">
        <v>0.25</v>
      </c>
      <c r="E181">
        <f t="shared" si="2"/>
        <v>61.224489795918366</v>
      </c>
    </row>
    <row r="182" spans="1:5" x14ac:dyDescent="0.25">
      <c r="A182" s="52" t="s">
        <v>110</v>
      </c>
      <c r="B182" s="53" t="s">
        <v>1162</v>
      </c>
      <c r="C182">
        <v>1.105</v>
      </c>
      <c r="D182">
        <v>0.5</v>
      </c>
      <c r="E182">
        <f t="shared" si="2"/>
        <v>54.298642533936651</v>
      </c>
    </row>
    <row r="183" spans="1:5" x14ac:dyDescent="0.25">
      <c r="A183" s="52" t="s">
        <v>76</v>
      </c>
      <c r="B183" t="s">
        <v>1163</v>
      </c>
      <c r="C183">
        <v>1.1759999999999999</v>
      </c>
      <c r="D183">
        <v>0.25</v>
      </c>
      <c r="E183">
        <f t="shared" si="2"/>
        <v>51.020408163265309</v>
      </c>
    </row>
    <row r="184" spans="1:5" x14ac:dyDescent="0.25">
      <c r="A184" s="52" t="s">
        <v>104</v>
      </c>
      <c r="B184" s="53" t="s">
        <v>1163</v>
      </c>
      <c r="C184">
        <v>0.56399999999999995</v>
      </c>
      <c r="D184">
        <v>0.5</v>
      </c>
      <c r="E184">
        <f t="shared" si="2"/>
        <v>106.38297872340426</v>
      </c>
    </row>
    <row r="185" spans="1:5" x14ac:dyDescent="0.25">
      <c r="A185" s="52" t="s">
        <v>77</v>
      </c>
      <c r="B185" t="s">
        <v>1164</v>
      </c>
      <c r="C185">
        <v>1.1759999999999999</v>
      </c>
      <c r="D185">
        <v>0.25</v>
      </c>
      <c r="E185">
        <f t="shared" si="2"/>
        <v>51.020408163265309</v>
      </c>
    </row>
    <row r="186" spans="1:5" x14ac:dyDescent="0.25">
      <c r="A186" s="52" t="s">
        <v>107</v>
      </c>
      <c r="B186" s="53" t="s">
        <v>1164</v>
      </c>
      <c r="C186">
        <v>0.58799999999999997</v>
      </c>
      <c r="D186">
        <v>0.5</v>
      </c>
      <c r="E186">
        <f t="shared" si="2"/>
        <v>102.04081632653062</v>
      </c>
    </row>
    <row r="187" spans="1:5" x14ac:dyDescent="0.25">
      <c r="A187" s="52" t="s">
        <v>202</v>
      </c>
      <c r="B187" s="53" t="s">
        <v>1165</v>
      </c>
      <c r="C187">
        <v>1.7010000000000001</v>
      </c>
      <c r="D187">
        <v>0.5</v>
      </c>
      <c r="E187">
        <f t="shared" si="2"/>
        <v>35.273368606701936</v>
      </c>
    </row>
    <row r="188" spans="1:5" x14ac:dyDescent="0.25">
      <c r="A188" s="52" t="s">
        <v>203</v>
      </c>
      <c r="B188" s="53" t="s">
        <v>1166</v>
      </c>
      <c r="C188">
        <v>0.58799999999999997</v>
      </c>
      <c r="D188">
        <v>0.5</v>
      </c>
      <c r="E188">
        <f t="shared" si="2"/>
        <v>102.04081632653062</v>
      </c>
    </row>
    <row r="189" spans="1:5" x14ac:dyDescent="0.25">
      <c r="A189" s="52" t="s">
        <v>79</v>
      </c>
      <c r="B189" s="53" t="s">
        <v>1167</v>
      </c>
      <c r="C189">
        <v>1.7010000000000001</v>
      </c>
      <c r="D189">
        <v>0.5</v>
      </c>
      <c r="E189">
        <f t="shared" si="2"/>
        <v>35.273368606701936</v>
      </c>
    </row>
    <row r="190" spans="1:5" x14ac:dyDescent="0.25">
      <c r="A190" s="52" t="s">
        <v>100</v>
      </c>
      <c r="B190" t="s">
        <v>1168</v>
      </c>
      <c r="C190">
        <v>1.569</v>
      </c>
      <c r="D190">
        <v>0.25</v>
      </c>
      <c r="E190">
        <f t="shared" si="2"/>
        <v>38.24091778202677</v>
      </c>
    </row>
    <row r="191" spans="1:5" x14ac:dyDescent="0.25">
      <c r="A191" s="52" t="s">
        <v>204</v>
      </c>
      <c r="B191" s="53" t="s">
        <v>1168</v>
      </c>
      <c r="C191">
        <v>1.53</v>
      </c>
      <c r="D191">
        <v>0.5</v>
      </c>
      <c r="E191">
        <f t="shared" si="2"/>
        <v>39.215686274509807</v>
      </c>
    </row>
    <row r="192" spans="1:5" x14ac:dyDescent="0.25">
      <c r="A192" s="52" t="s">
        <v>205</v>
      </c>
      <c r="B192" t="s">
        <v>1169</v>
      </c>
      <c r="C192">
        <v>1.569</v>
      </c>
      <c r="D192">
        <v>0.25</v>
      </c>
      <c r="E192">
        <f t="shared" si="2"/>
        <v>38.24091778202677</v>
      </c>
    </row>
    <row r="193" spans="1:5" x14ac:dyDescent="0.25">
      <c r="A193" s="52" t="s">
        <v>206</v>
      </c>
      <c r="B193" s="53" t="s">
        <v>1169</v>
      </c>
      <c r="C193">
        <v>0.99199999999999999</v>
      </c>
      <c r="D193">
        <v>0.5</v>
      </c>
      <c r="E193">
        <f t="shared" si="2"/>
        <v>60.483870967741936</v>
      </c>
    </row>
    <row r="194" spans="1:5" x14ac:dyDescent="0.25">
      <c r="A194" s="52" t="s">
        <v>207</v>
      </c>
      <c r="B194" t="s">
        <v>1169</v>
      </c>
      <c r="C194">
        <v>1.4390000000000001</v>
      </c>
      <c r="D194">
        <v>0.25</v>
      </c>
      <c r="E194">
        <f t="shared" si="2"/>
        <v>41.695621959694229</v>
      </c>
    </row>
    <row r="195" spans="1:5" x14ac:dyDescent="0.25">
      <c r="A195" s="52" t="s">
        <v>208</v>
      </c>
      <c r="B195" t="s">
        <v>1170</v>
      </c>
      <c r="C195">
        <v>1.569</v>
      </c>
      <c r="D195">
        <v>0.25</v>
      </c>
      <c r="E195">
        <f t="shared" si="2"/>
        <v>38.24091778202677</v>
      </c>
    </row>
    <row r="196" spans="1:5" x14ac:dyDescent="0.25">
      <c r="A196" s="52" t="s">
        <v>209</v>
      </c>
      <c r="B196" s="53" t="s">
        <v>1170</v>
      </c>
      <c r="C196">
        <v>1.0720000000000001</v>
      </c>
      <c r="D196">
        <v>0.5</v>
      </c>
      <c r="E196">
        <f t="shared" ref="E196:E259" si="3">60/C196</f>
        <v>55.970149253731343</v>
      </c>
    </row>
    <row r="197" spans="1:5" x14ac:dyDescent="0.25">
      <c r="A197" s="52" t="s">
        <v>210</v>
      </c>
      <c r="B197" t="s">
        <v>1170</v>
      </c>
      <c r="C197">
        <v>1.4390000000000001</v>
      </c>
      <c r="D197">
        <v>0.25</v>
      </c>
      <c r="E197">
        <f t="shared" si="3"/>
        <v>41.695621959694229</v>
      </c>
    </row>
    <row r="198" spans="1:5" x14ac:dyDescent="0.25">
      <c r="A198" s="52" t="s">
        <v>211</v>
      </c>
      <c r="B198" s="53" t="s">
        <v>1171</v>
      </c>
      <c r="C198">
        <v>0.01</v>
      </c>
      <c r="D198">
        <v>0.5</v>
      </c>
      <c r="E198">
        <f t="shared" si="3"/>
        <v>6000</v>
      </c>
    </row>
    <row r="199" spans="1:5" x14ac:dyDescent="0.25">
      <c r="A199" s="52" t="s">
        <v>212</v>
      </c>
      <c r="B199" s="53" t="s">
        <v>1172</v>
      </c>
      <c r="C199">
        <v>1.7410000000000001</v>
      </c>
      <c r="D199">
        <v>0.5</v>
      </c>
      <c r="E199">
        <f t="shared" si="3"/>
        <v>34.46295232624928</v>
      </c>
    </row>
    <row r="200" spans="1:5" x14ac:dyDescent="0.25">
      <c r="A200" s="52" t="s">
        <v>213</v>
      </c>
      <c r="B200" s="53" t="s">
        <v>1173</v>
      </c>
      <c r="C200">
        <v>0.30499999999999999</v>
      </c>
      <c r="D200">
        <v>0.5</v>
      </c>
      <c r="E200">
        <f t="shared" si="3"/>
        <v>196.72131147540983</v>
      </c>
    </row>
    <row r="201" spans="1:5" x14ac:dyDescent="0.25">
      <c r="A201" s="52" t="s">
        <v>214</v>
      </c>
      <c r="B201" t="s">
        <v>1174</v>
      </c>
      <c r="C201">
        <v>0.03</v>
      </c>
      <c r="D201">
        <v>1.5</v>
      </c>
      <c r="E201">
        <f t="shared" si="3"/>
        <v>2000</v>
      </c>
    </row>
    <row r="202" spans="1:5" x14ac:dyDescent="0.25">
      <c r="A202" s="52" t="s">
        <v>215</v>
      </c>
      <c r="B202" t="s">
        <v>1174</v>
      </c>
      <c r="C202">
        <v>0.06</v>
      </c>
      <c r="D202">
        <v>1.5</v>
      </c>
      <c r="E202">
        <f t="shared" si="3"/>
        <v>1000</v>
      </c>
    </row>
    <row r="203" spans="1:5" x14ac:dyDescent="0.25">
      <c r="A203" s="52" t="s">
        <v>216</v>
      </c>
      <c r="B203" t="s">
        <v>1174</v>
      </c>
      <c r="C203">
        <v>0.12</v>
      </c>
      <c r="D203">
        <v>1.5</v>
      </c>
      <c r="E203">
        <f t="shared" si="3"/>
        <v>500</v>
      </c>
    </row>
    <row r="204" spans="1:5" x14ac:dyDescent="0.25">
      <c r="A204" s="52" t="s">
        <v>217</v>
      </c>
      <c r="B204" t="s">
        <v>1174</v>
      </c>
      <c r="C204">
        <v>0.12</v>
      </c>
      <c r="D204">
        <v>1.5</v>
      </c>
      <c r="E204">
        <f t="shared" si="3"/>
        <v>500</v>
      </c>
    </row>
    <row r="205" spans="1:5" x14ac:dyDescent="0.25">
      <c r="A205" s="52" t="s">
        <v>218</v>
      </c>
      <c r="B205" t="s">
        <v>1175</v>
      </c>
      <c r="C205">
        <v>7.4999999999999997E-2</v>
      </c>
      <c r="D205">
        <v>1.5</v>
      </c>
      <c r="E205">
        <f t="shared" si="3"/>
        <v>800</v>
      </c>
    </row>
    <row r="206" spans="1:5" x14ac:dyDescent="0.25">
      <c r="A206" s="52" t="s">
        <v>219</v>
      </c>
      <c r="B206" t="s">
        <v>1176</v>
      </c>
      <c r="C206">
        <v>7.4999999999999997E-2</v>
      </c>
      <c r="D206">
        <v>1.5</v>
      </c>
      <c r="E206">
        <f t="shared" si="3"/>
        <v>800</v>
      </c>
    </row>
    <row r="207" spans="1:5" x14ac:dyDescent="0.25">
      <c r="A207" s="52" t="s">
        <v>220</v>
      </c>
      <c r="B207" t="s">
        <v>1177</v>
      </c>
      <c r="C207">
        <v>1.5</v>
      </c>
      <c r="D207">
        <v>0.25</v>
      </c>
      <c r="E207">
        <f t="shared" si="3"/>
        <v>40</v>
      </c>
    </row>
    <row r="208" spans="1:5" x14ac:dyDescent="0.25">
      <c r="A208" s="52" t="s">
        <v>221</v>
      </c>
      <c r="B208" t="s">
        <v>1177</v>
      </c>
      <c r="C208">
        <v>0.3</v>
      </c>
      <c r="D208">
        <v>1.5</v>
      </c>
      <c r="E208">
        <f t="shared" si="3"/>
        <v>200</v>
      </c>
    </row>
    <row r="209" spans="1:5" x14ac:dyDescent="0.25">
      <c r="A209" s="52" t="s">
        <v>222</v>
      </c>
      <c r="B209" t="s">
        <v>1174</v>
      </c>
      <c r="C209">
        <v>0.33300000000000002</v>
      </c>
      <c r="D209">
        <v>0.16</v>
      </c>
      <c r="E209">
        <f t="shared" si="3"/>
        <v>180.18018018018017</v>
      </c>
    </row>
    <row r="210" spans="1:5" x14ac:dyDescent="0.25">
      <c r="A210" s="52" t="s">
        <v>223</v>
      </c>
      <c r="B210" t="s">
        <v>1175</v>
      </c>
      <c r="C210">
        <v>7.0999999999999994E-2</v>
      </c>
      <c r="D210">
        <v>1.5</v>
      </c>
      <c r="E210">
        <f t="shared" si="3"/>
        <v>845.07042253521138</v>
      </c>
    </row>
    <row r="211" spans="1:5" x14ac:dyDescent="0.25">
      <c r="A211" s="52" t="s">
        <v>224</v>
      </c>
      <c r="B211" t="s">
        <v>1176</v>
      </c>
      <c r="C211">
        <v>7.0999999999999994E-2</v>
      </c>
      <c r="D211">
        <v>1.5</v>
      </c>
      <c r="E211">
        <f t="shared" si="3"/>
        <v>845.07042253521138</v>
      </c>
    </row>
    <row r="212" spans="1:5" x14ac:dyDescent="0.25">
      <c r="A212" s="52" t="s">
        <v>225</v>
      </c>
      <c r="B212" t="s">
        <v>1177</v>
      </c>
      <c r="C212">
        <v>1.333</v>
      </c>
      <c r="D212">
        <v>0.25</v>
      </c>
      <c r="E212">
        <f t="shared" si="3"/>
        <v>45.011252813203299</v>
      </c>
    </row>
    <row r="213" spans="1:5" x14ac:dyDescent="0.25">
      <c r="A213" s="52" t="s">
        <v>226</v>
      </c>
      <c r="B213" s="53" t="s">
        <v>1177</v>
      </c>
      <c r="C213">
        <v>3.3969999999999998</v>
      </c>
      <c r="D213">
        <v>0.25</v>
      </c>
      <c r="E213">
        <f t="shared" si="3"/>
        <v>17.662643508978512</v>
      </c>
    </row>
    <row r="214" spans="1:5" x14ac:dyDescent="0.25">
      <c r="A214" s="52" t="s">
        <v>227</v>
      </c>
      <c r="B214" t="s">
        <v>1175</v>
      </c>
      <c r="C214">
        <v>6.7000000000000004E-2</v>
      </c>
      <c r="D214">
        <v>1.5</v>
      </c>
      <c r="E214">
        <f t="shared" si="3"/>
        <v>895.52238805970148</v>
      </c>
    </row>
    <row r="215" spans="1:5" x14ac:dyDescent="0.25">
      <c r="A215" s="52" t="s">
        <v>228</v>
      </c>
      <c r="B215" t="s">
        <v>1178</v>
      </c>
      <c r="C215">
        <v>6.7000000000000004E-2</v>
      </c>
      <c r="D215">
        <v>1.5</v>
      </c>
      <c r="E215">
        <f t="shared" si="3"/>
        <v>895.52238805970148</v>
      </c>
    </row>
    <row r="216" spans="1:5" x14ac:dyDescent="0.25">
      <c r="A216" s="52" t="s">
        <v>229</v>
      </c>
      <c r="B216" t="s">
        <v>1179</v>
      </c>
      <c r="C216">
        <v>6.7000000000000004E-2</v>
      </c>
      <c r="D216">
        <v>1.5</v>
      </c>
      <c r="E216">
        <f t="shared" si="3"/>
        <v>895.52238805970148</v>
      </c>
    </row>
    <row r="217" spans="1:5" x14ac:dyDescent="0.25">
      <c r="A217" s="52" t="s">
        <v>230</v>
      </c>
      <c r="B217" t="s">
        <v>1180</v>
      </c>
      <c r="C217">
        <v>1.373</v>
      </c>
      <c r="D217">
        <v>0.25</v>
      </c>
      <c r="E217">
        <f t="shared" si="3"/>
        <v>43.699927166788058</v>
      </c>
    </row>
    <row r="218" spans="1:5" x14ac:dyDescent="0.25">
      <c r="A218" s="52" t="s">
        <v>231</v>
      </c>
      <c r="B218" s="53" t="s">
        <v>1180</v>
      </c>
      <c r="C218">
        <v>0.27700000000000002</v>
      </c>
      <c r="D218">
        <v>0.5</v>
      </c>
      <c r="E218">
        <f t="shared" si="3"/>
        <v>216.60649819494583</v>
      </c>
    </row>
    <row r="219" spans="1:5" x14ac:dyDescent="0.25">
      <c r="A219" s="52" t="s">
        <v>232</v>
      </c>
      <c r="B219" t="s">
        <v>1181</v>
      </c>
      <c r="C219">
        <v>0.39200000000000002</v>
      </c>
      <c r="D219">
        <v>0.25</v>
      </c>
      <c r="E219">
        <f t="shared" si="3"/>
        <v>153.0612244897959</v>
      </c>
    </row>
    <row r="220" spans="1:5" x14ac:dyDescent="0.25">
      <c r="A220" s="52" t="s">
        <v>233</v>
      </c>
      <c r="B220" s="53" t="s">
        <v>1181</v>
      </c>
      <c r="C220">
        <v>0.218</v>
      </c>
      <c r="D220">
        <v>0.5</v>
      </c>
      <c r="E220">
        <f t="shared" si="3"/>
        <v>275.22935779816515</v>
      </c>
    </row>
    <row r="221" spans="1:5" x14ac:dyDescent="0.25">
      <c r="A221" s="52" t="s">
        <v>72</v>
      </c>
      <c r="B221" s="53" t="s">
        <v>1053</v>
      </c>
      <c r="C221">
        <v>0.63400000000000001</v>
      </c>
      <c r="D221">
        <v>0.5</v>
      </c>
      <c r="E221">
        <f t="shared" si="3"/>
        <v>94.637223974763401</v>
      </c>
    </row>
    <row r="222" spans="1:5" x14ac:dyDescent="0.25">
      <c r="A222" s="52" t="s">
        <v>83</v>
      </c>
      <c r="B222" t="s">
        <v>1054</v>
      </c>
      <c r="C222">
        <v>3.9E-2</v>
      </c>
      <c r="D222">
        <v>0.25</v>
      </c>
      <c r="E222">
        <f t="shared" si="3"/>
        <v>1538.4615384615386</v>
      </c>
    </row>
    <row r="223" spans="1:5" x14ac:dyDescent="0.25">
      <c r="A223" s="52" t="s">
        <v>80</v>
      </c>
      <c r="B223" s="53" t="s">
        <v>1054</v>
      </c>
      <c r="C223">
        <v>1.276</v>
      </c>
      <c r="D223">
        <v>0.5</v>
      </c>
      <c r="E223">
        <f t="shared" si="3"/>
        <v>47.021943573667713</v>
      </c>
    </row>
    <row r="224" spans="1:5" x14ac:dyDescent="0.25">
      <c r="A224" s="52" t="s">
        <v>234</v>
      </c>
      <c r="B224" t="s">
        <v>1182</v>
      </c>
      <c r="C224">
        <v>6.7000000000000004E-2</v>
      </c>
      <c r="D224">
        <v>1.5</v>
      </c>
      <c r="E224">
        <f t="shared" si="3"/>
        <v>895.52238805970148</v>
      </c>
    </row>
    <row r="225" spans="1:5" x14ac:dyDescent="0.25">
      <c r="A225" s="52" t="s">
        <v>235</v>
      </c>
      <c r="B225" t="s">
        <v>1183</v>
      </c>
      <c r="C225">
        <v>0.12</v>
      </c>
      <c r="D225">
        <v>0.5</v>
      </c>
      <c r="E225">
        <f t="shared" si="3"/>
        <v>500</v>
      </c>
    </row>
    <row r="226" spans="1:5" x14ac:dyDescent="0.25">
      <c r="A226" s="52" t="s">
        <v>236</v>
      </c>
      <c r="B226" t="s">
        <v>1182</v>
      </c>
      <c r="C226">
        <v>3.4000000000000002E-2</v>
      </c>
      <c r="D226">
        <v>1.5</v>
      </c>
      <c r="E226">
        <f t="shared" si="3"/>
        <v>1764.705882352941</v>
      </c>
    </row>
    <row r="227" spans="1:5" x14ac:dyDescent="0.25">
      <c r="A227" s="52" t="s">
        <v>237</v>
      </c>
      <c r="B227" t="s">
        <v>1183</v>
      </c>
      <c r="C227">
        <v>0.12</v>
      </c>
      <c r="D227">
        <v>0.5</v>
      </c>
      <c r="E227">
        <f t="shared" si="3"/>
        <v>500</v>
      </c>
    </row>
    <row r="228" spans="1:5" x14ac:dyDescent="0.25">
      <c r="A228" s="52" t="s">
        <v>238</v>
      </c>
      <c r="B228" s="53" t="s">
        <v>1184</v>
      </c>
      <c r="C228">
        <v>0.34300000000000003</v>
      </c>
      <c r="D228">
        <v>0.5</v>
      </c>
      <c r="E228">
        <f t="shared" si="3"/>
        <v>174.9271137026239</v>
      </c>
    </row>
    <row r="229" spans="1:5" x14ac:dyDescent="0.25">
      <c r="A229" s="52" t="s">
        <v>239</v>
      </c>
      <c r="B229" t="s">
        <v>1185</v>
      </c>
      <c r="C229">
        <v>0.98</v>
      </c>
      <c r="D229">
        <v>0.25</v>
      </c>
      <c r="E229">
        <f t="shared" si="3"/>
        <v>61.224489795918366</v>
      </c>
    </row>
    <row r="230" spans="1:5" x14ac:dyDescent="0.25">
      <c r="A230" s="52" t="s">
        <v>240</v>
      </c>
      <c r="B230" s="53" t="s">
        <v>1185</v>
      </c>
      <c r="C230">
        <v>1.593</v>
      </c>
      <c r="D230">
        <v>0.5</v>
      </c>
      <c r="E230">
        <f t="shared" si="3"/>
        <v>37.664783427495294</v>
      </c>
    </row>
    <row r="231" spans="1:5" x14ac:dyDescent="0.25">
      <c r="A231" s="52" t="s">
        <v>241</v>
      </c>
      <c r="B231" t="s">
        <v>1186</v>
      </c>
      <c r="C231">
        <v>0.58799999999999997</v>
      </c>
      <c r="D231">
        <v>0.25</v>
      </c>
      <c r="E231">
        <f t="shared" si="3"/>
        <v>102.04081632653062</v>
      </c>
    </row>
    <row r="232" spans="1:5" x14ac:dyDescent="0.25">
      <c r="A232" s="52" t="s">
        <v>242</v>
      </c>
      <c r="B232" s="53" t="s">
        <v>1186</v>
      </c>
      <c r="C232">
        <v>0.42399999999999999</v>
      </c>
      <c r="D232">
        <v>0.5</v>
      </c>
      <c r="E232">
        <f t="shared" si="3"/>
        <v>141.50943396226415</v>
      </c>
    </row>
    <row r="233" spans="1:5" x14ac:dyDescent="0.25">
      <c r="A233" s="52" t="s">
        <v>243</v>
      </c>
      <c r="B233" t="s">
        <v>1187</v>
      </c>
      <c r="C233">
        <v>1.373</v>
      </c>
      <c r="D233">
        <v>0.25</v>
      </c>
      <c r="E233">
        <f t="shared" si="3"/>
        <v>43.699927166788058</v>
      </c>
    </row>
    <row r="234" spans="1:5" x14ac:dyDescent="0.25">
      <c r="A234" s="52" t="s">
        <v>244</v>
      </c>
      <c r="B234" s="53" t="s">
        <v>1187</v>
      </c>
      <c r="C234">
        <v>0.58699999999999997</v>
      </c>
      <c r="D234">
        <v>0.5</v>
      </c>
      <c r="E234">
        <f t="shared" si="3"/>
        <v>102.21465076660989</v>
      </c>
    </row>
    <row r="235" spans="1:5" x14ac:dyDescent="0.25">
      <c r="A235" s="52" t="s">
        <v>245</v>
      </c>
      <c r="B235" t="s">
        <v>1188</v>
      </c>
      <c r="C235">
        <v>0.39200000000000002</v>
      </c>
      <c r="D235">
        <v>0.25</v>
      </c>
      <c r="E235">
        <f t="shared" si="3"/>
        <v>153.0612244897959</v>
      </c>
    </row>
    <row r="236" spans="1:5" x14ac:dyDescent="0.25">
      <c r="A236" s="52" t="s">
        <v>246</v>
      </c>
      <c r="B236" s="53" t="s">
        <v>1188</v>
      </c>
      <c r="C236">
        <v>0.40699999999999997</v>
      </c>
      <c r="D236">
        <v>0.5</v>
      </c>
      <c r="E236">
        <f t="shared" si="3"/>
        <v>147.42014742014743</v>
      </c>
    </row>
    <row r="237" spans="1:5" x14ac:dyDescent="0.25">
      <c r="A237" s="52" t="s">
        <v>247</v>
      </c>
      <c r="B237" t="s">
        <v>1189</v>
      </c>
      <c r="C237">
        <v>0.39200000000000002</v>
      </c>
      <c r="D237">
        <v>0.25</v>
      </c>
      <c r="E237">
        <f t="shared" si="3"/>
        <v>153.0612244897959</v>
      </c>
    </row>
    <row r="238" spans="1:5" x14ac:dyDescent="0.25">
      <c r="A238" s="52" t="s">
        <v>248</v>
      </c>
      <c r="B238" s="53" t="s">
        <v>1189</v>
      </c>
      <c r="C238">
        <v>1.0569999999999999</v>
      </c>
      <c r="D238">
        <v>0.5</v>
      </c>
      <c r="E238">
        <f t="shared" si="3"/>
        <v>56.764427625354784</v>
      </c>
    </row>
    <row r="239" spans="1:5" x14ac:dyDescent="0.25">
      <c r="A239" s="52" t="s">
        <v>249</v>
      </c>
      <c r="B239" t="s">
        <v>1190</v>
      </c>
      <c r="C239">
        <v>0.39200000000000002</v>
      </c>
      <c r="D239">
        <v>0.25</v>
      </c>
      <c r="E239">
        <f t="shared" si="3"/>
        <v>153.0612244897959</v>
      </c>
    </row>
    <row r="240" spans="1:5" x14ac:dyDescent="0.25">
      <c r="A240" s="52" t="s">
        <v>250</v>
      </c>
      <c r="B240" s="53" t="s">
        <v>1190</v>
      </c>
      <c r="C240">
        <v>0.222</v>
      </c>
      <c r="D240">
        <v>0.5</v>
      </c>
      <c r="E240">
        <f t="shared" si="3"/>
        <v>270.27027027027026</v>
      </c>
    </row>
    <row r="241" spans="1:5" x14ac:dyDescent="0.25">
      <c r="A241" s="52" t="s">
        <v>251</v>
      </c>
      <c r="B241" t="s">
        <v>1191</v>
      </c>
      <c r="C241">
        <v>0.39200000000000002</v>
      </c>
      <c r="D241">
        <v>0.25</v>
      </c>
      <c r="E241">
        <f t="shared" si="3"/>
        <v>153.0612244897959</v>
      </c>
    </row>
    <row r="242" spans="1:5" x14ac:dyDescent="0.25">
      <c r="A242" s="52" t="s">
        <v>252</v>
      </c>
      <c r="B242" s="53" t="s">
        <v>1191</v>
      </c>
      <c r="C242">
        <v>0.216</v>
      </c>
      <c r="D242">
        <v>0.5</v>
      </c>
      <c r="E242">
        <f t="shared" si="3"/>
        <v>277.77777777777777</v>
      </c>
    </row>
    <row r="243" spans="1:5" x14ac:dyDescent="0.25">
      <c r="A243" s="52" t="s">
        <v>253</v>
      </c>
      <c r="B243" s="53" t="s">
        <v>1192</v>
      </c>
      <c r="C243">
        <v>0.40200000000000002</v>
      </c>
      <c r="D243">
        <v>0.5</v>
      </c>
      <c r="E243">
        <f t="shared" si="3"/>
        <v>149.25373134328356</v>
      </c>
    </row>
    <row r="244" spans="1:5" x14ac:dyDescent="0.25">
      <c r="A244" s="52" t="s">
        <v>254</v>
      </c>
      <c r="B244" t="s">
        <v>1193</v>
      </c>
      <c r="C244">
        <v>0.39200000000000002</v>
      </c>
      <c r="D244">
        <v>0.25</v>
      </c>
      <c r="E244">
        <f t="shared" si="3"/>
        <v>153.0612244897959</v>
      </c>
    </row>
    <row r="245" spans="1:5" x14ac:dyDescent="0.25">
      <c r="A245" s="52" t="s">
        <v>255</v>
      </c>
      <c r="B245" s="53" t="s">
        <v>1193</v>
      </c>
      <c r="C245">
        <v>0.504</v>
      </c>
      <c r="D245">
        <v>0.5</v>
      </c>
      <c r="E245">
        <f t="shared" si="3"/>
        <v>119.04761904761905</v>
      </c>
    </row>
    <row r="246" spans="1:5" x14ac:dyDescent="0.25">
      <c r="A246" s="52" t="s">
        <v>256</v>
      </c>
      <c r="B246" s="53" t="s">
        <v>1194</v>
      </c>
      <c r="C246">
        <v>0.82899999999999996</v>
      </c>
      <c r="D246">
        <v>0.5</v>
      </c>
      <c r="E246">
        <f t="shared" si="3"/>
        <v>72.376357056694815</v>
      </c>
    </row>
    <row r="247" spans="1:5" x14ac:dyDescent="0.25">
      <c r="A247" s="52" t="s">
        <v>257</v>
      </c>
      <c r="B247" t="s">
        <v>1195</v>
      </c>
      <c r="C247">
        <v>0.78400000000000003</v>
      </c>
      <c r="D247">
        <v>0.25</v>
      </c>
      <c r="E247">
        <f t="shared" si="3"/>
        <v>76.530612244897952</v>
      </c>
    </row>
    <row r="248" spans="1:5" x14ac:dyDescent="0.25">
      <c r="A248" s="52" t="s">
        <v>258</v>
      </c>
      <c r="B248" s="53" t="s">
        <v>1195</v>
      </c>
      <c r="C248">
        <v>0.443</v>
      </c>
      <c r="D248">
        <v>0.5</v>
      </c>
      <c r="E248">
        <f t="shared" si="3"/>
        <v>135.44018058690745</v>
      </c>
    </row>
    <row r="249" spans="1:5" x14ac:dyDescent="0.25">
      <c r="A249" s="52" t="s">
        <v>259</v>
      </c>
      <c r="B249" t="s">
        <v>1196</v>
      </c>
      <c r="C249">
        <v>1.7649999999999999</v>
      </c>
      <c r="D249">
        <v>0.25</v>
      </c>
      <c r="E249">
        <f t="shared" si="3"/>
        <v>33.994334277620396</v>
      </c>
    </row>
    <row r="250" spans="1:5" x14ac:dyDescent="0.25">
      <c r="A250" s="52" t="s">
        <v>260</v>
      </c>
      <c r="B250" s="53" t="s">
        <v>1196</v>
      </c>
      <c r="C250">
        <v>2.9239999999999999</v>
      </c>
      <c r="D250">
        <v>0.5</v>
      </c>
      <c r="E250">
        <f t="shared" si="3"/>
        <v>20.51983584131327</v>
      </c>
    </row>
    <row r="251" spans="1:5" x14ac:dyDescent="0.25">
      <c r="A251" s="52" t="s">
        <v>261</v>
      </c>
      <c r="B251" t="s">
        <v>1196</v>
      </c>
      <c r="C251">
        <v>1.9019999999999999</v>
      </c>
      <c r="D251">
        <v>0.25</v>
      </c>
      <c r="E251">
        <f t="shared" si="3"/>
        <v>31.545741324921138</v>
      </c>
    </row>
    <row r="252" spans="1:5" x14ac:dyDescent="0.25">
      <c r="A252" s="52" t="s">
        <v>262</v>
      </c>
      <c r="B252" t="s">
        <v>1197</v>
      </c>
      <c r="C252">
        <v>0.01</v>
      </c>
      <c r="D252">
        <v>1.5</v>
      </c>
      <c r="E252">
        <f t="shared" si="3"/>
        <v>6000</v>
      </c>
    </row>
    <row r="253" spans="1:5" x14ac:dyDescent="0.25">
      <c r="A253" s="52" t="s">
        <v>263</v>
      </c>
      <c r="B253" t="s">
        <v>1198</v>
      </c>
      <c r="C253">
        <v>6.7000000000000004E-2</v>
      </c>
      <c r="D253">
        <v>0.5</v>
      </c>
      <c r="E253">
        <f t="shared" si="3"/>
        <v>895.52238805970148</v>
      </c>
    </row>
    <row r="254" spans="1:5" x14ac:dyDescent="0.25">
      <c r="A254" s="52" t="s">
        <v>264</v>
      </c>
      <c r="B254" t="s">
        <v>1198</v>
      </c>
      <c r="C254">
        <v>0.25</v>
      </c>
      <c r="D254">
        <v>0.5</v>
      </c>
      <c r="E254">
        <f t="shared" si="3"/>
        <v>240</v>
      </c>
    </row>
    <row r="255" spans="1:5" x14ac:dyDescent="0.25">
      <c r="A255" s="52" t="s">
        <v>265</v>
      </c>
      <c r="B255" t="s">
        <v>1198</v>
      </c>
      <c r="C255">
        <v>0.24</v>
      </c>
      <c r="D255">
        <v>0.5</v>
      </c>
      <c r="E255">
        <f t="shared" si="3"/>
        <v>250</v>
      </c>
    </row>
    <row r="256" spans="1:5" x14ac:dyDescent="0.25">
      <c r="A256" s="52" t="s">
        <v>266</v>
      </c>
      <c r="B256" t="s">
        <v>1199</v>
      </c>
      <c r="E256" t="e">
        <f t="shared" si="3"/>
        <v>#DIV/0!</v>
      </c>
    </row>
    <row r="257" spans="1:5" x14ac:dyDescent="0.25">
      <c r="A257" s="52" t="s">
        <v>267</v>
      </c>
      <c r="B257" t="s">
        <v>1069</v>
      </c>
      <c r="C257">
        <v>1.2E-2</v>
      </c>
      <c r="D257">
        <v>0.5</v>
      </c>
      <c r="E257">
        <f t="shared" si="3"/>
        <v>5000</v>
      </c>
    </row>
    <row r="258" spans="1:5" x14ac:dyDescent="0.25">
      <c r="A258" s="52" t="s">
        <v>268</v>
      </c>
      <c r="B258" t="s">
        <v>1200</v>
      </c>
      <c r="C258">
        <v>1.2E-2</v>
      </c>
      <c r="D258">
        <v>0.5</v>
      </c>
      <c r="E258">
        <f t="shared" si="3"/>
        <v>5000</v>
      </c>
    </row>
    <row r="259" spans="1:5" x14ac:dyDescent="0.25">
      <c r="A259" s="52" t="s">
        <v>269</v>
      </c>
      <c r="B259" t="s">
        <v>1200</v>
      </c>
      <c r="C259">
        <v>2.4E-2</v>
      </c>
      <c r="D259">
        <v>0.5</v>
      </c>
      <c r="E259">
        <f t="shared" si="3"/>
        <v>2500</v>
      </c>
    </row>
    <row r="260" spans="1:5" x14ac:dyDescent="0.25">
      <c r="A260" s="52" t="s">
        <v>270</v>
      </c>
      <c r="B260" t="s">
        <v>1201</v>
      </c>
      <c r="C260">
        <v>0.01</v>
      </c>
      <c r="D260">
        <v>1.5</v>
      </c>
      <c r="E260">
        <f t="shared" ref="E260:E323" si="4">60/C260</f>
        <v>6000</v>
      </c>
    </row>
    <row r="261" spans="1:5" x14ac:dyDescent="0.25">
      <c r="A261" s="52" t="s">
        <v>271</v>
      </c>
      <c r="B261" t="s">
        <v>1202</v>
      </c>
      <c r="C261">
        <v>0.01</v>
      </c>
      <c r="D261">
        <v>1.5</v>
      </c>
      <c r="E261">
        <f t="shared" si="4"/>
        <v>6000</v>
      </c>
    </row>
    <row r="262" spans="1:5" x14ac:dyDescent="0.25">
      <c r="A262" s="52" t="s">
        <v>272</v>
      </c>
      <c r="B262" t="s">
        <v>1203</v>
      </c>
      <c r="C262">
        <v>6.7000000000000004E-2</v>
      </c>
      <c r="D262">
        <v>0.5</v>
      </c>
      <c r="E262">
        <f t="shared" si="4"/>
        <v>895.52238805970148</v>
      </c>
    </row>
    <row r="263" spans="1:5" x14ac:dyDescent="0.25">
      <c r="A263" s="52" t="s">
        <v>273</v>
      </c>
      <c r="B263" t="s">
        <v>1203</v>
      </c>
      <c r="C263">
        <v>0.35</v>
      </c>
      <c r="D263">
        <v>0.5</v>
      </c>
      <c r="E263">
        <f t="shared" si="4"/>
        <v>171.42857142857144</v>
      </c>
    </row>
    <row r="264" spans="1:5" x14ac:dyDescent="0.25">
      <c r="A264" s="52" t="s">
        <v>274</v>
      </c>
      <c r="B264" t="s">
        <v>1204</v>
      </c>
      <c r="C264">
        <v>0.01</v>
      </c>
      <c r="D264">
        <v>0.5</v>
      </c>
      <c r="E264">
        <f t="shared" si="4"/>
        <v>6000</v>
      </c>
    </row>
    <row r="265" spans="1:5" x14ac:dyDescent="0.25">
      <c r="A265" s="52" t="s">
        <v>275</v>
      </c>
      <c r="B265" t="s">
        <v>1204</v>
      </c>
      <c r="C265">
        <v>8.0000000000000002E-3</v>
      </c>
      <c r="D265">
        <v>0.5</v>
      </c>
      <c r="E265">
        <f t="shared" si="4"/>
        <v>7500</v>
      </c>
    </row>
    <row r="266" spans="1:5" x14ac:dyDescent="0.25">
      <c r="A266" s="52" t="s">
        <v>276</v>
      </c>
      <c r="B266" t="s">
        <v>1205</v>
      </c>
      <c r="C266">
        <v>0.01</v>
      </c>
      <c r="D266">
        <v>0.5</v>
      </c>
      <c r="E266">
        <f t="shared" si="4"/>
        <v>6000</v>
      </c>
    </row>
    <row r="267" spans="1:5" x14ac:dyDescent="0.25">
      <c r="A267" s="52" t="s">
        <v>277</v>
      </c>
      <c r="B267" t="s">
        <v>1205</v>
      </c>
      <c r="C267">
        <v>0.01</v>
      </c>
      <c r="D267">
        <v>0.5</v>
      </c>
      <c r="E267">
        <f t="shared" si="4"/>
        <v>6000</v>
      </c>
    </row>
    <row r="268" spans="1:5" x14ac:dyDescent="0.25">
      <c r="A268" s="52" t="s">
        <v>278</v>
      </c>
      <c r="B268" t="s">
        <v>1204</v>
      </c>
      <c r="C268">
        <v>0.01</v>
      </c>
      <c r="D268">
        <v>0.5</v>
      </c>
      <c r="E268">
        <f t="shared" si="4"/>
        <v>6000</v>
      </c>
    </row>
    <row r="269" spans="1:5" x14ac:dyDescent="0.25">
      <c r="A269" s="52" t="s">
        <v>279</v>
      </c>
      <c r="B269" t="s">
        <v>1204</v>
      </c>
      <c r="C269">
        <v>0.01</v>
      </c>
      <c r="D269">
        <v>0.5</v>
      </c>
      <c r="E269">
        <f t="shared" si="4"/>
        <v>6000</v>
      </c>
    </row>
    <row r="270" spans="1:5" x14ac:dyDescent="0.25">
      <c r="A270" s="52" t="s">
        <v>280</v>
      </c>
      <c r="B270" t="s">
        <v>1206</v>
      </c>
      <c r="C270">
        <v>0.01</v>
      </c>
      <c r="D270">
        <v>1.5</v>
      </c>
      <c r="E270">
        <f t="shared" si="4"/>
        <v>6000</v>
      </c>
    </row>
    <row r="271" spans="1:5" x14ac:dyDescent="0.25">
      <c r="A271" s="52" t="s">
        <v>281</v>
      </c>
      <c r="B271" t="s">
        <v>1207</v>
      </c>
      <c r="C271">
        <v>1.2E-2</v>
      </c>
      <c r="D271">
        <v>0.5</v>
      </c>
      <c r="E271">
        <f t="shared" si="4"/>
        <v>5000</v>
      </c>
    </row>
    <row r="272" spans="1:5" x14ac:dyDescent="0.25">
      <c r="A272" s="52" t="s">
        <v>282</v>
      </c>
      <c r="B272" t="s">
        <v>1207</v>
      </c>
      <c r="C272">
        <v>0.11700000000000001</v>
      </c>
      <c r="D272">
        <v>0.5</v>
      </c>
      <c r="E272">
        <f t="shared" si="4"/>
        <v>512.82051282051282</v>
      </c>
    </row>
    <row r="273" spans="1:5" x14ac:dyDescent="0.25">
      <c r="A273" s="52" t="s">
        <v>283</v>
      </c>
      <c r="B273" t="s">
        <v>1208</v>
      </c>
      <c r="C273">
        <v>0.01</v>
      </c>
      <c r="D273">
        <v>0.5</v>
      </c>
      <c r="E273">
        <f t="shared" si="4"/>
        <v>6000</v>
      </c>
    </row>
    <row r="274" spans="1:5" x14ac:dyDescent="0.25">
      <c r="A274" s="52" t="s">
        <v>284</v>
      </c>
      <c r="B274" t="s">
        <v>1208</v>
      </c>
      <c r="C274">
        <v>1.7999999999999999E-2</v>
      </c>
      <c r="D274">
        <v>0.5</v>
      </c>
      <c r="E274">
        <f t="shared" si="4"/>
        <v>3333.3333333333335</v>
      </c>
    </row>
    <row r="275" spans="1:5" x14ac:dyDescent="0.25">
      <c r="A275" s="52" t="s">
        <v>285</v>
      </c>
      <c r="B275" t="s">
        <v>1209</v>
      </c>
      <c r="C275">
        <v>0.01</v>
      </c>
      <c r="D275">
        <v>0.5</v>
      </c>
      <c r="E275">
        <f t="shared" si="4"/>
        <v>6000</v>
      </c>
    </row>
    <row r="276" spans="1:5" x14ac:dyDescent="0.25">
      <c r="A276" s="52" t="s">
        <v>286</v>
      </c>
      <c r="B276" t="s">
        <v>1209</v>
      </c>
      <c r="C276">
        <v>8.0000000000000002E-3</v>
      </c>
      <c r="D276">
        <v>0.5</v>
      </c>
      <c r="E276">
        <f t="shared" si="4"/>
        <v>7500</v>
      </c>
    </row>
    <row r="277" spans="1:5" x14ac:dyDescent="0.25">
      <c r="A277" s="52" t="s">
        <v>287</v>
      </c>
      <c r="B277" t="s">
        <v>1210</v>
      </c>
      <c r="C277">
        <v>0.01</v>
      </c>
      <c r="D277">
        <v>0.5</v>
      </c>
      <c r="E277">
        <f t="shared" si="4"/>
        <v>6000</v>
      </c>
    </row>
    <row r="278" spans="1:5" x14ac:dyDescent="0.25">
      <c r="A278" s="52" t="s">
        <v>288</v>
      </c>
      <c r="B278" t="s">
        <v>1210</v>
      </c>
      <c r="C278">
        <v>8.0000000000000002E-3</v>
      </c>
      <c r="D278">
        <v>0.5</v>
      </c>
      <c r="E278">
        <f t="shared" si="4"/>
        <v>7500</v>
      </c>
    </row>
    <row r="279" spans="1:5" x14ac:dyDescent="0.25">
      <c r="A279" s="52" t="s">
        <v>289</v>
      </c>
      <c r="B279" t="s">
        <v>1211</v>
      </c>
      <c r="C279">
        <v>0.09</v>
      </c>
      <c r="D279">
        <v>1.5</v>
      </c>
      <c r="E279">
        <f t="shared" si="4"/>
        <v>666.66666666666674</v>
      </c>
    </row>
    <row r="280" spans="1:5" x14ac:dyDescent="0.25">
      <c r="A280" s="52" t="s">
        <v>290</v>
      </c>
      <c r="B280" t="s">
        <v>1212</v>
      </c>
      <c r="C280">
        <v>1.2E-2</v>
      </c>
      <c r="D280">
        <v>0.5</v>
      </c>
      <c r="E280">
        <f t="shared" si="4"/>
        <v>5000</v>
      </c>
    </row>
    <row r="281" spans="1:5" x14ac:dyDescent="0.25">
      <c r="A281" s="52" t="s">
        <v>291</v>
      </c>
      <c r="B281" t="s">
        <v>1212</v>
      </c>
      <c r="C281">
        <v>0.11700000000000001</v>
      </c>
      <c r="D281">
        <v>0.5</v>
      </c>
      <c r="E281">
        <f t="shared" si="4"/>
        <v>512.82051282051282</v>
      </c>
    </row>
    <row r="282" spans="1:5" x14ac:dyDescent="0.25">
      <c r="A282" s="52" t="s">
        <v>292</v>
      </c>
      <c r="B282" t="s">
        <v>1213</v>
      </c>
      <c r="C282">
        <v>6.7000000000000004E-2</v>
      </c>
      <c r="D282">
        <v>1.5</v>
      </c>
      <c r="E282">
        <f t="shared" si="4"/>
        <v>895.52238805970148</v>
      </c>
    </row>
    <row r="283" spans="1:5" x14ac:dyDescent="0.25">
      <c r="A283" s="52" t="s">
        <v>293</v>
      </c>
      <c r="B283" t="s">
        <v>1214</v>
      </c>
      <c r="C283">
        <v>1.4E-2</v>
      </c>
      <c r="D283">
        <v>0.5</v>
      </c>
      <c r="E283">
        <f t="shared" si="4"/>
        <v>4285.7142857142853</v>
      </c>
    </row>
    <row r="284" spans="1:5" x14ac:dyDescent="0.25">
      <c r="A284" s="52" t="s">
        <v>294</v>
      </c>
      <c r="B284" t="s">
        <v>1214</v>
      </c>
      <c r="C284">
        <v>2.4E-2</v>
      </c>
      <c r="D284">
        <v>0.5</v>
      </c>
      <c r="E284">
        <f t="shared" si="4"/>
        <v>2500</v>
      </c>
    </row>
    <row r="285" spans="1:5" x14ac:dyDescent="0.25">
      <c r="A285" s="52" t="s">
        <v>295</v>
      </c>
      <c r="B285" t="s">
        <v>1215</v>
      </c>
      <c r="C285">
        <v>1.4E-2</v>
      </c>
      <c r="D285">
        <v>0.5</v>
      </c>
      <c r="E285">
        <f t="shared" si="4"/>
        <v>4285.7142857142853</v>
      </c>
    </row>
    <row r="286" spans="1:5" x14ac:dyDescent="0.25">
      <c r="A286" s="52" t="s">
        <v>296</v>
      </c>
      <c r="B286" t="s">
        <v>1215</v>
      </c>
      <c r="C286">
        <v>2.4E-2</v>
      </c>
      <c r="D286">
        <v>0.5</v>
      </c>
      <c r="E286">
        <f t="shared" si="4"/>
        <v>2500</v>
      </c>
    </row>
    <row r="287" spans="1:5" x14ac:dyDescent="0.25">
      <c r="A287" s="52" t="s">
        <v>297</v>
      </c>
      <c r="B287" t="s">
        <v>1216</v>
      </c>
      <c r="C287">
        <v>1.0999999999999999E-2</v>
      </c>
      <c r="D287">
        <v>0.5</v>
      </c>
      <c r="E287">
        <f t="shared" si="4"/>
        <v>5454.545454545455</v>
      </c>
    </row>
    <row r="288" spans="1:5" x14ac:dyDescent="0.25">
      <c r="A288" s="52" t="s">
        <v>298</v>
      </c>
      <c r="B288" t="s">
        <v>1216</v>
      </c>
      <c r="C288">
        <v>0.187</v>
      </c>
      <c r="D288">
        <v>0.5</v>
      </c>
      <c r="E288">
        <f t="shared" si="4"/>
        <v>320.85561497326205</v>
      </c>
    </row>
    <row r="289" spans="1:5" x14ac:dyDescent="0.25">
      <c r="A289" s="52" t="s">
        <v>299</v>
      </c>
      <c r="B289" t="s">
        <v>1217</v>
      </c>
      <c r="C289">
        <v>0.01</v>
      </c>
      <c r="D289">
        <v>0.5</v>
      </c>
      <c r="E289">
        <f t="shared" si="4"/>
        <v>6000</v>
      </c>
    </row>
    <row r="290" spans="1:5" x14ac:dyDescent="0.25">
      <c r="A290" s="52" t="s">
        <v>300</v>
      </c>
      <c r="B290" t="s">
        <v>1217</v>
      </c>
      <c r="C290">
        <v>1.4999999999999999E-2</v>
      </c>
      <c r="D290">
        <v>0.5</v>
      </c>
      <c r="E290">
        <f t="shared" si="4"/>
        <v>4000</v>
      </c>
    </row>
    <row r="291" spans="1:5" x14ac:dyDescent="0.25">
      <c r="A291" s="52" t="s">
        <v>301</v>
      </c>
      <c r="B291" t="s">
        <v>1218</v>
      </c>
      <c r="C291">
        <v>0.06</v>
      </c>
      <c r="D291">
        <v>1.5</v>
      </c>
      <c r="E291">
        <f t="shared" si="4"/>
        <v>1000</v>
      </c>
    </row>
    <row r="292" spans="1:5" x14ac:dyDescent="0.25">
      <c r="A292" s="52" t="s">
        <v>302</v>
      </c>
      <c r="B292" t="s">
        <v>1219</v>
      </c>
      <c r="C292">
        <v>3.137</v>
      </c>
      <c r="D292">
        <v>0.25</v>
      </c>
      <c r="E292">
        <f t="shared" si="4"/>
        <v>19.126554032515141</v>
      </c>
    </row>
    <row r="293" spans="1:5" x14ac:dyDescent="0.25">
      <c r="A293" s="52" t="s">
        <v>303</v>
      </c>
      <c r="B293" s="53" t="s">
        <v>1219</v>
      </c>
      <c r="C293">
        <v>1.2749999999999999</v>
      </c>
      <c r="D293">
        <v>0.25</v>
      </c>
      <c r="E293">
        <f t="shared" si="4"/>
        <v>47.058823529411768</v>
      </c>
    </row>
    <row r="294" spans="1:5" x14ac:dyDescent="0.25">
      <c r="A294" s="52" t="s">
        <v>304</v>
      </c>
      <c r="B294" t="s">
        <v>1220</v>
      </c>
      <c r="C294">
        <v>1.569</v>
      </c>
      <c r="D294">
        <v>0.25</v>
      </c>
      <c r="E294">
        <f t="shared" si="4"/>
        <v>38.24091778202677</v>
      </c>
    </row>
    <row r="295" spans="1:5" x14ac:dyDescent="0.25">
      <c r="A295" s="52" t="s">
        <v>305</v>
      </c>
      <c r="B295" s="53" t="s">
        <v>1220</v>
      </c>
      <c r="C295">
        <v>1.214</v>
      </c>
      <c r="D295">
        <v>0.25</v>
      </c>
      <c r="E295">
        <f t="shared" si="4"/>
        <v>49.423393739703464</v>
      </c>
    </row>
    <row r="296" spans="1:5" x14ac:dyDescent="0.25">
      <c r="A296" s="52" t="s">
        <v>306</v>
      </c>
      <c r="B296" s="53" t="s">
        <v>1221</v>
      </c>
      <c r="C296">
        <v>0.01</v>
      </c>
      <c r="D296">
        <v>0.5</v>
      </c>
      <c r="E296">
        <f t="shared" si="4"/>
        <v>6000</v>
      </c>
    </row>
    <row r="297" spans="1:5" x14ac:dyDescent="0.25">
      <c r="A297" s="52" t="s">
        <v>307</v>
      </c>
      <c r="B297" s="53" t="s">
        <v>1222</v>
      </c>
      <c r="C297">
        <v>0.01</v>
      </c>
      <c r="D297">
        <v>0.5</v>
      </c>
      <c r="E297">
        <f t="shared" si="4"/>
        <v>6000</v>
      </c>
    </row>
    <row r="298" spans="1:5" x14ac:dyDescent="0.25">
      <c r="A298" s="52" t="s">
        <v>308</v>
      </c>
      <c r="B298" s="53" t="s">
        <v>1223</v>
      </c>
      <c r="C298">
        <v>1.2E-2</v>
      </c>
      <c r="D298">
        <v>0.5</v>
      </c>
      <c r="E298">
        <f t="shared" si="4"/>
        <v>5000</v>
      </c>
    </row>
    <row r="299" spans="1:5" x14ac:dyDescent="0.25">
      <c r="A299" s="52" t="s">
        <v>309</v>
      </c>
      <c r="B299" s="53" t="s">
        <v>1072</v>
      </c>
      <c r="C299">
        <v>0.40300000000000002</v>
      </c>
      <c r="D299">
        <v>0.5</v>
      </c>
      <c r="E299">
        <f t="shared" si="4"/>
        <v>148.8833746898263</v>
      </c>
    </row>
    <row r="300" spans="1:5" x14ac:dyDescent="0.25">
      <c r="A300" s="52" t="s">
        <v>310</v>
      </c>
      <c r="B300" s="53" t="s">
        <v>1073</v>
      </c>
      <c r="C300">
        <v>0.13900000000000001</v>
      </c>
      <c r="D300">
        <v>0.5</v>
      </c>
      <c r="E300">
        <f t="shared" si="4"/>
        <v>431.65467625899277</v>
      </c>
    </row>
    <row r="301" spans="1:5" x14ac:dyDescent="0.25">
      <c r="A301" s="52" t="s">
        <v>311</v>
      </c>
      <c r="B301" s="53" t="s">
        <v>1074</v>
      </c>
      <c r="C301">
        <v>0.378</v>
      </c>
      <c r="D301">
        <v>0.5</v>
      </c>
      <c r="E301">
        <f t="shared" si="4"/>
        <v>158.73015873015873</v>
      </c>
    </row>
    <row r="302" spans="1:5" x14ac:dyDescent="0.25">
      <c r="A302" s="52" t="s">
        <v>312</v>
      </c>
      <c r="B302" s="53" t="s">
        <v>1075</v>
      </c>
      <c r="C302">
        <v>8.3000000000000004E-2</v>
      </c>
      <c r="D302">
        <v>0.5</v>
      </c>
      <c r="E302">
        <f t="shared" si="4"/>
        <v>722.89156626506019</v>
      </c>
    </row>
    <row r="303" spans="1:5" x14ac:dyDescent="0.25">
      <c r="A303" s="52" t="s">
        <v>313</v>
      </c>
      <c r="B303" t="s">
        <v>1077</v>
      </c>
      <c r="C303">
        <v>13.545999999999999</v>
      </c>
      <c r="D303">
        <v>0.25</v>
      </c>
      <c r="E303">
        <f t="shared" si="4"/>
        <v>4.4293518381810131</v>
      </c>
    </row>
    <row r="304" spans="1:5" x14ac:dyDescent="0.25">
      <c r="A304" s="52" t="s">
        <v>314</v>
      </c>
      <c r="B304" t="s">
        <v>1224</v>
      </c>
      <c r="C304">
        <v>6.7000000000000004E-2</v>
      </c>
      <c r="D304">
        <v>0.5</v>
      </c>
      <c r="E304">
        <f t="shared" si="4"/>
        <v>895.52238805970148</v>
      </c>
    </row>
    <row r="305" spans="1:5" x14ac:dyDescent="0.25">
      <c r="A305" s="52" t="s">
        <v>315</v>
      </c>
      <c r="B305" t="s">
        <v>1224</v>
      </c>
      <c r="C305">
        <v>0.5</v>
      </c>
      <c r="D305">
        <v>0.5</v>
      </c>
      <c r="E305">
        <f t="shared" si="4"/>
        <v>120</v>
      </c>
    </row>
    <row r="306" spans="1:5" x14ac:dyDescent="0.25">
      <c r="A306" s="52" t="s">
        <v>316</v>
      </c>
      <c r="B306" t="s">
        <v>1225</v>
      </c>
      <c r="C306">
        <v>0.06</v>
      </c>
      <c r="D306">
        <v>1.5</v>
      </c>
      <c r="E306">
        <f t="shared" si="4"/>
        <v>1000</v>
      </c>
    </row>
    <row r="307" spans="1:5" x14ac:dyDescent="0.25">
      <c r="A307" s="52" t="s">
        <v>317</v>
      </c>
      <c r="B307" t="s">
        <v>1226</v>
      </c>
      <c r="C307">
        <v>0.01</v>
      </c>
      <c r="D307">
        <v>0.5</v>
      </c>
      <c r="E307">
        <f t="shared" si="4"/>
        <v>6000</v>
      </c>
    </row>
    <row r="308" spans="1:5" x14ac:dyDescent="0.25">
      <c r="A308" s="52" t="s">
        <v>318</v>
      </c>
      <c r="B308" t="s">
        <v>1226</v>
      </c>
      <c r="C308">
        <v>0.03</v>
      </c>
      <c r="D308">
        <v>0.5</v>
      </c>
      <c r="E308">
        <f t="shared" si="4"/>
        <v>2000</v>
      </c>
    </row>
    <row r="309" spans="1:5" x14ac:dyDescent="0.25">
      <c r="A309" s="52" t="s">
        <v>319</v>
      </c>
      <c r="B309" t="s">
        <v>1227</v>
      </c>
      <c r="C309">
        <v>0.06</v>
      </c>
      <c r="D309">
        <v>1.5</v>
      </c>
      <c r="E309">
        <f t="shared" si="4"/>
        <v>1000</v>
      </c>
    </row>
    <row r="310" spans="1:5" x14ac:dyDescent="0.25">
      <c r="A310" s="52" t="s">
        <v>320</v>
      </c>
      <c r="B310" t="s">
        <v>1228</v>
      </c>
      <c r="C310">
        <v>8.9999999999999993E-3</v>
      </c>
      <c r="D310">
        <v>1.5</v>
      </c>
      <c r="E310">
        <f t="shared" si="4"/>
        <v>6666.666666666667</v>
      </c>
    </row>
    <row r="311" spans="1:5" x14ac:dyDescent="0.25">
      <c r="A311" s="52" t="s">
        <v>321</v>
      </c>
      <c r="B311" t="s">
        <v>1229</v>
      </c>
      <c r="C311">
        <v>0.58799999999999997</v>
      </c>
      <c r="D311">
        <v>0.25</v>
      </c>
      <c r="E311">
        <f t="shared" si="4"/>
        <v>102.04081632653062</v>
      </c>
    </row>
    <row r="312" spans="1:5" x14ac:dyDescent="0.25">
      <c r="A312" s="52" t="s">
        <v>322</v>
      </c>
      <c r="B312" s="53" t="s">
        <v>1229</v>
      </c>
      <c r="C312">
        <v>0.49399999999999999</v>
      </c>
      <c r="D312">
        <v>0.5</v>
      </c>
      <c r="E312">
        <f t="shared" si="4"/>
        <v>121.45748987854252</v>
      </c>
    </row>
    <row r="313" spans="1:5" x14ac:dyDescent="0.25">
      <c r="A313" s="52" t="s">
        <v>323</v>
      </c>
      <c r="B313" s="53" t="s">
        <v>1079</v>
      </c>
      <c r="C313">
        <v>0.11799999999999999</v>
      </c>
      <c r="D313">
        <v>0.5</v>
      </c>
      <c r="E313">
        <f t="shared" si="4"/>
        <v>508.47457627118649</v>
      </c>
    </row>
    <row r="314" spans="1:5" x14ac:dyDescent="0.25">
      <c r="A314" s="52" t="s">
        <v>324</v>
      </c>
      <c r="B314" t="s">
        <v>1230</v>
      </c>
      <c r="C314">
        <v>0.58799999999999997</v>
      </c>
      <c r="D314">
        <v>0.25</v>
      </c>
      <c r="E314">
        <f t="shared" si="4"/>
        <v>102.04081632653062</v>
      </c>
    </row>
    <row r="315" spans="1:5" x14ac:dyDescent="0.25">
      <c r="A315" s="52" t="s">
        <v>325</v>
      </c>
      <c r="B315" s="53" t="s">
        <v>1230</v>
      </c>
      <c r="C315">
        <v>0.44700000000000001</v>
      </c>
      <c r="D315">
        <v>0.5</v>
      </c>
      <c r="E315">
        <f t="shared" si="4"/>
        <v>134.2281879194631</v>
      </c>
    </row>
    <row r="316" spans="1:5" x14ac:dyDescent="0.25">
      <c r="A316" s="52" t="s">
        <v>326</v>
      </c>
      <c r="B316" t="s">
        <v>1231</v>
      </c>
      <c r="C316">
        <v>0.01</v>
      </c>
      <c r="D316">
        <v>1.5</v>
      </c>
      <c r="E316">
        <f t="shared" si="4"/>
        <v>6000</v>
      </c>
    </row>
    <row r="317" spans="1:5" x14ac:dyDescent="0.25">
      <c r="A317" s="52" t="s">
        <v>327</v>
      </c>
      <c r="B317" t="s">
        <v>1231</v>
      </c>
      <c r="C317">
        <v>0.03</v>
      </c>
      <c r="D317">
        <v>0.5</v>
      </c>
      <c r="E317">
        <f t="shared" si="4"/>
        <v>2000</v>
      </c>
    </row>
    <row r="318" spans="1:5" x14ac:dyDescent="0.25">
      <c r="A318" s="52" t="s">
        <v>328</v>
      </c>
      <c r="B318" t="s">
        <v>1232</v>
      </c>
      <c r="C318">
        <v>1.4E-2</v>
      </c>
      <c r="D318">
        <v>1.5</v>
      </c>
      <c r="E318">
        <f t="shared" si="4"/>
        <v>4285.7142857142853</v>
      </c>
    </row>
    <row r="319" spans="1:5" x14ac:dyDescent="0.25">
      <c r="A319" s="52" t="s">
        <v>329</v>
      </c>
      <c r="B319" t="s">
        <v>1232</v>
      </c>
      <c r="C319">
        <v>2.4E-2</v>
      </c>
      <c r="D319">
        <v>0.5</v>
      </c>
      <c r="E319">
        <f t="shared" si="4"/>
        <v>2500</v>
      </c>
    </row>
    <row r="320" spans="1:5" x14ac:dyDescent="0.25">
      <c r="A320" s="52" t="s">
        <v>330</v>
      </c>
      <c r="B320" t="s">
        <v>1233</v>
      </c>
      <c r="C320">
        <v>1.4E-2</v>
      </c>
      <c r="D320">
        <v>1.5</v>
      </c>
      <c r="E320">
        <f t="shared" si="4"/>
        <v>4285.7142857142853</v>
      </c>
    </row>
    <row r="321" spans="1:5" x14ac:dyDescent="0.25">
      <c r="A321" s="52" t="s">
        <v>331</v>
      </c>
      <c r="B321" t="s">
        <v>1233</v>
      </c>
      <c r="C321">
        <v>0.03</v>
      </c>
      <c r="D321">
        <v>0.5</v>
      </c>
      <c r="E321">
        <f t="shared" si="4"/>
        <v>2000</v>
      </c>
    </row>
    <row r="322" spans="1:5" x14ac:dyDescent="0.25">
      <c r="A322" s="52" t="s">
        <v>332</v>
      </c>
      <c r="B322" t="s">
        <v>1234</v>
      </c>
      <c r="C322">
        <v>0.01</v>
      </c>
      <c r="D322">
        <v>1.5</v>
      </c>
      <c r="E322">
        <f t="shared" si="4"/>
        <v>6000</v>
      </c>
    </row>
    <row r="323" spans="1:5" x14ac:dyDescent="0.25">
      <c r="A323" s="52" t="s">
        <v>333</v>
      </c>
      <c r="B323" t="s">
        <v>1234</v>
      </c>
      <c r="C323">
        <v>1.4999999999999999E-2</v>
      </c>
      <c r="D323">
        <v>0.5</v>
      </c>
      <c r="E323">
        <f t="shared" si="4"/>
        <v>4000</v>
      </c>
    </row>
    <row r="324" spans="1:5" x14ac:dyDescent="0.25">
      <c r="A324" s="52" t="s">
        <v>334</v>
      </c>
      <c r="B324" t="s">
        <v>1235</v>
      </c>
      <c r="C324">
        <v>0.01</v>
      </c>
      <c r="D324">
        <v>1.5</v>
      </c>
      <c r="E324">
        <f t="shared" ref="E324:E387" si="5">60/C324</f>
        <v>6000</v>
      </c>
    </row>
    <row r="325" spans="1:5" x14ac:dyDescent="0.25">
      <c r="A325" s="52" t="s">
        <v>335</v>
      </c>
      <c r="B325" t="s">
        <v>1236</v>
      </c>
      <c r="C325">
        <v>0.01</v>
      </c>
      <c r="D325">
        <v>1.5</v>
      </c>
      <c r="E325">
        <f t="shared" si="5"/>
        <v>6000</v>
      </c>
    </row>
    <row r="326" spans="1:5" x14ac:dyDescent="0.25">
      <c r="A326" s="52" t="s">
        <v>336</v>
      </c>
      <c r="B326" t="s">
        <v>1237</v>
      </c>
      <c r="C326">
        <v>1.4E-2</v>
      </c>
      <c r="D326">
        <v>1.5</v>
      </c>
      <c r="E326">
        <f t="shared" si="5"/>
        <v>4285.7142857142853</v>
      </c>
    </row>
    <row r="327" spans="1:5" x14ac:dyDescent="0.25">
      <c r="A327" s="52" t="s">
        <v>337</v>
      </c>
      <c r="B327" t="s">
        <v>1055</v>
      </c>
      <c r="C327">
        <v>1.4E-2</v>
      </c>
      <c r="D327">
        <v>1.5</v>
      </c>
      <c r="E327">
        <f t="shared" si="5"/>
        <v>4285.7142857142853</v>
      </c>
    </row>
    <row r="328" spans="1:5" x14ac:dyDescent="0.25">
      <c r="A328" s="52" t="s">
        <v>338</v>
      </c>
      <c r="B328" t="s">
        <v>1238</v>
      </c>
      <c r="C328">
        <v>0.39200000000000002</v>
      </c>
      <c r="D328">
        <v>0.25</v>
      </c>
      <c r="E328">
        <f t="shared" si="5"/>
        <v>153.0612244897959</v>
      </c>
    </row>
    <row r="329" spans="1:5" x14ac:dyDescent="0.25">
      <c r="A329" s="52" t="s">
        <v>339</v>
      </c>
      <c r="B329" s="53" t="s">
        <v>1238</v>
      </c>
      <c r="C329">
        <v>4.0540000000000003</v>
      </c>
      <c r="D329">
        <v>0.5</v>
      </c>
      <c r="E329">
        <f t="shared" si="5"/>
        <v>14.800197335964478</v>
      </c>
    </row>
    <row r="330" spans="1:5" x14ac:dyDescent="0.25">
      <c r="A330" s="52" t="s">
        <v>340</v>
      </c>
      <c r="B330" t="s">
        <v>1239</v>
      </c>
      <c r="C330">
        <v>0.01</v>
      </c>
      <c r="D330">
        <v>1.5</v>
      </c>
      <c r="E330">
        <f t="shared" si="5"/>
        <v>6000</v>
      </c>
    </row>
    <row r="331" spans="1:5" x14ac:dyDescent="0.25">
      <c r="A331" s="52" t="s">
        <v>341</v>
      </c>
      <c r="B331" t="s">
        <v>1240</v>
      </c>
      <c r="C331">
        <v>0.01</v>
      </c>
      <c r="D331">
        <v>1.5</v>
      </c>
      <c r="E331">
        <f t="shared" si="5"/>
        <v>6000</v>
      </c>
    </row>
    <row r="332" spans="1:5" x14ac:dyDescent="0.25">
      <c r="A332" s="52" t="s">
        <v>342</v>
      </c>
      <c r="B332" t="s">
        <v>1241</v>
      </c>
      <c r="C332">
        <v>0.01</v>
      </c>
      <c r="D332">
        <v>1.5</v>
      </c>
      <c r="E332">
        <f t="shared" si="5"/>
        <v>6000</v>
      </c>
    </row>
    <row r="333" spans="1:5" x14ac:dyDescent="0.25">
      <c r="A333" s="52" t="s">
        <v>343</v>
      </c>
      <c r="B333" s="53" t="s">
        <v>1242</v>
      </c>
      <c r="C333">
        <v>0.82099999999999995</v>
      </c>
      <c r="D333">
        <v>0.5</v>
      </c>
      <c r="E333">
        <f t="shared" si="5"/>
        <v>73.081607795371497</v>
      </c>
    </row>
    <row r="334" spans="1:5" x14ac:dyDescent="0.25">
      <c r="A334" s="52" t="s">
        <v>344</v>
      </c>
      <c r="B334" t="s">
        <v>1243</v>
      </c>
      <c r="C334">
        <v>6.7000000000000004E-2</v>
      </c>
      <c r="D334">
        <v>1.5</v>
      </c>
      <c r="E334">
        <f t="shared" si="5"/>
        <v>895.52238805970148</v>
      </c>
    </row>
    <row r="335" spans="1:5" x14ac:dyDescent="0.25">
      <c r="A335" s="52" t="s">
        <v>345</v>
      </c>
      <c r="B335" t="s">
        <v>1243</v>
      </c>
      <c r="C335">
        <v>0.2</v>
      </c>
      <c r="D335">
        <v>0.5</v>
      </c>
      <c r="E335">
        <f t="shared" si="5"/>
        <v>300</v>
      </c>
    </row>
    <row r="336" spans="1:5" x14ac:dyDescent="0.25">
      <c r="A336" s="52" t="s">
        <v>346</v>
      </c>
      <c r="B336" t="s">
        <v>1244</v>
      </c>
      <c r="C336">
        <v>6.7000000000000004E-2</v>
      </c>
      <c r="D336">
        <v>1.5</v>
      </c>
      <c r="E336">
        <f t="shared" si="5"/>
        <v>895.52238805970148</v>
      </c>
    </row>
    <row r="337" spans="1:5" x14ac:dyDescent="0.25">
      <c r="A337" s="52" t="s">
        <v>347</v>
      </c>
      <c r="B337" t="s">
        <v>1245</v>
      </c>
      <c r="C337">
        <v>1.0999999999999999E-2</v>
      </c>
      <c r="D337">
        <v>0.5</v>
      </c>
      <c r="E337">
        <f t="shared" si="5"/>
        <v>5454.545454545455</v>
      </c>
    </row>
    <row r="338" spans="1:5" x14ac:dyDescent="0.25">
      <c r="A338" s="52" t="s">
        <v>348</v>
      </c>
      <c r="B338" t="s">
        <v>1245</v>
      </c>
      <c r="C338">
        <v>0.03</v>
      </c>
      <c r="D338">
        <v>0.5</v>
      </c>
      <c r="E338">
        <f t="shared" si="5"/>
        <v>2000</v>
      </c>
    </row>
    <row r="339" spans="1:5" x14ac:dyDescent="0.25">
      <c r="A339" s="52" t="s">
        <v>349</v>
      </c>
      <c r="B339" t="s">
        <v>1246</v>
      </c>
      <c r="C339">
        <v>0.01</v>
      </c>
      <c r="D339">
        <v>1.5</v>
      </c>
      <c r="E339">
        <f t="shared" si="5"/>
        <v>6000</v>
      </c>
    </row>
    <row r="340" spans="1:5" x14ac:dyDescent="0.25">
      <c r="A340" s="52" t="s">
        <v>350</v>
      </c>
      <c r="B340" s="53" t="s">
        <v>1247</v>
      </c>
      <c r="C340">
        <v>0.224</v>
      </c>
      <c r="D340">
        <v>0.5</v>
      </c>
      <c r="E340">
        <f t="shared" si="5"/>
        <v>267.85714285714283</v>
      </c>
    </row>
    <row r="341" spans="1:5" x14ac:dyDescent="0.25">
      <c r="A341" s="52" t="s">
        <v>351</v>
      </c>
      <c r="B341" t="s">
        <v>1248</v>
      </c>
      <c r="C341">
        <v>0.78400000000000003</v>
      </c>
      <c r="D341">
        <v>0.25</v>
      </c>
      <c r="E341">
        <f t="shared" si="5"/>
        <v>76.530612244897952</v>
      </c>
    </row>
    <row r="342" spans="1:5" x14ac:dyDescent="0.25">
      <c r="A342" s="52" t="s">
        <v>352</v>
      </c>
      <c r="B342" s="53" t="s">
        <v>1248</v>
      </c>
      <c r="C342">
        <v>0.42699999999999999</v>
      </c>
      <c r="D342">
        <v>0.5</v>
      </c>
      <c r="E342">
        <f t="shared" si="5"/>
        <v>140.5152224824356</v>
      </c>
    </row>
    <row r="343" spans="1:5" x14ac:dyDescent="0.25">
      <c r="A343" s="52" t="s">
        <v>353</v>
      </c>
      <c r="B343" t="s">
        <v>1249</v>
      </c>
      <c r="C343">
        <v>0.54900000000000004</v>
      </c>
      <c r="D343">
        <v>0.25</v>
      </c>
      <c r="E343">
        <f t="shared" si="5"/>
        <v>109.28961748633878</v>
      </c>
    </row>
    <row r="344" spans="1:5" x14ac:dyDescent="0.25">
      <c r="A344" s="52" t="s">
        <v>354</v>
      </c>
      <c r="B344" s="53" t="s">
        <v>1249</v>
      </c>
      <c r="C344">
        <v>0.36199999999999999</v>
      </c>
      <c r="D344">
        <v>0.5</v>
      </c>
      <c r="E344">
        <f t="shared" si="5"/>
        <v>165.74585635359117</v>
      </c>
    </row>
    <row r="345" spans="1:5" x14ac:dyDescent="0.25">
      <c r="A345" s="52" t="s">
        <v>355</v>
      </c>
      <c r="B345" t="s">
        <v>1250</v>
      </c>
      <c r="C345">
        <v>4.0309999999999997</v>
      </c>
      <c r="D345">
        <v>0.25</v>
      </c>
      <c r="E345">
        <f t="shared" si="5"/>
        <v>14.884644008930788</v>
      </c>
    </row>
    <row r="346" spans="1:5" x14ac:dyDescent="0.25">
      <c r="A346" s="52" t="s">
        <v>356</v>
      </c>
      <c r="B346" t="s">
        <v>1080</v>
      </c>
      <c r="C346">
        <v>2.157</v>
      </c>
      <c r="D346">
        <v>0.25</v>
      </c>
      <c r="E346">
        <f t="shared" si="5"/>
        <v>27.816411682892905</v>
      </c>
    </row>
    <row r="347" spans="1:5" x14ac:dyDescent="0.25">
      <c r="A347" s="52" t="s">
        <v>357</v>
      </c>
      <c r="B347" s="53" t="s">
        <v>1080</v>
      </c>
      <c r="C347">
        <v>1.2410000000000001</v>
      </c>
      <c r="D347">
        <v>0.5</v>
      </c>
      <c r="E347">
        <f t="shared" si="5"/>
        <v>48.348106365833999</v>
      </c>
    </row>
    <row r="348" spans="1:5" x14ac:dyDescent="0.25">
      <c r="A348" s="52" t="s">
        <v>358</v>
      </c>
      <c r="B348" t="s">
        <v>1251</v>
      </c>
      <c r="C348">
        <v>0.78400000000000003</v>
      </c>
      <c r="D348">
        <v>0.25</v>
      </c>
      <c r="E348">
        <f t="shared" si="5"/>
        <v>76.530612244897952</v>
      </c>
    </row>
    <row r="349" spans="1:5" x14ac:dyDescent="0.25">
      <c r="A349" s="52" t="s">
        <v>359</v>
      </c>
      <c r="B349" s="53" t="s">
        <v>1251</v>
      </c>
      <c r="C349">
        <v>0.51500000000000001</v>
      </c>
      <c r="D349">
        <v>0.5</v>
      </c>
      <c r="E349">
        <f t="shared" si="5"/>
        <v>116.50485436893203</v>
      </c>
    </row>
    <row r="350" spans="1:5" x14ac:dyDescent="0.25">
      <c r="A350" s="52" t="s">
        <v>360</v>
      </c>
      <c r="B350" s="53" t="s">
        <v>1081</v>
      </c>
      <c r="C350">
        <v>4.8040000000000003</v>
      </c>
      <c r="D350">
        <v>0.5</v>
      </c>
      <c r="E350">
        <f t="shared" si="5"/>
        <v>12.489592006661114</v>
      </c>
    </row>
    <row r="351" spans="1:5" x14ac:dyDescent="0.25">
      <c r="A351" s="52" t="s">
        <v>361</v>
      </c>
      <c r="B351" s="53" t="s">
        <v>1082</v>
      </c>
      <c r="C351">
        <v>0.61299999999999999</v>
      </c>
      <c r="D351">
        <v>0.5</v>
      </c>
      <c r="E351">
        <f t="shared" si="5"/>
        <v>97.879282218597069</v>
      </c>
    </row>
    <row r="352" spans="1:5" x14ac:dyDescent="0.25">
      <c r="A352" s="52" t="s">
        <v>362</v>
      </c>
      <c r="B352" s="53" t="s">
        <v>1083</v>
      </c>
      <c r="C352">
        <v>0.52</v>
      </c>
      <c r="D352">
        <v>0.5</v>
      </c>
      <c r="E352">
        <f t="shared" si="5"/>
        <v>115.38461538461539</v>
      </c>
    </row>
    <row r="353" spans="1:5" x14ac:dyDescent="0.25">
      <c r="A353" s="52" t="s">
        <v>363</v>
      </c>
      <c r="B353" s="53" t="s">
        <v>1084</v>
      </c>
      <c r="C353">
        <v>65.117000000000004</v>
      </c>
      <c r="D353">
        <v>0.5</v>
      </c>
      <c r="E353">
        <f t="shared" si="5"/>
        <v>0.92141837001090343</v>
      </c>
    </row>
    <row r="354" spans="1:5" x14ac:dyDescent="0.25">
      <c r="A354" s="52" t="s">
        <v>364</v>
      </c>
      <c r="B354" s="53" t="s">
        <v>1085</v>
      </c>
      <c r="C354">
        <v>4.0439999999999996</v>
      </c>
      <c r="D354">
        <v>0.5</v>
      </c>
      <c r="E354">
        <f t="shared" si="5"/>
        <v>14.836795252225521</v>
      </c>
    </row>
    <row r="355" spans="1:5" x14ac:dyDescent="0.25">
      <c r="A355" s="52" t="s">
        <v>365</v>
      </c>
      <c r="B355" s="53" t="s">
        <v>1086</v>
      </c>
      <c r="C355">
        <v>4.431</v>
      </c>
      <c r="D355">
        <v>0.5</v>
      </c>
      <c r="E355">
        <f t="shared" si="5"/>
        <v>13.540961408259987</v>
      </c>
    </row>
    <row r="356" spans="1:5" x14ac:dyDescent="0.25">
      <c r="A356" s="52" t="s">
        <v>366</v>
      </c>
      <c r="B356" s="53" t="s">
        <v>1087</v>
      </c>
      <c r="C356">
        <v>2.9260000000000002</v>
      </c>
      <c r="D356">
        <v>0.5</v>
      </c>
      <c r="E356">
        <f t="shared" si="5"/>
        <v>20.505809979494188</v>
      </c>
    </row>
    <row r="357" spans="1:5" x14ac:dyDescent="0.25">
      <c r="A357" s="52" t="s">
        <v>367</v>
      </c>
      <c r="B357" s="53" t="s">
        <v>1088</v>
      </c>
      <c r="C357">
        <v>65.117000000000004</v>
      </c>
      <c r="D357">
        <v>0.5</v>
      </c>
      <c r="E357">
        <f t="shared" si="5"/>
        <v>0.92141837001090343</v>
      </c>
    </row>
    <row r="358" spans="1:5" x14ac:dyDescent="0.25">
      <c r="A358" s="52" t="s">
        <v>368</v>
      </c>
      <c r="B358" s="53" t="s">
        <v>1089</v>
      </c>
      <c r="C358">
        <v>2.1070000000000002</v>
      </c>
      <c r="D358">
        <v>0.5</v>
      </c>
      <c r="E358">
        <f t="shared" si="5"/>
        <v>28.476506881822495</v>
      </c>
    </row>
    <row r="359" spans="1:5" x14ac:dyDescent="0.25">
      <c r="A359" s="52" t="s">
        <v>369</v>
      </c>
      <c r="B359" t="s">
        <v>1252</v>
      </c>
      <c r="C359">
        <v>0.78400000000000003</v>
      </c>
      <c r="D359">
        <v>0.25</v>
      </c>
      <c r="E359">
        <f t="shared" si="5"/>
        <v>76.530612244897952</v>
      </c>
    </row>
    <row r="360" spans="1:5" x14ac:dyDescent="0.25">
      <c r="A360" s="52" t="s">
        <v>370</v>
      </c>
      <c r="B360" s="53" t="s">
        <v>1252</v>
      </c>
      <c r="C360">
        <v>0.217</v>
      </c>
      <c r="D360">
        <v>0.5</v>
      </c>
      <c r="E360">
        <f t="shared" si="5"/>
        <v>276.49769585253455</v>
      </c>
    </row>
    <row r="361" spans="1:5" x14ac:dyDescent="0.25">
      <c r="A361" s="52" t="s">
        <v>371</v>
      </c>
      <c r="B361" t="s">
        <v>1252</v>
      </c>
      <c r="C361">
        <v>5.016</v>
      </c>
      <c r="D361">
        <v>0.25</v>
      </c>
      <c r="E361">
        <f t="shared" si="5"/>
        <v>11.961722488038278</v>
      </c>
    </row>
    <row r="362" spans="1:5" x14ac:dyDescent="0.25">
      <c r="A362" s="52" t="s">
        <v>372</v>
      </c>
      <c r="B362" t="s">
        <v>1253</v>
      </c>
      <c r="C362">
        <v>0.78400000000000003</v>
      </c>
      <c r="D362">
        <v>0.25</v>
      </c>
      <c r="E362">
        <f t="shared" si="5"/>
        <v>76.530612244897952</v>
      </c>
    </row>
    <row r="363" spans="1:5" x14ac:dyDescent="0.25">
      <c r="A363" s="52" t="s">
        <v>373</v>
      </c>
      <c r="B363" s="53" t="s">
        <v>1253</v>
      </c>
      <c r="C363">
        <v>8.2000000000000003E-2</v>
      </c>
      <c r="D363">
        <v>0.5</v>
      </c>
      <c r="E363">
        <f t="shared" si="5"/>
        <v>731.70731707317066</v>
      </c>
    </row>
    <row r="364" spans="1:5" x14ac:dyDescent="0.25">
      <c r="A364" s="52" t="s">
        <v>374</v>
      </c>
      <c r="B364" t="s">
        <v>1254</v>
      </c>
      <c r="C364">
        <v>0.98</v>
      </c>
      <c r="D364">
        <v>0.25</v>
      </c>
      <c r="E364">
        <f t="shared" si="5"/>
        <v>61.224489795918366</v>
      </c>
    </row>
    <row r="365" spans="1:5" x14ac:dyDescent="0.25">
      <c r="A365" s="52" t="s">
        <v>375</v>
      </c>
      <c r="B365" s="53" t="s">
        <v>1254</v>
      </c>
      <c r="C365">
        <v>0.249</v>
      </c>
      <c r="D365">
        <v>0.5</v>
      </c>
      <c r="E365">
        <f t="shared" si="5"/>
        <v>240.96385542168676</v>
      </c>
    </row>
    <row r="366" spans="1:5" x14ac:dyDescent="0.25">
      <c r="A366" s="52" t="s">
        <v>376</v>
      </c>
      <c r="B366" t="s">
        <v>1254</v>
      </c>
      <c r="C366">
        <v>5.0730000000000004</v>
      </c>
      <c r="D366">
        <v>0.25</v>
      </c>
      <c r="E366">
        <f t="shared" si="5"/>
        <v>11.827321111768184</v>
      </c>
    </row>
    <row r="367" spans="1:5" x14ac:dyDescent="0.25">
      <c r="A367" s="52" t="s">
        <v>377</v>
      </c>
      <c r="B367" t="s">
        <v>1255</v>
      </c>
      <c r="C367">
        <v>0.98</v>
      </c>
      <c r="D367">
        <v>0.25</v>
      </c>
      <c r="E367">
        <f t="shared" si="5"/>
        <v>61.224489795918366</v>
      </c>
    </row>
    <row r="368" spans="1:5" x14ac:dyDescent="0.25">
      <c r="A368" s="52" t="s">
        <v>378</v>
      </c>
      <c r="B368" s="53" t="s">
        <v>1255</v>
      </c>
      <c r="C368">
        <v>0.27800000000000002</v>
      </c>
      <c r="D368">
        <v>0.5</v>
      </c>
      <c r="E368">
        <f t="shared" si="5"/>
        <v>215.82733812949638</v>
      </c>
    </row>
    <row r="369" spans="1:5" x14ac:dyDescent="0.25">
      <c r="A369" s="52" t="s">
        <v>379</v>
      </c>
      <c r="B369" t="s">
        <v>1255</v>
      </c>
      <c r="C369">
        <v>3.0209999999999999</v>
      </c>
      <c r="D369">
        <v>0.25</v>
      </c>
      <c r="E369">
        <f t="shared" si="5"/>
        <v>19.860973187686199</v>
      </c>
    </row>
    <row r="370" spans="1:5" x14ac:dyDescent="0.25">
      <c r="A370" s="52" t="s">
        <v>380</v>
      </c>
      <c r="B370" t="s">
        <v>1256</v>
      </c>
      <c r="C370">
        <v>0.98</v>
      </c>
      <c r="D370">
        <v>0.25</v>
      </c>
      <c r="E370">
        <f t="shared" si="5"/>
        <v>61.224489795918366</v>
      </c>
    </row>
    <row r="371" spans="1:5" x14ac:dyDescent="0.25">
      <c r="A371" s="52" t="s">
        <v>381</v>
      </c>
      <c r="B371" s="53" t="s">
        <v>1256</v>
      </c>
      <c r="C371">
        <v>0.24</v>
      </c>
      <c r="D371">
        <v>0.5</v>
      </c>
      <c r="E371">
        <f t="shared" si="5"/>
        <v>250</v>
      </c>
    </row>
    <row r="372" spans="1:5" x14ac:dyDescent="0.25">
      <c r="A372" s="52" t="s">
        <v>382</v>
      </c>
      <c r="B372" t="s">
        <v>1256</v>
      </c>
      <c r="C372">
        <v>3.0209999999999999</v>
      </c>
      <c r="D372">
        <v>0.25</v>
      </c>
      <c r="E372">
        <f t="shared" si="5"/>
        <v>19.860973187686199</v>
      </c>
    </row>
    <row r="373" spans="1:5" x14ac:dyDescent="0.25">
      <c r="A373" s="52" t="s">
        <v>383</v>
      </c>
      <c r="B373" t="s">
        <v>1257</v>
      </c>
      <c r="C373">
        <v>0.98</v>
      </c>
      <c r="D373">
        <v>0.25</v>
      </c>
      <c r="E373">
        <f t="shared" si="5"/>
        <v>61.224489795918366</v>
      </c>
    </row>
    <row r="374" spans="1:5" x14ac:dyDescent="0.25">
      <c r="A374" s="52" t="s">
        <v>384</v>
      </c>
      <c r="B374" s="53" t="s">
        <v>1257</v>
      </c>
      <c r="C374">
        <v>0.223</v>
      </c>
      <c r="D374">
        <v>0.5</v>
      </c>
      <c r="E374">
        <f t="shared" si="5"/>
        <v>269.05829596412553</v>
      </c>
    </row>
    <row r="375" spans="1:5" x14ac:dyDescent="0.25">
      <c r="A375" s="52" t="s">
        <v>385</v>
      </c>
      <c r="B375" t="s">
        <v>1257</v>
      </c>
      <c r="C375">
        <v>3.2290000000000001</v>
      </c>
      <c r="D375">
        <v>0.25</v>
      </c>
      <c r="E375">
        <f t="shared" si="5"/>
        <v>18.581604211830289</v>
      </c>
    </row>
    <row r="376" spans="1:5" x14ac:dyDescent="0.25">
      <c r="A376" s="52" t="s">
        <v>386</v>
      </c>
      <c r="B376" t="s">
        <v>1258</v>
      </c>
      <c r="C376">
        <v>0.39200000000000002</v>
      </c>
      <c r="D376">
        <v>0.25</v>
      </c>
      <c r="E376">
        <f t="shared" si="5"/>
        <v>153.0612244897959</v>
      </c>
    </row>
    <row r="377" spans="1:5" x14ac:dyDescent="0.25">
      <c r="A377" s="52" t="s">
        <v>387</v>
      </c>
      <c r="B377" s="53" t="s">
        <v>1258</v>
      </c>
      <c r="C377">
        <v>0.13900000000000001</v>
      </c>
      <c r="D377">
        <v>0.5</v>
      </c>
      <c r="E377">
        <f t="shared" si="5"/>
        <v>431.65467625899277</v>
      </c>
    </row>
    <row r="378" spans="1:5" x14ac:dyDescent="0.25">
      <c r="A378" s="52" t="s">
        <v>388</v>
      </c>
      <c r="B378" t="s">
        <v>1092</v>
      </c>
      <c r="C378">
        <v>0.58799999999999997</v>
      </c>
      <c r="D378">
        <v>0.25</v>
      </c>
      <c r="E378">
        <f t="shared" si="5"/>
        <v>102.04081632653062</v>
      </c>
    </row>
    <row r="379" spans="1:5" x14ac:dyDescent="0.25">
      <c r="A379" s="52" t="s">
        <v>389</v>
      </c>
      <c r="B379" s="53" t="s">
        <v>1092</v>
      </c>
      <c r="C379">
        <v>2.1999999999999999E-2</v>
      </c>
      <c r="D379">
        <v>0.5</v>
      </c>
      <c r="E379">
        <f t="shared" si="5"/>
        <v>2727.2727272727275</v>
      </c>
    </row>
    <row r="380" spans="1:5" x14ac:dyDescent="0.25">
      <c r="A380" s="52" t="s">
        <v>390</v>
      </c>
      <c r="B380" t="s">
        <v>1259</v>
      </c>
      <c r="C380">
        <v>0.98</v>
      </c>
      <c r="D380">
        <v>0.25</v>
      </c>
      <c r="E380">
        <f t="shared" si="5"/>
        <v>61.224489795918366</v>
      </c>
    </row>
    <row r="381" spans="1:5" x14ac:dyDescent="0.25">
      <c r="A381" s="52" t="s">
        <v>391</v>
      </c>
      <c r="B381" s="53" t="s">
        <v>1259</v>
      </c>
      <c r="C381">
        <v>0.184</v>
      </c>
      <c r="D381">
        <v>0.5</v>
      </c>
      <c r="E381">
        <f t="shared" si="5"/>
        <v>326.08695652173913</v>
      </c>
    </row>
    <row r="382" spans="1:5" x14ac:dyDescent="0.25">
      <c r="A382" s="52" t="s">
        <v>392</v>
      </c>
      <c r="B382" t="s">
        <v>1259</v>
      </c>
      <c r="C382">
        <v>6.9690000000000003</v>
      </c>
      <c r="D382">
        <v>0.25</v>
      </c>
      <c r="E382">
        <f t="shared" si="5"/>
        <v>8.6095566078346959</v>
      </c>
    </row>
    <row r="383" spans="1:5" x14ac:dyDescent="0.25">
      <c r="A383" s="52" t="s">
        <v>393</v>
      </c>
      <c r="B383" s="53" t="s">
        <v>1260</v>
      </c>
      <c r="C383">
        <v>0.222</v>
      </c>
      <c r="D383">
        <v>0.5</v>
      </c>
      <c r="E383">
        <f t="shared" si="5"/>
        <v>270.27027027027026</v>
      </c>
    </row>
    <row r="384" spans="1:5" x14ac:dyDescent="0.25">
      <c r="A384" s="52" t="s">
        <v>394</v>
      </c>
      <c r="B384" t="s">
        <v>1261</v>
      </c>
      <c r="C384">
        <v>0.58799999999999997</v>
      </c>
      <c r="D384">
        <v>0.25</v>
      </c>
      <c r="E384">
        <f t="shared" si="5"/>
        <v>102.04081632653062</v>
      </c>
    </row>
    <row r="385" spans="1:5" x14ac:dyDescent="0.25">
      <c r="A385" s="52" t="s">
        <v>395</v>
      </c>
      <c r="B385" s="53" t="s">
        <v>1261</v>
      </c>
      <c r="C385">
        <v>9.7000000000000003E-2</v>
      </c>
      <c r="D385">
        <v>0.5</v>
      </c>
      <c r="E385">
        <f t="shared" si="5"/>
        <v>618.5567010309278</v>
      </c>
    </row>
    <row r="386" spans="1:5" x14ac:dyDescent="0.25">
      <c r="A386" s="52" t="s">
        <v>396</v>
      </c>
      <c r="B386" s="53" t="s">
        <v>1262</v>
      </c>
      <c r="C386">
        <v>6.0999999999999999E-2</v>
      </c>
      <c r="D386">
        <v>0.5</v>
      </c>
      <c r="E386">
        <f t="shared" si="5"/>
        <v>983.60655737704917</v>
      </c>
    </row>
    <row r="387" spans="1:5" x14ac:dyDescent="0.25">
      <c r="A387" s="52" t="s">
        <v>397</v>
      </c>
      <c r="B387" t="s">
        <v>1263</v>
      </c>
      <c r="C387">
        <v>1.7250000000000001</v>
      </c>
      <c r="D387">
        <v>0.25</v>
      </c>
      <c r="E387">
        <f t="shared" si="5"/>
        <v>34.782608695652172</v>
      </c>
    </row>
    <row r="388" spans="1:5" x14ac:dyDescent="0.25">
      <c r="A388" s="52" t="s">
        <v>398</v>
      </c>
      <c r="B388" s="53" t="s">
        <v>1263</v>
      </c>
      <c r="C388">
        <v>1.038</v>
      </c>
      <c r="D388">
        <v>0.5</v>
      </c>
      <c r="E388">
        <f t="shared" ref="E388:E451" si="6">60/C388</f>
        <v>57.803468208092482</v>
      </c>
    </row>
    <row r="389" spans="1:5" x14ac:dyDescent="0.25">
      <c r="A389" s="52" t="s">
        <v>399</v>
      </c>
      <c r="B389" t="s">
        <v>1264</v>
      </c>
      <c r="C389">
        <v>1.7250000000000001</v>
      </c>
      <c r="D389">
        <v>0.25</v>
      </c>
      <c r="E389">
        <f t="shared" si="6"/>
        <v>34.782608695652172</v>
      </c>
    </row>
    <row r="390" spans="1:5" x14ac:dyDescent="0.25">
      <c r="A390" s="52" t="s">
        <v>400</v>
      </c>
      <c r="B390" s="53" t="s">
        <v>1264</v>
      </c>
      <c r="C390">
        <v>0.76400000000000001</v>
      </c>
      <c r="D390">
        <v>0.5</v>
      </c>
      <c r="E390">
        <f t="shared" si="6"/>
        <v>78.534031413612567</v>
      </c>
    </row>
    <row r="391" spans="1:5" x14ac:dyDescent="0.25">
      <c r="A391" s="52" t="s">
        <v>401</v>
      </c>
      <c r="B391" t="s">
        <v>1265</v>
      </c>
      <c r="C391">
        <v>1.569</v>
      </c>
      <c r="D391">
        <v>0.25</v>
      </c>
      <c r="E391">
        <f t="shared" si="6"/>
        <v>38.24091778202677</v>
      </c>
    </row>
    <row r="392" spans="1:5" x14ac:dyDescent="0.25">
      <c r="A392" s="52" t="s">
        <v>402</v>
      </c>
      <c r="B392" s="53" t="s">
        <v>1265</v>
      </c>
      <c r="C392">
        <v>0.78500000000000003</v>
      </c>
      <c r="D392">
        <v>0.5</v>
      </c>
      <c r="E392">
        <f t="shared" si="6"/>
        <v>76.43312101910827</v>
      </c>
    </row>
    <row r="393" spans="1:5" x14ac:dyDescent="0.25">
      <c r="A393" s="52" t="s">
        <v>403</v>
      </c>
      <c r="B393" t="s">
        <v>1266</v>
      </c>
      <c r="C393">
        <v>2.7450000000000001</v>
      </c>
      <c r="D393">
        <v>0.25</v>
      </c>
      <c r="E393">
        <f t="shared" si="6"/>
        <v>21.857923497267759</v>
      </c>
    </row>
    <row r="394" spans="1:5" x14ac:dyDescent="0.25">
      <c r="A394" s="52" t="s">
        <v>404</v>
      </c>
      <c r="B394" s="53" t="s">
        <v>1266</v>
      </c>
      <c r="C394">
        <v>0.64500000000000002</v>
      </c>
      <c r="D394">
        <v>0.5</v>
      </c>
      <c r="E394">
        <f t="shared" si="6"/>
        <v>93.023255813953483</v>
      </c>
    </row>
    <row r="395" spans="1:5" x14ac:dyDescent="0.25">
      <c r="A395" s="52" t="s">
        <v>405</v>
      </c>
      <c r="B395" t="s">
        <v>1265</v>
      </c>
      <c r="C395">
        <v>1.49</v>
      </c>
      <c r="D395">
        <v>0.25</v>
      </c>
      <c r="E395">
        <f t="shared" si="6"/>
        <v>40.268456375838923</v>
      </c>
    </row>
    <row r="396" spans="1:5" x14ac:dyDescent="0.25">
      <c r="A396" s="52" t="s">
        <v>406</v>
      </c>
      <c r="B396" s="53" t="s">
        <v>1265</v>
      </c>
      <c r="C396">
        <v>0.79200000000000004</v>
      </c>
      <c r="D396">
        <v>0.5</v>
      </c>
      <c r="E396">
        <f t="shared" si="6"/>
        <v>75.757575757575751</v>
      </c>
    </row>
    <row r="397" spans="1:5" x14ac:dyDescent="0.25">
      <c r="A397" s="52" t="s">
        <v>407</v>
      </c>
      <c r="B397" t="s">
        <v>1267</v>
      </c>
      <c r="C397">
        <v>0.58799999999999997</v>
      </c>
      <c r="D397">
        <v>0.25</v>
      </c>
      <c r="E397">
        <f t="shared" si="6"/>
        <v>102.04081632653062</v>
      </c>
    </row>
    <row r="398" spans="1:5" x14ac:dyDescent="0.25">
      <c r="A398" s="52" t="s">
        <v>408</v>
      </c>
      <c r="B398" s="53" t="s">
        <v>1267</v>
      </c>
      <c r="C398">
        <v>0.36099999999999999</v>
      </c>
      <c r="D398">
        <v>0.5</v>
      </c>
      <c r="E398">
        <f t="shared" si="6"/>
        <v>166.2049861495845</v>
      </c>
    </row>
    <row r="399" spans="1:5" x14ac:dyDescent="0.25">
      <c r="A399" s="52" t="s">
        <v>409</v>
      </c>
      <c r="B399" t="s">
        <v>1268</v>
      </c>
      <c r="C399">
        <v>0.39200000000000002</v>
      </c>
      <c r="D399">
        <v>0.25</v>
      </c>
      <c r="E399">
        <f t="shared" si="6"/>
        <v>153.0612244897959</v>
      </c>
    </row>
    <row r="400" spans="1:5" x14ac:dyDescent="0.25">
      <c r="A400" s="52" t="s">
        <v>410</v>
      </c>
      <c r="B400" s="53" t="s">
        <v>1268</v>
      </c>
      <c r="C400">
        <v>0.35199999999999998</v>
      </c>
      <c r="D400">
        <v>0.5</v>
      </c>
      <c r="E400">
        <f t="shared" si="6"/>
        <v>170.45454545454547</v>
      </c>
    </row>
    <row r="401" spans="1:5" x14ac:dyDescent="0.25">
      <c r="A401" s="52" t="s">
        <v>411</v>
      </c>
      <c r="B401" t="s">
        <v>1269</v>
      </c>
      <c r="C401">
        <v>0.78400000000000003</v>
      </c>
      <c r="D401">
        <v>0.25</v>
      </c>
      <c r="E401">
        <f t="shared" si="6"/>
        <v>76.530612244897952</v>
      </c>
    </row>
    <row r="402" spans="1:5" x14ac:dyDescent="0.25">
      <c r="A402" s="52" t="s">
        <v>412</v>
      </c>
      <c r="B402" s="53" t="s">
        <v>1269</v>
      </c>
      <c r="C402">
        <v>0.32100000000000001</v>
      </c>
      <c r="D402">
        <v>0.5</v>
      </c>
      <c r="E402">
        <f t="shared" si="6"/>
        <v>186.91588785046727</v>
      </c>
    </row>
    <row r="403" spans="1:5" x14ac:dyDescent="0.25">
      <c r="A403" s="52" t="s">
        <v>413</v>
      </c>
      <c r="B403" t="s">
        <v>1265</v>
      </c>
      <c r="C403">
        <v>0.39200000000000002</v>
      </c>
      <c r="D403">
        <v>0.25</v>
      </c>
      <c r="E403">
        <f t="shared" si="6"/>
        <v>153.0612244897959</v>
      </c>
    </row>
    <row r="404" spans="1:5" x14ac:dyDescent="0.25">
      <c r="A404" s="52" t="s">
        <v>414</v>
      </c>
      <c r="B404" s="53" t="s">
        <v>1265</v>
      </c>
      <c r="C404">
        <v>0.308</v>
      </c>
      <c r="D404">
        <v>0.5</v>
      </c>
      <c r="E404">
        <f t="shared" si="6"/>
        <v>194.80519480519482</v>
      </c>
    </row>
    <row r="405" spans="1:5" x14ac:dyDescent="0.25">
      <c r="A405" s="52" t="s">
        <v>415</v>
      </c>
      <c r="B405" t="s">
        <v>1270</v>
      </c>
      <c r="C405">
        <v>1.7250000000000001</v>
      </c>
      <c r="D405">
        <v>0.25</v>
      </c>
      <c r="E405">
        <f t="shared" si="6"/>
        <v>34.782608695652172</v>
      </c>
    </row>
    <row r="406" spans="1:5" x14ac:dyDescent="0.25">
      <c r="A406" s="52" t="s">
        <v>416</v>
      </c>
      <c r="B406" s="53" t="s">
        <v>1270</v>
      </c>
      <c r="C406">
        <v>1.075</v>
      </c>
      <c r="D406">
        <v>0.5</v>
      </c>
      <c r="E406">
        <f t="shared" si="6"/>
        <v>55.813953488372093</v>
      </c>
    </row>
    <row r="407" spans="1:5" x14ac:dyDescent="0.25">
      <c r="A407" s="52" t="s">
        <v>417</v>
      </c>
      <c r="B407" t="s">
        <v>1270</v>
      </c>
      <c r="C407">
        <v>2.1960000000000002</v>
      </c>
      <c r="D407">
        <v>0.25</v>
      </c>
      <c r="E407">
        <f t="shared" si="6"/>
        <v>27.322404371584696</v>
      </c>
    </row>
    <row r="408" spans="1:5" x14ac:dyDescent="0.25">
      <c r="A408" s="52" t="s">
        <v>418</v>
      </c>
      <c r="B408" t="s">
        <v>1271</v>
      </c>
      <c r="C408">
        <v>0.78400000000000003</v>
      </c>
      <c r="D408">
        <v>0.25</v>
      </c>
      <c r="E408">
        <f t="shared" si="6"/>
        <v>76.530612244897952</v>
      </c>
    </row>
    <row r="409" spans="1:5" x14ac:dyDescent="0.25">
      <c r="A409" s="52" t="s">
        <v>419</v>
      </c>
      <c r="B409" s="53" t="s">
        <v>1271</v>
      </c>
      <c r="C409">
        <v>0.43099999999999999</v>
      </c>
      <c r="D409">
        <v>0.5</v>
      </c>
      <c r="E409">
        <f t="shared" si="6"/>
        <v>139.21113689095128</v>
      </c>
    </row>
    <row r="410" spans="1:5" x14ac:dyDescent="0.25">
      <c r="A410" s="52" t="s">
        <v>420</v>
      </c>
      <c r="B410" t="s">
        <v>1271</v>
      </c>
      <c r="C410">
        <v>0.78400000000000003</v>
      </c>
      <c r="D410">
        <v>0.25</v>
      </c>
      <c r="E410">
        <f t="shared" si="6"/>
        <v>76.530612244897952</v>
      </c>
    </row>
    <row r="411" spans="1:5" x14ac:dyDescent="0.25">
      <c r="A411" s="52" t="s">
        <v>421</v>
      </c>
      <c r="B411" s="53" t="s">
        <v>1271</v>
      </c>
      <c r="C411">
        <v>0.42199999999999999</v>
      </c>
      <c r="D411">
        <v>0.5</v>
      </c>
      <c r="E411">
        <f t="shared" si="6"/>
        <v>142.18009478672985</v>
      </c>
    </row>
    <row r="412" spans="1:5" x14ac:dyDescent="0.25">
      <c r="A412" s="52" t="s">
        <v>422</v>
      </c>
      <c r="B412" t="s">
        <v>1271</v>
      </c>
      <c r="C412">
        <v>0.78400000000000003</v>
      </c>
      <c r="D412">
        <v>0.25</v>
      </c>
      <c r="E412">
        <f t="shared" si="6"/>
        <v>76.530612244897952</v>
      </c>
    </row>
    <row r="413" spans="1:5" x14ac:dyDescent="0.25">
      <c r="A413" s="52" t="s">
        <v>423</v>
      </c>
      <c r="B413" s="53" t="s">
        <v>1271</v>
      </c>
      <c r="C413">
        <v>0.46100000000000002</v>
      </c>
      <c r="D413">
        <v>0.5</v>
      </c>
      <c r="E413">
        <f t="shared" si="6"/>
        <v>130.15184381778741</v>
      </c>
    </row>
    <row r="414" spans="1:5" x14ac:dyDescent="0.25">
      <c r="A414" s="52" t="s">
        <v>424</v>
      </c>
      <c r="B414" t="s">
        <v>1272</v>
      </c>
      <c r="C414">
        <v>0.39200000000000002</v>
      </c>
      <c r="D414">
        <v>0.25</v>
      </c>
      <c r="E414">
        <f t="shared" si="6"/>
        <v>153.0612244897959</v>
      </c>
    </row>
    <row r="415" spans="1:5" x14ac:dyDescent="0.25">
      <c r="A415" s="52" t="s">
        <v>425</v>
      </c>
      <c r="B415" s="53" t="s">
        <v>1272</v>
      </c>
      <c r="C415">
        <v>0.27900000000000003</v>
      </c>
      <c r="D415">
        <v>0.5</v>
      </c>
      <c r="E415">
        <f t="shared" si="6"/>
        <v>215.05376344086019</v>
      </c>
    </row>
    <row r="416" spans="1:5" x14ac:dyDescent="0.25">
      <c r="A416" s="52" t="s">
        <v>426</v>
      </c>
      <c r="B416" s="53" t="s">
        <v>1052</v>
      </c>
      <c r="C416">
        <v>0.46500000000000002</v>
      </c>
      <c r="D416">
        <v>0.5</v>
      </c>
      <c r="E416">
        <f t="shared" si="6"/>
        <v>129.03225806451613</v>
      </c>
    </row>
    <row r="417" spans="1:5" x14ac:dyDescent="0.25">
      <c r="A417" s="52" t="s">
        <v>427</v>
      </c>
      <c r="B417" t="s">
        <v>1265</v>
      </c>
      <c r="C417">
        <v>0.39200000000000002</v>
      </c>
      <c r="D417">
        <v>0.25</v>
      </c>
      <c r="E417">
        <f t="shared" si="6"/>
        <v>153.0612244897959</v>
      </c>
    </row>
    <row r="418" spans="1:5" x14ac:dyDescent="0.25">
      <c r="A418" s="52" t="s">
        <v>428</v>
      </c>
      <c r="B418" s="53" t="s">
        <v>1265</v>
      </c>
      <c r="C418">
        <v>0.27400000000000002</v>
      </c>
      <c r="D418">
        <v>0.5</v>
      </c>
      <c r="E418">
        <f t="shared" si="6"/>
        <v>218.978102189781</v>
      </c>
    </row>
    <row r="419" spans="1:5" x14ac:dyDescent="0.25">
      <c r="A419" s="52" t="s">
        <v>429</v>
      </c>
      <c r="B419" t="s">
        <v>1273</v>
      </c>
      <c r="C419">
        <v>0.39200000000000002</v>
      </c>
      <c r="D419">
        <v>0.25</v>
      </c>
      <c r="E419">
        <f t="shared" si="6"/>
        <v>153.0612244897959</v>
      </c>
    </row>
    <row r="420" spans="1:5" x14ac:dyDescent="0.25">
      <c r="A420" s="52" t="s">
        <v>430</v>
      </c>
      <c r="B420" s="53" t="s">
        <v>1273</v>
      </c>
      <c r="C420">
        <v>9.4E-2</v>
      </c>
      <c r="D420">
        <v>0.5</v>
      </c>
      <c r="E420">
        <f t="shared" si="6"/>
        <v>638.29787234042556</v>
      </c>
    </row>
    <row r="421" spans="1:5" x14ac:dyDescent="0.25">
      <c r="A421" s="52" t="s">
        <v>431</v>
      </c>
      <c r="B421" t="s">
        <v>1274</v>
      </c>
      <c r="C421">
        <v>0.58799999999999997</v>
      </c>
      <c r="D421">
        <v>0.25</v>
      </c>
      <c r="E421">
        <f t="shared" si="6"/>
        <v>102.04081632653062</v>
      </c>
    </row>
    <row r="422" spans="1:5" x14ac:dyDescent="0.25">
      <c r="A422" s="52" t="s">
        <v>432</v>
      </c>
      <c r="B422" s="53" t="s">
        <v>1274</v>
      </c>
      <c r="C422">
        <v>0.13700000000000001</v>
      </c>
      <c r="D422">
        <v>0.5</v>
      </c>
      <c r="E422">
        <f t="shared" si="6"/>
        <v>437.956204379562</v>
      </c>
    </row>
    <row r="423" spans="1:5" x14ac:dyDescent="0.25">
      <c r="A423" s="52" t="s">
        <v>433</v>
      </c>
      <c r="B423" t="s">
        <v>1275</v>
      </c>
      <c r="C423">
        <v>0.78400000000000003</v>
      </c>
      <c r="D423">
        <v>0.25</v>
      </c>
      <c r="E423">
        <f t="shared" si="6"/>
        <v>76.530612244897952</v>
      </c>
    </row>
    <row r="424" spans="1:5" x14ac:dyDescent="0.25">
      <c r="A424" s="52" t="s">
        <v>434</v>
      </c>
      <c r="B424" s="53" t="s">
        <v>1275</v>
      </c>
      <c r="C424">
        <v>0.26</v>
      </c>
      <c r="D424">
        <v>0.5</v>
      </c>
      <c r="E424">
        <f t="shared" si="6"/>
        <v>230.76923076923077</v>
      </c>
    </row>
    <row r="425" spans="1:5" x14ac:dyDescent="0.25">
      <c r="A425" s="52" t="s">
        <v>435</v>
      </c>
      <c r="B425" t="s">
        <v>1276</v>
      </c>
      <c r="C425">
        <v>0.39200000000000002</v>
      </c>
      <c r="D425">
        <v>0.25</v>
      </c>
      <c r="E425">
        <f t="shared" si="6"/>
        <v>153.0612244897959</v>
      </c>
    </row>
    <row r="426" spans="1:5" x14ac:dyDescent="0.25">
      <c r="A426" s="52" t="s">
        <v>436</v>
      </c>
      <c r="B426" s="53" t="s">
        <v>1276</v>
      </c>
      <c r="C426">
        <v>0.22800000000000001</v>
      </c>
      <c r="D426">
        <v>0.5</v>
      </c>
      <c r="E426">
        <f t="shared" si="6"/>
        <v>263.15789473684208</v>
      </c>
    </row>
    <row r="427" spans="1:5" x14ac:dyDescent="0.25">
      <c r="A427" s="52" t="s">
        <v>437</v>
      </c>
      <c r="B427" t="s">
        <v>1277</v>
      </c>
      <c r="C427">
        <v>0.39200000000000002</v>
      </c>
      <c r="D427">
        <v>0.25</v>
      </c>
      <c r="E427">
        <f t="shared" si="6"/>
        <v>153.0612244897959</v>
      </c>
    </row>
    <row r="428" spans="1:5" x14ac:dyDescent="0.25">
      <c r="A428" s="52" t="s">
        <v>438</v>
      </c>
      <c r="B428" s="53" t="s">
        <v>1277</v>
      </c>
      <c r="C428">
        <v>0.311</v>
      </c>
      <c r="D428">
        <v>0.5</v>
      </c>
      <c r="E428">
        <f t="shared" si="6"/>
        <v>192.92604501607718</v>
      </c>
    </row>
    <row r="429" spans="1:5" x14ac:dyDescent="0.25">
      <c r="A429" s="52" t="s">
        <v>439</v>
      </c>
      <c r="B429" t="s">
        <v>1278</v>
      </c>
      <c r="C429">
        <v>1.49</v>
      </c>
      <c r="D429">
        <v>0.25</v>
      </c>
      <c r="E429">
        <f t="shared" si="6"/>
        <v>40.268456375838923</v>
      </c>
    </row>
    <row r="430" spans="1:5" x14ac:dyDescent="0.25">
      <c r="A430" s="52" t="s">
        <v>440</v>
      </c>
      <c r="B430" s="53" t="s">
        <v>1278</v>
      </c>
      <c r="C430">
        <v>0.83499999999999996</v>
      </c>
      <c r="D430">
        <v>0.5</v>
      </c>
      <c r="E430">
        <f t="shared" si="6"/>
        <v>71.856287425149702</v>
      </c>
    </row>
    <row r="431" spans="1:5" x14ac:dyDescent="0.25">
      <c r="A431" s="52" t="s">
        <v>441</v>
      </c>
      <c r="B431" t="s">
        <v>1279</v>
      </c>
      <c r="C431">
        <v>1.7250000000000001</v>
      </c>
      <c r="D431">
        <v>0.25</v>
      </c>
      <c r="E431">
        <f t="shared" si="6"/>
        <v>34.782608695652172</v>
      </c>
    </row>
    <row r="432" spans="1:5" x14ac:dyDescent="0.25">
      <c r="A432" s="52" t="s">
        <v>442</v>
      </c>
      <c r="B432" s="53" t="s">
        <v>1279</v>
      </c>
      <c r="C432">
        <v>0.92100000000000004</v>
      </c>
      <c r="D432">
        <v>0.5</v>
      </c>
      <c r="E432">
        <f t="shared" si="6"/>
        <v>65.146579804560261</v>
      </c>
    </row>
    <row r="433" spans="1:5" x14ac:dyDescent="0.25">
      <c r="A433" s="52" t="s">
        <v>443</v>
      </c>
      <c r="B433" t="s">
        <v>1266</v>
      </c>
      <c r="C433">
        <v>0.58799999999999997</v>
      </c>
      <c r="D433">
        <v>0.25</v>
      </c>
      <c r="E433">
        <f t="shared" si="6"/>
        <v>102.04081632653062</v>
      </c>
    </row>
    <row r="434" spans="1:5" x14ac:dyDescent="0.25">
      <c r="A434" s="52" t="s">
        <v>444</v>
      </c>
      <c r="B434" s="53" t="s">
        <v>1266</v>
      </c>
      <c r="C434">
        <v>0.25</v>
      </c>
      <c r="D434">
        <v>0.5</v>
      </c>
      <c r="E434">
        <f t="shared" si="6"/>
        <v>240</v>
      </c>
    </row>
    <row r="435" spans="1:5" x14ac:dyDescent="0.25">
      <c r="A435" s="52" t="s">
        <v>445</v>
      </c>
      <c r="B435" t="s">
        <v>1280</v>
      </c>
      <c r="C435">
        <v>0.78400000000000003</v>
      </c>
      <c r="D435">
        <v>0.25</v>
      </c>
      <c r="E435">
        <f t="shared" si="6"/>
        <v>76.530612244897952</v>
      </c>
    </row>
    <row r="436" spans="1:5" x14ac:dyDescent="0.25">
      <c r="A436" s="52" t="s">
        <v>446</v>
      </c>
      <c r="B436" s="53" t="s">
        <v>1280</v>
      </c>
      <c r="C436">
        <v>0.51700000000000002</v>
      </c>
      <c r="D436">
        <v>0.5</v>
      </c>
      <c r="E436">
        <f t="shared" si="6"/>
        <v>116.05415860735009</v>
      </c>
    </row>
    <row r="437" spans="1:5" x14ac:dyDescent="0.25">
      <c r="A437" s="52" t="s">
        <v>447</v>
      </c>
      <c r="B437" s="53" t="s">
        <v>1281</v>
      </c>
      <c r="C437">
        <v>0.23400000000000001</v>
      </c>
      <c r="D437">
        <v>0.5</v>
      </c>
      <c r="E437">
        <f t="shared" si="6"/>
        <v>256.41025641025641</v>
      </c>
    </row>
    <row r="438" spans="1:5" x14ac:dyDescent="0.25">
      <c r="A438" s="52" t="s">
        <v>448</v>
      </c>
      <c r="B438" t="s">
        <v>1282</v>
      </c>
      <c r="C438">
        <v>0.39200000000000002</v>
      </c>
      <c r="D438">
        <v>0.25</v>
      </c>
      <c r="E438">
        <f t="shared" si="6"/>
        <v>153.0612244897959</v>
      </c>
    </row>
    <row r="439" spans="1:5" x14ac:dyDescent="0.25">
      <c r="A439" s="52" t="s">
        <v>449</v>
      </c>
      <c r="B439" s="53" t="s">
        <v>1282</v>
      </c>
      <c r="C439">
        <v>0.26200000000000001</v>
      </c>
      <c r="D439">
        <v>0.5</v>
      </c>
      <c r="E439">
        <f t="shared" si="6"/>
        <v>229.00763358778624</v>
      </c>
    </row>
    <row r="440" spans="1:5" x14ac:dyDescent="0.25">
      <c r="A440" s="52" t="s">
        <v>450</v>
      </c>
      <c r="B440" s="53" t="s">
        <v>1283</v>
      </c>
      <c r="C440">
        <v>8.5999999999999993E-2</v>
      </c>
      <c r="D440">
        <v>0.5</v>
      </c>
      <c r="E440">
        <f t="shared" si="6"/>
        <v>697.67441860465124</v>
      </c>
    </row>
    <row r="441" spans="1:5" x14ac:dyDescent="0.25">
      <c r="A441" s="52" t="s">
        <v>451</v>
      </c>
      <c r="B441" t="s">
        <v>1284</v>
      </c>
      <c r="C441">
        <v>0.98</v>
      </c>
      <c r="D441">
        <v>0.25</v>
      </c>
      <c r="E441">
        <f t="shared" si="6"/>
        <v>61.224489795918366</v>
      </c>
    </row>
    <row r="442" spans="1:5" x14ac:dyDescent="0.25">
      <c r="A442" s="52" t="s">
        <v>452</v>
      </c>
      <c r="B442" s="53" t="s">
        <v>1284</v>
      </c>
      <c r="C442">
        <v>0.25900000000000001</v>
      </c>
      <c r="D442">
        <v>0.5</v>
      </c>
      <c r="E442">
        <f t="shared" si="6"/>
        <v>231.66023166023166</v>
      </c>
    </row>
    <row r="443" spans="1:5" x14ac:dyDescent="0.25">
      <c r="A443" s="52" t="s">
        <v>453</v>
      </c>
      <c r="B443" s="53" t="s">
        <v>1285</v>
      </c>
      <c r="C443">
        <v>9.4E-2</v>
      </c>
      <c r="D443">
        <v>0.5</v>
      </c>
      <c r="E443">
        <f t="shared" si="6"/>
        <v>638.29787234042556</v>
      </c>
    </row>
    <row r="444" spans="1:5" x14ac:dyDescent="0.25">
      <c r="A444" s="52" t="s">
        <v>454</v>
      </c>
      <c r="B444" t="s">
        <v>1286</v>
      </c>
      <c r="C444">
        <v>2.4510000000000001</v>
      </c>
      <c r="D444">
        <v>0.25</v>
      </c>
      <c r="E444">
        <f t="shared" si="6"/>
        <v>24.479804161566708</v>
      </c>
    </row>
    <row r="445" spans="1:5" x14ac:dyDescent="0.25">
      <c r="A445" s="52" t="s">
        <v>455</v>
      </c>
      <c r="B445" s="53" t="s">
        <v>1286</v>
      </c>
      <c r="C445">
        <v>0.39400000000000002</v>
      </c>
      <c r="D445">
        <v>0.5</v>
      </c>
      <c r="E445">
        <f t="shared" si="6"/>
        <v>152.28426395939087</v>
      </c>
    </row>
    <row r="446" spans="1:5" x14ac:dyDescent="0.25">
      <c r="A446" s="52" t="s">
        <v>456</v>
      </c>
      <c r="B446" t="s">
        <v>1286</v>
      </c>
      <c r="C446">
        <v>2.1960000000000002</v>
      </c>
      <c r="D446">
        <v>0.25</v>
      </c>
      <c r="E446">
        <f t="shared" si="6"/>
        <v>27.322404371584696</v>
      </c>
    </row>
    <row r="447" spans="1:5" x14ac:dyDescent="0.25">
      <c r="A447" s="52" t="s">
        <v>457</v>
      </c>
      <c r="B447" t="s">
        <v>1286</v>
      </c>
      <c r="C447">
        <v>2.4510000000000001</v>
      </c>
      <c r="D447">
        <v>0.25</v>
      </c>
      <c r="E447">
        <f t="shared" si="6"/>
        <v>24.479804161566708</v>
      </c>
    </row>
    <row r="448" spans="1:5" x14ac:dyDescent="0.25">
      <c r="A448" s="52" t="s">
        <v>458</v>
      </c>
      <c r="B448" s="53" t="s">
        <v>1286</v>
      </c>
      <c r="C448">
        <v>0.53800000000000003</v>
      </c>
      <c r="D448">
        <v>0.5</v>
      </c>
      <c r="E448">
        <f t="shared" si="6"/>
        <v>111.52416356877323</v>
      </c>
    </row>
    <row r="449" spans="1:5" x14ac:dyDescent="0.25">
      <c r="A449" s="52" t="s">
        <v>459</v>
      </c>
      <c r="B449" t="s">
        <v>1286</v>
      </c>
      <c r="C449">
        <v>2.8380000000000001</v>
      </c>
      <c r="D449">
        <v>0.25</v>
      </c>
      <c r="E449">
        <f t="shared" si="6"/>
        <v>21.141649048625791</v>
      </c>
    </row>
    <row r="450" spans="1:5" x14ac:dyDescent="0.25">
      <c r="A450" s="52" t="s">
        <v>460</v>
      </c>
      <c r="B450" t="s">
        <v>1287</v>
      </c>
      <c r="C450">
        <v>0.39200000000000002</v>
      </c>
      <c r="D450">
        <v>0.25</v>
      </c>
      <c r="E450">
        <f t="shared" si="6"/>
        <v>153.0612244897959</v>
      </c>
    </row>
    <row r="451" spans="1:5" x14ac:dyDescent="0.25">
      <c r="A451" s="52" t="s">
        <v>461</v>
      </c>
      <c r="B451" s="53" t="s">
        <v>1287</v>
      </c>
      <c r="C451">
        <v>0.13500000000000001</v>
      </c>
      <c r="D451">
        <v>0.5</v>
      </c>
      <c r="E451">
        <f t="shared" si="6"/>
        <v>444.4444444444444</v>
      </c>
    </row>
    <row r="452" spans="1:5" x14ac:dyDescent="0.25">
      <c r="A452" s="52" t="s">
        <v>462</v>
      </c>
      <c r="B452" t="s">
        <v>1287</v>
      </c>
      <c r="C452">
        <v>1.2549999999999999</v>
      </c>
      <c r="D452">
        <v>0.25</v>
      </c>
      <c r="E452">
        <f t="shared" ref="E452:E515" si="7">60/C452</f>
        <v>47.808764940239051</v>
      </c>
    </row>
    <row r="453" spans="1:5" x14ac:dyDescent="0.25">
      <c r="A453" s="52" t="s">
        <v>463</v>
      </c>
      <c r="B453" s="53" t="s">
        <v>1287</v>
      </c>
      <c r="C453">
        <v>0.90600000000000003</v>
      </c>
      <c r="D453">
        <v>0.5</v>
      </c>
      <c r="E453">
        <f t="shared" si="7"/>
        <v>66.225165562913901</v>
      </c>
    </row>
    <row r="454" spans="1:5" x14ac:dyDescent="0.25">
      <c r="A454" s="52" t="s">
        <v>464</v>
      </c>
      <c r="B454" t="s">
        <v>1287</v>
      </c>
      <c r="C454">
        <v>0.78400000000000003</v>
      </c>
      <c r="D454">
        <v>0.25</v>
      </c>
      <c r="E454">
        <f t="shared" si="7"/>
        <v>76.530612244897952</v>
      </c>
    </row>
    <row r="455" spans="1:5" x14ac:dyDescent="0.25">
      <c r="A455" s="52" t="s">
        <v>465</v>
      </c>
      <c r="B455" s="53" t="s">
        <v>1287</v>
      </c>
      <c r="C455">
        <v>0.71899999999999997</v>
      </c>
      <c r="D455">
        <v>0.5</v>
      </c>
      <c r="E455">
        <f t="shared" si="7"/>
        <v>83.44923504867873</v>
      </c>
    </row>
    <row r="456" spans="1:5" x14ac:dyDescent="0.25">
      <c r="A456" s="52" t="s">
        <v>466</v>
      </c>
      <c r="B456" t="s">
        <v>1288</v>
      </c>
      <c r="C456">
        <v>0.78400000000000003</v>
      </c>
      <c r="D456">
        <v>0.25</v>
      </c>
      <c r="E456">
        <f t="shared" si="7"/>
        <v>76.530612244897952</v>
      </c>
    </row>
    <row r="457" spans="1:5" x14ac:dyDescent="0.25">
      <c r="A457" s="52" t="s">
        <v>467</v>
      </c>
      <c r="B457" s="53" t="s">
        <v>1288</v>
      </c>
      <c r="C457">
        <v>0.32900000000000001</v>
      </c>
      <c r="D457">
        <v>0.5</v>
      </c>
      <c r="E457">
        <f t="shared" si="7"/>
        <v>182.370820668693</v>
      </c>
    </row>
    <row r="458" spans="1:5" x14ac:dyDescent="0.25">
      <c r="A458" s="52" t="s">
        <v>468</v>
      </c>
      <c r="B458" s="53" t="s">
        <v>1288</v>
      </c>
      <c r="C458">
        <v>0.17100000000000001</v>
      </c>
      <c r="D458">
        <v>0.5</v>
      </c>
      <c r="E458">
        <f t="shared" si="7"/>
        <v>350.87719298245611</v>
      </c>
    </row>
    <row r="459" spans="1:5" x14ac:dyDescent="0.25">
      <c r="A459" s="52" t="s">
        <v>469</v>
      </c>
      <c r="B459" t="s">
        <v>1288</v>
      </c>
      <c r="C459">
        <v>4.3879999999999999</v>
      </c>
      <c r="D459">
        <v>0.25</v>
      </c>
      <c r="E459">
        <f t="shared" si="7"/>
        <v>13.673655423883318</v>
      </c>
    </row>
    <row r="460" spans="1:5" x14ac:dyDescent="0.25">
      <c r="A460" s="52" t="s">
        <v>470</v>
      </c>
      <c r="B460" t="s">
        <v>1266</v>
      </c>
      <c r="C460">
        <v>1.49</v>
      </c>
      <c r="D460">
        <v>0.25</v>
      </c>
      <c r="E460">
        <f t="shared" si="7"/>
        <v>40.268456375838923</v>
      </c>
    </row>
    <row r="461" spans="1:5" x14ac:dyDescent="0.25">
      <c r="A461" s="52" t="s">
        <v>471</v>
      </c>
      <c r="B461" s="53" t="s">
        <v>1266</v>
      </c>
      <c r="C461">
        <v>0.39900000000000002</v>
      </c>
      <c r="D461">
        <v>0.5</v>
      </c>
      <c r="E461">
        <f t="shared" si="7"/>
        <v>150.37593984962405</v>
      </c>
    </row>
    <row r="462" spans="1:5" x14ac:dyDescent="0.25">
      <c r="A462" s="52" t="s">
        <v>472</v>
      </c>
      <c r="B462" t="s">
        <v>1289</v>
      </c>
      <c r="C462">
        <v>0.39200000000000002</v>
      </c>
      <c r="D462">
        <v>0.25</v>
      </c>
      <c r="E462">
        <f t="shared" si="7"/>
        <v>153.0612244897959</v>
      </c>
    </row>
    <row r="463" spans="1:5" x14ac:dyDescent="0.25">
      <c r="A463" s="52" t="s">
        <v>473</v>
      </c>
      <c r="B463" s="53" t="s">
        <v>1289</v>
      </c>
      <c r="C463">
        <v>0.161</v>
      </c>
      <c r="D463">
        <v>0.5</v>
      </c>
      <c r="E463">
        <f t="shared" si="7"/>
        <v>372.67080745341616</v>
      </c>
    </row>
    <row r="464" spans="1:5" x14ac:dyDescent="0.25">
      <c r="A464" s="52" t="s">
        <v>474</v>
      </c>
      <c r="B464" t="s">
        <v>1290</v>
      </c>
      <c r="C464">
        <v>1.02</v>
      </c>
      <c r="D464">
        <v>0.25</v>
      </c>
      <c r="E464">
        <f t="shared" si="7"/>
        <v>58.823529411764703</v>
      </c>
    </row>
    <row r="465" spans="1:5" x14ac:dyDescent="0.25">
      <c r="A465" s="52" t="s">
        <v>475</v>
      </c>
      <c r="B465" s="53" t="s">
        <v>1290</v>
      </c>
      <c r="C465">
        <v>1.2090000000000001</v>
      </c>
      <c r="D465">
        <v>0.5</v>
      </c>
      <c r="E465">
        <f t="shared" si="7"/>
        <v>49.62779156327543</v>
      </c>
    </row>
    <row r="466" spans="1:5" x14ac:dyDescent="0.25">
      <c r="A466" s="52" t="s">
        <v>476</v>
      </c>
      <c r="B466" t="s">
        <v>1291</v>
      </c>
      <c r="C466">
        <v>1.9610000000000001</v>
      </c>
      <c r="D466">
        <v>0.25</v>
      </c>
      <c r="E466">
        <f t="shared" si="7"/>
        <v>30.596634370219274</v>
      </c>
    </row>
    <row r="467" spans="1:5" x14ac:dyDescent="0.25">
      <c r="A467" s="52" t="s">
        <v>477</v>
      </c>
      <c r="B467" s="53" t="s">
        <v>1291</v>
      </c>
      <c r="C467">
        <v>1.0620000000000001</v>
      </c>
      <c r="D467">
        <v>0.5</v>
      </c>
      <c r="E467">
        <f t="shared" si="7"/>
        <v>56.497175141242934</v>
      </c>
    </row>
    <row r="468" spans="1:5" x14ac:dyDescent="0.25">
      <c r="A468" s="52" t="s">
        <v>478</v>
      </c>
      <c r="B468" t="s">
        <v>1287</v>
      </c>
      <c r="C468">
        <v>0.39200000000000002</v>
      </c>
      <c r="D468">
        <v>0.25</v>
      </c>
      <c r="E468">
        <f t="shared" si="7"/>
        <v>153.0612244897959</v>
      </c>
    </row>
    <row r="469" spans="1:5" x14ac:dyDescent="0.25">
      <c r="A469" s="52" t="s">
        <v>479</v>
      </c>
      <c r="B469" s="53" t="s">
        <v>1287</v>
      </c>
      <c r="C469">
        <v>0.28899999999999998</v>
      </c>
      <c r="D469">
        <v>0.5</v>
      </c>
      <c r="E469">
        <f t="shared" si="7"/>
        <v>207.61245674740485</v>
      </c>
    </row>
    <row r="470" spans="1:5" x14ac:dyDescent="0.25">
      <c r="A470" s="52" t="s">
        <v>480</v>
      </c>
      <c r="B470" s="53" t="s">
        <v>1292</v>
      </c>
      <c r="C470">
        <v>0.47399999999999998</v>
      </c>
      <c r="D470">
        <v>0.5</v>
      </c>
      <c r="E470">
        <f t="shared" si="7"/>
        <v>126.58227848101266</v>
      </c>
    </row>
    <row r="471" spans="1:5" x14ac:dyDescent="0.25">
      <c r="A471" s="52" t="s">
        <v>481</v>
      </c>
      <c r="B471" t="s">
        <v>1289</v>
      </c>
      <c r="C471">
        <v>0.54900000000000004</v>
      </c>
      <c r="D471">
        <v>0.25</v>
      </c>
      <c r="E471">
        <f t="shared" si="7"/>
        <v>109.28961748633878</v>
      </c>
    </row>
    <row r="472" spans="1:5" x14ac:dyDescent="0.25">
      <c r="A472" s="52" t="s">
        <v>482</v>
      </c>
      <c r="B472" s="53" t="s">
        <v>1289</v>
      </c>
      <c r="C472">
        <v>1.121</v>
      </c>
      <c r="D472">
        <v>0.5</v>
      </c>
      <c r="E472">
        <f t="shared" si="7"/>
        <v>53.523639607493308</v>
      </c>
    </row>
    <row r="473" spans="1:5" x14ac:dyDescent="0.25">
      <c r="A473" s="52" t="s">
        <v>483</v>
      </c>
      <c r="B473" t="s">
        <v>1293</v>
      </c>
      <c r="C473">
        <v>0.39200000000000002</v>
      </c>
      <c r="D473">
        <v>0.25</v>
      </c>
      <c r="E473">
        <f t="shared" si="7"/>
        <v>153.0612244897959</v>
      </c>
    </row>
    <row r="474" spans="1:5" x14ac:dyDescent="0.25">
      <c r="A474" s="52" t="s">
        <v>484</v>
      </c>
      <c r="B474" s="53" t="s">
        <v>1293</v>
      </c>
      <c r="C474">
        <v>8.2000000000000003E-2</v>
      </c>
      <c r="D474">
        <v>0.5</v>
      </c>
      <c r="E474">
        <f t="shared" si="7"/>
        <v>731.70731707317066</v>
      </c>
    </row>
    <row r="475" spans="1:5" x14ac:dyDescent="0.25">
      <c r="A475" s="52" t="s">
        <v>485</v>
      </c>
      <c r="B475" t="s">
        <v>1294</v>
      </c>
      <c r="C475">
        <v>0.39200000000000002</v>
      </c>
      <c r="D475">
        <v>0.25</v>
      </c>
      <c r="E475">
        <f t="shared" si="7"/>
        <v>153.0612244897959</v>
      </c>
    </row>
    <row r="476" spans="1:5" x14ac:dyDescent="0.25">
      <c r="A476" s="52" t="s">
        <v>486</v>
      </c>
      <c r="B476" s="53" t="s">
        <v>1294</v>
      </c>
      <c r="C476">
        <v>6.6000000000000003E-2</v>
      </c>
      <c r="D476">
        <v>0.5</v>
      </c>
      <c r="E476">
        <f t="shared" si="7"/>
        <v>909.09090909090901</v>
      </c>
    </row>
    <row r="477" spans="1:5" x14ac:dyDescent="0.25">
      <c r="A477" s="52" t="s">
        <v>487</v>
      </c>
      <c r="B477" s="53" t="s">
        <v>1295</v>
      </c>
      <c r="C477">
        <v>3.6999999999999998E-2</v>
      </c>
      <c r="D477">
        <v>0.5</v>
      </c>
      <c r="E477">
        <f t="shared" si="7"/>
        <v>1621.6216216216217</v>
      </c>
    </row>
    <row r="478" spans="1:5" x14ac:dyDescent="0.25">
      <c r="A478" s="52" t="s">
        <v>488</v>
      </c>
      <c r="B478" t="s">
        <v>1296</v>
      </c>
      <c r="C478">
        <v>2.0830000000000002</v>
      </c>
      <c r="D478">
        <v>0.25</v>
      </c>
      <c r="E478">
        <f t="shared" si="7"/>
        <v>28.804608737397981</v>
      </c>
    </row>
    <row r="479" spans="1:5" x14ac:dyDescent="0.25">
      <c r="A479" s="52" t="s">
        <v>489</v>
      </c>
      <c r="B479" t="s">
        <v>1297</v>
      </c>
      <c r="C479">
        <v>1.667</v>
      </c>
      <c r="D479">
        <v>0.25</v>
      </c>
      <c r="E479">
        <f t="shared" si="7"/>
        <v>35.992801439712053</v>
      </c>
    </row>
    <row r="480" spans="1:5" x14ac:dyDescent="0.25">
      <c r="A480" s="52" t="s">
        <v>490</v>
      </c>
      <c r="B480" t="s">
        <v>1298</v>
      </c>
      <c r="C480">
        <v>2.0830000000000002</v>
      </c>
      <c r="D480">
        <v>0.25</v>
      </c>
      <c r="E480">
        <f t="shared" si="7"/>
        <v>28.804608737397981</v>
      </c>
    </row>
    <row r="481" spans="1:5" x14ac:dyDescent="0.25">
      <c r="A481" s="52" t="s">
        <v>491</v>
      </c>
      <c r="B481" t="s">
        <v>1299</v>
      </c>
      <c r="C481">
        <v>1.667</v>
      </c>
      <c r="D481">
        <v>0.25</v>
      </c>
      <c r="E481">
        <f t="shared" si="7"/>
        <v>35.992801439712053</v>
      </c>
    </row>
    <row r="482" spans="1:5" x14ac:dyDescent="0.25">
      <c r="A482" s="52" t="s">
        <v>492</v>
      </c>
      <c r="B482" t="s">
        <v>1300</v>
      </c>
      <c r="C482">
        <v>2.0830000000000002</v>
      </c>
      <c r="D482">
        <v>0.25</v>
      </c>
      <c r="E482">
        <f t="shared" si="7"/>
        <v>28.804608737397981</v>
      </c>
    </row>
    <row r="483" spans="1:5" x14ac:dyDescent="0.25">
      <c r="A483" s="52" t="s">
        <v>493</v>
      </c>
      <c r="B483" t="s">
        <v>1301</v>
      </c>
      <c r="C483">
        <v>1.667</v>
      </c>
      <c r="D483">
        <v>0.25</v>
      </c>
      <c r="E483">
        <f t="shared" si="7"/>
        <v>35.992801439712053</v>
      </c>
    </row>
    <row r="484" spans="1:5" x14ac:dyDescent="0.25">
      <c r="A484" s="52" t="s">
        <v>494</v>
      </c>
      <c r="B484" t="s">
        <v>1302</v>
      </c>
      <c r="C484">
        <v>0.58799999999999997</v>
      </c>
      <c r="D484">
        <v>0.25</v>
      </c>
      <c r="E484">
        <f t="shared" si="7"/>
        <v>102.04081632653062</v>
      </c>
    </row>
    <row r="485" spans="1:5" x14ac:dyDescent="0.25">
      <c r="A485" s="52" t="s">
        <v>495</v>
      </c>
      <c r="B485" s="53" t="s">
        <v>1302</v>
      </c>
      <c r="C485">
        <v>3.2429999999999999</v>
      </c>
      <c r="D485">
        <v>0.5</v>
      </c>
      <c r="E485">
        <f t="shared" si="7"/>
        <v>18.501387604070306</v>
      </c>
    </row>
    <row r="486" spans="1:5" x14ac:dyDescent="0.25">
      <c r="A486" s="52" t="s">
        <v>496</v>
      </c>
      <c r="B486" t="s">
        <v>1303</v>
      </c>
      <c r="C486">
        <v>0.58799999999999997</v>
      </c>
      <c r="D486">
        <v>0.25</v>
      </c>
      <c r="E486">
        <f t="shared" si="7"/>
        <v>102.04081632653062</v>
      </c>
    </row>
    <row r="487" spans="1:5" x14ac:dyDescent="0.25">
      <c r="A487" s="52" t="s">
        <v>497</v>
      </c>
      <c r="B487" s="53" t="s">
        <v>1303</v>
      </c>
      <c r="C487">
        <v>5.0339999999999998</v>
      </c>
      <c r="D487">
        <v>0.5</v>
      </c>
      <c r="E487">
        <f t="shared" si="7"/>
        <v>11.918951132300357</v>
      </c>
    </row>
    <row r="488" spans="1:5" x14ac:dyDescent="0.25">
      <c r="A488" s="52" t="s">
        <v>498</v>
      </c>
      <c r="B488" t="s">
        <v>1304</v>
      </c>
      <c r="C488">
        <v>0.58799999999999997</v>
      </c>
      <c r="D488">
        <v>0.25</v>
      </c>
      <c r="E488">
        <f t="shared" si="7"/>
        <v>102.04081632653062</v>
      </c>
    </row>
    <row r="489" spans="1:5" x14ac:dyDescent="0.25">
      <c r="A489" s="52" t="s">
        <v>499</v>
      </c>
      <c r="B489" s="53" t="s">
        <v>1304</v>
      </c>
      <c r="C489">
        <v>7.5510000000000002</v>
      </c>
      <c r="D489">
        <v>0.5</v>
      </c>
      <c r="E489">
        <f t="shared" si="7"/>
        <v>7.9459674215335712</v>
      </c>
    </row>
    <row r="490" spans="1:5" x14ac:dyDescent="0.25">
      <c r="A490" s="52" t="s">
        <v>500</v>
      </c>
      <c r="B490" t="s">
        <v>1305</v>
      </c>
      <c r="C490">
        <v>0.58799999999999997</v>
      </c>
      <c r="D490">
        <v>0.25</v>
      </c>
      <c r="E490">
        <f t="shared" si="7"/>
        <v>102.04081632653062</v>
      </c>
    </row>
    <row r="491" spans="1:5" x14ac:dyDescent="0.25">
      <c r="A491" s="52" t="s">
        <v>501</v>
      </c>
      <c r="B491" s="53" t="s">
        <v>1305</v>
      </c>
      <c r="C491">
        <v>5.0339999999999998</v>
      </c>
      <c r="D491">
        <v>0.5</v>
      </c>
      <c r="E491">
        <f t="shared" si="7"/>
        <v>11.918951132300357</v>
      </c>
    </row>
    <row r="492" spans="1:5" x14ac:dyDescent="0.25">
      <c r="A492" s="52" t="s">
        <v>502</v>
      </c>
      <c r="B492" t="s">
        <v>1305</v>
      </c>
      <c r="C492">
        <v>6.2249999999999996</v>
      </c>
      <c r="D492">
        <v>0.25</v>
      </c>
      <c r="E492">
        <f t="shared" si="7"/>
        <v>9.6385542168674707</v>
      </c>
    </row>
    <row r="493" spans="1:5" x14ac:dyDescent="0.25">
      <c r="A493" s="52" t="s">
        <v>503</v>
      </c>
      <c r="B493" t="s">
        <v>1306</v>
      </c>
      <c r="C493">
        <v>0.39200000000000002</v>
      </c>
      <c r="D493">
        <v>0.25</v>
      </c>
      <c r="E493">
        <f t="shared" si="7"/>
        <v>153.0612244897959</v>
      </c>
    </row>
    <row r="494" spans="1:5" x14ac:dyDescent="0.25">
      <c r="A494" s="52" t="s">
        <v>504</v>
      </c>
      <c r="B494" s="53" t="s">
        <v>1306</v>
      </c>
      <c r="C494">
        <v>0.55000000000000004</v>
      </c>
      <c r="D494">
        <v>0.5</v>
      </c>
      <c r="E494">
        <f t="shared" si="7"/>
        <v>109.09090909090908</v>
      </c>
    </row>
    <row r="495" spans="1:5" x14ac:dyDescent="0.25">
      <c r="A495" s="52" t="s">
        <v>505</v>
      </c>
      <c r="B495" t="s">
        <v>1307</v>
      </c>
      <c r="C495">
        <v>0.39200000000000002</v>
      </c>
      <c r="D495">
        <v>0.25</v>
      </c>
      <c r="E495">
        <f t="shared" si="7"/>
        <v>153.0612244897959</v>
      </c>
    </row>
    <row r="496" spans="1:5" x14ac:dyDescent="0.25">
      <c r="A496" s="52" t="s">
        <v>506</v>
      </c>
      <c r="B496" s="53" t="s">
        <v>1307</v>
      </c>
      <c r="C496">
        <v>0.55000000000000004</v>
      </c>
      <c r="D496">
        <v>0.5</v>
      </c>
      <c r="E496">
        <f t="shared" si="7"/>
        <v>109.09090909090908</v>
      </c>
    </row>
    <row r="497" spans="1:5" x14ac:dyDescent="0.25">
      <c r="A497" s="52" t="s">
        <v>507</v>
      </c>
      <c r="B497" t="s">
        <v>1308</v>
      </c>
      <c r="C497">
        <v>0.39200000000000002</v>
      </c>
      <c r="D497">
        <v>0.25</v>
      </c>
      <c r="E497">
        <f t="shared" si="7"/>
        <v>153.0612244897959</v>
      </c>
    </row>
    <row r="498" spans="1:5" x14ac:dyDescent="0.25">
      <c r="A498" s="52" t="s">
        <v>508</v>
      </c>
      <c r="B498" s="53" t="s">
        <v>1309</v>
      </c>
      <c r="C498">
        <v>0.35299999999999998</v>
      </c>
      <c r="D498">
        <v>0.5</v>
      </c>
      <c r="E498">
        <f t="shared" si="7"/>
        <v>169.97167138810198</v>
      </c>
    </row>
    <row r="499" spans="1:5" x14ac:dyDescent="0.25">
      <c r="A499" s="52" t="s">
        <v>509</v>
      </c>
      <c r="B499" t="s">
        <v>1310</v>
      </c>
      <c r="C499">
        <v>0.58799999999999997</v>
      </c>
      <c r="D499">
        <v>0.25</v>
      </c>
      <c r="E499">
        <f t="shared" si="7"/>
        <v>102.04081632653062</v>
      </c>
    </row>
    <row r="500" spans="1:5" x14ac:dyDescent="0.25">
      <c r="A500" s="52" t="s">
        <v>510</v>
      </c>
      <c r="B500" s="53" t="s">
        <v>1310</v>
      </c>
      <c r="C500">
        <v>1.784</v>
      </c>
      <c r="D500">
        <v>0.5</v>
      </c>
      <c r="E500">
        <f t="shared" si="7"/>
        <v>33.632286995515692</v>
      </c>
    </row>
    <row r="501" spans="1:5" x14ac:dyDescent="0.25">
      <c r="A501" s="52" t="s">
        <v>511</v>
      </c>
      <c r="B501" t="s">
        <v>1311</v>
      </c>
      <c r="C501">
        <v>2.427</v>
      </c>
      <c r="D501">
        <v>0.25</v>
      </c>
      <c r="E501">
        <f t="shared" si="7"/>
        <v>24.72187886279357</v>
      </c>
    </row>
    <row r="502" spans="1:5" x14ac:dyDescent="0.25">
      <c r="A502" s="52" t="s">
        <v>512</v>
      </c>
      <c r="B502" t="s">
        <v>1312</v>
      </c>
      <c r="C502">
        <v>0.39200000000000002</v>
      </c>
      <c r="D502">
        <v>0.25</v>
      </c>
      <c r="E502">
        <f t="shared" si="7"/>
        <v>153.0612244897959</v>
      </c>
    </row>
    <row r="503" spans="1:5" x14ac:dyDescent="0.25">
      <c r="A503" s="52" t="s">
        <v>513</v>
      </c>
      <c r="B503" s="53" t="s">
        <v>1312</v>
      </c>
      <c r="C503">
        <v>0.15</v>
      </c>
      <c r="D503">
        <v>0.5</v>
      </c>
      <c r="E503">
        <f t="shared" si="7"/>
        <v>400</v>
      </c>
    </row>
    <row r="504" spans="1:5" x14ac:dyDescent="0.25">
      <c r="A504" s="52" t="s">
        <v>514</v>
      </c>
      <c r="B504" s="53" t="s">
        <v>1059</v>
      </c>
      <c r="C504">
        <v>0.47199999999999998</v>
      </c>
      <c r="D504">
        <v>0.5</v>
      </c>
      <c r="E504">
        <f t="shared" si="7"/>
        <v>127.11864406779662</v>
      </c>
    </row>
    <row r="505" spans="1:5" x14ac:dyDescent="0.25">
      <c r="A505" s="52" t="s">
        <v>515</v>
      </c>
      <c r="B505" t="s">
        <v>1096</v>
      </c>
      <c r="C505">
        <v>0.98</v>
      </c>
      <c r="D505">
        <v>0.25</v>
      </c>
      <c r="E505">
        <f t="shared" si="7"/>
        <v>61.224489795918366</v>
      </c>
    </row>
    <row r="506" spans="1:5" x14ac:dyDescent="0.25">
      <c r="A506" s="52" t="s">
        <v>516</v>
      </c>
      <c r="B506" s="53" t="s">
        <v>1096</v>
      </c>
      <c r="C506">
        <v>0.90600000000000003</v>
      </c>
      <c r="D506">
        <v>0.5</v>
      </c>
      <c r="E506">
        <f t="shared" si="7"/>
        <v>66.225165562913901</v>
      </c>
    </row>
    <row r="507" spans="1:5" x14ac:dyDescent="0.25">
      <c r="A507" s="52" t="s">
        <v>517</v>
      </c>
      <c r="B507" t="s">
        <v>1313</v>
      </c>
      <c r="C507">
        <v>0.58799999999999997</v>
      </c>
      <c r="D507">
        <v>0.25</v>
      </c>
      <c r="E507">
        <f t="shared" si="7"/>
        <v>102.04081632653062</v>
      </c>
    </row>
    <row r="508" spans="1:5" x14ac:dyDescent="0.25">
      <c r="A508" s="52" t="s">
        <v>518</v>
      </c>
      <c r="B508" s="53" t="s">
        <v>1313</v>
      </c>
      <c r="C508">
        <v>0.629</v>
      </c>
      <c r="D508">
        <v>0.5</v>
      </c>
      <c r="E508">
        <f t="shared" si="7"/>
        <v>95.389507154213035</v>
      </c>
    </row>
    <row r="509" spans="1:5" x14ac:dyDescent="0.25">
      <c r="A509" s="52" t="s">
        <v>519</v>
      </c>
      <c r="B509" t="s">
        <v>1314</v>
      </c>
      <c r="C509">
        <v>0.58799999999999997</v>
      </c>
      <c r="D509">
        <v>0.25</v>
      </c>
      <c r="E509">
        <f t="shared" si="7"/>
        <v>102.04081632653062</v>
      </c>
    </row>
    <row r="510" spans="1:5" x14ac:dyDescent="0.25">
      <c r="A510" s="52" t="s">
        <v>520</v>
      </c>
      <c r="B510" s="53" t="s">
        <v>1314</v>
      </c>
      <c r="C510">
        <v>0.65</v>
      </c>
      <c r="D510">
        <v>0.5</v>
      </c>
      <c r="E510">
        <f t="shared" si="7"/>
        <v>92.307692307692307</v>
      </c>
    </row>
    <row r="511" spans="1:5" x14ac:dyDescent="0.25">
      <c r="A511" s="52" t="s">
        <v>521</v>
      </c>
      <c r="B511" s="53" t="s">
        <v>1060</v>
      </c>
      <c r="C511">
        <v>0.51</v>
      </c>
      <c r="D511">
        <v>0.5</v>
      </c>
      <c r="E511">
        <f t="shared" si="7"/>
        <v>117.64705882352941</v>
      </c>
    </row>
    <row r="512" spans="1:5" x14ac:dyDescent="0.25">
      <c r="A512" s="52" t="s">
        <v>522</v>
      </c>
      <c r="B512" t="s">
        <v>1182</v>
      </c>
      <c r="C512">
        <v>3.4000000000000002E-2</v>
      </c>
      <c r="D512">
        <v>1.5</v>
      </c>
      <c r="E512">
        <f t="shared" si="7"/>
        <v>1764.705882352941</v>
      </c>
    </row>
    <row r="513" spans="1:5" x14ac:dyDescent="0.25">
      <c r="A513" s="52" t="s">
        <v>523</v>
      </c>
      <c r="B513" t="s">
        <v>1183</v>
      </c>
      <c r="C513">
        <v>0.06</v>
      </c>
      <c r="D513">
        <v>0.5</v>
      </c>
      <c r="E513">
        <f t="shared" si="7"/>
        <v>1000</v>
      </c>
    </row>
    <row r="514" spans="1:5" x14ac:dyDescent="0.25">
      <c r="A514" s="52" t="s">
        <v>524</v>
      </c>
      <c r="B514" t="s">
        <v>1315</v>
      </c>
      <c r="C514">
        <v>1.0999999999999999E-2</v>
      </c>
      <c r="D514">
        <v>0.5</v>
      </c>
      <c r="E514">
        <f t="shared" si="7"/>
        <v>5454.545454545455</v>
      </c>
    </row>
    <row r="515" spans="1:5" x14ac:dyDescent="0.25">
      <c r="A515" s="52" t="s">
        <v>525</v>
      </c>
      <c r="B515" t="s">
        <v>1315</v>
      </c>
      <c r="C515">
        <v>1.4999999999999999E-2</v>
      </c>
      <c r="D515">
        <v>0.5</v>
      </c>
      <c r="E515">
        <f t="shared" si="7"/>
        <v>4000</v>
      </c>
    </row>
    <row r="516" spans="1:5" x14ac:dyDescent="0.25">
      <c r="A516" s="52" t="s">
        <v>526</v>
      </c>
      <c r="B516" s="53" t="s">
        <v>1316</v>
      </c>
      <c r="C516">
        <v>0.83299999999999996</v>
      </c>
      <c r="D516">
        <v>0.16</v>
      </c>
      <c r="E516">
        <f t="shared" ref="E516:E579" si="8">60/C516</f>
        <v>72.02881152460985</v>
      </c>
    </row>
    <row r="517" spans="1:5" x14ac:dyDescent="0.25">
      <c r="A517" s="52" t="s">
        <v>527</v>
      </c>
      <c r="B517" t="s">
        <v>1316</v>
      </c>
      <c r="C517">
        <v>0.75</v>
      </c>
      <c r="D517">
        <v>1</v>
      </c>
      <c r="E517">
        <f t="shared" si="8"/>
        <v>80</v>
      </c>
    </row>
    <row r="518" spans="1:5" x14ac:dyDescent="0.25">
      <c r="A518" s="52" t="s">
        <v>528</v>
      </c>
      <c r="B518" s="53" t="s">
        <v>1316</v>
      </c>
      <c r="C518">
        <v>0.83299999999999996</v>
      </c>
      <c r="D518">
        <v>0.16</v>
      </c>
      <c r="E518">
        <f t="shared" si="8"/>
        <v>72.02881152460985</v>
      </c>
    </row>
    <row r="519" spans="1:5" x14ac:dyDescent="0.25">
      <c r="A519" s="52" t="s">
        <v>529</v>
      </c>
      <c r="B519" t="s">
        <v>1316</v>
      </c>
      <c r="C519">
        <v>0.75</v>
      </c>
      <c r="D519">
        <v>1</v>
      </c>
      <c r="E519">
        <f t="shared" si="8"/>
        <v>80</v>
      </c>
    </row>
    <row r="520" spans="1:5" x14ac:dyDescent="0.25">
      <c r="A520" s="52" t="s">
        <v>530</v>
      </c>
      <c r="B520" t="s">
        <v>1316</v>
      </c>
      <c r="C520">
        <v>1.25</v>
      </c>
      <c r="D520">
        <v>0.25</v>
      </c>
      <c r="E520">
        <f t="shared" si="8"/>
        <v>48</v>
      </c>
    </row>
    <row r="521" spans="1:5" x14ac:dyDescent="0.25">
      <c r="A521" s="52" t="s">
        <v>531</v>
      </c>
      <c r="B521" s="53" t="s">
        <v>1316</v>
      </c>
      <c r="C521">
        <v>2.6640000000000001</v>
      </c>
      <c r="D521">
        <v>0.16</v>
      </c>
      <c r="E521">
        <f t="shared" si="8"/>
        <v>22.522522522522522</v>
      </c>
    </row>
    <row r="522" spans="1:5" x14ac:dyDescent="0.25">
      <c r="A522" s="52" t="s">
        <v>532</v>
      </c>
      <c r="B522" s="53" t="s">
        <v>1316</v>
      </c>
      <c r="C522">
        <v>0.43099999999999999</v>
      </c>
      <c r="D522">
        <v>0.25</v>
      </c>
      <c r="E522">
        <f t="shared" si="8"/>
        <v>139.21113689095128</v>
      </c>
    </row>
    <row r="523" spans="1:5" x14ac:dyDescent="0.25">
      <c r="A523" s="52" t="s">
        <v>533</v>
      </c>
      <c r="B523" t="s">
        <v>1316</v>
      </c>
      <c r="C523">
        <v>1.25</v>
      </c>
      <c r="D523">
        <v>0.25</v>
      </c>
      <c r="E523">
        <f t="shared" si="8"/>
        <v>48</v>
      </c>
    </row>
    <row r="524" spans="1:5" x14ac:dyDescent="0.25">
      <c r="A524" s="52" t="s">
        <v>534</v>
      </c>
      <c r="B524" s="53" t="s">
        <v>1316</v>
      </c>
      <c r="C524">
        <v>3.222</v>
      </c>
      <c r="D524">
        <v>0.16</v>
      </c>
      <c r="E524">
        <f t="shared" si="8"/>
        <v>18.6219739292365</v>
      </c>
    </row>
    <row r="525" spans="1:5" x14ac:dyDescent="0.25">
      <c r="A525" s="52" t="s">
        <v>535</v>
      </c>
      <c r="B525" s="53" t="s">
        <v>1316</v>
      </c>
      <c r="C525">
        <v>0.72899999999999998</v>
      </c>
      <c r="D525">
        <v>0.25</v>
      </c>
      <c r="E525">
        <f t="shared" si="8"/>
        <v>82.304526748971199</v>
      </c>
    </row>
    <row r="526" spans="1:5" x14ac:dyDescent="0.25">
      <c r="A526" s="52" t="s">
        <v>536</v>
      </c>
      <c r="B526" t="s">
        <v>1316</v>
      </c>
      <c r="C526">
        <v>1.75</v>
      </c>
      <c r="D526">
        <v>0.25</v>
      </c>
      <c r="E526">
        <f t="shared" si="8"/>
        <v>34.285714285714285</v>
      </c>
    </row>
    <row r="527" spans="1:5" x14ac:dyDescent="0.25">
      <c r="A527" s="52" t="s">
        <v>537</v>
      </c>
      <c r="B527" s="53" t="s">
        <v>1316</v>
      </c>
      <c r="C527">
        <v>2.2410000000000001</v>
      </c>
      <c r="D527">
        <v>0.16</v>
      </c>
      <c r="E527">
        <f t="shared" si="8"/>
        <v>26.773761713520749</v>
      </c>
    </row>
    <row r="528" spans="1:5" x14ac:dyDescent="0.25">
      <c r="A528" s="52" t="s">
        <v>538</v>
      </c>
      <c r="B528" s="53" t="s">
        <v>1316</v>
      </c>
      <c r="C528">
        <v>0.48299999999999998</v>
      </c>
      <c r="D528">
        <v>0.25</v>
      </c>
      <c r="E528">
        <f t="shared" si="8"/>
        <v>124.22360248447205</v>
      </c>
    </row>
    <row r="529" spans="1:5" x14ac:dyDescent="0.25">
      <c r="A529" s="52" t="s">
        <v>539</v>
      </c>
      <c r="B529" t="s">
        <v>1316</v>
      </c>
      <c r="C529">
        <v>1.083</v>
      </c>
      <c r="D529">
        <v>0.25</v>
      </c>
      <c r="E529">
        <f t="shared" si="8"/>
        <v>55.4016620498615</v>
      </c>
    </row>
    <row r="530" spans="1:5" x14ac:dyDescent="0.25">
      <c r="A530" s="52" t="s">
        <v>540</v>
      </c>
      <c r="B530" s="53" t="s">
        <v>1316</v>
      </c>
      <c r="C530">
        <v>2.4849999999999999</v>
      </c>
      <c r="D530">
        <v>0.16</v>
      </c>
      <c r="E530">
        <f t="shared" si="8"/>
        <v>24.144869215291752</v>
      </c>
    </row>
    <row r="531" spans="1:5" x14ac:dyDescent="0.25">
      <c r="A531" s="52" t="s">
        <v>541</v>
      </c>
      <c r="B531" s="53" t="s">
        <v>1316</v>
      </c>
      <c r="C531">
        <v>0.66400000000000003</v>
      </c>
      <c r="D531">
        <v>0.25</v>
      </c>
      <c r="E531">
        <f t="shared" si="8"/>
        <v>90.361445783132524</v>
      </c>
    </row>
    <row r="532" spans="1:5" x14ac:dyDescent="0.25">
      <c r="A532" s="52" t="s">
        <v>542</v>
      </c>
      <c r="B532" t="s">
        <v>1316</v>
      </c>
      <c r="C532">
        <v>4</v>
      </c>
      <c r="D532">
        <v>0.5</v>
      </c>
      <c r="E532">
        <f t="shared" si="8"/>
        <v>15</v>
      </c>
    </row>
    <row r="533" spans="1:5" x14ac:dyDescent="0.25">
      <c r="A533" s="52" t="s">
        <v>543</v>
      </c>
      <c r="B533" t="s">
        <v>1316</v>
      </c>
      <c r="C533">
        <v>1.7470000000000001</v>
      </c>
      <c r="D533">
        <v>0.5</v>
      </c>
      <c r="E533">
        <f t="shared" si="8"/>
        <v>34.344590726960504</v>
      </c>
    </row>
    <row r="534" spans="1:5" x14ac:dyDescent="0.25">
      <c r="A534" s="52" t="s">
        <v>544</v>
      </c>
      <c r="B534" t="s">
        <v>1316</v>
      </c>
      <c r="C534">
        <v>1</v>
      </c>
      <c r="D534">
        <v>0.5</v>
      </c>
      <c r="E534">
        <f t="shared" si="8"/>
        <v>60</v>
      </c>
    </row>
    <row r="535" spans="1:5" x14ac:dyDescent="0.25">
      <c r="A535" s="52" t="s">
        <v>545</v>
      </c>
      <c r="B535" t="s">
        <v>1316</v>
      </c>
      <c r="C535">
        <v>1.917</v>
      </c>
      <c r="D535">
        <v>0.25</v>
      </c>
      <c r="E535">
        <f t="shared" si="8"/>
        <v>31.298904538341159</v>
      </c>
    </row>
    <row r="536" spans="1:5" x14ac:dyDescent="0.25">
      <c r="A536" s="52" t="s">
        <v>546</v>
      </c>
      <c r="B536" s="53" t="s">
        <v>1316</v>
      </c>
      <c r="C536">
        <v>5.0970000000000004</v>
      </c>
      <c r="D536">
        <v>0.16</v>
      </c>
      <c r="E536">
        <f t="shared" si="8"/>
        <v>11.771630370806356</v>
      </c>
    </row>
    <row r="537" spans="1:5" x14ac:dyDescent="0.25">
      <c r="A537" s="52" t="s">
        <v>547</v>
      </c>
      <c r="B537" s="53" t="s">
        <v>1316</v>
      </c>
      <c r="C537">
        <v>1.778</v>
      </c>
      <c r="D537">
        <v>0.25</v>
      </c>
      <c r="E537">
        <f t="shared" si="8"/>
        <v>33.745781777277841</v>
      </c>
    </row>
    <row r="538" spans="1:5" x14ac:dyDescent="0.25">
      <c r="A538" s="52" t="s">
        <v>548</v>
      </c>
      <c r="B538" t="s">
        <v>1316</v>
      </c>
      <c r="C538">
        <v>1.149</v>
      </c>
      <c r="D538">
        <v>0.5</v>
      </c>
      <c r="E538">
        <f t="shared" si="8"/>
        <v>52.219321148825067</v>
      </c>
    </row>
    <row r="539" spans="1:5" x14ac:dyDescent="0.25">
      <c r="A539" s="52" t="s">
        <v>549</v>
      </c>
      <c r="B539" t="s">
        <v>1316</v>
      </c>
      <c r="C539">
        <v>1.917</v>
      </c>
      <c r="D539">
        <v>0.25</v>
      </c>
      <c r="E539">
        <f t="shared" si="8"/>
        <v>31.298904538341159</v>
      </c>
    </row>
    <row r="540" spans="1:5" x14ac:dyDescent="0.25">
      <c r="A540" s="52" t="s">
        <v>550</v>
      </c>
      <c r="B540" s="53" t="s">
        <v>1316</v>
      </c>
      <c r="C540">
        <v>6.2789999999999999</v>
      </c>
      <c r="D540">
        <v>0.16</v>
      </c>
      <c r="E540">
        <f t="shared" si="8"/>
        <v>9.5556617295747728</v>
      </c>
    </row>
    <row r="541" spans="1:5" x14ac:dyDescent="0.25">
      <c r="A541" s="52" t="s">
        <v>551</v>
      </c>
      <c r="B541" s="53" t="s">
        <v>1316</v>
      </c>
      <c r="C541">
        <v>2.0830000000000002</v>
      </c>
      <c r="D541">
        <v>0.25</v>
      </c>
      <c r="E541">
        <f t="shared" si="8"/>
        <v>28.804608737397981</v>
      </c>
    </row>
    <row r="542" spans="1:5" x14ac:dyDescent="0.25">
      <c r="A542" s="52" t="s">
        <v>552</v>
      </c>
      <c r="B542" t="s">
        <v>1316</v>
      </c>
      <c r="C542">
        <v>1.149</v>
      </c>
      <c r="D542">
        <v>0.5</v>
      </c>
      <c r="E542">
        <f t="shared" si="8"/>
        <v>52.219321148825067</v>
      </c>
    </row>
    <row r="543" spans="1:5" x14ac:dyDescent="0.25">
      <c r="A543" s="52" t="s">
        <v>553</v>
      </c>
      <c r="B543" t="s">
        <v>1316</v>
      </c>
      <c r="C543">
        <v>0.58299999999999996</v>
      </c>
      <c r="D543">
        <v>0.25</v>
      </c>
      <c r="E543">
        <f t="shared" si="8"/>
        <v>102.91595197255575</v>
      </c>
    </row>
    <row r="544" spans="1:5" x14ac:dyDescent="0.25">
      <c r="A544" s="52" t="s">
        <v>554</v>
      </c>
      <c r="B544" s="53" t="s">
        <v>1316</v>
      </c>
      <c r="C544">
        <v>0.223</v>
      </c>
      <c r="D544">
        <v>0.16</v>
      </c>
      <c r="E544">
        <f t="shared" si="8"/>
        <v>269.05829596412553</v>
      </c>
    </row>
    <row r="545" spans="1:5" x14ac:dyDescent="0.25">
      <c r="A545" s="52" t="s">
        <v>555</v>
      </c>
      <c r="B545" s="53" t="s">
        <v>1316</v>
      </c>
      <c r="C545">
        <v>0.14199999999999999</v>
      </c>
      <c r="D545">
        <v>0.25</v>
      </c>
      <c r="E545">
        <f t="shared" si="8"/>
        <v>422.53521126760569</v>
      </c>
    </row>
    <row r="546" spans="1:5" x14ac:dyDescent="0.25">
      <c r="A546" s="52" t="s">
        <v>556</v>
      </c>
      <c r="B546" t="s">
        <v>1316</v>
      </c>
      <c r="C546">
        <v>0.58299999999999996</v>
      </c>
      <c r="D546">
        <v>0.25</v>
      </c>
      <c r="E546">
        <f t="shared" si="8"/>
        <v>102.91595197255575</v>
      </c>
    </row>
    <row r="547" spans="1:5" x14ac:dyDescent="0.25">
      <c r="A547" s="52" t="s">
        <v>557</v>
      </c>
      <c r="B547" s="53" t="s">
        <v>1316</v>
      </c>
      <c r="C547">
        <v>0.223</v>
      </c>
      <c r="D547">
        <v>0.16</v>
      </c>
      <c r="E547">
        <f t="shared" si="8"/>
        <v>269.05829596412553</v>
      </c>
    </row>
    <row r="548" spans="1:5" x14ac:dyDescent="0.25">
      <c r="A548" s="52" t="s">
        <v>558</v>
      </c>
      <c r="B548" s="53" t="s">
        <v>1316</v>
      </c>
      <c r="C548">
        <v>0.14199999999999999</v>
      </c>
      <c r="D548">
        <v>0.25</v>
      </c>
      <c r="E548">
        <f t="shared" si="8"/>
        <v>422.53521126760569</v>
      </c>
    </row>
    <row r="549" spans="1:5" x14ac:dyDescent="0.25">
      <c r="A549" s="52" t="s">
        <v>559</v>
      </c>
      <c r="B549" t="s">
        <v>1316</v>
      </c>
      <c r="C549">
        <v>1.917</v>
      </c>
      <c r="D549">
        <v>0.25</v>
      </c>
      <c r="E549">
        <f t="shared" si="8"/>
        <v>31.298904538341159</v>
      </c>
    </row>
    <row r="550" spans="1:5" x14ac:dyDescent="0.25">
      <c r="A550" s="52" t="s">
        <v>560</v>
      </c>
      <c r="B550" s="53" t="s">
        <v>1316</v>
      </c>
      <c r="C550">
        <v>2.0099999999999998</v>
      </c>
      <c r="D550">
        <v>0.16</v>
      </c>
      <c r="E550">
        <f t="shared" si="8"/>
        <v>29.850746268656721</v>
      </c>
    </row>
    <row r="551" spans="1:5" x14ac:dyDescent="0.25">
      <c r="A551" s="52" t="s">
        <v>561</v>
      </c>
      <c r="B551" s="53" t="s">
        <v>1316</v>
      </c>
      <c r="C551">
        <v>0.70099999999999996</v>
      </c>
      <c r="D551">
        <v>0.25</v>
      </c>
      <c r="E551">
        <f t="shared" si="8"/>
        <v>85.592011412268192</v>
      </c>
    </row>
    <row r="552" spans="1:5" x14ac:dyDescent="0.25">
      <c r="A552" s="52" t="s">
        <v>562</v>
      </c>
      <c r="B552" t="s">
        <v>1316</v>
      </c>
      <c r="C552">
        <v>3.17</v>
      </c>
      <c r="D552">
        <v>0.25</v>
      </c>
      <c r="E552">
        <f t="shared" si="8"/>
        <v>18.927444794952681</v>
      </c>
    </row>
    <row r="553" spans="1:5" x14ac:dyDescent="0.25">
      <c r="A553" s="52" t="s">
        <v>563</v>
      </c>
      <c r="B553" s="53" t="s">
        <v>1316</v>
      </c>
      <c r="C553">
        <v>4.6539999999999999</v>
      </c>
      <c r="D553">
        <v>0.16</v>
      </c>
      <c r="E553">
        <f t="shared" si="8"/>
        <v>12.89213579716373</v>
      </c>
    </row>
    <row r="554" spans="1:5" x14ac:dyDescent="0.25">
      <c r="A554" s="52" t="s">
        <v>564</v>
      </c>
      <c r="B554" s="53" t="s">
        <v>1316</v>
      </c>
      <c r="C554">
        <v>1.9239999999999999</v>
      </c>
      <c r="D554">
        <v>0.25</v>
      </c>
      <c r="E554">
        <f t="shared" si="8"/>
        <v>31.185031185031185</v>
      </c>
    </row>
    <row r="555" spans="1:5" x14ac:dyDescent="0.25">
      <c r="A555" s="52" t="s">
        <v>565</v>
      </c>
      <c r="B555" t="s">
        <v>1316</v>
      </c>
      <c r="C555">
        <v>1.25</v>
      </c>
      <c r="D555">
        <v>0.25</v>
      </c>
      <c r="E555">
        <f t="shared" si="8"/>
        <v>48</v>
      </c>
    </row>
    <row r="556" spans="1:5" x14ac:dyDescent="0.25">
      <c r="A556" s="52" t="s">
        <v>566</v>
      </c>
      <c r="B556" s="53" t="s">
        <v>1316</v>
      </c>
      <c r="C556">
        <v>3.843</v>
      </c>
      <c r="D556">
        <v>0.16</v>
      </c>
      <c r="E556">
        <f t="shared" si="8"/>
        <v>15.612802498048399</v>
      </c>
    </row>
    <row r="557" spans="1:5" x14ac:dyDescent="0.25">
      <c r="A557" s="52" t="s">
        <v>567</v>
      </c>
      <c r="B557" s="53" t="s">
        <v>1316</v>
      </c>
      <c r="C557">
        <v>0.78900000000000003</v>
      </c>
      <c r="D557">
        <v>0.25</v>
      </c>
      <c r="E557">
        <f t="shared" si="8"/>
        <v>76.045627376425855</v>
      </c>
    </row>
    <row r="558" spans="1:5" x14ac:dyDescent="0.25">
      <c r="A558" s="52" t="s">
        <v>568</v>
      </c>
      <c r="B558" t="s">
        <v>1316</v>
      </c>
      <c r="C558">
        <v>3.1669999999999998</v>
      </c>
      <c r="D558">
        <v>0.25</v>
      </c>
      <c r="E558">
        <f t="shared" si="8"/>
        <v>18.945374171139882</v>
      </c>
    </row>
    <row r="559" spans="1:5" x14ac:dyDescent="0.25">
      <c r="A559" s="52" t="s">
        <v>569</v>
      </c>
      <c r="B559" s="53" t="s">
        <v>1316</v>
      </c>
      <c r="C559">
        <v>5.8419999999999996</v>
      </c>
      <c r="D559">
        <v>0.16</v>
      </c>
      <c r="E559">
        <f t="shared" si="8"/>
        <v>10.270455323519343</v>
      </c>
    </row>
    <row r="560" spans="1:5" x14ac:dyDescent="0.25">
      <c r="A560" s="52" t="s">
        <v>570</v>
      </c>
      <c r="B560" s="53" t="s">
        <v>1316</v>
      </c>
      <c r="C560">
        <v>2.4380000000000002</v>
      </c>
      <c r="D560">
        <v>0.25</v>
      </c>
      <c r="E560">
        <f t="shared" si="8"/>
        <v>24.610336341263327</v>
      </c>
    </row>
    <row r="561" spans="1:5" x14ac:dyDescent="0.25">
      <c r="A561" s="52" t="s">
        <v>571</v>
      </c>
      <c r="B561" t="s">
        <v>1316</v>
      </c>
      <c r="C561">
        <v>1.25</v>
      </c>
      <c r="D561">
        <v>0.25</v>
      </c>
      <c r="E561">
        <f t="shared" si="8"/>
        <v>48</v>
      </c>
    </row>
    <row r="562" spans="1:5" x14ac:dyDescent="0.25">
      <c r="A562" s="52" t="s">
        <v>572</v>
      </c>
      <c r="B562" s="53" t="s">
        <v>1316</v>
      </c>
      <c r="C562">
        <v>0.86699999999999999</v>
      </c>
      <c r="D562">
        <v>0.25</v>
      </c>
      <c r="E562">
        <f t="shared" si="8"/>
        <v>69.20415224913495</v>
      </c>
    </row>
    <row r="563" spans="1:5" x14ac:dyDescent="0.25">
      <c r="A563" s="52" t="s">
        <v>573</v>
      </c>
      <c r="B563" t="s">
        <v>1316</v>
      </c>
      <c r="C563">
        <v>1.083</v>
      </c>
      <c r="D563">
        <v>0.25</v>
      </c>
      <c r="E563">
        <f t="shared" si="8"/>
        <v>55.4016620498615</v>
      </c>
    </row>
    <row r="564" spans="1:5" x14ac:dyDescent="0.25">
      <c r="A564" s="52" t="s">
        <v>574</v>
      </c>
      <c r="B564" s="53" t="s">
        <v>1316</v>
      </c>
      <c r="C564">
        <v>3.0979999999999999</v>
      </c>
      <c r="D564">
        <v>0.16</v>
      </c>
      <c r="E564">
        <f t="shared" si="8"/>
        <v>19.367333763718531</v>
      </c>
    </row>
    <row r="565" spans="1:5" x14ac:dyDescent="0.25">
      <c r="A565" s="52" t="s">
        <v>575</v>
      </c>
      <c r="B565" s="53" t="s">
        <v>1316</v>
      </c>
      <c r="C565">
        <v>0.875</v>
      </c>
      <c r="D565">
        <v>0.25</v>
      </c>
      <c r="E565">
        <f t="shared" si="8"/>
        <v>68.571428571428569</v>
      </c>
    </row>
    <row r="566" spans="1:5" x14ac:dyDescent="0.25">
      <c r="A566" s="52" t="s">
        <v>576</v>
      </c>
      <c r="B566" t="s">
        <v>1316</v>
      </c>
      <c r="C566">
        <v>0.91700000000000004</v>
      </c>
      <c r="D566">
        <v>0.25</v>
      </c>
      <c r="E566">
        <f t="shared" si="8"/>
        <v>65.430752453653213</v>
      </c>
    </row>
    <row r="567" spans="1:5" x14ac:dyDescent="0.25">
      <c r="A567" s="52" t="s">
        <v>577</v>
      </c>
      <c r="B567" s="53" t="s">
        <v>1316</v>
      </c>
      <c r="C567">
        <v>2.8780000000000001</v>
      </c>
      <c r="D567">
        <v>0.16</v>
      </c>
      <c r="E567">
        <f t="shared" si="8"/>
        <v>20.847810979847115</v>
      </c>
    </row>
    <row r="568" spans="1:5" x14ac:dyDescent="0.25">
      <c r="A568" s="52" t="s">
        <v>578</v>
      </c>
      <c r="B568" s="53" t="s">
        <v>1316</v>
      </c>
      <c r="C568">
        <v>0.53800000000000003</v>
      </c>
      <c r="D568">
        <v>0.25</v>
      </c>
      <c r="E568">
        <f t="shared" si="8"/>
        <v>111.52416356877323</v>
      </c>
    </row>
    <row r="569" spans="1:5" x14ac:dyDescent="0.25">
      <c r="A569" s="52" t="s">
        <v>579</v>
      </c>
      <c r="B569" t="s">
        <v>1316</v>
      </c>
      <c r="C569">
        <v>0.91700000000000004</v>
      </c>
      <c r="D569">
        <v>0.25</v>
      </c>
      <c r="E569">
        <f t="shared" si="8"/>
        <v>65.430752453653213</v>
      </c>
    </row>
    <row r="570" spans="1:5" x14ac:dyDescent="0.25">
      <c r="A570" s="52" t="s">
        <v>580</v>
      </c>
      <c r="B570" s="53" t="s">
        <v>1316</v>
      </c>
      <c r="C570">
        <v>2.8780000000000001</v>
      </c>
      <c r="D570">
        <v>0.16</v>
      </c>
      <c r="E570">
        <f t="shared" si="8"/>
        <v>20.847810979847115</v>
      </c>
    </row>
    <row r="571" spans="1:5" x14ac:dyDescent="0.25">
      <c r="A571" s="52" t="s">
        <v>581</v>
      </c>
      <c r="B571" s="53" t="s">
        <v>1316</v>
      </c>
      <c r="C571">
        <v>0.44800000000000001</v>
      </c>
      <c r="D571">
        <v>0.25</v>
      </c>
      <c r="E571">
        <f t="shared" si="8"/>
        <v>133.92857142857142</v>
      </c>
    </row>
    <row r="572" spans="1:5" x14ac:dyDescent="0.25">
      <c r="A572" s="52" t="s">
        <v>582</v>
      </c>
      <c r="B572" t="s">
        <v>1316</v>
      </c>
      <c r="C572">
        <v>2.25</v>
      </c>
      <c r="D572">
        <v>0.25</v>
      </c>
      <c r="E572">
        <f t="shared" si="8"/>
        <v>26.666666666666668</v>
      </c>
    </row>
    <row r="573" spans="1:5" x14ac:dyDescent="0.25">
      <c r="A573" s="52" t="s">
        <v>583</v>
      </c>
      <c r="B573" s="53" t="s">
        <v>1316</v>
      </c>
      <c r="C573">
        <v>2.988</v>
      </c>
      <c r="D573">
        <v>0.16</v>
      </c>
      <c r="E573">
        <f t="shared" si="8"/>
        <v>20.080321285140563</v>
      </c>
    </row>
    <row r="574" spans="1:5" x14ac:dyDescent="0.25">
      <c r="A574" s="52" t="s">
        <v>584</v>
      </c>
      <c r="B574" s="53" t="s">
        <v>1316</v>
      </c>
      <c r="C574">
        <v>0.55200000000000005</v>
      </c>
      <c r="D574">
        <v>0.25</v>
      </c>
      <c r="E574">
        <f t="shared" si="8"/>
        <v>108.69565217391303</v>
      </c>
    </row>
    <row r="575" spans="1:5" x14ac:dyDescent="0.25">
      <c r="A575" s="52" t="s">
        <v>585</v>
      </c>
      <c r="B575" t="s">
        <v>1316</v>
      </c>
      <c r="C575">
        <v>2.25</v>
      </c>
      <c r="D575">
        <v>0.25</v>
      </c>
      <c r="E575">
        <f t="shared" si="8"/>
        <v>26.666666666666668</v>
      </c>
    </row>
    <row r="576" spans="1:5" x14ac:dyDescent="0.25">
      <c r="A576" s="52" t="s">
        <v>586</v>
      </c>
      <c r="B576" s="53" t="s">
        <v>1316</v>
      </c>
      <c r="C576">
        <v>2.988</v>
      </c>
      <c r="D576">
        <v>0.16</v>
      </c>
      <c r="E576">
        <f t="shared" si="8"/>
        <v>20.080321285140563</v>
      </c>
    </row>
    <row r="577" spans="1:5" x14ac:dyDescent="0.25">
      <c r="A577" s="52" t="s">
        <v>587</v>
      </c>
      <c r="B577" s="53" t="s">
        <v>1316</v>
      </c>
      <c r="C577">
        <v>0.54600000000000004</v>
      </c>
      <c r="D577">
        <v>0.25</v>
      </c>
      <c r="E577">
        <f t="shared" si="8"/>
        <v>109.89010989010988</v>
      </c>
    </row>
    <row r="578" spans="1:5" x14ac:dyDescent="0.25">
      <c r="A578" s="52" t="s">
        <v>588</v>
      </c>
      <c r="B578" t="s">
        <v>1316</v>
      </c>
      <c r="C578">
        <v>0.91700000000000004</v>
      </c>
      <c r="D578">
        <v>0.25</v>
      </c>
      <c r="E578">
        <f t="shared" si="8"/>
        <v>65.430752453653213</v>
      </c>
    </row>
    <row r="579" spans="1:5" x14ac:dyDescent="0.25">
      <c r="A579" s="52" t="s">
        <v>589</v>
      </c>
      <c r="B579" s="53" t="s">
        <v>1316</v>
      </c>
      <c r="C579">
        <v>3.4889999999999999</v>
      </c>
      <c r="D579">
        <v>0.16</v>
      </c>
      <c r="E579">
        <f t="shared" si="8"/>
        <v>17.196904557179707</v>
      </c>
    </row>
    <row r="580" spans="1:5" x14ac:dyDescent="0.25">
      <c r="A580" s="52" t="s">
        <v>590</v>
      </c>
      <c r="B580" s="53" t="s">
        <v>1316</v>
      </c>
      <c r="C580">
        <v>0.52300000000000002</v>
      </c>
      <c r="D580">
        <v>0.25</v>
      </c>
      <c r="E580">
        <f t="shared" ref="E580:E643" si="9">60/C580</f>
        <v>114.7227533460803</v>
      </c>
    </row>
    <row r="581" spans="1:5" x14ac:dyDescent="0.25">
      <c r="A581" s="52" t="s">
        <v>591</v>
      </c>
      <c r="B581" t="s">
        <v>1316</v>
      </c>
      <c r="C581">
        <v>2.25</v>
      </c>
      <c r="D581">
        <v>0.25</v>
      </c>
      <c r="E581">
        <f t="shared" si="9"/>
        <v>26.666666666666668</v>
      </c>
    </row>
    <row r="582" spans="1:5" x14ac:dyDescent="0.25">
      <c r="A582" s="52" t="s">
        <v>592</v>
      </c>
      <c r="B582" s="53" t="s">
        <v>1316</v>
      </c>
      <c r="C582">
        <v>3.5990000000000002</v>
      </c>
      <c r="D582">
        <v>0.16</v>
      </c>
      <c r="E582">
        <f t="shared" si="9"/>
        <v>16.67129758266185</v>
      </c>
    </row>
    <row r="583" spans="1:5" x14ac:dyDescent="0.25">
      <c r="A583" s="52" t="s">
        <v>593</v>
      </c>
      <c r="B583" s="53" t="s">
        <v>1316</v>
      </c>
      <c r="C583">
        <v>0.63300000000000001</v>
      </c>
      <c r="D583">
        <v>0.25</v>
      </c>
      <c r="E583">
        <f t="shared" si="9"/>
        <v>94.786729857819907</v>
      </c>
    </row>
    <row r="584" spans="1:5" x14ac:dyDescent="0.25">
      <c r="A584" s="52" t="s">
        <v>594</v>
      </c>
      <c r="B584" t="s">
        <v>1316</v>
      </c>
      <c r="C584">
        <v>1.25</v>
      </c>
      <c r="D584">
        <v>0.25</v>
      </c>
      <c r="E584">
        <f t="shared" si="9"/>
        <v>48</v>
      </c>
    </row>
    <row r="585" spans="1:5" x14ac:dyDescent="0.25">
      <c r="A585" s="52" t="s">
        <v>595</v>
      </c>
      <c r="B585" s="53" t="s">
        <v>1316</v>
      </c>
      <c r="C585">
        <v>0.505</v>
      </c>
      <c r="D585">
        <v>0.25</v>
      </c>
      <c r="E585">
        <f t="shared" si="9"/>
        <v>118.81188118811882</v>
      </c>
    </row>
    <row r="586" spans="1:5" x14ac:dyDescent="0.25">
      <c r="A586" s="52" t="s">
        <v>596</v>
      </c>
      <c r="B586" t="s">
        <v>1316</v>
      </c>
      <c r="C586">
        <v>0.75</v>
      </c>
      <c r="D586">
        <v>0.25</v>
      </c>
      <c r="E586">
        <f t="shared" si="9"/>
        <v>80</v>
      </c>
    </row>
    <row r="587" spans="1:5" x14ac:dyDescent="0.25">
      <c r="A587" s="52" t="s">
        <v>597</v>
      </c>
      <c r="B587" s="53" t="s">
        <v>1316</v>
      </c>
      <c r="C587">
        <v>1.377</v>
      </c>
      <c r="D587">
        <v>0.16</v>
      </c>
      <c r="E587">
        <f t="shared" si="9"/>
        <v>43.572984749455337</v>
      </c>
    </row>
    <row r="588" spans="1:5" x14ac:dyDescent="0.25">
      <c r="A588" s="52" t="s">
        <v>598</v>
      </c>
      <c r="B588" s="53" t="s">
        <v>1316</v>
      </c>
      <c r="C588">
        <v>0.29399999999999998</v>
      </c>
      <c r="D588">
        <v>0.25</v>
      </c>
      <c r="E588">
        <f t="shared" si="9"/>
        <v>204.08163265306123</v>
      </c>
    </row>
    <row r="589" spans="1:5" x14ac:dyDescent="0.25">
      <c r="A589" s="52" t="s">
        <v>599</v>
      </c>
      <c r="B589" t="s">
        <v>1316</v>
      </c>
      <c r="C589">
        <v>1.583</v>
      </c>
      <c r="D589">
        <v>0.25</v>
      </c>
      <c r="E589">
        <f t="shared" si="9"/>
        <v>37.90271636133923</v>
      </c>
    </row>
    <row r="590" spans="1:5" x14ac:dyDescent="0.25">
      <c r="A590" s="52" t="s">
        <v>600</v>
      </c>
      <c r="B590" s="53" t="s">
        <v>1316</v>
      </c>
      <c r="C590">
        <v>3.835</v>
      </c>
      <c r="D590">
        <v>0.16</v>
      </c>
      <c r="E590">
        <f t="shared" si="9"/>
        <v>15.645371577574968</v>
      </c>
    </row>
    <row r="591" spans="1:5" x14ac:dyDescent="0.25">
      <c r="A591" s="52" t="s">
        <v>601</v>
      </c>
      <c r="B591" s="53" t="s">
        <v>1316</v>
      </c>
      <c r="C591">
        <v>0.88</v>
      </c>
      <c r="D591">
        <v>0.25</v>
      </c>
      <c r="E591">
        <f t="shared" si="9"/>
        <v>68.181818181818187</v>
      </c>
    </row>
    <row r="592" spans="1:5" x14ac:dyDescent="0.25">
      <c r="A592" s="52" t="s">
        <v>602</v>
      </c>
      <c r="B592" t="s">
        <v>1316</v>
      </c>
      <c r="C592">
        <v>1.75</v>
      </c>
      <c r="D592">
        <v>0.25</v>
      </c>
      <c r="E592">
        <f t="shared" si="9"/>
        <v>34.285714285714285</v>
      </c>
    </row>
    <row r="593" spans="1:5" x14ac:dyDescent="0.25">
      <c r="A593" s="52" t="s">
        <v>603</v>
      </c>
      <c r="B593" s="53" t="s">
        <v>1316</v>
      </c>
      <c r="C593">
        <v>0.48</v>
      </c>
      <c r="D593">
        <v>0.25</v>
      </c>
      <c r="E593">
        <f t="shared" si="9"/>
        <v>125</v>
      </c>
    </row>
    <row r="594" spans="1:5" x14ac:dyDescent="0.25">
      <c r="A594" s="52" t="s">
        <v>604</v>
      </c>
      <c r="B594" t="s">
        <v>1316</v>
      </c>
      <c r="C594">
        <v>0.58299999999999996</v>
      </c>
      <c r="D594">
        <v>0.25</v>
      </c>
      <c r="E594">
        <f t="shared" si="9"/>
        <v>102.91595197255575</v>
      </c>
    </row>
    <row r="595" spans="1:5" x14ac:dyDescent="0.25">
      <c r="A595" s="52" t="s">
        <v>605</v>
      </c>
      <c r="B595" s="53" t="s">
        <v>1316</v>
      </c>
      <c r="C595">
        <v>2.4220000000000002</v>
      </c>
      <c r="D595">
        <v>0.16</v>
      </c>
      <c r="E595">
        <f t="shared" si="9"/>
        <v>24.772914946325351</v>
      </c>
    </row>
    <row r="596" spans="1:5" x14ac:dyDescent="0.25">
      <c r="A596" s="52" t="s">
        <v>606</v>
      </c>
      <c r="B596" s="53" t="s">
        <v>1316</v>
      </c>
      <c r="C596">
        <v>0.47099999999999997</v>
      </c>
      <c r="D596">
        <v>0.25</v>
      </c>
      <c r="E596">
        <f t="shared" si="9"/>
        <v>127.38853503184714</v>
      </c>
    </row>
    <row r="597" spans="1:5" x14ac:dyDescent="0.25">
      <c r="A597" s="52" t="s">
        <v>607</v>
      </c>
      <c r="B597" t="s">
        <v>1316</v>
      </c>
      <c r="C597">
        <v>1.917</v>
      </c>
      <c r="D597">
        <v>0.25</v>
      </c>
      <c r="E597">
        <f t="shared" si="9"/>
        <v>31.298904538341159</v>
      </c>
    </row>
    <row r="598" spans="1:5" x14ac:dyDescent="0.25">
      <c r="A598" s="52" t="s">
        <v>608</v>
      </c>
      <c r="B598" s="53" t="s">
        <v>1316</v>
      </c>
      <c r="C598">
        <v>2.0510000000000002</v>
      </c>
      <c r="D598">
        <v>0.16</v>
      </c>
      <c r="E598">
        <f t="shared" si="9"/>
        <v>29.254022428083861</v>
      </c>
    </row>
    <row r="599" spans="1:5" x14ac:dyDescent="0.25">
      <c r="A599" s="52" t="s">
        <v>609</v>
      </c>
      <c r="B599" s="53" t="s">
        <v>1316</v>
      </c>
      <c r="C599">
        <v>0.70099999999999996</v>
      </c>
      <c r="D599">
        <v>0.25</v>
      </c>
      <c r="E599">
        <f t="shared" si="9"/>
        <v>85.592011412268192</v>
      </c>
    </row>
    <row r="600" spans="1:5" x14ac:dyDescent="0.25">
      <c r="A600" s="52" t="s">
        <v>610</v>
      </c>
      <c r="B600" s="53" t="s">
        <v>1316</v>
      </c>
      <c r="C600">
        <v>0.23400000000000001</v>
      </c>
      <c r="D600">
        <v>0.16</v>
      </c>
      <c r="E600">
        <f t="shared" si="9"/>
        <v>256.41025641025641</v>
      </c>
    </row>
    <row r="601" spans="1:5" x14ac:dyDescent="0.25">
      <c r="A601" s="52" t="s">
        <v>611</v>
      </c>
      <c r="B601" s="53" t="s">
        <v>1316</v>
      </c>
      <c r="C601">
        <v>0.22600000000000001</v>
      </c>
      <c r="D601">
        <v>0.25</v>
      </c>
      <c r="E601">
        <f t="shared" si="9"/>
        <v>265.48672566371681</v>
      </c>
    </row>
    <row r="602" spans="1:5" x14ac:dyDescent="0.25">
      <c r="A602" s="52" t="s">
        <v>612</v>
      </c>
      <c r="B602" s="53" t="s">
        <v>1316</v>
      </c>
      <c r="C602">
        <v>0.23400000000000001</v>
      </c>
      <c r="D602">
        <v>0.16</v>
      </c>
      <c r="E602">
        <f t="shared" si="9"/>
        <v>256.41025641025641</v>
      </c>
    </row>
    <row r="603" spans="1:5" x14ac:dyDescent="0.25">
      <c r="A603" s="52" t="s">
        <v>613</v>
      </c>
      <c r="B603" s="53" t="s">
        <v>1316</v>
      </c>
      <c r="C603">
        <v>0.22600000000000001</v>
      </c>
      <c r="D603">
        <v>0.25</v>
      </c>
      <c r="E603">
        <f t="shared" si="9"/>
        <v>265.48672566371681</v>
      </c>
    </row>
    <row r="604" spans="1:5" x14ac:dyDescent="0.25">
      <c r="A604" s="52" t="s">
        <v>614</v>
      </c>
      <c r="B604" s="53" t="s">
        <v>1316</v>
      </c>
      <c r="C604">
        <v>0.316</v>
      </c>
      <c r="D604">
        <v>0.16</v>
      </c>
      <c r="E604">
        <f t="shared" si="9"/>
        <v>189.87341772151899</v>
      </c>
    </row>
    <row r="605" spans="1:5" x14ac:dyDescent="0.25">
      <c r="A605" s="52" t="s">
        <v>615</v>
      </c>
      <c r="B605" s="53" t="s">
        <v>1316</v>
      </c>
      <c r="C605">
        <v>0.33900000000000002</v>
      </c>
      <c r="D605">
        <v>0.25</v>
      </c>
      <c r="E605">
        <f t="shared" si="9"/>
        <v>176.99115044247787</v>
      </c>
    </row>
    <row r="606" spans="1:5" x14ac:dyDescent="0.25">
      <c r="A606" s="52" t="s">
        <v>616</v>
      </c>
      <c r="B606" s="53" t="s">
        <v>1316</v>
      </c>
      <c r="C606">
        <v>0.16900000000000001</v>
      </c>
      <c r="D606">
        <v>0.16</v>
      </c>
      <c r="E606">
        <f t="shared" si="9"/>
        <v>355.02958579881653</v>
      </c>
    </row>
    <row r="607" spans="1:5" x14ac:dyDescent="0.25">
      <c r="A607" s="52" t="s">
        <v>617</v>
      </c>
      <c r="B607" s="53" t="s">
        <v>1316</v>
      </c>
      <c r="C607">
        <v>0.19800000000000001</v>
      </c>
      <c r="D607">
        <v>0.25</v>
      </c>
      <c r="E607">
        <f t="shared" si="9"/>
        <v>303.030303030303</v>
      </c>
    </row>
    <row r="608" spans="1:5" x14ac:dyDescent="0.25">
      <c r="A608" s="52" t="s">
        <v>618</v>
      </c>
      <c r="B608" t="s">
        <v>1316</v>
      </c>
      <c r="C608">
        <v>2.2989999999999999</v>
      </c>
      <c r="D608">
        <v>0.5</v>
      </c>
      <c r="E608">
        <f t="shared" si="9"/>
        <v>26.098303610265333</v>
      </c>
    </row>
    <row r="609" spans="1:5" x14ac:dyDescent="0.25">
      <c r="A609" s="52" t="s">
        <v>619</v>
      </c>
      <c r="B609" t="s">
        <v>1316</v>
      </c>
      <c r="C609">
        <v>2.2989999999999999</v>
      </c>
      <c r="D609">
        <v>0.5</v>
      </c>
      <c r="E609">
        <f t="shared" si="9"/>
        <v>26.098303610265333</v>
      </c>
    </row>
    <row r="610" spans="1:5" x14ac:dyDescent="0.25">
      <c r="A610" s="52" t="s">
        <v>620</v>
      </c>
      <c r="B610" t="s">
        <v>1316</v>
      </c>
      <c r="C610">
        <v>2.2989999999999999</v>
      </c>
      <c r="D610">
        <v>0.5</v>
      </c>
      <c r="E610">
        <f t="shared" si="9"/>
        <v>26.098303610265333</v>
      </c>
    </row>
    <row r="611" spans="1:5" x14ac:dyDescent="0.25">
      <c r="A611" s="52" t="s">
        <v>621</v>
      </c>
      <c r="B611" t="s">
        <v>1316</v>
      </c>
      <c r="C611">
        <v>1.25</v>
      </c>
      <c r="D611">
        <v>0.25</v>
      </c>
      <c r="E611">
        <f t="shared" si="9"/>
        <v>48</v>
      </c>
    </row>
    <row r="612" spans="1:5" x14ac:dyDescent="0.25">
      <c r="A612" s="52" t="s">
        <v>622</v>
      </c>
      <c r="B612" s="53" t="s">
        <v>1316</v>
      </c>
      <c r="C612">
        <v>3.528</v>
      </c>
      <c r="D612">
        <v>0.16</v>
      </c>
      <c r="E612">
        <f t="shared" si="9"/>
        <v>17.006802721088434</v>
      </c>
    </row>
    <row r="613" spans="1:5" x14ac:dyDescent="0.25">
      <c r="A613" s="52" t="s">
        <v>623</v>
      </c>
      <c r="B613" s="53" t="s">
        <v>1316</v>
      </c>
      <c r="C613">
        <v>0.58699999999999997</v>
      </c>
      <c r="D613">
        <v>0.25</v>
      </c>
      <c r="E613">
        <f t="shared" si="9"/>
        <v>102.21465076660989</v>
      </c>
    </row>
    <row r="614" spans="1:5" x14ac:dyDescent="0.25">
      <c r="A614" s="52" t="s">
        <v>624</v>
      </c>
      <c r="B614" t="s">
        <v>1316</v>
      </c>
      <c r="C614">
        <v>4</v>
      </c>
      <c r="D614">
        <v>0.5</v>
      </c>
      <c r="E614">
        <f t="shared" si="9"/>
        <v>15</v>
      </c>
    </row>
    <row r="615" spans="1:5" x14ac:dyDescent="0.25">
      <c r="A615" s="52" t="s">
        <v>625</v>
      </c>
      <c r="B615" t="s">
        <v>1316</v>
      </c>
      <c r="C615">
        <v>0.58299999999999996</v>
      </c>
      <c r="D615">
        <v>0.25</v>
      </c>
      <c r="E615">
        <f t="shared" si="9"/>
        <v>102.91595197255575</v>
      </c>
    </row>
    <row r="616" spans="1:5" x14ac:dyDescent="0.25">
      <c r="A616" s="52" t="s">
        <v>626</v>
      </c>
      <c r="B616" s="53" t="s">
        <v>1316</v>
      </c>
      <c r="C616">
        <v>1.8169999999999999</v>
      </c>
      <c r="D616">
        <v>0.16</v>
      </c>
      <c r="E616">
        <f t="shared" si="9"/>
        <v>33.021463951568521</v>
      </c>
    </row>
    <row r="617" spans="1:5" x14ac:dyDescent="0.25">
      <c r="A617" s="52" t="s">
        <v>627</v>
      </c>
      <c r="B617" s="53" t="s">
        <v>1316</v>
      </c>
      <c r="C617">
        <v>0.39800000000000002</v>
      </c>
      <c r="D617">
        <v>0.25</v>
      </c>
      <c r="E617">
        <f t="shared" si="9"/>
        <v>150.7537688442211</v>
      </c>
    </row>
    <row r="618" spans="1:5" x14ac:dyDescent="0.25">
      <c r="A618" s="52" t="s">
        <v>628</v>
      </c>
      <c r="B618" t="s">
        <v>1248</v>
      </c>
      <c r="C618">
        <v>0.78400000000000003</v>
      </c>
      <c r="D618">
        <v>0.25</v>
      </c>
      <c r="E618">
        <f t="shared" si="9"/>
        <v>76.530612244897952</v>
      </c>
    </row>
    <row r="619" spans="1:5" x14ac:dyDescent="0.25">
      <c r="A619" s="52" t="s">
        <v>629</v>
      </c>
      <c r="B619" s="53" t="s">
        <v>1248</v>
      </c>
      <c r="C619">
        <v>0.57999999999999996</v>
      </c>
      <c r="D619">
        <v>0.5</v>
      </c>
      <c r="E619">
        <f t="shared" si="9"/>
        <v>103.44827586206897</v>
      </c>
    </row>
    <row r="620" spans="1:5" x14ac:dyDescent="0.25">
      <c r="A620" s="52" t="s">
        <v>630</v>
      </c>
      <c r="B620" s="53" t="s">
        <v>1063</v>
      </c>
      <c r="C620">
        <v>0.626</v>
      </c>
      <c r="D620">
        <v>0.5</v>
      </c>
      <c r="E620">
        <f t="shared" si="9"/>
        <v>95.846645367412137</v>
      </c>
    </row>
    <row r="621" spans="1:5" x14ac:dyDescent="0.25">
      <c r="A621" s="52" t="s">
        <v>631</v>
      </c>
      <c r="B621" s="53" t="s">
        <v>1064</v>
      </c>
      <c r="C621">
        <v>2.2309999999999999</v>
      </c>
      <c r="D621">
        <v>0.5</v>
      </c>
      <c r="E621">
        <f t="shared" si="9"/>
        <v>26.893769610040341</v>
      </c>
    </row>
    <row r="622" spans="1:5" x14ac:dyDescent="0.25">
      <c r="A622" s="52" t="s">
        <v>632</v>
      </c>
      <c r="B622" s="53" t="s">
        <v>1065</v>
      </c>
      <c r="C622">
        <v>0.48299999999999998</v>
      </c>
      <c r="D622">
        <v>0.5</v>
      </c>
      <c r="E622">
        <f t="shared" si="9"/>
        <v>124.22360248447205</v>
      </c>
    </row>
    <row r="623" spans="1:5" x14ac:dyDescent="0.25">
      <c r="A623" s="52" t="s">
        <v>633</v>
      </c>
      <c r="B623" s="53" t="s">
        <v>1066</v>
      </c>
      <c r="C623">
        <v>0.48299999999999998</v>
      </c>
      <c r="D623">
        <v>0.5</v>
      </c>
      <c r="E623">
        <f t="shared" si="9"/>
        <v>124.22360248447205</v>
      </c>
    </row>
    <row r="624" spans="1:5" x14ac:dyDescent="0.25">
      <c r="A624" s="52" t="s">
        <v>634</v>
      </c>
      <c r="B624" s="53" t="s">
        <v>1067</v>
      </c>
      <c r="C624">
        <v>1.0920000000000001</v>
      </c>
      <c r="D624">
        <v>0.5</v>
      </c>
      <c r="E624">
        <f t="shared" si="9"/>
        <v>54.945054945054942</v>
      </c>
    </row>
    <row r="625" spans="1:5" x14ac:dyDescent="0.25">
      <c r="A625" s="52" t="s">
        <v>635</v>
      </c>
      <c r="B625" s="53" t="s">
        <v>1068</v>
      </c>
      <c r="C625">
        <v>2.7509999999999999</v>
      </c>
      <c r="D625">
        <v>0.5</v>
      </c>
      <c r="E625">
        <f t="shared" si="9"/>
        <v>21.810250817884405</v>
      </c>
    </row>
    <row r="626" spans="1:5" x14ac:dyDescent="0.25">
      <c r="A626" s="52" t="s">
        <v>636</v>
      </c>
      <c r="B626" t="s">
        <v>1317</v>
      </c>
      <c r="C626">
        <v>0.58799999999999997</v>
      </c>
      <c r="D626">
        <v>0.25</v>
      </c>
      <c r="E626">
        <f t="shared" si="9"/>
        <v>102.04081632653062</v>
      </c>
    </row>
    <row r="627" spans="1:5" x14ac:dyDescent="0.25">
      <c r="A627" s="52" t="s">
        <v>637</v>
      </c>
      <c r="B627" s="53" t="s">
        <v>1317</v>
      </c>
      <c r="C627">
        <v>0.96299999999999997</v>
      </c>
      <c r="D627">
        <v>0.5</v>
      </c>
      <c r="E627">
        <f t="shared" si="9"/>
        <v>62.305295950155767</v>
      </c>
    </row>
    <row r="628" spans="1:5" x14ac:dyDescent="0.25">
      <c r="A628" s="52" t="s">
        <v>638</v>
      </c>
      <c r="B628" t="s">
        <v>1318</v>
      </c>
      <c r="C628">
        <v>0.58799999999999997</v>
      </c>
      <c r="D628">
        <v>0.25</v>
      </c>
      <c r="E628">
        <f t="shared" si="9"/>
        <v>102.04081632653062</v>
      </c>
    </row>
    <row r="629" spans="1:5" x14ac:dyDescent="0.25">
      <c r="A629" s="52" t="s">
        <v>639</v>
      </c>
      <c r="B629" s="53" t="s">
        <v>1318</v>
      </c>
      <c r="C629">
        <v>0.71499999999999997</v>
      </c>
      <c r="D629">
        <v>0.5</v>
      </c>
      <c r="E629">
        <f t="shared" si="9"/>
        <v>83.91608391608392</v>
      </c>
    </row>
    <row r="630" spans="1:5" x14ac:dyDescent="0.25">
      <c r="A630" s="52" t="s">
        <v>640</v>
      </c>
      <c r="B630" t="s">
        <v>1319</v>
      </c>
      <c r="C630">
        <v>0.58799999999999997</v>
      </c>
      <c r="D630">
        <v>0.25</v>
      </c>
      <c r="E630">
        <f t="shared" si="9"/>
        <v>102.04081632653062</v>
      </c>
    </row>
    <row r="631" spans="1:5" x14ac:dyDescent="0.25">
      <c r="A631" s="52" t="s">
        <v>641</v>
      </c>
      <c r="B631" s="53" t="s">
        <v>1319</v>
      </c>
      <c r="C631">
        <v>1.645</v>
      </c>
      <c r="D631">
        <v>0.5</v>
      </c>
      <c r="E631">
        <f t="shared" si="9"/>
        <v>36.474164133738604</v>
      </c>
    </row>
    <row r="632" spans="1:5" x14ac:dyDescent="0.25">
      <c r="A632" s="52" t="s">
        <v>642</v>
      </c>
      <c r="B632" t="s">
        <v>1320</v>
      </c>
      <c r="C632">
        <v>0.78400000000000003</v>
      </c>
      <c r="D632">
        <v>0.25</v>
      </c>
      <c r="E632">
        <f t="shared" si="9"/>
        <v>76.530612244897952</v>
      </c>
    </row>
    <row r="633" spans="1:5" x14ac:dyDescent="0.25">
      <c r="A633" s="52" t="s">
        <v>643</v>
      </c>
      <c r="B633" s="53" t="s">
        <v>1320</v>
      </c>
      <c r="C633">
        <v>0.36199999999999999</v>
      </c>
      <c r="D633">
        <v>0.5</v>
      </c>
      <c r="E633">
        <f t="shared" si="9"/>
        <v>165.74585635359117</v>
      </c>
    </row>
    <row r="634" spans="1:5" x14ac:dyDescent="0.25">
      <c r="A634" s="52" t="s">
        <v>644</v>
      </c>
      <c r="B634" t="s">
        <v>1320</v>
      </c>
      <c r="C634">
        <v>0.78400000000000003</v>
      </c>
      <c r="D634">
        <v>0.25</v>
      </c>
      <c r="E634">
        <f t="shared" si="9"/>
        <v>76.530612244897952</v>
      </c>
    </row>
    <row r="635" spans="1:5" x14ac:dyDescent="0.25">
      <c r="A635" s="52" t="s">
        <v>645</v>
      </c>
      <c r="B635" s="53" t="s">
        <v>1320</v>
      </c>
      <c r="C635">
        <v>0.36199999999999999</v>
      </c>
      <c r="D635">
        <v>0.5</v>
      </c>
      <c r="E635">
        <f t="shared" si="9"/>
        <v>165.74585635359117</v>
      </c>
    </row>
    <row r="636" spans="1:5" x14ac:dyDescent="0.25">
      <c r="A636" s="52" t="s">
        <v>646</v>
      </c>
      <c r="B636" t="s">
        <v>1321</v>
      </c>
      <c r="C636">
        <v>0.98</v>
      </c>
      <c r="D636">
        <v>0.25</v>
      </c>
      <c r="E636">
        <f t="shared" si="9"/>
        <v>61.224489795918366</v>
      </c>
    </row>
    <row r="637" spans="1:5" x14ac:dyDescent="0.25">
      <c r="A637" s="52" t="s">
        <v>647</v>
      </c>
      <c r="B637" s="53" t="s">
        <v>1321</v>
      </c>
      <c r="C637">
        <v>0.54600000000000004</v>
      </c>
      <c r="D637">
        <v>0.5</v>
      </c>
      <c r="E637">
        <f t="shared" si="9"/>
        <v>109.89010989010988</v>
      </c>
    </row>
    <row r="638" spans="1:5" x14ac:dyDescent="0.25">
      <c r="A638" s="52" t="s">
        <v>648</v>
      </c>
      <c r="B638" s="53" t="s">
        <v>1097</v>
      </c>
      <c r="C638">
        <v>0.90600000000000003</v>
      </c>
      <c r="D638">
        <v>0.5</v>
      </c>
      <c r="E638">
        <f t="shared" si="9"/>
        <v>66.225165562913901</v>
      </c>
    </row>
    <row r="639" spans="1:5" x14ac:dyDescent="0.25">
      <c r="A639" s="52" t="s">
        <v>649</v>
      </c>
      <c r="B639" s="53" t="s">
        <v>1092</v>
      </c>
      <c r="C639">
        <v>5.28</v>
      </c>
      <c r="D639">
        <v>0.5</v>
      </c>
      <c r="E639">
        <f t="shared" si="9"/>
        <v>11.363636363636363</v>
      </c>
    </row>
    <row r="640" spans="1:5" x14ac:dyDescent="0.25">
      <c r="A640" s="52" t="s">
        <v>650</v>
      </c>
      <c r="B640" t="s">
        <v>1098</v>
      </c>
      <c r="C640">
        <v>0.98</v>
      </c>
      <c r="D640">
        <v>0.25</v>
      </c>
      <c r="E640">
        <f t="shared" si="9"/>
        <v>61.224489795918366</v>
      </c>
    </row>
    <row r="641" spans="1:5" x14ac:dyDescent="0.25">
      <c r="A641" s="52" t="s">
        <v>651</v>
      </c>
      <c r="B641" s="53" t="s">
        <v>1098</v>
      </c>
      <c r="C641">
        <v>0.81299999999999994</v>
      </c>
      <c r="D641">
        <v>0.5</v>
      </c>
      <c r="E641">
        <f t="shared" si="9"/>
        <v>73.800738007380076</v>
      </c>
    </row>
    <row r="642" spans="1:5" x14ac:dyDescent="0.25">
      <c r="A642" s="52" t="s">
        <v>652</v>
      </c>
      <c r="B642" t="s">
        <v>1099</v>
      </c>
      <c r="C642">
        <v>0.98</v>
      </c>
      <c r="D642">
        <v>0.25</v>
      </c>
      <c r="E642">
        <f t="shared" si="9"/>
        <v>61.224489795918366</v>
      </c>
    </row>
    <row r="643" spans="1:5" x14ac:dyDescent="0.25">
      <c r="A643" s="52" t="s">
        <v>653</v>
      </c>
      <c r="B643" s="53" t="s">
        <v>1099</v>
      </c>
      <c r="C643">
        <v>0.81299999999999994</v>
      </c>
      <c r="D643">
        <v>0.5</v>
      </c>
      <c r="E643">
        <f t="shared" si="9"/>
        <v>73.800738007380076</v>
      </c>
    </row>
    <row r="644" spans="1:5" x14ac:dyDescent="0.25">
      <c r="A644" s="52" t="s">
        <v>654</v>
      </c>
      <c r="B644" t="s">
        <v>1092</v>
      </c>
      <c r="C644">
        <v>0.625</v>
      </c>
      <c r="D644">
        <v>0.25</v>
      </c>
      <c r="E644">
        <f t="shared" ref="E644:E707" si="10">60/C644</f>
        <v>96</v>
      </c>
    </row>
    <row r="645" spans="1:5" x14ac:dyDescent="0.25">
      <c r="A645" s="52" t="s">
        <v>655</v>
      </c>
      <c r="B645" s="53" t="s">
        <v>1092</v>
      </c>
      <c r="C645">
        <v>12.318</v>
      </c>
      <c r="D645">
        <v>0.5</v>
      </c>
      <c r="E645">
        <f t="shared" si="10"/>
        <v>4.8709206039941551</v>
      </c>
    </row>
    <row r="646" spans="1:5" x14ac:dyDescent="0.25">
      <c r="A646" s="52" t="s">
        <v>656</v>
      </c>
      <c r="B646" t="s">
        <v>1092</v>
      </c>
      <c r="C646">
        <v>0.625</v>
      </c>
      <c r="D646">
        <v>0.25</v>
      </c>
      <c r="E646">
        <f t="shared" si="10"/>
        <v>96</v>
      </c>
    </row>
    <row r="647" spans="1:5" x14ac:dyDescent="0.25">
      <c r="A647" s="52" t="s">
        <v>657</v>
      </c>
      <c r="B647" s="53" t="s">
        <v>1092</v>
      </c>
      <c r="C647">
        <v>7.3419999999999996</v>
      </c>
      <c r="D647">
        <v>0.5</v>
      </c>
      <c r="E647">
        <f t="shared" si="10"/>
        <v>8.1721601743394174</v>
      </c>
    </row>
    <row r="648" spans="1:5" x14ac:dyDescent="0.25">
      <c r="A648" s="52" t="s">
        <v>658</v>
      </c>
      <c r="B648" t="s">
        <v>1092</v>
      </c>
      <c r="C648">
        <v>0.625</v>
      </c>
      <c r="D648">
        <v>0.25</v>
      </c>
      <c r="E648">
        <f t="shared" si="10"/>
        <v>96</v>
      </c>
    </row>
    <row r="649" spans="1:5" x14ac:dyDescent="0.25">
      <c r="A649" s="52" t="s">
        <v>659</v>
      </c>
      <c r="B649" s="53" t="s">
        <v>1092</v>
      </c>
      <c r="C649">
        <v>4.37</v>
      </c>
      <c r="D649">
        <v>0.5</v>
      </c>
      <c r="E649">
        <f t="shared" si="10"/>
        <v>13.729977116704806</v>
      </c>
    </row>
    <row r="650" spans="1:5" x14ac:dyDescent="0.25">
      <c r="A650" s="52" t="s">
        <v>660</v>
      </c>
      <c r="B650" t="s">
        <v>1092</v>
      </c>
      <c r="C650">
        <v>0.625</v>
      </c>
      <c r="D650">
        <v>0.25</v>
      </c>
      <c r="E650">
        <f t="shared" si="10"/>
        <v>96</v>
      </c>
    </row>
    <row r="651" spans="1:5" x14ac:dyDescent="0.25">
      <c r="A651" s="52" t="s">
        <v>661</v>
      </c>
      <c r="B651" s="53" t="s">
        <v>1092</v>
      </c>
      <c r="C651">
        <v>4.8330000000000002</v>
      </c>
      <c r="D651">
        <v>0.5</v>
      </c>
      <c r="E651">
        <f t="shared" si="10"/>
        <v>12.414649286157665</v>
      </c>
    </row>
    <row r="652" spans="1:5" x14ac:dyDescent="0.25">
      <c r="A652" s="52" t="s">
        <v>662</v>
      </c>
      <c r="B652" t="s">
        <v>1322</v>
      </c>
      <c r="C652">
        <v>1.1759999999999999</v>
      </c>
      <c r="D652">
        <v>0.25</v>
      </c>
      <c r="E652">
        <f t="shared" si="10"/>
        <v>51.020408163265309</v>
      </c>
    </row>
    <row r="653" spans="1:5" x14ac:dyDescent="0.25">
      <c r="A653" s="52" t="s">
        <v>663</v>
      </c>
      <c r="B653" s="53" t="s">
        <v>1322</v>
      </c>
      <c r="C653">
        <v>1.577</v>
      </c>
      <c r="D653">
        <v>0.5</v>
      </c>
      <c r="E653">
        <f t="shared" si="10"/>
        <v>38.046924540266332</v>
      </c>
    </row>
    <row r="654" spans="1:5" x14ac:dyDescent="0.25">
      <c r="A654" s="52" t="s">
        <v>664</v>
      </c>
      <c r="B654" s="53" t="s">
        <v>1323</v>
      </c>
      <c r="C654">
        <v>0.68799999999999994</v>
      </c>
      <c r="D654">
        <v>0.5</v>
      </c>
      <c r="E654">
        <f t="shared" si="10"/>
        <v>87.209302325581405</v>
      </c>
    </row>
    <row r="655" spans="1:5" x14ac:dyDescent="0.25">
      <c r="A655" s="52" t="s">
        <v>665</v>
      </c>
      <c r="B655" s="53" t="s">
        <v>1324</v>
      </c>
      <c r="C655">
        <v>0.78700000000000003</v>
      </c>
      <c r="D655">
        <v>0.5</v>
      </c>
      <c r="E655">
        <f t="shared" si="10"/>
        <v>76.23888182973316</v>
      </c>
    </row>
    <row r="656" spans="1:5" x14ac:dyDescent="0.25">
      <c r="A656" s="52" t="s">
        <v>666</v>
      </c>
      <c r="B656" t="s">
        <v>1325</v>
      </c>
      <c r="C656">
        <v>0.12</v>
      </c>
      <c r="D656">
        <v>0.5</v>
      </c>
      <c r="E656">
        <f t="shared" si="10"/>
        <v>500</v>
      </c>
    </row>
    <row r="657" spans="1:5" x14ac:dyDescent="0.25">
      <c r="A657" s="52" t="s">
        <v>667</v>
      </c>
      <c r="B657" t="s">
        <v>1325</v>
      </c>
      <c r="C657">
        <v>6.6000000000000003E-2</v>
      </c>
      <c r="D657">
        <v>1.5</v>
      </c>
      <c r="E657">
        <f t="shared" si="10"/>
        <v>909.09090909090901</v>
      </c>
    </row>
    <row r="658" spans="1:5" x14ac:dyDescent="0.25">
      <c r="A658" s="52" t="s">
        <v>668</v>
      </c>
      <c r="B658" t="s">
        <v>1326</v>
      </c>
      <c r="C658">
        <v>0.12</v>
      </c>
      <c r="D658">
        <v>0.5</v>
      </c>
      <c r="E658">
        <f t="shared" si="10"/>
        <v>500</v>
      </c>
    </row>
    <row r="659" spans="1:5" x14ac:dyDescent="0.25">
      <c r="A659" s="52" t="s">
        <v>669</v>
      </c>
      <c r="B659" t="s">
        <v>1327</v>
      </c>
      <c r="C659">
        <v>0.15</v>
      </c>
      <c r="D659">
        <v>0.5</v>
      </c>
      <c r="E659">
        <f t="shared" si="10"/>
        <v>400</v>
      </c>
    </row>
    <row r="660" spans="1:5" x14ac:dyDescent="0.25">
      <c r="A660" s="52" t="s">
        <v>670</v>
      </c>
      <c r="B660" t="s">
        <v>1327</v>
      </c>
      <c r="C660">
        <v>6.6000000000000003E-2</v>
      </c>
      <c r="D660">
        <v>1.5</v>
      </c>
      <c r="E660">
        <f t="shared" si="10"/>
        <v>909.09090909090901</v>
      </c>
    </row>
    <row r="661" spans="1:5" x14ac:dyDescent="0.25">
      <c r="A661" s="52" t="s">
        <v>671</v>
      </c>
      <c r="B661" t="s">
        <v>1328</v>
      </c>
      <c r="C661">
        <v>6.6000000000000003E-2</v>
      </c>
      <c r="D661">
        <v>1.5</v>
      </c>
      <c r="E661">
        <f t="shared" si="10"/>
        <v>909.09090909090901</v>
      </c>
    </row>
    <row r="662" spans="1:5" x14ac:dyDescent="0.25">
      <c r="A662" s="52" t="s">
        <v>672</v>
      </c>
      <c r="B662" t="s">
        <v>1328</v>
      </c>
      <c r="C662">
        <v>0.15</v>
      </c>
      <c r="D662">
        <v>0.5</v>
      </c>
      <c r="E662">
        <f t="shared" si="10"/>
        <v>400</v>
      </c>
    </row>
    <row r="663" spans="1:5" x14ac:dyDescent="0.25">
      <c r="A663" s="52" t="s">
        <v>673</v>
      </c>
      <c r="B663" t="s">
        <v>1325</v>
      </c>
      <c r="C663">
        <v>0.12</v>
      </c>
      <c r="D663">
        <v>0.5</v>
      </c>
      <c r="E663">
        <f t="shared" si="10"/>
        <v>500</v>
      </c>
    </row>
    <row r="664" spans="1:5" x14ac:dyDescent="0.25">
      <c r="A664" s="52" t="s">
        <v>674</v>
      </c>
      <c r="B664" t="s">
        <v>1325</v>
      </c>
      <c r="C664">
        <v>6.6000000000000003E-2</v>
      </c>
      <c r="D664">
        <v>1.5</v>
      </c>
      <c r="E664">
        <f t="shared" si="10"/>
        <v>909.09090909090901</v>
      </c>
    </row>
    <row r="665" spans="1:5" x14ac:dyDescent="0.25">
      <c r="A665" s="52" t="s">
        <v>675</v>
      </c>
      <c r="B665" t="s">
        <v>1329</v>
      </c>
      <c r="C665">
        <v>0.08</v>
      </c>
      <c r="D665">
        <v>0.5</v>
      </c>
      <c r="E665">
        <f t="shared" si="10"/>
        <v>750</v>
      </c>
    </row>
    <row r="666" spans="1:5" x14ac:dyDescent="0.25">
      <c r="A666" s="52" t="s">
        <v>676</v>
      </c>
      <c r="B666" t="s">
        <v>1330</v>
      </c>
      <c r="C666">
        <v>0.06</v>
      </c>
      <c r="D666">
        <v>1.5</v>
      </c>
      <c r="E666">
        <f t="shared" si="10"/>
        <v>1000</v>
      </c>
    </row>
    <row r="667" spans="1:5" x14ac:dyDescent="0.25">
      <c r="A667" s="52" t="s">
        <v>677</v>
      </c>
      <c r="B667" t="s">
        <v>1331</v>
      </c>
      <c r="C667">
        <v>4.3140000000000001</v>
      </c>
      <c r="D667">
        <v>0.25</v>
      </c>
      <c r="E667">
        <f t="shared" si="10"/>
        <v>13.908205841446453</v>
      </c>
    </row>
    <row r="668" spans="1:5" x14ac:dyDescent="0.25">
      <c r="A668" s="52" t="s">
        <v>678</v>
      </c>
      <c r="B668" s="53" t="s">
        <v>1331</v>
      </c>
      <c r="C668">
        <v>0.106</v>
      </c>
      <c r="D668">
        <v>0.5</v>
      </c>
      <c r="E668">
        <f t="shared" si="10"/>
        <v>566.03773584905662</v>
      </c>
    </row>
    <row r="669" spans="1:5" x14ac:dyDescent="0.25">
      <c r="A669" s="52" t="s">
        <v>679</v>
      </c>
      <c r="B669" t="s">
        <v>1331</v>
      </c>
      <c r="C669">
        <v>1.9790000000000001</v>
      </c>
      <c r="D669">
        <v>0.25</v>
      </c>
      <c r="E669">
        <f t="shared" si="10"/>
        <v>30.318342597271347</v>
      </c>
    </row>
    <row r="670" spans="1:5" x14ac:dyDescent="0.25">
      <c r="A670" s="52" t="s">
        <v>680</v>
      </c>
      <c r="B670" s="53" t="s">
        <v>1332</v>
      </c>
      <c r="C670">
        <v>0.70299999999999996</v>
      </c>
      <c r="D670">
        <v>0.5</v>
      </c>
      <c r="E670">
        <f t="shared" si="10"/>
        <v>85.348506401137982</v>
      </c>
    </row>
    <row r="671" spans="1:5" x14ac:dyDescent="0.25">
      <c r="A671" s="52" t="s">
        <v>681</v>
      </c>
      <c r="B671" s="53" t="s">
        <v>1332</v>
      </c>
      <c r="C671">
        <v>0.70299999999999996</v>
      </c>
      <c r="D671">
        <v>0.5</v>
      </c>
      <c r="E671">
        <f t="shared" si="10"/>
        <v>85.348506401137982</v>
      </c>
    </row>
    <row r="672" spans="1:5" x14ac:dyDescent="0.25">
      <c r="A672" s="52" t="s">
        <v>682</v>
      </c>
      <c r="B672" s="53" t="s">
        <v>1332</v>
      </c>
      <c r="C672">
        <v>0.70299999999999996</v>
      </c>
      <c r="D672">
        <v>0.5</v>
      </c>
      <c r="E672">
        <f t="shared" si="10"/>
        <v>85.348506401137982</v>
      </c>
    </row>
    <row r="673" spans="1:5" x14ac:dyDescent="0.25">
      <c r="A673" s="52" t="s">
        <v>683</v>
      </c>
      <c r="B673" t="s">
        <v>1333</v>
      </c>
      <c r="C673">
        <v>0.628</v>
      </c>
      <c r="D673">
        <v>0.25</v>
      </c>
      <c r="E673">
        <f t="shared" si="10"/>
        <v>95.541401273885356</v>
      </c>
    </row>
    <row r="674" spans="1:5" x14ac:dyDescent="0.25">
      <c r="A674" s="52" t="s">
        <v>684</v>
      </c>
      <c r="B674" s="53" t="s">
        <v>1333</v>
      </c>
      <c r="C674">
        <v>1.5249999999999999</v>
      </c>
      <c r="D674">
        <v>0.2</v>
      </c>
      <c r="E674">
        <f t="shared" si="10"/>
        <v>39.344262295081968</v>
      </c>
    </row>
    <row r="675" spans="1:5" x14ac:dyDescent="0.25">
      <c r="A675" s="52" t="s">
        <v>685</v>
      </c>
      <c r="B675" t="s">
        <v>1334</v>
      </c>
      <c r="C675">
        <v>0.628</v>
      </c>
      <c r="D675">
        <v>0.25</v>
      </c>
      <c r="E675">
        <f t="shared" si="10"/>
        <v>95.541401273885356</v>
      </c>
    </row>
    <row r="676" spans="1:5" x14ac:dyDescent="0.25">
      <c r="A676" s="52" t="s">
        <v>686</v>
      </c>
      <c r="B676" s="53" t="s">
        <v>1334</v>
      </c>
      <c r="C676">
        <v>0.253</v>
      </c>
      <c r="D676">
        <v>0.2</v>
      </c>
      <c r="E676">
        <f t="shared" si="10"/>
        <v>237.15415019762847</v>
      </c>
    </row>
    <row r="677" spans="1:5" x14ac:dyDescent="0.25">
      <c r="A677" s="52" t="s">
        <v>687</v>
      </c>
      <c r="B677" s="53" t="s">
        <v>1335</v>
      </c>
      <c r="C677">
        <v>0.13300000000000001</v>
      </c>
      <c r="D677">
        <v>0.2</v>
      </c>
      <c r="E677">
        <f t="shared" si="10"/>
        <v>451.12781954887214</v>
      </c>
    </row>
    <row r="678" spans="1:5" x14ac:dyDescent="0.25">
      <c r="A678" s="52" t="s">
        <v>688</v>
      </c>
      <c r="B678" t="s">
        <v>1336</v>
      </c>
      <c r="C678">
        <v>0.39200000000000002</v>
      </c>
      <c r="D678">
        <v>0.25</v>
      </c>
      <c r="E678">
        <f t="shared" si="10"/>
        <v>153.0612244897959</v>
      </c>
    </row>
    <row r="679" spans="1:5" x14ac:dyDescent="0.25">
      <c r="A679" s="52" t="s">
        <v>689</v>
      </c>
      <c r="B679" s="53" t="s">
        <v>1336</v>
      </c>
      <c r="C679">
        <v>0.14000000000000001</v>
      </c>
      <c r="D679">
        <v>0.2</v>
      </c>
      <c r="E679">
        <f t="shared" si="10"/>
        <v>428.57142857142856</v>
      </c>
    </row>
    <row r="680" spans="1:5" x14ac:dyDescent="0.25">
      <c r="A680" s="52" t="s">
        <v>690</v>
      </c>
      <c r="B680" t="s">
        <v>1337</v>
      </c>
      <c r="C680">
        <v>0.39200000000000002</v>
      </c>
      <c r="D680">
        <v>0.25</v>
      </c>
      <c r="E680">
        <f t="shared" si="10"/>
        <v>153.0612244897959</v>
      </c>
    </row>
    <row r="681" spans="1:5" x14ac:dyDescent="0.25">
      <c r="A681" s="52" t="s">
        <v>691</v>
      </c>
      <c r="B681" s="53" t="s">
        <v>1337</v>
      </c>
      <c r="C681">
        <v>0.13900000000000001</v>
      </c>
      <c r="D681">
        <v>0.2</v>
      </c>
      <c r="E681">
        <f t="shared" si="10"/>
        <v>431.65467625899277</v>
      </c>
    </row>
    <row r="682" spans="1:5" x14ac:dyDescent="0.25">
      <c r="A682" s="52" t="s">
        <v>692</v>
      </c>
      <c r="B682" t="s">
        <v>1338</v>
      </c>
      <c r="C682">
        <v>0.39200000000000002</v>
      </c>
      <c r="D682">
        <v>0.25</v>
      </c>
      <c r="E682">
        <f t="shared" si="10"/>
        <v>153.0612244897959</v>
      </c>
    </row>
    <row r="683" spans="1:5" x14ac:dyDescent="0.25">
      <c r="A683" s="52" t="s">
        <v>693</v>
      </c>
      <c r="B683" s="53" t="s">
        <v>1338</v>
      </c>
      <c r="C683">
        <v>0.13500000000000001</v>
      </c>
      <c r="D683">
        <v>0.2</v>
      </c>
      <c r="E683">
        <f t="shared" si="10"/>
        <v>444.4444444444444</v>
      </c>
    </row>
    <row r="684" spans="1:5" x14ac:dyDescent="0.25">
      <c r="A684" s="52" t="s">
        <v>694</v>
      </c>
      <c r="B684" t="s">
        <v>1339</v>
      </c>
      <c r="C684">
        <v>0.39200000000000002</v>
      </c>
      <c r="D684">
        <v>0.25</v>
      </c>
      <c r="E684">
        <f t="shared" si="10"/>
        <v>153.0612244897959</v>
      </c>
    </row>
    <row r="685" spans="1:5" x14ac:dyDescent="0.25">
      <c r="A685" s="52" t="s">
        <v>695</v>
      </c>
      <c r="B685" s="53" t="s">
        <v>1339</v>
      </c>
      <c r="C685">
        <v>0.129</v>
      </c>
      <c r="D685">
        <v>0.2</v>
      </c>
      <c r="E685">
        <f t="shared" si="10"/>
        <v>465.11627906976742</v>
      </c>
    </row>
    <row r="686" spans="1:5" x14ac:dyDescent="0.25">
      <c r="A686" s="52" t="s">
        <v>696</v>
      </c>
      <c r="B686" t="s">
        <v>1340</v>
      </c>
      <c r="C686">
        <v>0.58799999999999997</v>
      </c>
      <c r="D686">
        <v>0.25</v>
      </c>
      <c r="E686">
        <f t="shared" si="10"/>
        <v>102.04081632653062</v>
      </c>
    </row>
    <row r="687" spans="1:5" x14ac:dyDescent="0.25">
      <c r="A687" s="52" t="s">
        <v>697</v>
      </c>
      <c r="B687" s="53" t="s">
        <v>1340</v>
      </c>
      <c r="C687">
        <v>0.127</v>
      </c>
      <c r="D687">
        <v>0.2</v>
      </c>
      <c r="E687">
        <f t="shared" si="10"/>
        <v>472.44094488188978</v>
      </c>
    </row>
    <row r="688" spans="1:5" x14ac:dyDescent="0.25">
      <c r="A688" s="52" t="s">
        <v>698</v>
      </c>
      <c r="B688" t="s">
        <v>1341</v>
      </c>
      <c r="C688">
        <v>0.98</v>
      </c>
      <c r="D688">
        <v>0.25</v>
      </c>
      <c r="E688">
        <f t="shared" si="10"/>
        <v>61.224489795918366</v>
      </c>
    </row>
    <row r="689" spans="1:5" x14ac:dyDescent="0.25">
      <c r="A689" s="52" t="s">
        <v>699</v>
      </c>
      <c r="B689" s="53" t="s">
        <v>1341</v>
      </c>
      <c r="C689">
        <v>0.28199999999999997</v>
      </c>
      <c r="D689">
        <v>0.2</v>
      </c>
      <c r="E689">
        <f t="shared" si="10"/>
        <v>212.76595744680853</v>
      </c>
    </row>
    <row r="690" spans="1:5" x14ac:dyDescent="0.25">
      <c r="A690" s="52" t="s">
        <v>700</v>
      </c>
      <c r="B690" t="s">
        <v>1342</v>
      </c>
      <c r="C690">
        <v>1.569</v>
      </c>
      <c r="D690">
        <v>0.25</v>
      </c>
      <c r="E690">
        <f t="shared" si="10"/>
        <v>38.24091778202677</v>
      </c>
    </row>
    <row r="691" spans="1:5" x14ac:dyDescent="0.25">
      <c r="A691" s="52" t="s">
        <v>701</v>
      </c>
      <c r="B691" t="s">
        <v>1342</v>
      </c>
      <c r="C691">
        <v>3</v>
      </c>
      <c r="D691">
        <v>0.25</v>
      </c>
      <c r="E691">
        <f t="shared" si="10"/>
        <v>20</v>
      </c>
    </row>
    <row r="692" spans="1:5" x14ac:dyDescent="0.25">
      <c r="A692" s="52" t="s">
        <v>702</v>
      </c>
      <c r="B692" s="53" t="s">
        <v>1342</v>
      </c>
      <c r="C692">
        <v>1.5</v>
      </c>
      <c r="D692">
        <v>0.25</v>
      </c>
      <c r="E692">
        <f t="shared" si="10"/>
        <v>40</v>
      </c>
    </row>
    <row r="693" spans="1:5" x14ac:dyDescent="0.25">
      <c r="A693" s="52" t="s">
        <v>703</v>
      </c>
      <c r="B693" t="s">
        <v>1343</v>
      </c>
      <c r="C693">
        <v>1.569</v>
      </c>
      <c r="D693">
        <v>0.25</v>
      </c>
      <c r="E693">
        <f t="shared" si="10"/>
        <v>38.24091778202677</v>
      </c>
    </row>
    <row r="694" spans="1:5" x14ac:dyDescent="0.25">
      <c r="A694" s="52" t="s">
        <v>704</v>
      </c>
      <c r="B694" t="s">
        <v>1343</v>
      </c>
      <c r="C694">
        <v>3</v>
      </c>
      <c r="D694">
        <v>0.25</v>
      </c>
      <c r="E694">
        <f t="shared" si="10"/>
        <v>20</v>
      </c>
    </row>
    <row r="695" spans="1:5" x14ac:dyDescent="0.25">
      <c r="A695" s="52" t="s">
        <v>705</v>
      </c>
      <c r="B695" s="53" t="s">
        <v>1343</v>
      </c>
      <c r="C695">
        <v>1.5</v>
      </c>
      <c r="D695">
        <v>0.25</v>
      </c>
      <c r="E695">
        <f t="shared" si="10"/>
        <v>40</v>
      </c>
    </row>
    <row r="696" spans="1:5" x14ac:dyDescent="0.25">
      <c r="A696" s="52" t="s">
        <v>706</v>
      </c>
      <c r="B696" t="s">
        <v>1287</v>
      </c>
      <c r="C696">
        <v>0.58799999999999997</v>
      </c>
      <c r="D696">
        <v>0.25</v>
      </c>
      <c r="E696">
        <f t="shared" si="10"/>
        <v>102.04081632653062</v>
      </c>
    </row>
    <row r="697" spans="1:5" x14ac:dyDescent="0.25">
      <c r="A697" s="52" t="s">
        <v>707</v>
      </c>
      <c r="B697" s="53" t="s">
        <v>1287</v>
      </c>
      <c r="C697">
        <v>0.5</v>
      </c>
      <c r="D697">
        <v>0.25</v>
      </c>
      <c r="E697">
        <f t="shared" si="10"/>
        <v>120</v>
      </c>
    </row>
    <row r="698" spans="1:5" x14ac:dyDescent="0.25">
      <c r="A698" s="52" t="s">
        <v>708</v>
      </c>
      <c r="B698" t="s">
        <v>1344</v>
      </c>
      <c r="C698">
        <v>0.82399999999999995</v>
      </c>
      <c r="D698">
        <v>0.25</v>
      </c>
      <c r="E698">
        <f t="shared" si="10"/>
        <v>72.815533980582529</v>
      </c>
    </row>
    <row r="699" spans="1:5" x14ac:dyDescent="0.25">
      <c r="A699" s="52" t="s">
        <v>709</v>
      </c>
      <c r="B699" s="53" t="s">
        <v>1344</v>
      </c>
      <c r="C699">
        <v>0.2</v>
      </c>
      <c r="D699">
        <v>0.25</v>
      </c>
      <c r="E699">
        <f t="shared" si="10"/>
        <v>300</v>
      </c>
    </row>
    <row r="700" spans="1:5" x14ac:dyDescent="0.25">
      <c r="A700" s="52" t="s">
        <v>710</v>
      </c>
      <c r="B700" t="s">
        <v>1345</v>
      </c>
      <c r="C700">
        <v>1.177</v>
      </c>
      <c r="D700">
        <v>0.25</v>
      </c>
      <c r="E700">
        <f t="shared" si="10"/>
        <v>50.977060322854712</v>
      </c>
    </row>
    <row r="701" spans="1:5" x14ac:dyDescent="0.25">
      <c r="A701" s="52" t="s">
        <v>711</v>
      </c>
      <c r="B701" s="53" t="s">
        <v>1345</v>
      </c>
      <c r="C701">
        <v>0.36499999999999999</v>
      </c>
      <c r="D701">
        <v>0.5</v>
      </c>
      <c r="E701">
        <f t="shared" si="10"/>
        <v>164.38356164383563</v>
      </c>
    </row>
    <row r="702" spans="1:5" x14ac:dyDescent="0.25">
      <c r="A702" s="52" t="s">
        <v>712</v>
      </c>
      <c r="B702" t="s">
        <v>1346</v>
      </c>
      <c r="C702">
        <v>1.177</v>
      </c>
      <c r="D702">
        <v>0.25</v>
      </c>
      <c r="E702">
        <f t="shared" si="10"/>
        <v>50.977060322854712</v>
      </c>
    </row>
    <row r="703" spans="1:5" x14ac:dyDescent="0.25">
      <c r="A703" s="52" t="s">
        <v>713</v>
      </c>
      <c r="B703" s="53" t="s">
        <v>1346</v>
      </c>
      <c r="C703">
        <v>0.64900000000000002</v>
      </c>
      <c r="D703">
        <v>0.25</v>
      </c>
      <c r="E703">
        <f t="shared" si="10"/>
        <v>92.449922958397536</v>
      </c>
    </row>
    <row r="704" spans="1:5" x14ac:dyDescent="0.25">
      <c r="A704" s="52" t="s">
        <v>714</v>
      </c>
      <c r="B704" t="s">
        <v>1347</v>
      </c>
      <c r="C704">
        <v>2.157</v>
      </c>
      <c r="D704">
        <v>0.25</v>
      </c>
      <c r="E704">
        <f t="shared" si="10"/>
        <v>27.816411682892905</v>
      </c>
    </row>
    <row r="705" spans="1:5" x14ac:dyDescent="0.25">
      <c r="A705" s="52" t="s">
        <v>715</v>
      </c>
      <c r="B705" s="53" t="s">
        <v>1347</v>
      </c>
      <c r="C705">
        <v>0.52700000000000002</v>
      </c>
      <c r="D705">
        <v>0.25</v>
      </c>
      <c r="E705">
        <f t="shared" si="10"/>
        <v>113.85199240986717</v>
      </c>
    </row>
    <row r="706" spans="1:5" x14ac:dyDescent="0.25">
      <c r="A706" s="52" t="s">
        <v>716</v>
      </c>
      <c r="B706" t="s">
        <v>1348</v>
      </c>
      <c r="C706">
        <v>1.177</v>
      </c>
      <c r="D706">
        <v>0.25</v>
      </c>
      <c r="E706">
        <f t="shared" si="10"/>
        <v>50.977060322854712</v>
      </c>
    </row>
    <row r="707" spans="1:5" x14ac:dyDescent="0.25">
      <c r="A707" s="52" t="s">
        <v>717</v>
      </c>
      <c r="B707" s="53" t="s">
        <v>1348</v>
      </c>
      <c r="C707">
        <v>0.5</v>
      </c>
      <c r="D707">
        <v>0.25</v>
      </c>
      <c r="E707">
        <f t="shared" si="10"/>
        <v>120</v>
      </c>
    </row>
    <row r="708" spans="1:5" x14ac:dyDescent="0.25">
      <c r="A708" s="52" t="s">
        <v>718</v>
      </c>
      <c r="B708" t="s">
        <v>1349</v>
      </c>
      <c r="C708">
        <v>1.177</v>
      </c>
      <c r="D708">
        <v>0.25</v>
      </c>
      <c r="E708">
        <f t="shared" ref="E708:E771" si="11">60/C708</f>
        <v>50.977060322854712</v>
      </c>
    </row>
    <row r="709" spans="1:5" x14ac:dyDescent="0.25">
      <c r="A709" s="52" t="s">
        <v>719</v>
      </c>
      <c r="B709" s="53" t="s">
        <v>1349</v>
      </c>
      <c r="C709">
        <v>0.11899999999999999</v>
      </c>
      <c r="D709">
        <v>0.25</v>
      </c>
      <c r="E709">
        <f t="shared" si="11"/>
        <v>504.20168067226894</v>
      </c>
    </row>
    <row r="710" spans="1:5" x14ac:dyDescent="0.25">
      <c r="A710" s="52" t="s">
        <v>720</v>
      </c>
      <c r="B710" t="s">
        <v>1350</v>
      </c>
      <c r="C710">
        <v>1.177</v>
      </c>
      <c r="D710">
        <v>0.25</v>
      </c>
      <c r="E710">
        <f t="shared" si="11"/>
        <v>50.977060322854712</v>
      </c>
    </row>
    <row r="711" spans="1:5" x14ac:dyDescent="0.25">
      <c r="A711" s="52" t="s">
        <v>721</v>
      </c>
      <c r="B711" s="53" t="s">
        <v>1350</v>
      </c>
      <c r="C711">
        <v>0.108</v>
      </c>
      <c r="D711">
        <v>0.25</v>
      </c>
      <c r="E711">
        <f t="shared" si="11"/>
        <v>555.55555555555554</v>
      </c>
    </row>
    <row r="712" spans="1:5" x14ac:dyDescent="0.25">
      <c r="A712" s="52" t="s">
        <v>722</v>
      </c>
      <c r="B712" t="s">
        <v>1351</v>
      </c>
      <c r="C712">
        <v>1.177</v>
      </c>
      <c r="D712">
        <v>0.25</v>
      </c>
      <c r="E712">
        <f t="shared" si="11"/>
        <v>50.977060322854712</v>
      </c>
    </row>
    <row r="713" spans="1:5" x14ac:dyDescent="0.25">
      <c r="A713" s="52" t="s">
        <v>723</v>
      </c>
      <c r="B713" s="53" t="s">
        <v>1351</v>
      </c>
      <c r="C713">
        <v>0.107</v>
      </c>
      <c r="D713">
        <v>0.25</v>
      </c>
      <c r="E713">
        <f t="shared" si="11"/>
        <v>560.74766355140184</v>
      </c>
    </row>
    <row r="714" spans="1:5" x14ac:dyDescent="0.25">
      <c r="A714" s="52" t="s">
        <v>724</v>
      </c>
      <c r="B714" t="s">
        <v>1352</v>
      </c>
      <c r="C714">
        <v>0.58799999999999997</v>
      </c>
      <c r="D714">
        <v>0.25</v>
      </c>
      <c r="E714">
        <f t="shared" si="11"/>
        <v>102.04081632653062</v>
      </c>
    </row>
    <row r="715" spans="1:5" x14ac:dyDescent="0.25">
      <c r="A715" s="52" t="s">
        <v>725</v>
      </c>
      <c r="B715" s="53" t="s">
        <v>1352</v>
      </c>
      <c r="C715">
        <v>0.28699999999999998</v>
      </c>
      <c r="D715">
        <v>0.25</v>
      </c>
      <c r="E715">
        <f t="shared" si="11"/>
        <v>209.05923344947738</v>
      </c>
    </row>
    <row r="716" spans="1:5" x14ac:dyDescent="0.25">
      <c r="A716" s="52" t="s">
        <v>726</v>
      </c>
      <c r="B716" s="53" t="s">
        <v>1353</v>
      </c>
      <c r="C716">
        <v>0.05</v>
      </c>
      <c r="D716">
        <v>0.25</v>
      </c>
      <c r="E716">
        <f t="shared" si="11"/>
        <v>1200</v>
      </c>
    </row>
    <row r="717" spans="1:5" x14ac:dyDescent="0.25">
      <c r="A717" s="52" t="s">
        <v>727</v>
      </c>
      <c r="B717" t="s">
        <v>1354</v>
      </c>
      <c r="C717">
        <v>6</v>
      </c>
      <c r="D717">
        <v>0.25</v>
      </c>
      <c r="E717">
        <f t="shared" si="11"/>
        <v>10</v>
      </c>
    </row>
    <row r="718" spans="1:5" x14ac:dyDescent="0.25">
      <c r="A718" s="52" t="s">
        <v>728</v>
      </c>
      <c r="B718" t="s">
        <v>1354</v>
      </c>
      <c r="C718">
        <v>20.91</v>
      </c>
      <c r="D718">
        <v>0.25</v>
      </c>
      <c r="E718">
        <f t="shared" si="11"/>
        <v>2.8694404591104736</v>
      </c>
    </row>
    <row r="719" spans="1:5" x14ac:dyDescent="0.25">
      <c r="A719" s="52" t="s">
        <v>729</v>
      </c>
      <c r="B719" t="s">
        <v>1355</v>
      </c>
      <c r="C719">
        <v>1.177</v>
      </c>
      <c r="D719">
        <v>0.25</v>
      </c>
      <c r="E719">
        <f t="shared" si="11"/>
        <v>50.977060322854712</v>
      </c>
    </row>
    <row r="720" spans="1:5" x14ac:dyDescent="0.25">
      <c r="A720" s="52" t="s">
        <v>730</v>
      </c>
      <c r="B720" s="53" t="s">
        <v>1355</v>
      </c>
      <c r="C720">
        <v>0.32100000000000001</v>
      </c>
      <c r="D720">
        <v>0.25</v>
      </c>
      <c r="E720">
        <f t="shared" si="11"/>
        <v>186.91588785046727</v>
      </c>
    </row>
    <row r="721" spans="1:5" x14ac:dyDescent="0.25">
      <c r="A721" s="52" t="s">
        <v>731</v>
      </c>
      <c r="B721" t="s">
        <v>1356</v>
      </c>
      <c r="C721">
        <v>1.177</v>
      </c>
      <c r="D721">
        <v>0.25</v>
      </c>
      <c r="E721">
        <f t="shared" si="11"/>
        <v>50.977060322854712</v>
      </c>
    </row>
    <row r="722" spans="1:5" x14ac:dyDescent="0.25">
      <c r="A722" s="52" t="s">
        <v>732</v>
      </c>
      <c r="B722" s="53" t="s">
        <v>1356</v>
      </c>
      <c r="C722">
        <v>0.71299999999999997</v>
      </c>
      <c r="D722">
        <v>0.25</v>
      </c>
      <c r="E722">
        <f t="shared" si="11"/>
        <v>84.151472650771396</v>
      </c>
    </row>
    <row r="723" spans="1:5" x14ac:dyDescent="0.25">
      <c r="A723" s="52" t="s">
        <v>733</v>
      </c>
      <c r="B723" t="s">
        <v>1357</v>
      </c>
      <c r="C723">
        <v>2.157</v>
      </c>
      <c r="D723">
        <v>0.25</v>
      </c>
      <c r="E723">
        <f t="shared" si="11"/>
        <v>27.816411682892905</v>
      </c>
    </row>
    <row r="724" spans="1:5" x14ac:dyDescent="0.25">
      <c r="A724" s="52" t="s">
        <v>734</v>
      </c>
      <c r="B724" s="53" t="s">
        <v>1357</v>
      </c>
      <c r="C724">
        <v>0.57599999999999996</v>
      </c>
      <c r="D724">
        <v>0.25</v>
      </c>
      <c r="E724">
        <f t="shared" si="11"/>
        <v>104.16666666666667</v>
      </c>
    </row>
    <row r="725" spans="1:5" x14ac:dyDescent="0.25">
      <c r="A725" s="52" t="s">
        <v>735</v>
      </c>
      <c r="B725" t="s">
        <v>1358</v>
      </c>
      <c r="C725">
        <v>1.373</v>
      </c>
      <c r="D725">
        <v>0.25</v>
      </c>
      <c r="E725">
        <f t="shared" si="11"/>
        <v>43.699927166788058</v>
      </c>
    </row>
    <row r="726" spans="1:5" x14ac:dyDescent="0.25">
      <c r="A726" s="52" t="s">
        <v>736</v>
      </c>
      <c r="B726" s="53" t="s">
        <v>1358</v>
      </c>
      <c r="C726">
        <v>0.124</v>
      </c>
      <c r="D726">
        <v>0.25</v>
      </c>
      <c r="E726">
        <f t="shared" si="11"/>
        <v>483.87096774193549</v>
      </c>
    </row>
    <row r="727" spans="1:5" x14ac:dyDescent="0.25">
      <c r="A727" s="52" t="s">
        <v>737</v>
      </c>
      <c r="B727" t="s">
        <v>1359</v>
      </c>
      <c r="C727">
        <v>1.373</v>
      </c>
      <c r="D727">
        <v>0.25</v>
      </c>
      <c r="E727">
        <f t="shared" si="11"/>
        <v>43.699927166788058</v>
      </c>
    </row>
    <row r="728" spans="1:5" x14ac:dyDescent="0.25">
      <c r="A728" s="52" t="s">
        <v>738</v>
      </c>
      <c r="B728" s="53" t="s">
        <v>1359</v>
      </c>
      <c r="C728">
        <v>0.123</v>
      </c>
      <c r="D728">
        <v>0.25</v>
      </c>
      <c r="E728">
        <f t="shared" si="11"/>
        <v>487.80487804878049</v>
      </c>
    </row>
    <row r="729" spans="1:5" x14ac:dyDescent="0.25">
      <c r="A729" s="52" t="s">
        <v>739</v>
      </c>
      <c r="B729" t="s">
        <v>1360</v>
      </c>
      <c r="C729">
        <v>1.177</v>
      </c>
      <c r="D729">
        <v>0.25</v>
      </c>
      <c r="E729">
        <f t="shared" si="11"/>
        <v>50.977060322854712</v>
      </c>
    </row>
    <row r="730" spans="1:5" x14ac:dyDescent="0.25">
      <c r="A730" s="52" t="s">
        <v>740</v>
      </c>
      <c r="B730" s="53" t="s">
        <v>1360</v>
      </c>
      <c r="C730">
        <v>0.111</v>
      </c>
      <c r="D730">
        <v>0.25</v>
      </c>
      <c r="E730">
        <f t="shared" si="11"/>
        <v>540.54054054054052</v>
      </c>
    </row>
    <row r="731" spans="1:5" x14ac:dyDescent="0.25">
      <c r="A731" s="52" t="s">
        <v>741</v>
      </c>
      <c r="B731" t="s">
        <v>1361</v>
      </c>
      <c r="C731">
        <v>1.177</v>
      </c>
      <c r="D731">
        <v>0.25</v>
      </c>
      <c r="E731">
        <f t="shared" si="11"/>
        <v>50.977060322854712</v>
      </c>
    </row>
    <row r="732" spans="1:5" x14ac:dyDescent="0.25">
      <c r="A732" s="52" t="s">
        <v>742</v>
      </c>
      <c r="B732" s="53" t="s">
        <v>1361</v>
      </c>
      <c r="C732">
        <v>0.114</v>
      </c>
      <c r="D732">
        <v>0.25</v>
      </c>
      <c r="E732">
        <f t="shared" si="11"/>
        <v>526.31578947368416</v>
      </c>
    </row>
    <row r="733" spans="1:5" x14ac:dyDescent="0.25">
      <c r="A733" s="52" t="s">
        <v>743</v>
      </c>
      <c r="B733" t="s">
        <v>1362</v>
      </c>
      <c r="C733">
        <v>0.58799999999999997</v>
      </c>
      <c r="D733">
        <v>0.25</v>
      </c>
      <c r="E733">
        <f t="shared" si="11"/>
        <v>102.04081632653062</v>
      </c>
    </row>
    <row r="734" spans="1:5" x14ac:dyDescent="0.25">
      <c r="A734" s="52" t="s">
        <v>744</v>
      </c>
      <c r="B734" s="53" t="s">
        <v>1362</v>
      </c>
      <c r="C734">
        <v>0.6</v>
      </c>
      <c r="D734">
        <v>0.25</v>
      </c>
      <c r="E734">
        <f t="shared" si="11"/>
        <v>100</v>
      </c>
    </row>
    <row r="735" spans="1:5" x14ac:dyDescent="0.25">
      <c r="A735" s="52" t="s">
        <v>745</v>
      </c>
      <c r="B735" s="53" t="s">
        <v>1353</v>
      </c>
      <c r="C735">
        <v>4.9000000000000002E-2</v>
      </c>
      <c r="D735">
        <v>0.25</v>
      </c>
      <c r="E735">
        <f t="shared" si="11"/>
        <v>1224.4897959183672</v>
      </c>
    </row>
    <row r="736" spans="1:5" x14ac:dyDescent="0.25">
      <c r="A736" s="52" t="s">
        <v>746</v>
      </c>
      <c r="B736" t="s">
        <v>1363</v>
      </c>
      <c r="C736">
        <v>6</v>
      </c>
      <c r="D736">
        <v>0.25</v>
      </c>
      <c r="E736">
        <f t="shared" si="11"/>
        <v>10</v>
      </c>
    </row>
    <row r="737" spans="1:5" x14ac:dyDescent="0.25">
      <c r="A737" s="52" t="s">
        <v>747</v>
      </c>
      <c r="B737" t="s">
        <v>1363</v>
      </c>
      <c r="C737">
        <v>20.91</v>
      </c>
      <c r="D737">
        <v>0.25</v>
      </c>
      <c r="E737">
        <f t="shared" si="11"/>
        <v>2.8694404591104736</v>
      </c>
    </row>
    <row r="738" spans="1:5" x14ac:dyDescent="0.25">
      <c r="A738" s="52" t="s">
        <v>748</v>
      </c>
      <c r="B738" t="s">
        <v>1364</v>
      </c>
      <c r="C738">
        <v>1.177</v>
      </c>
      <c r="D738">
        <v>0.25</v>
      </c>
      <c r="E738">
        <f t="shared" si="11"/>
        <v>50.977060322854712</v>
      </c>
    </row>
    <row r="739" spans="1:5" x14ac:dyDescent="0.25">
      <c r="A739" s="52" t="s">
        <v>749</v>
      </c>
      <c r="B739" s="53" t="s">
        <v>1364</v>
      </c>
      <c r="C739">
        <v>0.217</v>
      </c>
      <c r="D739">
        <v>0.25</v>
      </c>
      <c r="E739">
        <f t="shared" si="11"/>
        <v>276.49769585253455</v>
      </c>
    </row>
    <row r="740" spans="1:5" x14ac:dyDescent="0.25">
      <c r="A740" s="52" t="s">
        <v>750</v>
      </c>
      <c r="B740" t="s">
        <v>1356</v>
      </c>
      <c r="C740">
        <v>1.177</v>
      </c>
      <c r="D740">
        <v>0.25</v>
      </c>
      <c r="E740">
        <f t="shared" si="11"/>
        <v>50.977060322854712</v>
      </c>
    </row>
    <row r="741" spans="1:5" x14ac:dyDescent="0.25">
      <c r="A741" s="52" t="s">
        <v>751</v>
      </c>
      <c r="B741" s="53" t="s">
        <v>1356</v>
      </c>
      <c r="C741">
        <v>0.498</v>
      </c>
      <c r="D741">
        <v>0.25</v>
      </c>
      <c r="E741">
        <f t="shared" si="11"/>
        <v>120.48192771084338</v>
      </c>
    </row>
    <row r="742" spans="1:5" x14ac:dyDescent="0.25">
      <c r="A742" s="52" t="s">
        <v>752</v>
      </c>
      <c r="B742" t="s">
        <v>1365</v>
      </c>
      <c r="C742">
        <v>2.157</v>
      </c>
      <c r="D742">
        <v>0.25</v>
      </c>
      <c r="E742">
        <f t="shared" si="11"/>
        <v>27.816411682892905</v>
      </c>
    </row>
    <row r="743" spans="1:5" x14ac:dyDescent="0.25">
      <c r="A743" s="52" t="s">
        <v>753</v>
      </c>
      <c r="B743" s="53" t="s">
        <v>1365</v>
      </c>
      <c r="C743">
        <v>0.41</v>
      </c>
      <c r="D743">
        <v>0.25</v>
      </c>
      <c r="E743">
        <f t="shared" si="11"/>
        <v>146.34146341463415</v>
      </c>
    </row>
    <row r="744" spans="1:5" x14ac:dyDescent="0.25">
      <c r="A744" s="52" t="s">
        <v>754</v>
      </c>
      <c r="B744" t="s">
        <v>1366</v>
      </c>
      <c r="C744">
        <v>1.373</v>
      </c>
      <c r="D744">
        <v>0.25</v>
      </c>
      <c r="E744">
        <f t="shared" si="11"/>
        <v>43.699927166788058</v>
      </c>
    </row>
    <row r="745" spans="1:5" x14ac:dyDescent="0.25">
      <c r="A745" s="52" t="s">
        <v>755</v>
      </c>
      <c r="B745" s="53" t="s">
        <v>1366</v>
      </c>
      <c r="C745">
        <v>0.124</v>
      </c>
      <c r="D745">
        <v>0.25</v>
      </c>
      <c r="E745">
        <f t="shared" si="11"/>
        <v>483.87096774193549</v>
      </c>
    </row>
    <row r="746" spans="1:5" x14ac:dyDescent="0.25">
      <c r="A746" s="52" t="s">
        <v>756</v>
      </c>
      <c r="B746" t="s">
        <v>1367</v>
      </c>
      <c r="C746">
        <v>1.177</v>
      </c>
      <c r="D746">
        <v>0.25</v>
      </c>
      <c r="E746">
        <f t="shared" si="11"/>
        <v>50.977060322854712</v>
      </c>
    </row>
    <row r="747" spans="1:5" x14ac:dyDescent="0.25">
      <c r="A747" s="52" t="s">
        <v>757</v>
      </c>
      <c r="B747" s="53" t="s">
        <v>1367</v>
      </c>
      <c r="C747">
        <v>0.11600000000000001</v>
      </c>
      <c r="D747">
        <v>0.25</v>
      </c>
      <c r="E747">
        <f t="shared" si="11"/>
        <v>517.24137931034477</v>
      </c>
    </row>
    <row r="748" spans="1:5" x14ac:dyDescent="0.25">
      <c r="A748" s="52" t="s">
        <v>758</v>
      </c>
      <c r="B748" t="s">
        <v>1368</v>
      </c>
      <c r="C748">
        <v>1.177</v>
      </c>
      <c r="D748">
        <v>0.25</v>
      </c>
      <c r="E748">
        <f t="shared" si="11"/>
        <v>50.977060322854712</v>
      </c>
    </row>
    <row r="749" spans="1:5" x14ac:dyDescent="0.25">
      <c r="A749" s="52" t="s">
        <v>759</v>
      </c>
      <c r="B749" s="53" t="s">
        <v>1368</v>
      </c>
      <c r="C749">
        <v>0.111</v>
      </c>
      <c r="D749">
        <v>0.25</v>
      </c>
      <c r="E749">
        <f t="shared" si="11"/>
        <v>540.54054054054052</v>
      </c>
    </row>
    <row r="750" spans="1:5" x14ac:dyDescent="0.25">
      <c r="A750" s="52" t="s">
        <v>760</v>
      </c>
      <c r="B750" t="s">
        <v>1369</v>
      </c>
      <c r="C750">
        <v>1.177</v>
      </c>
      <c r="D750">
        <v>0.25</v>
      </c>
      <c r="E750">
        <f t="shared" si="11"/>
        <v>50.977060322854712</v>
      </c>
    </row>
    <row r="751" spans="1:5" x14ac:dyDescent="0.25">
      <c r="A751" s="52" t="s">
        <v>761</v>
      </c>
      <c r="B751" s="53" t="s">
        <v>1369</v>
      </c>
      <c r="C751">
        <v>0.114</v>
      </c>
      <c r="D751">
        <v>0.25</v>
      </c>
      <c r="E751">
        <f t="shared" si="11"/>
        <v>526.31578947368416</v>
      </c>
    </row>
    <row r="752" spans="1:5" x14ac:dyDescent="0.25">
      <c r="A752" s="52" t="s">
        <v>762</v>
      </c>
      <c r="B752" t="s">
        <v>1370</v>
      </c>
      <c r="C752">
        <v>0.58799999999999997</v>
      </c>
      <c r="D752">
        <v>0.25</v>
      </c>
      <c r="E752">
        <f t="shared" si="11"/>
        <v>102.04081632653062</v>
      </c>
    </row>
    <row r="753" spans="1:5" x14ac:dyDescent="0.25">
      <c r="A753" s="52" t="s">
        <v>763</v>
      </c>
      <c r="B753" s="53" t="s">
        <v>1370</v>
      </c>
      <c r="C753">
        <v>0.20899999999999999</v>
      </c>
      <c r="D753">
        <v>0.25</v>
      </c>
      <c r="E753">
        <f t="shared" si="11"/>
        <v>287.08133971291869</v>
      </c>
    </row>
    <row r="754" spans="1:5" x14ac:dyDescent="0.25">
      <c r="A754" s="52" t="s">
        <v>764</v>
      </c>
      <c r="B754" s="53" t="s">
        <v>1353</v>
      </c>
      <c r="C754">
        <v>4.9000000000000002E-2</v>
      </c>
      <c r="D754">
        <v>0.25</v>
      </c>
      <c r="E754">
        <f t="shared" si="11"/>
        <v>1224.4897959183672</v>
      </c>
    </row>
    <row r="755" spans="1:5" x14ac:dyDescent="0.25">
      <c r="A755" s="52" t="s">
        <v>765</v>
      </c>
      <c r="B755" t="s">
        <v>1371</v>
      </c>
      <c r="C755">
        <v>6</v>
      </c>
      <c r="D755">
        <v>0.25</v>
      </c>
      <c r="E755">
        <f t="shared" si="11"/>
        <v>10</v>
      </c>
    </row>
    <row r="756" spans="1:5" x14ac:dyDescent="0.25">
      <c r="A756" s="52" t="s">
        <v>766</v>
      </c>
      <c r="B756" t="s">
        <v>1371</v>
      </c>
      <c r="C756">
        <v>20.91</v>
      </c>
      <c r="D756">
        <v>0.25</v>
      </c>
      <c r="E756">
        <f t="shared" si="11"/>
        <v>2.8694404591104736</v>
      </c>
    </row>
    <row r="757" spans="1:5" x14ac:dyDescent="0.25">
      <c r="A757" s="52" t="s">
        <v>767</v>
      </c>
      <c r="B757" t="s">
        <v>1372</v>
      </c>
      <c r="C757">
        <v>1.177</v>
      </c>
      <c r="D757">
        <v>0.25</v>
      </c>
      <c r="E757">
        <f t="shared" si="11"/>
        <v>50.977060322854712</v>
      </c>
    </row>
    <row r="758" spans="1:5" x14ac:dyDescent="0.25">
      <c r="A758" s="52" t="s">
        <v>768</v>
      </c>
      <c r="B758" s="53" t="s">
        <v>1372</v>
      </c>
      <c r="C758">
        <v>0.217</v>
      </c>
      <c r="D758">
        <v>0.25</v>
      </c>
      <c r="E758">
        <f t="shared" si="11"/>
        <v>276.49769585253455</v>
      </c>
    </row>
    <row r="759" spans="1:5" x14ac:dyDescent="0.25">
      <c r="A759" s="52" t="s">
        <v>769</v>
      </c>
      <c r="B759" t="s">
        <v>1373</v>
      </c>
      <c r="C759">
        <v>1.177</v>
      </c>
      <c r="D759">
        <v>0.25</v>
      </c>
      <c r="E759">
        <f t="shared" si="11"/>
        <v>50.977060322854712</v>
      </c>
    </row>
    <row r="760" spans="1:5" x14ac:dyDescent="0.25">
      <c r="A760" s="52" t="s">
        <v>770</v>
      </c>
      <c r="B760" s="53" t="s">
        <v>1373</v>
      </c>
      <c r="C760">
        <v>0.52900000000000003</v>
      </c>
      <c r="D760">
        <v>0.25</v>
      </c>
      <c r="E760">
        <f t="shared" si="11"/>
        <v>113.42155009451795</v>
      </c>
    </row>
    <row r="761" spans="1:5" x14ac:dyDescent="0.25">
      <c r="A761" s="52" t="s">
        <v>771</v>
      </c>
      <c r="B761" t="s">
        <v>1374</v>
      </c>
      <c r="C761">
        <v>2.157</v>
      </c>
      <c r="D761">
        <v>0.25</v>
      </c>
      <c r="E761">
        <f t="shared" si="11"/>
        <v>27.816411682892905</v>
      </c>
    </row>
    <row r="762" spans="1:5" x14ac:dyDescent="0.25">
      <c r="A762" s="52" t="s">
        <v>772</v>
      </c>
      <c r="B762" s="53" t="s">
        <v>1374</v>
      </c>
      <c r="C762">
        <v>0.435</v>
      </c>
      <c r="D762">
        <v>0.25</v>
      </c>
      <c r="E762">
        <f t="shared" si="11"/>
        <v>137.93103448275863</v>
      </c>
    </row>
    <row r="763" spans="1:5" x14ac:dyDescent="0.25">
      <c r="A763" s="52" t="s">
        <v>773</v>
      </c>
      <c r="B763" t="s">
        <v>1375</v>
      </c>
      <c r="C763">
        <v>1.373</v>
      </c>
      <c r="D763">
        <v>0.25</v>
      </c>
      <c r="E763">
        <f t="shared" si="11"/>
        <v>43.699927166788058</v>
      </c>
    </row>
    <row r="764" spans="1:5" x14ac:dyDescent="0.25">
      <c r="A764" s="52" t="s">
        <v>774</v>
      </c>
      <c r="B764" s="53" t="s">
        <v>1375</v>
      </c>
      <c r="C764">
        <v>0.124</v>
      </c>
      <c r="D764">
        <v>0.25</v>
      </c>
      <c r="E764">
        <f t="shared" si="11"/>
        <v>483.87096774193549</v>
      </c>
    </row>
    <row r="765" spans="1:5" x14ac:dyDescent="0.25">
      <c r="A765" s="52" t="s">
        <v>775</v>
      </c>
      <c r="B765" t="s">
        <v>1376</v>
      </c>
      <c r="C765">
        <v>1.177</v>
      </c>
      <c r="D765">
        <v>0.25</v>
      </c>
      <c r="E765">
        <f t="shared" si="11"/>
        <v>50.977060322854712</v>
      </c>
    </row>
    <row r="766" spans="1:5" x14ac:dyDescent="0.25">
      <c r="A766" s="52" t="s">
        <v>776</v>
      </c>
      <c r="B766" s="53" t="s">
        <v>1376</v>
      </c>
      <c r="C766">
        <v>0.13100000000000001</v>
      </c>
      <c r="D766">
        <v>0.25</v>
      </c>
      <c r="E766">
        <f t="shared" si="11"/>
        <v>458.01526717557249</v>
      </c>
    </row>
    <row r="767" spans="1:5" x14ac:dyDescent="0.25">
      <c r="A767" s="52" t="s">
        <v>777</v>
      </c>
      <c r="B767" t="s">
        <v>1377</v>
      </c>
      <c r="C767">
        <v>1.177</v>
      </c>
      <c r="D767">
        <v>0.25</v>
      </c>
      <c r="E767">
        <f t="shared" si="11"/>
        <v>50.977060322854712</v>
      </c>
    </row>
    <row r="768" spans="1:5" x14ac:dyDescent="0.25">
      <c r="A768" s="52" t="s">
        <v>778</v>
      </c>
      <c r="B768" s="53" t="s">
        <v>1377</v>
      </c>
      <c r="C768">
        <v>0.11799999999999999</v>
      </c>
      <c r="D768">
        <v>0.25</v>
      </c>
      <c r="E768">
        <f t="shared" si="11"/>
        <v>508.47457627118649</v>
      </c>
    </row>
    <row r="769" spans="1:5" x14ac:dyDescent="0.25">
      <c r="A769" s="52" t="s">
        <v>779</v>
      </c>
      <c r="B769" t="s">
        <v>1378</v>
      </c>
      <c r="C769">
        <v>1.177</v>
      </c>
      <c r="D769">
        <v>0.25</v>
      </c>
      <c r="E769">
        <f t="shared" si="11"/>
        <v>50.977060322854712</v>
      </c>
    </row>
    <row r="770" spans="1:5" x14ac:dyDescent="0.25">
      <c r="A770" s="52" t="s">
        <v>780</v>
      </c>
      <c r="B770" s="53" t="s">
        <v>1378</v>
      </c>
      <c r="C770">
        <v>0.121</v>
      </c>
      <c r="D770">
        <v>0.25</v>
      </c>
      <c r="E770">
        <f t="shared" si="11"/>
        <v>495.86776859504135</v>
      </c>
    </row>
    <row r="771" spans="1:5" x14ac:dyDescent="0.25">
      <c r="A771" s="52" t="s">
        <v>781</v>
      </c>
      <c r="B771" t="s">
        <v>1379</v>
      </c>
      <c r="C771">
        <v>0.58799999999999997</v>
      </c>
      <c r="D771">
        <v>0.25</v>
      </c>
      <c r="E771">
        <f t="shared" si="11"/>
        <v>102.04081632653062</v>
      </c>
    </row>
    <row r="772" spans="1:5" x14ac:dyDescent="0.25">
      <c r="A772" s="52" t="s">
        <v>782</v>
      </c>
      <c r="B772" s="53" t="s">
        <v>1379</v>
      </c>
      <c r="C772">
        <v>0.222</v>
      </c>
      <c r="D772">
        <v>0.25</v>
      </c>
      <c r="E772">
        <f t="shared" ref="E772:E835" si="12">60/C772</f>
        <v>270.27027027027026</v>
      </c>
    </row>
    <row r="773" spans="1:5" x14ac:dyDescent="0.25">
      <c r="A773" s="52" t="s">
        <v>783</v>
      </c>
      <c r="B773" s="53" t="s">
        <v>1353</v>
      </c>
      <c r="C773">
        <v>5.1999999999999998E-2</v>
      </c>
      <c r="D773">
        <v>0.25</v>
      </c>
      <c r="E773">
        <f t="shared" si="12"/>
        <v>1153.8461538461538</v>
      </c>
    </row>
    <row r="774" spans="1:5" x14ac:dyDescent="0.25">
      <c r="A774" s="52" t="s">
        <v>784</v>
      </c>
      <c r="B774" t="s">
        <v>1380</v>
      </c>
      <c r="C774">
        <v>6</v>
      </c>
      <c r="D774">
        <v>0.25</v>
      </c>
      <c r="E774">
        <f t="shared" si="12"/>
        <v>10</v>
      </c>
    </row>
    <row r="775" spans="1:5" x14ac:dyDescent="0.25">
      <c r="A775" s="52" t="s">
        <v>785</v>
      </c>
      <c r="B775" t="s">
        <v>1380</v>
      </c>
      <c r="C775">
        <v>20.91</v>
      </c>
      <c r="D775">
        <v>0.25</v>
      </c>
      <c r="E775">
        <f t="shared" si="12"/>
        <v>2.8694404591104736</v>
      </c>
    </row>
    <row r="776" spans="1:5" x14ac:dyDescent="0.25">
      <c r="A776" s="52" t="s">
        <v>786</v>
      </c>
      <c r="B776" t="s">
        <v>1381</v>
      </c>
      <c r="C776">
        <v>1.7250000000000001</v>
      </c>
      <c r="D776">
        <v>0.25</v>
      </c>
      <c r="E776">
        <f t="shared" si="12"/>
        <v>34.782608695652172</v>
      </c>
    </row>
    <row r="777" spans="1:5" x14ac:dyDescent="0.25">
      <c r="A777" s="52" t="s">
        <v>787</v>
      </c>
      <c r="B777" s="53" t="s">
        <v>1381</v>
      </c>
      <c r="C777">
        <v>1.2</v>
      </c>
      <c r="D777">
        <v>0.25</v>
      </c>
      <c r="E777">
        <f t="shared" si="12"/>
        <v>50</v>
      </c>
    </row>
    <row r="778" spans="1:5" x14ac:dyDescent="0.25">
      <c r="A778" s="52" t="s">
        <v>788</v>
      </c>
      <c r="B778" t="s">
        <v>1382</v>
      </c>
      <c r="C778">
        <v>1.9610000000000001</v>
      </c>
      <c r="D778">
        <v>0.25</v>
      </c>
      <c r="E778">
        <f t="shared" si="12"/>
        <v>30.596634370219274</v>
      </c>
    </row>
    <row r="779" spans="1:5" x14ac:dyDescent="0.25">
      <c r="A779" s="52" t="s">
        <v>789</v>
      </c>
      <c r="B779" s="53" t="s">
        <v>1382</v>
      </c>
      <c r="C779">
        <v>0.29399999999999998</v>
      </c>
      <c r="D779">
        <v>0.25</v>
      </c>
      <c r="E779">
        <f t="shared" si="12"/>
        <v>204.08163265306123</v>
      </c>
    </row>
    <row r="780" spans="1:5" x14ac:dyDescent="0.25">
      <c r="A780" s="52" t="s">
        <v>790</v>
      </c>
      <c r="B780" t="s">
        <v>1381</v>
      </c>
      <c r="C780">
        <v>1.177</v>
      </c>
      <c r="D780">
        <v>0.25</v>
      </c>
      <c r="E780">
        <f t="shared" si="12"/>
        <v>50.977060322854712</v>
      </c>
    </row>
    <row r="781" spans="1:5" x14ac:dyDescent="0.25">
      <c r="A781" s="52" t="s">
        <v>791</v>
      </c>
      <c r="B781" s="53" t="s">
        <v>1381</v>
      </c>
      <c r="C781">
        <v>0.42399999999999999</v>
      </c>
      <c r="D781">
        <v>0.25</v>
      </c>
      <c r="E781">
        <f t="shared" si="12"/>
        <v>141.50943396226415</v>
      </c>
    </row>
    <row r="782" spans="1:5" x14ac:dyDescent="0.25">
      <c r="A782" s="52" t="s">
        <v>792</v>
      </c>
      <c r="B782" t="s">
        <v>1381</v>
      </c>
      <c r="C782">
        <v>1.7649999999999999</v>
      </c>
      <c r="D782">
        <v>0.25</v>
      </c>
      <c r="E782">
        <f t="shared" si="12"/>
        <v>33.994334277620396</v>
      </c>
    </row>
    <row r="783" spans="1:5" x14ac:dyDescent="0.25">
      <c r="A783" s="52" t="s">
        <v>793</v>
      </c>
      <c r="B783" s="53" t="s">
        <v>1381</v>
      </c>
      <c r="C783">
        <v>1.6459999999999999</v>
      </c>
      <c r="D783">
        <v>0.25</v>
      </c>
      <c r="E783">
        <f t="shared" si="12"/>
        <v>36.452004860267316</v>
      </c>
    </row>
    <row r="784" spans="1:5" x14ac:dyDescent="0.25">
      <c r="A784" s="52" t="s">
        <v>794</v>
      </c>
      <c r="B784" t="s">
        <v>1381</v>
      </c>
      <c r="C784">
        <v>4.7060000000000004</v>
      </c>
      <c r="D784">
        <v>0.25</v>
      </c>
      <c r="E784">
        <f t="shared" si="12"/>
        <v>12.74968125796855</v>
      </c>
    </row>
    <row r="785" spans="1:5" x14ac:dyDescent="0.25">
      <c r="A785" s="52" t="s">
        <v>795</v>
      </c>
      <c r="B785" s="53" t="s">
        <v>1381</v>
      </c>
      <c r="C785">
        <v>0.70099999999999996</v>
      </c>
      <c r="D785">
        <v>0.25</v>
      </c>
      <c r="E785">
        <f t="shared" si="12"/>
        <v>85.592011412268192</v>
      </c>
    </row>
    <row r="786" spans="1:5" x14ac:dyDescent="0.25">
      <c r="A786" s="52" t="s">
        <v>796</v>
      </c>
      <c r="B786" t="s">
        <v>1381</v>
      </c>
      <c r="C786">
        <v>0.86299999999999999</v>
      </c>
      <c r="D786">
        <v>0.25</v>
      </c>
      <c r="E786">
        <f t="shared" si="12"/>
        <v>69.524913093858629</v>
      </c>
    </row>
    <row r="787" spans="1:5" x14ac:dyDescent="0.25">
      <c r="A787" s="52" t="s">
        <v>797</v>
      </c>
      <c r="B787" s="53" t="s">
        <v>1381</v>
      </c>
      <c r="C787">
        <v>0.34599999999999997</v>
      </c>
      <c r="D787">
        <v>0.25</v>
      </c>
      <c r="E787">
        <f t="shared" si="12"/>
        <v>173.41040462427748</v>
      </c>
    </row>
    <row r="788" spans="1:5" x14ac:dyDescent="0.25">
      <c r="A788" s="52" t="s">
        <v>798</v>
      </c>
      <c r="B788" t="s">
        <v>1381</v>
      </c>
      <c r="C788">
        <v>0.86299999999999999</v>
      </c>
      <c r="D788">
        <v>0.25</v>
      </c>
      <c r="E788">
        <f t="shared" si="12"/>
        <v>69.524913093858629</v>
      </c>
    </row>
    <row r="789" spans="1:5" x14ac:dyDescent="0.25">
      <c r="A789" s="52" t="s">
        <v>799</v>
      </c>
      <c r="B789" s="53" t="s">
        <v>1381</v>
      </c>
      <c r="C789">
        <v>0.34599999999999997</v>
      </c>
      <c r="D789">
        <v>0.25</v>
      </c>
      <c r="E789">
        <f t="shared" si="12"/>
        <v>173.41040462427748</v>
      </c>
    </row>
    <row r="790" spans="1:5" x14ac:dyDescent="0.25">
      <c r="A790" s="52" t="s">
        <v>800</v>
      </c>
      <c r="B790" t="s">
        <v>1381</v>
      </c>
      <c r="C790">
        <v>1.177</v>
      </c>
      <c r="D790">
        <v>0.25</v>
      </c>
      <c r="E790">
        <f t="shared" si="12"/>
        <v>50.977060322854712</v>
      </c>
    </row>
    <row r="791" spans="1:5" x14ac:dyDescent="0.25">
      <c r="A791" s="52" t="s">
        <v>801</v>
      </c>
      <c r="B791" s="53" t="s">
        <v>1381</v>
      </c>
      <c r="C791">
        <v>0.19800000000000001</v>
      </c>
      <c r="D791">
        <v>0.25</v>
      </c>
      <c r="E791">
        <f t="shared" si="12"/>
        <v>303.030303030303</v>
      </c>
    </row>
    <row r="792" spans="1:5" x14ac:dyDescent="0.25">
      <c r="A792" s="52" t="s">
        <v>802</v>
      </c>
      <c r="B792" t="s">
        <v>1381</v>
      </c>
      <c r="C792">
        <v>1.177</v>
      </c>
      <c r="D792">
        <v>0.25</v>
      </c>
      <c r="E792">
        <f t="shared" si="12"/>
        <v>50.977060322854712</v>
      </c>
    </row>
    <row r="793" spans="1:5" x14ac:dyDescent="0.25">
      <c r="A793" s="52" t="s">
        <v>803</v>
      </c>
      <c r="B793" s="53" t="s">
        <v>1381</v>
      </c>
      <c r="C793">
        <v>0.16500000000000001</v>
      </c>
      <c r="D793">
        <v>0.25</v>
      </c>
      <c r="E793">
        <f t="shared" si="12"/>
        <v>363.63636363636363</v>
      </c>
    </row>
    <row r="794" spans="1:5" x14ac:dyDescent="0.25">
      <c r="A794" s="52" t="s">
        <v>804</v>
      </c>
      <c r="B794" t="s">
        <v>1381</v>
      </c>
      <c r="C794">
        <v>1.177</v>
      </c>
      <c r="D794">
        <v>0.25</v>
      </c>
      <c r="E794">
        <f t="shared" si="12"/>
        <v>50.977060322854712</v>
      </c>
    </row>
    <row r="795" spans="1:5" x14ac:dyDescent="0.25">
      <c r="A795" s="52" t="s">
        <v>805</v>
      </c>
      <c r="B795" s="53" t="s">
        <v>1381</v>
      </c>
      <c r="C795">
        <v>0.16500000000000001</v>
      </c>
      <c r="D795">
        <v>0.25</v>
      </c>
      <c r="E795">
        <f t="shared" si="12"/>
        <v>363.63636363636363</v>
      </c>
    </row>
    <row r="796" spans="1:5" x14ac:dyDescent="0.25">
      <c r="A796" s="52" t="s">
        <v>806</v>
      </c>
      <c r="B796" s="53" t="s">
        <v>1381</v>
      </c>
      <c r="C796">
        <v>0.16600000000000001</v>
      </c>
      <c r="D796">
        <v>0.25</v>
      </c>
      <c r="E796">
        <f t="shared" si="12"/>
        <v>361.4457831325301</v>
      </c>
    </row>
    <row r="797" spans="1:5" x14ac:dyDescent="0.25">
      <c r="A797" s="52" t="s">
        <v>807</v>
      </c>
      <c r="B797" t="s">
        <v>1381</v>
      </c>
      <c r="C797">
        <v>10</v>
      </c>
      <c r="D797">
        <v>0.25</v>
      </c>
      <c r="E797">
        <f t="shared" si="12"/>
        <v>6</v>
      </c>
    </row>
    <row r="798" spans="1:5" x14ac:dyDescent="0.25">
      <c r="A798" s="52" t="s">
        <v>808</v>
      </c>
      <c r="B798" t="s">
        <v>1381</v>
      </c>
      <c r="C798">
        <v>87.56</v>
      </c>
      <c r="D798">
        <v>0.25</v>
      </c>
      <c r="E798">
        <f t="shared" si="12"/>
        <v>0.68524440383736862</v>
      </c>
    </row>
    <row r="799" spans="1:5" x14ac:dyDescent="0.25">
      <c r="A799" s="52" t="s">
        <v>809</v>
      </c>
      <c r="B799" t="s">
        <v>1383</v>
      </c>
      <c r="C799">
        <v>0.58799999999999997</v>
      </c>
      <c r="D799">
        <v>0.25</v>
      </c>
      <c r="E799">
        <f t="shared" si="12"/>
        <v>102.04081632653062</v>
      </c>
    </row>
    <row r="800" spans="1:5" x14ac:dyDescent="0.25">
      <c r="A800" s="52" t="s">
        <v>810</v>
      </c>
      <c r="B800" s="53" t="s">
        <v>1383</v>
      </c>
      <c r="C800">
        <v>0.379</v>
      </c>
      <c r="D800">
        <v>0.25</v>
      </c>
      <c r="E800">
        <f t="shared" si="12"/>
        <v>158.31134564643799</v>
      </c>
    </row>
    <row r="801" spans="1:5" x14ac:dyDescent="0.25">
      <c r="A801" s="52" t="s">
        <v>811</v>
      </c>
      <c r="B801" s="53" t="s">
        <v>1384</v>
      </c>
      <c r="C801">
        <v>0.46700000000000003</v>
      </c>
      <c r="D801">
        <v>0.25</v>
      </c>
      <c r="E801">
        <f t="shared" si="12"/>
        <v>128.47965738758029</v>
      </c>
    </row>
    <row r="802" spans="1:5" x14ac:dyDescent="0.25">
      <c r="A802" s="52" t="s">
        <v>812</v>
      </c>
      <c r="B802" t="s">
        <v>1385</v>
      </c>
      <c r="C802">
        <v>0.78400000000000003</v>
      </c>
      <c r="D802">
        <v>0.25</v>
      </c>
      <c r="E802">
        <f t="shared" si="12"/>
        <v>76.530612244897952</v>
      </c>
    </row>
    <row r="803" spans="1:5" x14ac:dyDescent="0.25">
      <c r="A803" s="52" t="s">
        <v>813</v>
      </c>
      <c r="B803" s="53" t="s">
        <v>1385</v>
      </c>
      <c r="C803">
        <v>0.44900000000000001</v>
      </c>
      <c r="D803">
        <v>0.25</v>
      </c>
      <c r="E803">
        <f t="shared" si="12"/>
        <v>133.63028953229397</v>
      </c>
    </row>
    <row r="804" spans="1:5" x14ac:dyDescent="0.25">
      <c r="A804" s="52" t="s">
        <v>814</v>
      </c>
      <c r="B804" t="s">
        <v>1386</v>
      </c>
      <c r="C804">
        <v>0.78400000000000003</v>
      </c>
      <c r="D804">
        <v>0.25</v>
      </c>
      <c r="E804">
        <f t="shared" si="12"/>
        <v>76.530612244897952</v>
      </c>
    </row>
    <row r="805" spans="1:5" x14ac:dyDescent="0.25">
      <c r="A805" s="52" t="s">
        <v>815</v>
      </c>
      <c r="B805" s="53" t="s">
        <v>1386</v>
      </c>
      <c r="C805">
        <v>0.39900000000000002</v>
      </c>
      <c r="D805">
        <v>0.25</v>
      </c>
      <c r="E805">
        <f t="shared" si="12"/>
        <v>150.37593984962405</v>
      </c>
    </row>
    <row r="806" spans="1:5" x14ac:dyDescent="0.25">
      <c r="A806" s="52" t="s">
        <v>816</v>
      </c>
      <c r="B806" t="s">
        <v>1387</v>
      </c>
      <c r="C806">
        <v>120</v>
      </c>
      <c r="D806">
        <v>0.25</v>
      </c>
      <c r="E806">
        <f t="shared" si="12"/>
        <v>0.5</v>
      </c>
    </row>
    <row r="807" spans="1:5" x14ac:dyDescent="0.25">
      <c r="A807" s="52" t="s">
        <v>817</v>
      </c>
      <c r="B807" t="s">
        <v>1388</v>
      </c>
      <c r="C807">
        <v>1.7649999999999999</v>
      </c>
      <c r="D807">
        <v>0.25</v>
      </c>
      <c r="E807">
        <f t="shared" si="12"/>
        <v>33.994334277620396</v>
      </c>
    </row>
    <row r="808" spans="1:5" x14ac:dyDescent="0.25">
      <c r="A808" s="52" t="s">
        <v>818</v>
      </c>
      <c r="B808" s="53" t="s">
        <v>1388</v>
      </c>
      <c r="C808">
        <v>0.94599999999999995</v>
      </c>
      <c r="D808">
        <v>0.2</v>
      </c>
      <c r="E808">
        <f t="shared" si="12"/>
        <v>63.424947145877383</v>
      </c>
    </row>
    <row r="809" spans="1:5" x14ac:dyDescent="0.25">
      <c r="A809" s="52" t="s">
        <v>819</v>
      </c>
      <c r="B809" t="s">
        <v>1389</v>
      </c>
      <c r="C809">
        <v>1.7649999999999999</v>
      </c>
      <c r="D809">
        <v>0.25</v>
      </c>
      <c r="E809">
        <f t="shared" si="12"/>
        <v>33.994334277620396</v>
      </c>
    </row>
    <row r="810" spans="1:5" x14ac:dyDescent="0.25">
      <c r="A810" s="52" t="s">
        <v>820</v>
      </c>
      <c r="B810" s="53" t="s">
        <v>1389</v>
      </c>
      <c r="C810">
        <v>0.88900000000000001</v>
      </c>
      <c r="D810">
        <v>0.2</v>
      </c>
      <c r="E810">
        <f t="shared" si="12"/>
        <v>67.491563554555682</v>
      </c>
    </row>
    <row r="811" spans="1:5" x14ac:dyDescent="0.25">
      <c r="A811" s="52" t="s">
        <v>821</v>
      </c>
      <c r="B811" t="s">
        <v>1390</v>
      </c>
      <c r="C811">
        <v>1.7649999999999999</v>
      </c>
      <c r="D811">
        <v>0.25</v>
      </c>
      <c r="E811">
        <f t="shared" si="12"/>
        <v>33.994334277620396</v>
      </c>
    </row>
    <row r="812" spans="1:5" x14ac:dyDescent="0.25">
      <c r="A812" s="52" t="s">
        <v>822</v>
      </c>
      <c r="B812" s="53" t="s">
        <v>1390</v>
      </c>
      <c r="C812">
        <v>0.59299999999999997</v>
      </c>
      <c r="D812">
        <v>0.2</v>
      </c>
      <c r="E812">
        <f t="shared" si="12"/>
        <v>101.18043844856662</v>
      </c>
    </row>
    <row r="813" spans="1:5" x14ac:dyDescent="0.25">
      <c r="A813" s="52" t="s">
        <v>823</v>
      </c>
      <c r="B813" t="s">
        <v>1391</v>
      </c>
      <c r="C813">
        <v>1.7649999999999999</v>
      </c>
      <c r="D813">
        <v>0.25</v>
      </c>
      <c r="E813">
        <f t="shared" si="12"/>
        <v>33.994334277620396</v>
      </c>
    </row>
    <row r="814" spans="1:5" x14ac:dyDescent="0.25">
      <c r="A814" s="52" t="s">
        <v>824</v>
      </c>
      <c r="B814" s="53" t="s">
        <v>1391</v>
      </c>
      <c r="C814">
        <v>0.59299999999999997</v>
      </c>
      <c r="D814">
        <v>0.2</v>
      </c>
      <c r="E814">
        <f t="shared" si="12"/>
        <v>101.18043844856662</v>
      </c>
    </row>
    <row r="815" spans="1:5" x14ac:dyDescent="0.25">
      <c r="A815" s="52" t="s">
        <v>825</v>
      </c>
      <c r="B815" t="s">
        <v>1392</v>
      </c>
      <c r="C815">
        <v>7.06</v>
      </c>
      <c r="D815">
        <v>0.25</v>
      </c>
      <c r="E815">
        <f t="shared" si="12"/>
        <v>8.4985835694050991</v>
      </c>
    </row>
    <row r="816" spans="1:5" x14ac:dyDescent="0.25">
      <c r="A816" s="52" t="s">
        <v>826</v>
      </c>
      <c r="B816" s="53" t="s">
        <v>1392</v>
      </c>
      <c r="C816">
        <v>1</v>
      </c>
      <c r="D816">
        <v>0.2</v>
      </c>
      <c r="E816">
        <f t="shared" si="12"/>
        <v>60</v>
      </c>
    </row>
    <row r="817" spans="1:5" x14ac:dyDescent="0.25">
      <c r="A817" s="52" t="s">
        <v>827</v>
      </c>
      <c r="B817" t="s">
        <v>1392</v>
      </c>
      <c r="C817">
        <v>1.4119999999999999</v>
      </c>
      <c r="D817">
        <v>0.25</v>
      </c>
      <c r="E817">
        <f t="shared" si="12"/>
        <v>42.492917847025495</v>
      </c>
    </row>
    <row r="818" spans="1:5" x14ac:dyDescent="0.25">
      <c r="A818" s="52" t="s">
        <v>828</v>
      </c>
      <c r="B818" t="s">
        <v>1393</v>
      </c>
      <c r="C818">
        <v>0.98</v>
      </c>
      <c r="D818">
        <v>0.25</v>
      </c>
      <c r="E818">
        <f t="shared" si="12"/>
        <v>61.224489795918366</v>
      </c>
    </row>
    <row r="819" spans="1:5" x14ac:dyDescent="0.25">
      <c r="A819" s="52" t="s">
        <v>829</v>
      </c>
      <c r="B819" s="53" t="s">
        <v>1393</v>
      </c>
      <c r="C819">
        <v>0.41699999999999998</v>
      </c>
      <c r="D819">
        <v>0.2</v>
      </c>
      <c r="E819">
        <f t="shared" si="12"/>
        <v>143.88489208633095</v>
      </c>
    </row>
    <row r="820" spans="1:5" x14ac:dyDescent="0.25">
      <c r="A820" s="52" t="s">
        <v>830</v>
      </c>
      <c r="B820" t="s">
        <v>1394</v>
      </c>
      <c r="C820">
        <v>0.58799999999999997</v>
      </c>
      <c r="D820">
        <v>0.25</v>
      </c>
      <c r="E820">
        <f t="shared" si="12"/>
        <v>102.04081632653062</v>
      </c>
    </row>
    <row r="821" spans="1:5" x14ac:dyDescent="0.25">
      <c r="A821" s="52" t="s">
        <v>831</v>
      </c>
      <c r="B821" s="53" t="s">
        <v>1394</v>
      </c>
      <c r="C821">
        <v>0.19400000000000001</v>
      </c>
      <c r="D821">
        <v>0.2</v>
      </c>
      <c r="E821">
        <f t="shared" si="12"/>
        <v>309.2783505154639</v>
      </c>
    </row>
    <row r="822" spans="1:5" x14ac:dyDescent="0.25">
      <c r="A822" s="52" t="s">
        <v>832</v>
      </c>
      <c r="B822" t="s">
        <v>1395</v>
      </c>
      <c r="C822">
        <v>0.58799999999999997</v>
      </c>
      <c r="D822">
        <v>0.25</v>
      </c>
      <c r="E822">
        <f t="shared" si="12"/>
        <v>102.04081632653062</v>
      </c>
    </row>
    <row r="823" spans="1:5" x14ac:dyDescent="0.25">
      <c r="A823" s="52" t="s">
        <v>833</v>
      </c>
      <c r="B823" s="53" t="s">
        <v>1395</v>
      </c>
      <c r="C823">
        <v>0.186</v>
      </c>
      <c r="D823">
        <v>0.2</v>
      </c>
      <c r="E823">
        <f t="shared" si="12"/>
        <v>322.58064516129031</v>
      </c>
    </row>
    <row r="824" spans="1:5" x14ac:dyDescent="0.25">
      <c r="A824" s="52" t="s">
        <v>834</v>
      </c>
      <c r="B824" t="s">
        <v>1396</v>
      </c>
      <c r="C824">
        <v>2.3530000000000002</v>
      </c>
      <c r="D824">
        <v>0.25</v>
      </c>
      <c r="E824">
        <f t="shared" si="12"/>
        <v>25.499362515937101</v>
      </c>
    </row>
    <row r="825" spans="1:5" x14ac:dyDescent="0.25">
      <c r="A825" s="52" t="s">
        <v>835</v>
      </c>
      <c r="B825" s="53" t="s">
        <v>1396</v>
      </c>
      <c r="C825">
        <v>0.71099999999999997</v>
      </c>
      <c r="D825">
        <v>0.2</v>
      </c>
      <c r="E825">
        <f t="shared" si="12"/>
        <v>84.388185654008439</v>
      </c>
    </row>
    <row r="826" spans="1:5" x14ac:dyDescent="0.25">
      <c r="A826" s="52" t="s">
        <v>836</v>
      </c>
      <c r="B826" t="s">
        <v>1397</v>
      </c>
      <c r="C826">
        <v>2.3530000000000002</v>
      </c>
      <c r="D826">
        <v>0.25</v>
      </c>
      <c r="E826">
        <f t="shared" si="12"/>
        <v>25.499362515937101</v>
      </c>
    </row>
    <row r="827" spans="1:5" x14ac:dyDescent="0.25">
      <c r="A827" s="52" t="s">
        <v>837</v>
      </c>
      <c r="B827" s="53" t="s">
        <v>1397</v>
      </c>
      <c r="C827">
        <v>0.71099999999999997</v>
      </c>
      <c r="D827">
        <v>0.2</v>
      </c>
      <c r="E827">
        <f t="shared" si="12"/>
        <v>84.388185654008439</v>
      </c>
    </row>
    <row r="828" spans="1:5" x14ac:dyDescent="0.25">
      <c r="A828" s="52" t="s">
        <v>838</v>
      </c>
      <c r="B828" t="s">
        <v>1398</v>
      </c>
      <c r="C828">
        <v>7.0590000000000002</v>
      </c>
      <c r="D828">
        <v>0.25</v>
      </c>
      <c r="E828">
        <f t="shared" si="12"/>
        <v>8.4997875053123675</v>
      </c>
    </row>
    <row r="829" spans="1:5" x14ac:dyDescent="0.25">
      <c r="A829" s="52" t="s">
        <v>839</v>
      </c>
      <c r="B829" s="53" t="s">
        <v>1398</v>
      </c>
      <c r="C829">
        <v>1.3129999999999999</v>
      </c>
      <c r="D829">
        <v>0.2</v>
      </c>
      <c r="E829">
        <f t="shared" si="12"/>
        <v>45.696877380045699</v>
      </c>
    </row>
    <row r="830" spans="1:5" x14ac:dyDescent="0.25">
      <c r="A830" s="52" t="s">
        <v>840</v>
      </c>
      <c r="B830" t="s">
        <v>1399</v>
      </c>
      <c r="C830">
        <v>7.0590000000000002</v>
      </c>
      <c r="D830">
        <v>0.25</v>
      </c>
      <c r="E830">
        <f t="shared" si="12"/>
        <v>8.4997875053123675</v>
      </c>
    </row>
    <row r="831" spans="1:5" x14ac:dyDescent="0.25">
      <c r="A831" s="52" t="s">
        <v>841</v>
      </c>
      <c r="B831" s="53" t="s">
        <v>1399</v>
      </c>
      <c r="C831">
        <v>1.482</v>
      </c>
      <c r="D831">
        <v>0.2</v>
      </c>
      <c r="E831">
        <f t="shared" si="12"/>
        <v>40.48582995951417</v>
      </c>
    </row>
    <row r="832" spans="1:5" x14ac:dyDescent="0.25">
      <c r="A832" s="52" t="s">
        <v>842</v>
      </c>
      <c r="B832" t="s">
        <v>1400</v>
      </c>
      <c r="C832">
        <v>7.0590000000000002</v>
      </c>
      <c r="D832">
        <v>0.25</v>
      </c>
      <c r="E832">
        <f t="shared" si="12"/>
        <v>8.4997875053123675</v>
      </c>
    </row>
    <row r="833" spans="1:5" x14ac:dyDescent="0.25">
      <c r="A833" s="52" t="s">
        <v>843</v>
      </c>
      <c r="B833" s="53" t="s">
        <v>1400</v>
      </c>
      <c r="C833">
        <v>1.6519999999999999</v>
      </c>
      <c r="D833">
        <v>0.2</v>
      </c>
      <c r="E833">
        <f t="shared" si="12"/>
        <v>36.319612590799032</v>
      </c>
    </row>
    <row r="834" spans="1:5" x14ac:dyDescent="0.25">
      <c r="A834" s="52" t="s">
        <v>844</v>
      </c>
      <c r="B834" t="s">
        <v>1400</v>
      </c>
      <c r="C834">
        <v>4.41</v>
      </c>
      <c r="D834">
        <v>0.25</v>
      </c>
      <c r="E834">
        <f t="shared" si="12"/>
        <v>13.605442176870747</v>
      </c>
    </row>
    <row r="835" spans="1:5" x14ac:dyDescent="0.25">
      <c r="A835" s="52" t="s">
        <v>845</v>
      </c>
      <c r="B835" t="s">
        <v>1401</v>
      </c>
      <c r="C835">
        <v>7.0590000000000002</v>
      </c>
      <c r="D835">
        <v>0.25</v>
      </c>
      <c r="E835">
        <f t="shared" si="12"/>
        <v>8.4997875053123675</v>
      </c>
    </row>
    <row r="836" spans="1:5" x14ac:dyDescent="0.25">
      <c r="A836" s="52" t="s">
        <v>846</v>
      </c>
      <c r="B836" s="53" t="s">
        <v>1401</v>
      </c>
      <c r="C836">
        <v>1.5249999999999999</v>
      </c>
      <c r="D836">
        <v>0.2</v>
      </c>
      <c r="E836">
        <f t="shared" ref="E836:E899" si="13">60/C836</f>
        <v>39.344262295081968</v>
      </c>
    </row>
    <row r="837" spans="1:5" x14ac:dyDescent="0.25">
      <c r="A837" s="52" t="s">
        <v>847</v>
      </c>
      <c r="B837" t="s">
        <v>1401</v>
      </c>
      <c r="C837">
        <v>3.58</v>
      </c>
      <c r="D837">
        <v>0.25</v>
      </c>
      <c r="E837">
        <f t="shared" si="13"/>
        <v>16.759776536312849</v>
      </c>
    </row>
    <row r="838" spans="1:5" x14ac:dyDescent="0.25">
      <c r="A838" s="52" t="s">
        <v>848</v>
      </c>
      <c r="B838" t="s">
        <v>1402</v>
      </c>
      <c r="C838">
        <v>1.0589999999999999</v>
      </c>
      <c r="D838">
        <v>0.2</v>
      </c>
      <c r="E838">
        <f t="shared" si="13"/>
        <v>56.657223796033996</v>
      </c>
    </row>
    <row r="839" spans="1:5" x14ac:dyDescent="0.25">
      <c r="A839" s="52" t="s">
        <v>849</v>
      </c>
      <c r="B839" s="53" t="s">
        <v>1402</v>
      </c>
      <c r="C839">
        <v>0.54400000000000004</v>
      </c>
      <c r="D839">
        <v>0.2</v>
      </c>
      <c r="E839">
        <f t="shared" si="13"/>
        <v>110.29411764705881</v>
      </c>
    </row>
    <row r="840" spans="1:5" x14ac:dyDescent="0.25">
      <c r="A840" s="52" t="s">
        <v>850</v>
      </c>
      <c r="B840" t="s">
        <v>1402</v>
      </c>
      <c r="C840">
        <v>3.68</v>
      </c>
      <c r="D840">
        <v>0.25</v>
      </c>
      <c r="E840">
        <f t="shared" si="13"/>
        <v>16.304347826086957</v>
      </c>
    </row>
    <row r="841" spans="1:5" x14ac:dyDescent="0.25">
      <c r="A841" s="52" t="s">
        <v>851</v>
      </c>
      <c r="B841" t="s">
        <v>1403</v>
      </c>
      <c r="C841">
        <v>1.0589999999999999</v>
      </c>
      <c r="D841">
        <v>0.25</v>
      </c>
      <c r="E841">
        <f t="shared" si="13"/>
        <v>56.657223796033996</v>
      </c>
    </row>
    <row r="842" spans="1:5" x14ac:dyDescent="0.25">
      <c r="A842" s="52" t="s">
        <v>852</v>
      </c>
      <c r="B842" s="53" t="s">
        <v>1403</v>
      </c>
      <c r="C842">
        <v>0.748</v>
      </c>
      <c r="D842">
        <v>0.2</v>
      </c>
      <c r="E842">
        <f t="shared" si="13"/>
        <v>80.213903743315512</v>
      </c>
    </row>
    <row r="843" spans="1:5" x14ac:dyDescent="0.25">
      <c r="A843" s="52" t="s">
        <v>853</v>
      </c>
      <c r="B843" t="s">
        <v>1403</v>
      </c>
      <c r="C843">
        <v>2.0099999999999998</v>
      </c>
      <c r="D843">
        <v>0.25</v>
      </c>
      <c r="E843">
        <f t="shared" si="13"/>
        <v>29.850746268656721</v>
      </c>
    </row>
    <row r="844" spans="1:5" x14ac:dyDescent="0.25">
      <c r="A844" s="52" t="s">
        <v>854</v>
      </c>
      <c r="B844" t="s">
        <v>1401</v>
      </c>
      <c r="C844">
        <v>1.0589999999999999</v>
      </c>
      <c r="D844">
        <v>0.25</v>
      </c>
      <c r="E844">
        <f t="shared" si="13"/>
        <v>56.657223796033996</v>
      </c>
    </row>
    <row r="845" spans="1:5" x14ac:dyDescent="0.25">
      <c r="A845" s="52" t="s">
        <v>855</v>
      </c>
      <c r="B845" s="53" t="s">
        <v>1401</v>
      </c>
      <c r="C845">
        <v>0.49399999999999999</v>
      </c>
      <c r="D845">
        <v>0.2</v>
      </c>
      <c r="E845">
        <f t="shared" si="13"/>
        <v>121.45748987854252</v>
      </c>
    </row>
    <row r="846" spans="1:5" x14ac:dyDescent="0.25">
      <c r="A846" s="52" t="s">
        <v>856</v>
      </c>
      <c r="B846" t="s">
        <v>1404</v>
      </c>
      <c r="C846">
        <v>12.941000000000001</v>
      </c>
      <c r="D846">
        <v>0.25</v>
      </c>
      <c r="E846">
        <f t="shared" si="13"/>
        <v>4.636426860366277</v>
      </c>
    </row>
    <row r="847" spans="1:5" x14ac:dyDescent="0.25">
      <c r="A847" s="52" t="s">
        <v>857</v>
      </c>
      <c r="B847" s="53" t="s">
        <v>1404</v>
      </c>
      <c r="C847">
        <v>1.6120000000000001</v>
      </c>
      <c r="D847">
        <v>0.2</v>
      </c>
      <c r="E847">
        <f t="shared" si="13"/>
        <v>37.220843672456574</v>
      </c>
    </row>
    <row r="848" spans="1:5" x14ac:dyDescent="0.25">
      <c r="A848" s="52" t="s">
        <v>858</v>
      </c>
      <c r="B848" t="s">
        <v>1405</v>
      </c>
      <c r="C848">
        <v>1.7649999999999999</v>
      </c>
      <c r="D848">
        <v>0.25</v>
      </c>
      <c r="E848">
        <f t="shared" si="13"/>
        <v>33.994334277620396</v>
      </c>
    </row>
    <row r="849" spans="1:5" x14ac:dyDescent="0.25">
      <c r="A849" s="52" t="s">
        <v>859</v>
      </c>
      <c r="B849" s="53" t="s">
        <v>1405</v>
      </c>
      <c r="C849">
        <v>0.45500000000000002</v>
      </c>
      <c r="D849">
        <v>0.2</v>
      </c>
      <c r="E849">
        <f t="shared" si="13"/>
        <v>131.86813186813185</v>
      </c>
    </row>
    <row r="850" spans="1:5" x14ac:dyDescent="0.25">
      <c r="A850" s="52" t="s">
        <v>860</v>
      </c>
      <c r="B850" t="s">
        <v>1406</v>
      </c>
      <c r="C850">
        <v>20</v>
      </c>
      <c r="D850">
        <v>0.25</v>
      </c>
      <c r="E850">
        <f t="shared" si="13"/>
        <v>3</v>
      </c>
    </row>
    <row r="851" spans="1:5" x14ac:dyDescent="0.25">
      <c r="A851" s="52" t="s">
        <v>861</v>
      </c>
      <c r="B851" t="s">
        <v>1406</v>
      </c>
      <c r="C851">
        <v>21.17</v>
      </c>
      <c r="D851">
        <v>0.25</v>
      </c>
      <c r="E851">
        <f t="shared" si="13"/>
        <v>2.8341993386868207</v>
      </c>
    </row>
    <row r="852" spans="1:5" x14ac:dyDescent="0.25">
      <c r="A852" s="52" t="s">
        <v>862</v>
      </c>
      <c r="B852" t="s">
        <v>1407</v>
      </c>
      <c r="C852">
        <v>2.7450000000000001</v>
      </c>
      <c r="D852">
        <v>0.25</v>
      </c>
      <c r="E852">
        <f t="shared" si="13"/>
        <v>21.857923497267759</v>
      </c>
    </row>
    <row r="853" spans="1:5" x14ac:dyDescent="0.25">
      <c r="A853" s="52" t="s">
        <v>863</v>
      </c>
      <c r="B853" s="53" t="s">
        <v>1407</v>
      </c>
      <c r="C853">
        <v>2.2160000000000002</v>
      </c>
      <c r="D853">
        <v>0.2</v>
      </c>
      <c r="E853">
        <f t="shared" si="13"/>
        <v>27.075812274368229</v>
      </c>
    </row>
    <row r="854" spans="1:5" x14ac:dyDescent="0.25">
      <c r="A854" s="52" t="s">
        <v>864</v>
      </c>
      <c r="B854" t="s">
        <v>1408</v>
      </c>
      <c r="C854">
        <v>0.70599999999999996</v>
      </c>
      <c r="D854">
        <v>0.25</v>
      </c>
      <c r="E854">
        <f t="shared" si="13"/>
        <v>84.985835694050991</v>
      </c>
    </row>
    <row r="855" spans="1:5" x14ac:dyDescent="0.25">
      <c r="A855" s="52" t="s">
        <v>865</v>
      </c>
      <c r="B855" s="53" t="s">
        <v>1408</v>
      </c>
      <c r="C855">
        <v>0.5</v>
      </c>
      <c r="D855">
        <v>0.25</v>
      </c>
      <c r="E855">
        <f t="shared" si="13"/>
        <v>120</v>
      </c>
    </row>
    <row r="856" spans="1:5" x14ac:dyDescent="0.25">
      <c r="A856" s="52" t="s">
        <v>866</v>
      </c>
      <c r="B856" t="s">
        <v>1409</v>
      </c>
      <c r="C856">
        <v>0.70599999999999996</v>
      </c>
      <c r="D856">
        <v>0.25</v>
      </c>
      <c r="E856">
        <f t="shared" si="13"/>
        <v>84.985835694050991</v>
      </c>
    </row>
    <row r="857" spans="1:5" x14ac:dyDescent="0.25">
      <c r="A857" s="52" t="s">
        <v>867</v>
      </c>
      <c r="B857" s="53" t="s">
        <v>1409</v>
      </c>
      <c r="C857">
        <v>0.5</v>
      </c>
      <c r="D857">
        <v>0.25</v>
      </c>
      <c r="E857">
        <f t="shared" si="13"/>
        <v>120</v>
      </c>
    </row>
    <row r="858" spans="1:5" x14ac:dyDescent="0.25">
      <c r="A858" s="52" t="s">
        <v>868</v>
      </c>
      <c r="B858" t="s">
        <v>1410</v>
      </c>
      <c r="C858">
        <v>0.70599999999999996</v>
      </c>
      <c r="D858">
        <v>0.25</v>
      </c>
      <c r="E858">
        <f t="shared" si="13"/>
        <v>84.985835694050991</v>
      </c>
    </row>
    <row r="859" spans="1:5" x14ac:dyDescent="0.25">
      <c r="A859" s="52" t="s">
        <v>869</v>
      </c>
      <c r="B859" s="53" t="s">
        <v>1410</v>
      </c>
      <c r="C859">
        <v>0.5</v>
      </c>
      <c r="D859">
        <v>0.25</v>
      </c>
      <c r="E859">
        <f t="shared" si="13"/>
        <v>120</v>
      </c>
    </row>
    <row r="860" spans="1:5" x14ac:dyDescent="0.25">
      <c r="A860" s="52" t="s">
        <v>870</v>
      </c>
      <c r="B860" s="53" t="s">
        <v>1411</v>
      </c>
      <c r="C860">
        <v>0.5</v>
      </c>
      <c r="D860">
        <v>0.25</v>
      </c>
      <c r="E860">
        <f t="shared" si="13"/>
        <v>120</v>
      </c>
    </row>
    <row r="861" spans="1:5" x14ac:dyDescent="0.25">
      <c r="A861" s="52" t="s">
        <v>871</v>
      </c>
      <c r="B861" t="s">
        <v>1403</v>
      </c>
      <c r="C861">
        <v>2.5</v>
      </c>
      <c r="D861">
        <v>0.25</v>
      </c>
      <c r="E861">
        <f t="shared" si="13"/>
        <v>24</v>
      </c>
    </row>
    <row r="862" spans="1:5" x14ac:dyDescent="0.25">
      <c r="A862" s="52" t="s">
        <v>872</v>
      </c>
      <c r="B862" t="s">
        <v>1403</v>
      </c>
      <c r="C862">
        <v>5</v>
      </c>
      <c r="D862">
        <v>0.25</v>
      </c>
      <c r="E862">
        <f t="shared" si="13"/>
        <v>12</v>
      </c>
    </row>
    <row r="863" spans="1:5" x14ac:dyDescent="0.25">
      <c r="A863" s="52" t="s">
        <v>873</v>
      </c>
      <c r="B863" t="s">
        <v>1412</v>
      </c>
      <c r="C863">
        <v>27.15</v>
      </c>
      <c r="D863">
        <v>0.25</v>
      </c>
      <c r="E863">
        <f t="shared" si="13"/>
        <v>2.2099447513812156</v>
      </c>
    </row>
    <row r="864" spans="1:5" x14ac:dyDescent="0.25">
      <c r="A864" s="52" t="s">
        <v>874</v>
      </c>
      <c r="B864" t="s">
        <v>1413</v>
      </c>
      <c r="C864">
        <v>23.28</v>
      </c>
      <c r="D864">
        <v>0.25</v>
      </c>
      <c r="E864">
        <f t="shared" si="13"/>
        <v>2.5773195876288657</v>
      </c>
    </row>
    <row r="865" spans="1:5" x14ac:dyDescent="0.25">
      <c r="A865" s="52" t="s">
        <v>875</v>
      </c>
      <c r="B865" t="s">
        <v>1414</v>
      </c>
      <c r="C865">
        <v>189.517</v>
      </c>
      <c r="D865">
        <v>0.25</v>
      </c>
      <c r="E865">
        <f t="shared" si="13"/>
        <v>0.31659428969432823</v>
      </c>
    </row>
    <row r="866" spans="1:5" x14ac:dyDescent="0.25">
      <c r="A866" s="52" t="s">
        <v>876</v>
      </c>
      <c r="B866" t="s">
        <v>1415</v>
      </c>
      <c r="C866">
        <v>0.51</v>
      </c>
      <c r="D866">
        <v>0.25</v>
      </c>
      <c r="E866">
        <f t="shared" si="13"/>
        <v>117.64705882352941</v>
      </c>
    </row>
    <row r="867" spans="1:5" x14ac:dyDescent="0.25">
      <c r="A867" s="52" t="s">
        <v>877</v>
      </c>
      <c r="B867" s="53" t="s">
        <v>1415</v>
      </c>
      <c r="C867">
        <v>0.25</v>
      </c>
      <c r="D867">
        <v>0.25</v>
      </c>
      <c r="E867">
        <f t="shared" si="13"/>
        <v>240</v>
      </c>
    </row>
    <row r="868" spans="1:5" x14ac:dyDescent="0.25">
      <c r="A868" s="52" t="s">
        <v>878</v>
      </c>
      <c r="B868" t="s">
        <v>1416</v>
      </c>
      <c r="C868">
        <v>5.0979999999999999</v>
      </c>
      <c r="D868">
        <v>0.25</v>
      </c>
      <c r="E868">
        <f t="shared" si="13"/>
        <v>11.769321302471559</v>
      </c>
    </row>
    <row r="869" spans="1:5" x14ac:dyDescent="0.25">
      <c r="A869" s="52" t="s">
        <v>879</v>
      </c>
      <c r="B869" s="53" t="s">
        <v>1416</v>
      </c>
      <c r="C869">
        <v>1.0780000000000001</v>
      </c>
      <c r="D869">
        <v>0.25</v>
      </c>
      <c r="E869">
        <f t="shared" si="13"/>
        <v>55.658627087198511</v>
      </c>
    </row>
    <row r="870" spans="1:5" x14ac:dyDescent="0.25">
      <c r="A870" s="52" t="s">
        <v>880</v>
      </c>
      <c r="B870" t="s">
        <v>1417</v>
      </c>
      <c r="C870">
        <v>2.0390000000000001</v>
      </c>
      <c r="D870">
        <v>0.25</v>
      </c>
      <c r="E870">
        <f t="shared" si="13"/>
        <v>29.426189308484549</v>
      </c>
    </row>
    <row r="871" spans="1:5" x14ac:dyDescent="0.25">
      <c r="A871" s="52" t="s">
        <v>881</v>
      </c>
      <c r="B871" s="53" t="s">
        <v>1417</v>
      </c>
      <c r="C871">
        <v>0.373</v>
      </c>
      <c r="D871">
        <v>0.25</v>
      </c>
      <c r="E871">
        <f t="shared" si="13"/>
        <v>160.857908847185</v>
      </c>
    </row>
    <row r="872" spans="1:5" x14ac:dyDescent="0.25">
      <c r="A872" s="52" t="s">
        <v>882</v>
      </c>
      <c r="B872" t="s">
        <v>1418</v>
      </c>
      <c r="C872">
        <v>2.0390000000000001</v>
      </c>
      <c r="D872">
        <v>0.25</v>
      </c>
      <c r="E872">
        <f t="shared" si="13"/>
        <v>29.426189308484549</v>
      </c>
    </row>
    <row r="873" spans="1:5" x14ac:dyDescent="0.25">
      <c r="A873" s="52" t="s">
        <v>883</v>
      </c>
      <c r="B873" s="53" t="s">
        <v>1418</v>
      </c>
      <c r="C873">
        <v>0.373</v>
      </c>
      <c r="D873">
        <v>0.25</v>
      </c>
      <c r="E873">
        <f t="shared" si="13"/>
        <v>160.857908847185</v>
      </c>
    </row>
    <row r="874" spans="1:5" x14ac:dyDescent="0.25">
      <c r="A874" s="52" t="s">
        <v>884</v>
      </c>
      <c r="B874" t="s">
        <v>1419</v>
      </c>
      <c r="C874">
        <v>55</v>
      </c>
      <c r="D874">
        <v>0.25</v>
      </c>
      <c r="E874">
        <f t="shared" si="13"/>
        <v>1.0909090909090908</v>
      </c>
    </row>
    <row r="875" spans="1:5" x14ac:dyDescent="0.25">
      <c r="A875" s="52" t="s">
        <v>885</v>
      </c>
      <c r="B875" t="s">
        <v>1420</v>
      </c>
      <c r="C875">
        <v>5.0979999999999999</v>
      </c>
      <c r="D875">
        <v>0.25</v>
      </c>
      <c r="E875">
        <f t="shared" si="13"/>
        <v>11.769321302471559</v>
      </c>
    </row>
    <row r="876" spans="1:5" x14ac:dyDescent="0.25">
      <c r="A876" s="52" t="s">
        <v>886</v>
      </c>
      <c r="B876" s="53" t="s">
        <v>1420</v>
      </c>
      <c r="C876">
        <v>0.58199999999999996</v>
      </c>
      <c r="D876">
        <v>0.25</v>
      </c>
      <c r="E876">
        <f t="shared" si="13"/>
        <v>103.09278350515464</v>
      </c>
    </row>
    <row r="877" spans="1:5" x14ac:dyDescent="0.25">
      <c r="A877" s="52" t="s">
        <v>887</v>
      </c>
      <c r="B877" t="s">
        <v>1421</v>
      </c>
      <c r="C877">
        <v>1.7250000000000001</v>
      </c>
      <c r="D877">
        <v>0.25</v>
      </c>
      <c r="E877">
        <f t="shared" si="13"/>
        <v>34.782608695652172</v>
      </c>
    </row>
    <row r="878" spans="1:5" x14ac:dyDescent="0.25">
      <c r="A878" s="52" t="s">
        <v>888</v>
      </c>
      <c r="B878" s="53" t="s">
        <v>1421</v>
      </c>
      <c r="C878">
        <v>0.503</v>
      </c>
      <c r="D878">
        <v>0.25</v>
      </c>
      <c r="E878">
        <f t="shared" si="13"/>
        <v>119.28429423459245</v>
      </c>
    </row>
    <row r="879" spans="1:5" x14ac:dyDescent="0.25">
      <c r="A879" s="52" t="s">
        <v>889</v>
      </c>
      <c r="B879" t="s">
        <v>1422</v>
      </c>
      <c r="C879">
        <v>33</v>
      </c>
      <c r="D879">
        <v>0.25</v>
      </c>
      <c r="E879">
        <f t="shared" si="13"/>
        <v>1.8181818181818181</v>
      </c>
    </row>
    <row r="880" spans="1:5" x14ac:dyDescent="0.25">
      <c r="A880" s="52" t="s">
        <v>890</v>
      </c>
      <c r="B880" t="s">
        <v>1423</v>
      </c>
      <c r="C880">
        <v>5.0979999999999999</v>
      </c>
      <c r="D880">
        <v>0.25</v>
      </c>
      <c r="E880">
        <f t="shared" si="13"/>
        <v>11.769321302471559</v>
      </c>
    </row>
    <row r="881" spans="1:5" x14ac:dyDescent="0.25">
      <c r="A881" s="52" t="s">
        <v>891</v>
      </c>
      <c r="B881" s="53" t="s">
        <v>1423</v>
      </c>
      <c r="C881">
        <v>0.58199999999999996</v>
      </c>
      <c r="D881">
        <v>0.25</v>
      </c>
      <c r="E881">
        <f t="shared" si="13"/>
        <v>103.09278350515464</v>
      </c>
    </row>
    <row r="882" spans="1:5" x14ac:dyDescent="0.25">
      <c r="A882" s="52" t="s">
        <v>892</v>
      </c>
      <c r="B882" t="s">
        <v>1424</v>
      </c>
      <c r="C882">
        <v>1.7250000000000001</v>
      </c>
      <c r="D882">
        <v>0.25</v>
      </c>
      <c r="E882">
        <f t="shared" si="13"/>
        <v>34.782608695652172</v>
      </c>
    </row>
    <row r="883" spans="1:5" x14ac:dyDescent="0.25">
      <c r="A883" s="52" t="s">
        <v>893</v>
      </c>
      <c r="B883" s="53" t="s">
        <v>1424</v>
      </c>
      <c r="C883">
        <v>0.503</v>
      </c>
      <c r="D883">
        <v>0.25</v>
      </c>
      <c r="E883">
        <f t="shared" si="13"/>
        <v>119.28429423459245</v>
      </c>
    </row>
    <row r="884" spans="1:5" x14ac:dyDescent="0.25">
      <c r="A884" s="52" t="s">
        <v>894</v>
      </c>
      <c r="B884" t="s">
        <v>1425</v>
      </c>
      <c r="C884">
        <v>33</v>
      </c>
      <c r="D884">
        <v>0.25</v>
      </c>
      <c r="E884">
        <f t="shared" si="13"/>
        <v>1.8181818181818181</v>
      </c>
    </row>
    <row r="885" spans="1:5" x14ac:dyDescent="0.25">
      <c r="A885" s="52" t="s">
        <v>895</v>
      </c>
      <c r="B885" t="s">
        <v>1426</v>
      </c>
      <c r="C885">
        <v>5.0979999999999999</v>
      </c>
      <c r="D885">
        <v>0.25</v>
      </c>
      <c r="E885">
        <f t="shared" si="13"/>
        <v>11.769321302471559</v>
      </c>
    </row>
    <row r="886" spans="1:5" x14ac:dyDescent="0.25">
      <c r="A886" s="52" t="s">
        <v>896</v>
      </c>
      <c r="B886" s="53" t="s">
        <v>1426</v>
      </c>
      <c r="C886">
        <v>4</v>
      </c>
      <c r="D886">
        <v>0.25</v>
      </c>
      <c r="E886">
        <f t="shared" si="13"/>
        <v>15</v>
      </c>
    </row>
    <row r="887" spans="1:5" x14ac:dyDescent="0.25">
      <c r="A887" s="52" t="s">
        <v>897</v>
      </c>
      <c r="B887" t="s">
        <v>1426</v>
      </c>
      <c r="C887">
        <v>1.373</v>
      </c>
      <c r="D887">
        <v>0.25</v>
      </c>
      <c r="E887">
        <f t="shared" si="13"/>
        <v>43.699927166788058</v>
      </c>
    </row>
    <row r="888" spans="1:5" x14ac:dyDescent="0.25">
      <c r="A888" s="52" t="s">
        <v>898</v>
      </c>
      <c r="B888" t="s">
        <v>1427</v>
      </c>
      <c r="C888">
        <v>0.90200000000000002</v>
      </c>
      <c r="D888">
        <v>0.25</v>
      </c>
      <c r="E888">
        <f t="shared" si="13"/>
        <v>66.518847006651882</v>
      </c>
    </row>
    <row r="889" spans="1:5" x14ac:dyDescent="0.25">
      <c r="A889" s="52" t="s">
        <v>899</v>
      </c>
      <c r="B889" s="53" t="s">
        <v>1427</v>
      </c>
      <c r="C889">
        <v>0.5</v>
      </c>
      <c r="D889">
        <v>0.25</v>
      </c>
      <c r="E889">
        <f t="shared" si="13"/>
        <v>120</v>
      </c>
    </row>
    <row r="890" spans="1:5" x14ac:dyDescent="0.25">
      <c r="A890" s="52" t="s">
        <v>900</v>
      </c>
      <c r="B890" t="s">
        <v>1428</v>
      </c>
      <c r="C890">
        <v>1.02</v>
      </c>
      <c r="D890">
        <v>0.25</v>
      </c>
      <c r="E890">
        <f t="shared" si="13"/>
        <v>58.823529411764703</v>
      </c>
    </row>
    <row r="891" spans="1:5" x14ac:dyDescent="0.25">
      <c r="A891" s="52" t="s">
        <v>901</v>
      </c>
      <c r="B891" s="53" t="s">
        <v>1428</v>
      </c>
      <c r="C891">
        <v>0.5</v>
      </c>
      <c r="D891">
        <v>0.25</v>
      </c>
      <c r="E891">
        <f t="shared" si="13"/>
        <v>120</v>
      </c>
    </row>
    <row r="892" spans="1:5" x14ac:dyDescent="0.25">
      <c r="A892" s="52" t="s">
        <v>902</v>
      </c>
      <c r="B892" t="s">
        <v>1429</v>
      </c>
      <c r="C892">
        <v>1.02</v>
      </c>
      <c r="D892">
        <v>0.25</v>
      </c>
      <c r="E892">
        <f t="shared" si="13"/>
        <v>58.823529411764703</v>
      </c>
    </row>
    <row r="893" spans="1:5" x14ac:dyDescent="0.25">
      <c r="A893" s="52" t="s">
        <v>903</v>
      </c>
      <c r="B893" s="53" t="s">
        <v>1429</v>
      </c>
      <c r="C893">
        <v>0.5</v>
      </c>
      <c r="D893">
        <v>0.25</v>
      </c>
      <c r="E893">
        <f t="shared" si="13"/>
        <v>120</v>
      </c>
    </row>
    <row r="894" spans="1:5" x14ac:dyDescent="0.25">
      <c r="A894" s="52" t="s">
        <v>904</v>
      </c>
      <c r="B894" t="s">
        <v>1430</v>
      </c>
      <c r="C894">
        <v>1.2549999999999999</v>
      </c>
      <c r="D894">
        <v>0.25</v>
      </c>
      <c r="E894">
        <f t="shared" si="13"/>
        <v>47.808764940239051</v>
      </c>
    </row>
    <row r="895" spans="1:5" x14ac:dyDescent="0.25">
      <c r="A895" s="52" t="s">
        <v>905</v>
      </c>
      <c r="B895" s="53" t="s">
        <v>1430</v>
      </c>
      <c r="C895">
        <v>0.5</v>
      </c>
      <c r="D895">
        <v>0.25</v>
      </c>
      <c r="E895">
        <f t="shared" si="13"/>
        <v>120</v>
      </c>
    </row>
    <row r="896" spans="1:5" x14ac:dyDescent="0.25">
      <c r="A896" s="52" t="s">
        <v>906</v>
      </c>
      <c r="B896" t="s">
        <v>1431</v>
      </c>
      <c r="C896">
        <v>0.90200000000000002</v>
      </c>
      <c r="D896">
        <v>0.25</v>
      </c>
      <c r="E896">
        <f t="shared" si="13"/>
        <v>66.518847006651882</v>
      </c>
    </row>
    <row r="897" spans="1:5" x14ac:dyDescent="0.25">
      <c r="A897" s="52" t="s">
        <v>907</v>
      </c>
      <c r="B897" s="53" t="s">
        <v>1431</v>
      </c>
      <c r="C897">
        <v>0.5</v>
      </c>
      <c r="D897">
        <v>0.25</v>
      </c>
      <c r="E897">
        <f t="shared" si="13"/>
        <v>120</v>
      </c>
    </row>
    <row r="898" spans="1:5" x14ac:dyDescent="0.25">
      <c r="A898" s="52" t="s">
        <v>908</v>
      </c>
      <c r="B898" t="s">
        <v>1432</v>
      </c>
      <c r="C898">
        <v>0.70599999999999996</v>
      </c>
      <c r="D898">
        <v>0.25</v>
      </c>
      <c r="E898">
        <f t="shared" si="13"/>
        <v>84.985835694050991</v>
      </c>
    </row>
    <row r="899" spans="1:5" x14ac:dyDescent="0.25">
      <c r="A899" s="52" t="s">
        <v>909</v>
      </c>
      <c r="B899" s="53" t="s">
        <v>1432</v>
      </c>
      <c r="C899">
        <v>0.3</v>
      </c>
      <c r="D899">
        <v>0.25</v>
      </c>
      <c r="E899">
        <f t="shared" si="13"/>
        <v>200</v>
      </c>
    </row>
    <row r="900" spans="1:5" x14ac:dyDescent="0.25">
      <c r="A900" s="52" t="s">
        <v>910</v>
      </c>
      <c r="B900" t="s">
        <v>1433</v>
      </c>
      <c r="C900">
        <v>0.54900000000000004</v>
      </c>
      <c r="D900">
        <v>0.25</v>
      </c>
      <c r="E900">
        <f t="shared" ref="E900:E963" si="14">60/C900</f>
        <v>109.28961748633878</v>
      </c>
    </row>
    <row r="901" spans="1:5" x14ac:dyDescent="0.25">
      <c r="A901" s="52" t="s">
        <v>911</v>
      </c>
      <c r="B901" s="53" t="s">
        <v>1433</v>
      </c>
      <c r="C901">
        <v>0.2</v>
      </c>
      <c r="D901">
        <v>0.25</v>
      </c>
      <c r="E901">
        <f t="shared" si="14"/>
        <v>300</v>
      </c>
    </row>
    <row r="902" spans="1:5" x14ac:dyDescent="0.25">
      <c r="A902" s="52" t="s">
        <v>912</v>
      </c>
      <c r="B902" t="s">
        <v>1434</v>
      </c>
      <c r="C902">
        <v>0.54900000000000004</v>
      </c>
      <c r="D902">
        <v>0.25</v>
      </c>
      <c r="E902">
        <f t="shared" si="14"/>
        <v>109.28961748633878</v>
      </c>
    </row>
    <row r="903" spans="1:5" x14ac:dyDescent="0.25">
      <c r="A903" s="52" t="s">
        <v>913</v>
      </c>
      <c r="B903" s="53" t="s">
        <v>1434</v>
      </c>
      <c r="C903">
        <v>0.3</v>
      </c>
      <c r="D903">
        <v>0.25</v>
      </c>
      <c r="E903">
        <f t="shared" si="14"/>
        <v>200</v>
      </c>
    </row>
    <row r="904" spans="1:5" x14ac:dyDescent="0.25">
      <c r="A904" s="52" t="s">
        <v>914</v>
      </c>
      <c r="B904" t="s">
        <v>1434</v>
      </c>
      <c r="C904">
        <v>0.54900000000000004</v>
      </c>
      <c r="D904">
        <v>0.25</v>
      </c>
      <c r="E904">
        <f t="shared" si="14"/>
        <v>109.28961748633878</v>
      </c>
    </row>
    <row r="905" spans="1:5" x14ac:dyDescent="0.25">
      <c r="A905" s="52" t="s">
        <v>915</v>
      </c>
      <c r="B905" s="53" t="s">
        <v>1434</v>
      </c>
      <c r="C905">
        <v>0.3</v>
      </c>
      <c r="D905">
        <v>0.25</v>
      </c>
      <c r="E905">
        <f t="shared" si="14"/>
        <v>200</v>
      </c>
    </row>
    <row r="906" spans="1:5" x14ac:dyDescent="0.25">
      <c r="A906" s="52" t="s">
        <v>916</v>
      </c>
      <c r="B906" t="s">
        <v>1435</v>
      </c>
      <c r="C906">
        <v>20</v>
      </c>
      <c r="D906">
        <v>0.25</v>
      </c>
      <c r="E906">
        <f t="shared" si="14"/>
        <v>3</v>
      </c>
    </row>
    <row r="907" spans="1:5" x14ac:dyDescent="0.25">
      <c r="A907" s="52" t="s">
        <v>917</v>
      </c>
      <c r="B907" t="s">
        <v>1435</v>
      </c>
      <c r="C907">
        <v>118</v>
      </c>
      <c r="D907">
        <v>0.25</v>
      </c>
      <c r="E907">
        <f t="shared" si="14"/>
        <v>0.50847457627118642</v>
      </c>
    </row>
    <row r="908" spans="1:5" x14ac:dyDescent="0.25">
      <c r="A908" s="52" t="s">
        <v>918</v>
      </c>
      <c r="B908" t="s">
        <v>1436</v>
      </c>
      <c r="C908">
        <v>2</v>
      </c>
      <c r="D908">
        <v>0.5</v>
      </c>
      <c r="E908">
        <f t="shared" si="14"/>
        <v>30</v>
      </c>
    </row>
    <row r="909" spans="1:5" x14ac:dyDescent="0.25">
      <c r="A909" s="52" t="s">
        <v>919</v>
      </c>
      <c r="B909" t="s">
        <v>1437</v>
      </c>
      <c r="C909">
        <v>0.98</v>
      </c>
      <c r="D909">
        <v>0.25</v>
      </c>
      <c r="E909">
        <f t="shared" si="14"/>
        <v>61.224489795918366</v>
      </c>
    </row>
    <row r="910" spans="1:5" x14ac:dyDescent="0.25">
      <c r="A910" s="52" t="s">
        <v>920</v>
      </c>
      <c r="B910" s="53" t="s">
        <v>1437</v>
      </c>
      <c r="C910">
        <v>0.40799999999999997</v>
      </c>
      <c r="D910">
        <v>0.25</v>
      </c>
      <c r="E910">
        <f t="shared" si="14"/>
        <v>147.05882352941177</v>
      </c>
    </row>
    <row r="911" spans="1:5" x14ac:dyDescent="0.25">
      <c r="A911" s="52" t="s">
        <v>921</v>
      </c>
      <c r="B911" t="s">
        <v>1102</v>
      </c>
      <c r="C911">
        <v>1.5</v>
      </c>
      <c r="D911">
        <v>0.15</v>
      </c>
      <c r="E911">
        <f t="shared" si="14"/>
        <v>40</v>
      </c>
    </row>
    <row r="912" spans="1:5" x14ac:dyDescent="0.25">
      <c r="A912" s="52" t="s">
        <v>922</v>
      </c>
      <c r="B912" t="s">
        <v>1103</v>
      </c>
      <c r="C912">
        <v>0.5</v>
      </c>
      <c r="D912">
        <v>0.15</v>
      </c>
      <c r="E912">
        <f t="shared" si="14"/>
        <v>120</v>
      </c>
    </row>
    <row r="913" spans="1:5" x14ac:dyDescent="0.25">
      <c r="A913" s="52" t="s">
        <v>923</v>
      </c>
      <c r="B913" s="53" t="s">
        <v>1104</v>
      </c>
      <c r="C913">
        <v>0.24</v>
      </c>
      <c r="D913">
        <v>0.15</v>
      </c>
      <c r="E913">
        <f t="shared" si="14"/>
        <v>250</v>
      </c>
    </row>
    <row r="914" spans="1:5" x14ac:dyDescent="0.25">
      <c r="A914" s="52" t="s">
        <v>924</v>
      </c>
      <c r="B914" t="s">
        <v>1105</v>
      </c>
      <c r="C914">
        <f>60/250</f>
        <v>0.24</v>
      </c>
      <c r="D914">
        <v>0.15</v>
      </c>
      <c r="E914">
        <f t="shared" si="14"/>
        <v>250</v>
      </c>
    </row>
    <row r="915" spans="1:5" x14ac:dyDescent="0.25">
      <c r="A915" s="52" t="s">
        <v>925</v>
      </c>
      <c r="B915" t="s">
        <v>1106</v>
      </c>
      <c r="C915">
        <f>60/250</f>
        <v>0.24</v>
      </c>
      <c r="D915">
        <v>0.15</v>
      </c>
      <c r="E915">
        <f t="shared" si="14"/>
        <v>250</v>
      </c>
    </row>
    <row r="916" spans="1:5" x14ac:dyDescent="0.25">
      <c r="A916" s="52" t="s">
        <v>926</v>
      </c>
      <c r="B916" t="s">
        <v>1438</v>
      </c>
      <c r="C916">
        <v>2.9409999999999998</v>
      </c>
      <c r="D916">
        <v>0.25</v>
      </c>
      <c r="E916">
        <f t="shared" si="14"/>
        <v>20.401224073444407</v>
      </c>
    </row>
    <row r="917" spans="1:5" x14ac:dyDescent="0.25">
      <c r="A917" s="52" t="s">
        <v>927</v>
      </c>
      <c r="B917" t="s">
        <v>1439</v>
      </c>
      <c r="C917">
        <v>0.1</v>
      </c>
      <c r="D917">
        <v>0.2</v>
      </c>
      <c r="E917">
        <f t="shared" si="14"/>
        <v>600</v>
      </c>
    </row>
    <row r="918" spans="1:5" x14ac:dyDescent="0.25">
      <c r="A918" s="52" t="s">
        <v>928</v>
      </c>
      <c r="B918" t="s">
        <v>1440</v>
      </c>
      <c r="C918">
        <v>9.8000000000000004E-2</v>
      </c>
      <c r="D918">
        <v>0.25</v>
      </c>
      <c r="E918">
        <f t="shared" si="14"/>
        <v>612.24489795918362</v>
      </c>
    </row>
    <row r="919" spans="1:5" x14ac:dyDescent="0.25">
      <c r="A919" s="52" t="s">
        <v>929</v>
      </c>
      <c r="B919" t="s">
        <v>1441</v>
      </c>
      <c r="C919">
        <v>0.19600000000000001</v>
      </c>
      <c r="D919">
        <v>0.25</v>
      </c>
      <c r="E919">
        <f t="shared" si="14"/>
        <v>306.12244897959181</v>
      </c>
    </row>
    <row r="920" spans="1:5" x14ac:dyDescent="0.25">
      <c r="A920" s="52" t="s">
        <v>930</v>
      </c>
      <c r="B920" t="s">
        <v>1442</v>
      </c>
      <c r="C920">
        <v>0.19600000000000001</v>
      </c>
      <c r="D920">
        <v>0.25</v>
      </c>
      <c r="E920">
        <f t="shared" si="14"/>
        <v>306.12244897959181</v>
      </c>
    </row>
    <row r="921" spans="1:5" x14ac:dyDescent="0.25">
      <c r="A921" s="52" t="s">
        <v>931</v>
      </c>
      <c r="B921" t="s">
        <v>1440</v>
      </c>
      <c r="C921">
        <v>1.569</v>
      </c>
      <c r="D921">
        <v>0.25</v>
      </c>
      <c r="E921">
        <f t="shared" si="14"/>
        <v>38.24091778202677</v>
      </c>
    </row>
    <row r="922" spans="1:5" x14ac:dyDescent="0.25">
      <c r="A922" s="52" t="s">
        <v>932</v>
      </c>
      <c r="B922" t="s">
        <v>1443</v>
      </c>
      <c r="C922">
        <v>9.8000000000000004E-2</v>
      </c>
      <c r="D922">
        <v>0.25</v>
      </c>
      <c r="E922">
        <f t="shared" si="14"/>
        <v>612.24489795918362</v>
      </c>
    </row>
    <row r="923" spans="1:5" x14ac:dyDescent="0.25">
      <c r="A923" s="52" t="s">
        <v>933</v>
      </c>
      <c r="B923" t="s">
        <v>1444</v>
      </c>
      <c r="C923">
        <v>1.4650000000000001</v>
      </c>
      <c r="D923">
        <v>0.25</v>
      </c>
      <c r="E923">
        <f t="shared" si="14"/>
        <v>40.955631399317404</v>
      </c>
    </row>
    <row r="924" spans="1:5" x14ac:dyDescent="0.25">
      <c r="A924" s="52" t="s">
        <v>934</v>
      </c>
      <c r="B924" t="s">
        <v>1445</v>
      </c>
      <c r="C924">
        <v>1.4650000000000001</v>
      </c>
      <c r="D924">
        <v>0.25</v>
      </c>
      <c r="E924">
        <f t="shared" si="14"/>
        <v>40.955631399317404</v>
      </c>
    </row>
    <row r="925" spans="1:5" x14ac:dyDescent="0.25">
      <c r="A925" s="52" t="s">
        <v>935</v>
      </c>
      <c r="B925" t="s">
        <v>1446</v>
      </c>
      <c r="C925">
        <v>1.177</v>
      </c>
      <c r="D925">
        <v>0.2</v>
      </c>
      <c r="E925">
        <f t="shared" si="14"/>
        <v>50.977060322854712</v>
      </c>
    </row>
    <row r="926" spans="1:5" x14ac:dyDescent="0.25">
      <c r="A926" s="52" t="s">
        <v>936</v>
      </c>
      <c r="B926" t="s">
        <v>1447</v>
      </c>
      <c r="C926">
        <v>0.35299999999999998</v>
      </c>
      <c r="D926">
        <v>0.25</v>
      </c>
      <c r="E926">
        <f t="shared" si="14"/>
        <v>169.97167138810198</v>
      </c>
    </row>
    <row r="927" spans="1:5" x14ac:dyDescent="0.25">
      <c r="A927" s="52" t="s">
        <v>937</v>
      </c>
      <c r="B927" t="s">
        <v>1448</v>
      </c>
      <c r="C927">
        <v>20</v>
      </c>
      <c r="D927">
        <v>0.25</v>
      </c>
      <c r="E927">
        <f t="shared" si="14"/>
        <v>3</v>
      </c>
    </row>
    <row r="928" spans="1:5" x14ac:dyDescent="0.25">
      <c r="A928" s="52" t="s">
        <v>938</v>
      </c>
      <c r="B928" t="s">
        <v>1449</v>
      </c>
      <c r="C928">
        <v>1.02</v>
      </c>
      <c r="D928">
        <v>0.25</v>
      </c>
      <c r="E928">
        <f t="shared" si="14"/>
        <v>58.823529411764703</v>
      </c>
    </row>
    <row r="929" spans="1:5" x14ac:dyDescent="0.25">
      <c r="A929" s="52" t="s">
        <v>939</v>
      </c>
      <c r="B929" t="s">
        <v>1450</v>
      </c>
      <c r="C929">
        <v>8</v>
      </c>
      <c r="D929">
        <v>0.25</v>
      </c>
      <c r="E929">
        <f t="shared" si="14"/>
        <v>7.5</v>
      </c>
    </row>
    <row r="930" spans="1:5" x14ac:dyDescent="0.25">
      <c r="A930" s="52" t="s">
        <v>940</v>
      </c>
      <c r="B930" t="s">
        <v>1451</v>
      </c>
      <c r="C930">
        <v>8</v>
      </c>
      <c r="D930">
        <v>0.25</v>
      </c>
      <c r="E930">
        <f t="shared" si="14"/>
        <v>7.5</v>
      </c>
    </row>
    <row r="931" spans="1:5" x14ac:dyDescent="0.25">
      <c r="A931" s="52" t="s">
        <v>941</v>
      </c>
      <c r="B931" t="s">
        <v>1452</v>
      </c>
      <c r="C931">
        <v>8</v>
      </c>
      <c r="D931">
        <v>0.25</v>
      </c>
      <c r="E931">
        <f t="shared" si="14"/>
        <v>7.5</v>
      </c>
    </row>
    <row r="932" spans="1:5" x14ac:dyDescent="0.25">
      <c r="A932" s="52" t="s">
        <v>942</v>
      </c>
      <c r="B932" t="s">
        <v>1453</v>
      </c>
      <c r="C932">
        <v>8</v>
      </c>
      <c r="D932">
        <v>0.25</v>
      </c>
      <c r="E932">
        <f t="shared" si="14"/>
        <v>7.5</v>
      </c>
    </row>
    <row r="933" spans="1:5" x14ac:dyDescent="0.25">
      <c r="A933" s="52" t="s">
        <v>943</v>
      </c>
      <c r="B933" t="s">
        <v>1454</v>
      </c>
      <c r="C933">
        <v>8</v>
      </c>
      <c r="D933">
        <v>0.25</v>
      </c>
      <c r="E933">
        <f t="shared" si="14"/>
        <v>7.5</v>
      </c>
    </row>
    <row r="934" spans="1:5" x14ac:dyDescent="0.25">
      <c r="A934" s="52" t="s">
        <v>944</v>
      </c>
      <c r="B934" t="s">
        <v>1455</v>
      </c>
      <c r="C934">
        <v>0.39</v>
      </c>
      <c r="D934">
        <v>0.25</v>
      </c>
      <c r="E934">
        <f t="shared" si="14"/>
        <v>153.84615384615384</v>
      </c>
    </row>
    <row r="935" spans="1:5" x14ac:dyDescent="0.25">
      <c r="A935" s="52" t="s">
        <v>945</v>
      </c>
      <c r="B935" t="s">
        <v>1455</v>
      </c>
      <c r="C935">
        <v>2.3530000000000002</v>
      </c>
      <c r="D935">
        <v>0.25</v>
      </c>
      <c r="E935">
        <f t="shared" si="14"/>
        <v>25.499362515937101</v>
      </c>
    </row>
    <row r="936" spans="1:5" x14ac:dyDescent="0.25">
      <c r="A936" s="52" t="s">
        <v>946</v>
      </c>
      <c r="B936" t="s">
        <v>1456</v>
      </c>
      <c r="C936">
        <v>6.3529999999999998</v>
      </c>
      <c r="D936">
        <v>0.25</v>
      </c>
      <c r="E936">
        <f t="shared" si="14"/>
        <v>9.4443569966944754</v>
      </c>
    </row>
    <row r="937" spans="1:5" x14ac:dyDescent="0.25">
      <c r="A937" s="52" t="s">
        <v>947</v>
      </c>
      <c r="B937" t="s">
        <v>1457</v>
      </c>
      <c r="C937">
        <v>6.3529999999999998</v>
      </c>
      <c r="D937">
        <v>0.25</v>
      </c>
      <c r="E937">
        <f t="shared" si="14"/>
        <v>9.4443569966944754</v>
      </c>
    </row>
    <row r="938" spans="1:5" x14ac:dyDescent="0.25">
      <c r="A938" s="52" t="s">
        <v>948</v>
      </c>
      <c r="B938" t="s">
        <v>1458</v>
      </c>
      <c r="C938">
        <v>7.2510000000000003</v>
      </c>
      <c r="D938">
        <v>0.25</v>
      </c>
      <c r="E938">
        <f t="shared" si="14"/>
        <v>8.2747207281754243</v>
      </c>
    </row>
    <row r="939" spans="1:5" x14ac:dyDescent="0.25">
      <c r="A939" s="52" t="s">
        <v>949</v>
      </c>
      <c r="B939" t="s">
        <v>1448</v>
      </c>
      <c r="C939">
        <v>12.378</v>
      </c>
      <c r="D939">
        <v>0.25</v>
      </c>
      <c r="E939">
        <f t="shared" si="14"/>
        <v>4.847309743092584</v>
      </c>
    </row>
    <row r="940" spans="1:5" x14ac:dyDescent="0.25">
      <c r="A940" s="52" t="s">
        <v>950</v>
      </c>
      <c r="B940" t="s">
        <v>1459</v>
      </c>
      <c r="C940">
        <v>5</v>
      </c>
      <c r="D940">
        <v>0.2</v>
      </c>
      <c r="E940">
        <f t="shared" si="14"/>
        <v>12</v>
      </c>
    </row>
    <row r="941" spans="1:5" x14ac:dyDescent="0.25">
      <c r="A941" s="52" t="s">
        <v>951</v>
      </c>
      <c r="B941" t="s">
        <v>1460</v>
      </c>
      <c r="C941">
        <v>1</v>
      </c>
      <c r="D941">
        <v>0.15</v>
      </c>
      <c r="E941">
        <f t="shared" si="14"/>
        <v>60</v>
      </c>
    </row>
    <row r="942" spans="1:5" x14ac:dyDescent="0.25">
      <c r="A942" s="52" t="s">
        <v>952</v>
      </c>
      <c r="B942" t="s">
        <v>1461</v>
      </c>
      <c r="C942">
        <v>35</v>
      </c>
      <c r="D942">
        <v>0.2</v>
      </c>
      <c r="E942">
        <f t="shared" si="14"/>
        <v>1.7142857142857142</v>
      </c>
    </row>
    <row r="943" spans="1:5" x14ac:dyDescent="0.25">
      <c r="A943" s="52" t="s">
        <v>953</v>
      </c>
      <c r="B943" t="s">
        <v>1462</v>
      </c>
      <c r="C943">
        <v>5</v>
      </c>
      <c r="D943">
        <v>0.2</v>
      </c>
      <c r="E943">
        <f t="shared" si="14"/>
        <v>12</v>
      </c>
    </row>
    <row r="944" spans="1:5" x14ac:dyDescent="0.25">
      <c r="A944" s="52" t="s">
        <v>954</v>
      </c>
      <c r="B944" t="s">
        <v>1459</v>
      </c>
      <c r="C944">
        <v>15</v>
      </c>
      <c r="D944">
        <v>0.2</v>
      </c>
      <c r="E944">
        <f t="shared" si="14"/>
        <v>4</v>
      </c>
    </row>
    <row r="945" spans="1:5" x14ac:dyDescent="0.25">
      <c r="A945" s="52" t="s">
        <v>955</v>
      </c>
      <c r="B945" t="s">
        <v>1463</v>
      </c>
      <c r="C945">
        <v>90</v>
      </c>
      <c r="D945">
        <v>0.2</v>
      </c>
      <c r="E945">
        <f t="shared" si="14"/>
        <v>0.66666666666666663</v>
      </c>
    </row>
    <row r="946" spans="1:5" x14ac:dyDescent="0.25">
      <c r="A946" s="52" t="s">
        <v>956</v>
      </c>
      <c r="B946" t="s">
        <v>1464</v>
      </c>
      <c r="C946">
        <v>17.75</v>
      </c>
      <c r="D946">
        <v>0.2</v>
      </c>
      <c r="E946">
        <f t="shared" si="14"/>
        <v>3.380281690140845</v>
      </c>
    </row>
    <row r="947" spans="1:5" x14ac:dyDescent="0.25">
      <c r="A947" s="52" t="s">
        <v>957</v>
      </c>
      <c r="B947" t="s">
        <v>1465</v>
      </c>
      <c r="C947">
        <v>16.167000000000002</v>
      </c>
      <c r="D947">
        <v>0.2</v>
      </c>
      <c r="E947">
        <f t="shared" si="14"/>
        <v>3.7112636852848393</v>
      </c>
    </row>
    <row r="948" spans="1:5" x14ac:dyDescent="0.25">
      <c r="A948" s="52" t="s">
        <v>958</v>
      </c>
      <c r="B948" t="s">
        <v>1466</v>
      </c>
      <c r="C948">
        <v>8.3000000000000004E-2</v>
      </c>
      <c r="D948">
        <v>0.2</v>
      </c>
      <c r="E948">
        <f t="shared" si="14"/>
        <v>722.89156626506019</v>
      </c>
    </row>
    <row r="949" spans="1:5" x14ac:dyDescent="0.25">
      <c r="A949" s="52" t="s">
        <v>959</v>
      </c>
      <c r="B949" t="s">
        <v>1467</v>
      </c>
      <c r="C949">
        <v>8.3000000000000004E-2</v>
      </c>
      <c r="D949">
        <v>0.2</v>
      </c>
      <c r="E949">
        <f t="shared" si="14"/>
        <v>722.89156626506019</v>
      </c>
    </row>
    <row r="950" spans="1:5" x14ac:dyDescent="0.25">
      <c r="A950" s="52" t="s">
        <v>960</v>
      </c>
      <c r="B950" t="s">
        <v>1468</v>
      </c>
      <c r="C950">
        <v>0.66700000000000004</v>
      </c>
      <c r="D950">
        <v>0.2</v>
      </c>
      <c r="E950">
        <f t="shared" si="14"/>
        <v>89.955022488755617</v>
      </c>
    </row>
    <row r="951" spans="1:5" x14ac:dyDescent="0.25">
      <c r="A951" s="52" t="s">
        <v>961</v>
      </c>
      <c r="B951" t="s">
        <v>1469</v>
      </c>
      <c r="C951">
        <v>240</v>
      </c>
      <c r="D951">
        <v>0.5</v>
      </c>
      <c r="E951">
        <f t="shared" si="14"/>
        <v>0.25</v>
      </c>
    </row>
    <row r="952" spans="1:5" x14ac:dyDescent="0.25">
      <c r="A952" s="52" t="s">
        <v>962</v>
      </c>
      <c r="B952" t="s">
        <v>1470</v>
      </c>
      <c r="C952">
        <v>0.78400000000000003</v>
      </c>
      <c r="D952">
        <v>0.25</v>
      </c>
      <c r="E952">
        <f t="shared" si="14"/>
        <v>76.530612244897952</v>
      </c>
    </row>
    <row r="953" spans="1:5" x14ac:dyDescent="0.25">
      <c r="A953" s="52" t="s">
        <v>963</v>
      </c>
      <c r="B953" t="s">
        <v>1471</v>
      </c>
      <c r="C953">
        <v>0.22</v>
      </c>
      <c r="D953">
        <v>0.15</v>
      </c>
      <c r="E953">
        <f t="shared" si="14"/>
        <v>272.72727272727275</v>
      </c>
    </row>
    <row r="954" spans="1:5" x14ac:dyDescent="0.25">
      <c r="A954" s="52" t="s">
        <v>964</v>
      </c>
      <c r="B954" t="s">
        <v>1472</v>
      </c>
      <c r="C954">
        <v>1.177</v>
      </c>
      <c r="D954">
        <v>0.2</v>
      </c>
      <c r="E954">
        <f t="shared" si="14"/>
        <v>50.977060322854712</v>
      </c>
    </row>
    <row r="955" spans="1:5" x14ac:dyDescent="0.25">
      <c r="A955" s="52" t="s">
        <v>965</v>
      </c>
      <c r="B955" t="s">
        <v>1473</v>
      </c>
      <c r="C955">
        <v>8.2349999999999994</v>
      </c>
      <c r="D955">
        <v>0.25</v>
      </c>
      <c r="E955">
        <f t="shared" si="14"/>
        <v>7.2859744990892539</v>
      </c>
    </row>
    <row r="956" spans="1:5" x14ac:dyDescent="0.25">
      <c r="A956" s="52" t="s">
        <v>966</v>
      </c>
      <c r="B956" t="s">
        <v>1474</v>
      </c>
      <c r="C956">
        <v>16.167000000000002</v>
      </c>
      <c r="D956">
        <v>0.2</v>
      </c>
      <c r="E956">
        <f t="shared" si="14"/>
        <v>3.7112636852848393</v>
      </c>
    </row>
    <row r="957" spans="1:5" x14ac:dyDescent="0.25">
      <c r="A957" s="52" t="s">
        <v>967</v>
      </c>
      <c r="B957" t="s">
        <v>1475</v>
      </c>
      <c r="C957">
        <v>0.66700000000000004</v>
      </c>
      <c r="D957">
        <v>0.2</v>
      </c>
      <c r="E957">
        <f t="shared" si="14"/>
        <v>89.955022488755617</v>
      </c>
    </row>
    <row r="958" spans="1:5" x14ac:dyDescent="0.25">
      <c r="A958" s="52" t="s">
        <v>968</v>
      </c>
      <c r="B958" t="s">
        <v>1476</v>
      </c>
      <c r="C958">
        <v>0.66700000000000004</v>
      </c>
      <c r="D958">
        <v>0.2</v>
      </c>
      <c r="E958">
        <f t="shared" si="14"/>
        <v>89.955022488755617</v>
      </c>
    </row>
    <row r="959" spans="1:5" x14ac:dyDescent="0.25">
      <c r="A959" s="52" t="s">
        <v>969</v>
      </c>
      <c r="B959" t="s">
        <v>1477</v>
      </c>
      <c r="C959">
        <v>0.66700000000000004</v>
      </c>
      <c r="D959">
        <v>0.2</v>
      </c>
      <c r="E959">
        <f t="shared" si="14"/>
        <v>89.955022488755617</v>
      </c>
    </row>
    <row r="960" spans="1:5" x14ac:dyDescent="0.25">
      <c r="A960" s="52" t="s">
        <v>970</v>
      </c>
      <c r="B960" t="s">
        <v>1478</v>
      </c>
      <c r="C960">
        <v>0.66700000000000004</v>
      </c>
      <c r="D960">
        <v>0.2</v>
      </c>
      <c r="E960">
        <f t="shared" si="14"/>
        <v>89.955022488755617</v>
      </c>
    </row>
    <row r="961" spans="1:5" x14ac:dyDescent="0.25">
      <c r="A961" s="52" t="s">
        <v>971</v>
      </c>
      <c r="B961" t="s">
        <v>1479</v>
      </c>
      <c r="C961">
        <v>0.66700000000000004</v>
      </c>
      <c r="D961">
        <v>0.2</v>
      </c>
      <c r="E961">
        <f t="shared" si="14"/>
        <v>89.955022488755617</v>
      </c>
    </row>
    <row r="962" spans="1:5" x14ac:dyDescent="0.25">
      <c r="A962" s="52" t="s">
        <v>972</v>
      </c>
      <c r="B962" t="s">
        <v>1480</v>
      </c>
      <c r="C962">
        <v>5</v>
      </c>
      <c r="D962">
        <v>0.2</v>
      </c>
      <c r="E962">
        <f t="shared" si="14"/>
        <v>12</v>
      </c>
    </row>
    <row r="963" spans="1:5" x14ac:dyDescent="0.25">
      <c r="A963" s="52" t="s">
        <v>973</v>
      </c>
      <c r="B963" t="s">
        <v>1480</v>
      </c>
      <c r="C963">
        <v>25</v>
      </c>
      <c r="D963">
        <v>0.2</v>
      </c>
      <c r="E963">
        <f t="shared" si="14"/>
        <v>2.4</v>
      </c>
    </row>
    <row r="964" spans="1:5" x14ac:dyDescent="0.25">
      <c r="A964" s="52" t="s">
        <v>974</v>
      </c>
      <c r="B964" t="s">
        <v>1481</v>
      </c>
      <c r="C964">
        <v>35</v>
      </c>
      <c r="D964">
        <v>0.2</v>
      </c>
      <c r="E964">
        <f t="shared" ref="E964:E1027" si="15">60/C964</f>
        <v>1.7142857142857142</v>
      </c>
    </row>
    <row r="965" spans="1:5" x14ac:dyDescent="0.25">
      <c r="A965" s="52" t="s">
        <v>975</v>
      </c>
      <c r="B965" t="s">
        <v>1482</v>
      </c>
      <c r="C965">
        <v>35</v>
      </c>
      <c r="D965">
        <v>0.2</v>
      </c>
      <c r="E965">
        <f t="shared" si="15"/>
        <v>1.7142857142857142</v>
      </c>
    </row>
    <row r="966" spans="1:5" x14ac:dyDescent="0.25">
      <c r="A966" s="52" t="s">
        <v>976</v>
      </c>
      <c r="B966" t="s">
        <v>1483</v>
      </c>
      <c r="C966">
        <v>1</v>
      </c>
      <c r="D966">
        <v>8.3000000000000004E-2</v>
      </c>
      <c r="E966">
        <f t="shared" si="15"/>
        <v>60</v>
      </c>
    </row>
    <row r="967" spans="1:5" x14ac:dyDescent="0.25">
      <c r="A967" s="52" t="s">
        <v>977</v>
      </c>
      <c r="B967" t="s">
        <v>1484</v>
      </c>
      <c r="C967">
        <v>1</v>
      </c>
      <c r="D967">
        <v>8.3000000000000004E-2</v>
      </c>
      <c r="E967">
        <f t="shared" si="15"/>
        <v>60</v>
      </c>
    </row>
    <row r="968" spans="1:5" x14ac:dyDescent="0.25">
      <c r="A968" s="52" t="s">
        <v>978</v>
      </c>
      <c r="B968" t="s">
        <v>1485</v>
      </c>
      <c r="C968">
        <v>8.3000000000000004E-2</v>
      </c>
      <c r="D968">
        <v>0.2</v>
      </c>
      <c r="E968">
        <f t="shared" si="15"/>
        <v>722.89156626506019</v>
      </c>
    </row>
    <row r="969" spans="1:5" x14ac:dyDescent="0.25">
      <c r="A969" s="52" t="s">
        <v>979</v>
      </c>
      <c r="B969" t="s">
        <v>1486</v>
      </c>
      <c r="C969">
        <v>90</v>
      </c>
      <c r="D969">
        <v>0.2</v>
      </c>
      <c r="E969">
        <f t="shared" si="15"/>
        <v>0.66666666666666663</v>
      </c>
    </row>
    <row r="970" spans="1:5" x14ac:dyDescent="0.25">
      <c r="A970" s="52" t="s">
        <v>980</v>
      </c>
      <c r="B970" t="s">
        <v>1487</v>
      </c>
      <c r="C970">
        <v>7.5830000000000002</v>
      </c>
      <c r="D970">
        <v>0.25</v>
      </c>
      <c r="E970">
        <f t="shared" si="15"/>
        <v>7.9124357114598443</v>
      </c>
    </row>
    <row r="971" spans="1:5" x14ac:dyDescent="0.25">
      <c r="A971" s="52" t="s">
        <v>981</v>
      </c>
      <c r="B971" t="s">
        <v>1488</v>
      </c>
      <c r="C971">
        <v>0.33300000000000002</v>
      </c>
      <c r="D971">
        <v>0.25</v>
      </c>
      <c r="E971">
        <f t="shared" si="15"/>
        <v>180.18018018018017</v>
      </c>
    </row>
    <row r="972" spans="1:5" x14ac:dyDescent="0.25">
      <c r="A972" s="52" t="s">
        <v>982</v>
      </c>
      <c r="B972" t="s">
        <v>1488</v>
      </c>
      <c r="C972">
        <v>0.33300000000000002</v>
      </c>
      <c r="D972">
        <v>0.25</v>
      </c>
      <c r="E972">
        <f t="shared" si="15"/>
        <v>180.18018018018017</v>
      </c>
    </row>
    <row r="973" spans="1:5" x14ac:dyDescent="0.25">
      <c r="A973" s="52" t="s">
        <v>983</v>
      </c>
      <c r="B973" t="s">
        <v>1488</v>
      </c>
      <c r="C973">
        <v>0.33300000000000002</v>
      </c>
      <c r="D973">
        <v>0.25</v>
      </c>
      <c r="E973">
        <f t="shared" si="15"/>
        <v>180.18018018018017</v>
      </c>
    </row>
    <row r="974" spans="1:5" x14ac:dyDescent="0.25">
      <c r="A974" s="52" t="s">
        <v>984</v>
      </c>
      <c r="B974" t="s">
        <v>1488</v>
      </c>
      <c r="C974">
        <v>0.33300000000000002</v>
      </c>
      <c r="D974">
        <v>0.25</v>
      </c>
      <c r="E974">
        <f t="shared" si="15"/>
        <v>180.18018018018017</v>
      </c>
    </row>
    <row r="975" spans="1:5" x14ac:dyDescent="0.25">
      <c r="A975" s="52" t="s">
        <v>985</v>
      </c>
      <c r="B975" t="s">
        <v>1488</v>
      </c>
      <c r="C975">
        <v>0.33300000000000002</v>
      </c>
      <c r="D975">
        <v>0.25</v>
      </c>
      <c r="E975">
        <f t="shared" si="15"/>
        <v>180.18018018018017</v>
      </c>
    </row>
    <row r="976" spans="1:5" x14ac:dyDescent="0.25">
      <c r="A976" s="52" t="s">
        <v>986</v>
      </c>
      <c r="B976" t="s">
        <v>1489</v>
      </c>
      <c r="C976">
        <v>0.33300000000000002</v>
      </c>
      <c r="D976">
        <v>0.25</v>
      </c>
      <c r="E976">
        <f t="shared" si="15"/>
        <v>180.18018018018017</v>
      </c>
    </row>
    <row r="977" spans="1:5" x14ac:dyDescent="0.25">
      <c r="A977" s="52" t="s">
        <v>987</v>
      </c>
      <c r="B977" t="s">
        <v>1489</v>
      </c>
      <c r="C977">
        <v>0.33300000000000002</v>
      </c>
      <c r="D977">
        <v>0.25</v>
      </c>
      <c r="E977">
        <f t="shared" si="15"/>
        <v>180.18018018018017</v>
      </c>
    </row>
    <row r="978" spans="1:5" x14ac:dyDescent="0.25">
      <c r="A978" s="52" t="s">
        <v>988</v>
      </c>
      <c r="B978" t="s">
        <v>1490</v>
      </c>
      <c r="C978">
        <v>0.33300000000000002</v>
      </c>
      <c r="D978">
        <v>0.25</v>
      </c>
      <c r="E978">
        <f t="shared" si="15"/>
        <v>180.18018018018017</v>
      </c>
    </row>
    <row r="979" spans="1:5" x14ac:dyDescent="0.25">
      <c r="A979" s="52" t="s">
        <v>989</v>
      </c>
      <c r="B979" t="s">
        <v>1491</v>
      </c>
      <c r="C979">
        <v>0.33300000000000002</v>
      </c>
      <c r="D979">
        <v>0.25</v>
      </c>
      <c r="E979">
        <f t="shared" si="15"/>
        <v>180.18018018018017</v>
      </c>
    </row>
    <row r="980" spans="1:5" x14ac:dyDescent="0.25">
      <c r="A980" s="52" t="s">
        <v>990</v>
      </c>
      <c r="B980" t="s">
        <v>1492</v>
      </c>
      <c r="C980">
        <v>0.82399999999999995</v>
      </c>
      <c r="D980">
        <v>0.25</v>
      </c>
      <c r="E980">
        <f t="shared" si="15"/>
        <v>72.815533980582529</v>
      </c>
    </row>
    <row r="981" spans="1:5" x14ac:dyDescent="0.25">
      <c r="A981" s="52" t="s">
        <v>991</v>
      </c>
      <c r="B981" t="s">
        <v>1493</v>
      </c>
      <c r="C981">
        <v>0.5</v>
      </c>
      <c r="D981">
        <v>0.25</v>
      </c>
      <c r="E981">
        <f t="shared" si="15"/>
        <v>120</v>
      </c>
    </row>
    <row r="982" spans="1:5" x14ac:dyDescent="0.25">
      <c r="A982" s="52" t="s">
        <v>992</v>
      </c>
      <c r="B982" t="s">
        <v>1494</v>
      </c>
      <c r="C982">
        <v>0.5</v>
      </c>
      <c r="D982">
        <v>0.25</v>
      </c>
      <c r="E982">
        <f t="shared" si="15"/>
        <v>120</v>
      </c>
    </row>
    <row r="983" spans="1:5" x14ac:dyDescent="0.25">
      <c r="A983" s="52" t="s">
        <v>993</v>
      </c>
      <c r="B983" t="s">
        <v>1495</v>
      </c>
      <c r="C983">
        <v>0.33300000000000002</v>
      </c>
      <c r="D983">
        <v>0.25</v>
      </c>
      <c r="E983">
        <f t="shared" si="15"/>
        <v>180.18018018018017</v>
      </c>
    </row>
    <row r="984" spans="1:5" x14ac:dyDescent="0.25">
      <c r="A984" s="52" t="s">
        <v>994</v>
      </c>
      <c r="B984" t="s">
        <v>1496</v>
      </c>
      <c r="C984">
        <v>0.33300000000000002</v>
      </c>
      <c r="D984">
        <v>0.25</v>
      </c>
      <c r="E984">
        <f t="shared" si="15"/>
        <v>180.18018018018017</v>
      </c>
    </row>
    <row r="985" spans="1:5" x14ac:dyDescent="0.25">
      <c r="A985" s="52" t="s">
        <v>995</v>
      </c>
      <c r="B985" t="s">
        <v>1478</v>
      </c>
      <c r="C985">
        <v>3</v>
      </c>
      <c r="D985">
        <v>0.2</v>
      </c>
      <c r="E985">
        <f t="shared" si="15"/>
        <v>20</v>
      </c>
    </row>
    <row r="986" spans="1:5" x14ac:dyDescent="0.25">
      <c r="A986" s="52" t="s">
        <v>996</v>
      </c>
      <c r="B986" t="s">
        <v>1479</v>
      </c>
      <c r="C986">
        <v>2</v>
      </c>
      <c r="D986">
        <v>0.2</v>
      </c>
      <c r="E986">
        <f t="shared" si="15"/>
        <v>30</v>
      </c>
    </row>
    <row r="987" spans="1:5" x14ac:dyDescent="0.25">
      <c r="A987" s="52" t="s">
        <v>997</v>
      </c>
      <c r="B987" t="s">
        <v>1479</v>
      </c>
      <c r="C987">
        <v>11.25</v>
      </c>
      <c r="D987">
        <v>0.2</v>
      </c>
      <c r="E987">
        <f t="shared" si="15"/>
        <v>5.333333333333333</v>
      </c>
    </row>
    <row r="988" spans="1:5" x14ac:dyDescent="0.25">
      <c r="A988" s="52" t="s">
        <v>998</v>
      </c>
      <c r="B988" t="s">
        <v>1497</v>
      </c>
      <c r="C988">
        <v>1.0980000000000001</v>
      </c>
      <c r="D988">
        <v>0.15</v>
      </c>
      <c r="E988">
        <f t="shared" si="15"/>
        <v>54.644808743169392</v>
      </c>
    </row>
    <row r="989" spans="1:5" x14ac:dyDescent="0.25">
      <c r="A989" s="52" t="s">
        <v>999</v>
      </c>
      <c r="B989" t="s">
        <v>1498</v>
      </c>
      <c r="C989">
        <v>1.0980000000000001</v>
      </c>
      <c r="D989">
        <v>0.15</v>
      </c>
      <c r="E989">
        <f t="shared" si="15"/>
        <v>54.644808743169392</v>
      </c>
    </row>
    <row r="990" spans="1:5" x14ac:dyDescent="0.25">
      <c r="A990" s="52" t="s">
        <v>1000</v>
      </c>
      <c r="B990" t="s">
        <v>1499</v>
      </c>
      <c r="C990">
        <v>1.0980000000000001</v>
      </c>
      <c r="D990">
        <v>0.15</v>
      </c>
      <c r="E990">
        <f t="shared" si="15"/>
        <v>54.644808743169392</v>
      </c>
    </row>
    <row r="991" spans="1:5" x14ac:dyDescent="0.25">
      <c r="A991" s="52" t="s">
        <v>1001</v>
      </c>
      <c r="B991" t="s">
        <v>1500</v>
      </c>
      <c r="C991">
        <v>2.706</v>
      </c>
      <c r="D991">
        <v>0.25</v>
      </c>
      <c r="E991">
        <f t="shared" si="15"/>
        <v>22.172949002217294</v>
      </c>
    </row>
    <row r="992" spans="1:5" x14ac:dyDescent="0.25">
      <c r="A992" s="52" t="s">
        <v>1002</v>
      </c>
      <c r="B992" t="s">
        <v>1501</v>
      </c>
      <c r="C992">
        <v>6.2</v>
      </c>
      <c r="D992">
        <v>0.25</v>
      </c>
      <c r="E992">
        <f t="shared" si="15"/>
        <v>9.67741935483871</v>
      </c>
    </row>
    <row r="993" spans="1:5" x14ac:dyDescent="0.25">
      <c r="A993" s="52" t="s">
        <v>1003</v>
      </c>
      <c r="B993" t="s">
        <v>1156</v>
      </c>
      <c r="C993">
        <v>0.66700000000000004</v>
      </c>
      <c r="D993">
        <v>0.15</v>
      </c>
      <c r="E993">
        <f t="shared" si="15"/>
        <v>89.955022488755617</v>
      </c>
    </row>
    <row r="994" spans="1:5" x14ac:dyDescent="0.25">
      <c r="A994" s="52" t="s">
        <v>81</v>
      </c>
      <c r="B994" t="s">
        <v>1502</v>
      </c>
      <c r="C994">
        <v>1E-3</v>
      </c>
      <c r="D994">
        <v>0.25</v>
      </c>
      <c r="E994">
        <f t="shared" si="15"/>
        <v>60000</v>
      </c>
    </row>
    <row r="995" spans="1:5" x14ac:dyDescent="0.25">
      <c r="A995" s="52" t="s">
        <v>1004</v>
      </c>
      <c r="B995" t="s">
        <v>1503</v>
      </c>
      <c r="C995">
        <v>0.33300000000000002</v>
      </c>
      <c r="D995">
        <v>0.15</v>
      </c>
      <c r="E995">
        <f t="shared" si="15"/>
        <v>180.18018018018017</v>
      </c>
    </row>
    <row r="996" spans="1:5" x14ac:dyDescent="0.25">
      <c r="A996" s="52" t="s">
        <v>1005</v>
      </c>
      <c r="B996" t="s">
        <v>1504</v>
      </c>
      <c r="C996">
        <v>2</v>
      </c>
      <c r="D996">
        <v>0.15</v>
      </c>
      <c r="E996">
        <f t="shared" si="15"/>
        <v>30</v>
      </c>
    </row>
    <row r="997" spans="1:5" x14ac:dyDescent="0.25">
      <c r="A997" s="52" t="s">
        <v>1006</v>
      </c>
      <c r="B997" t="s">
        <v>1505</v>
      </c>
      <c r="C997">
        <v>2</v>
      </c>
      <c r="D997">
        <v>0.15</v>
      </c>
      <c r="E997">
        <f t="shared" si="15"/>
        <v>30</v>
      </c>
    </row>
    <row r="998" spans="1:5" x14ac:dyDescent="0.25">
      <c r="A998" s="52" t="s">
        <v>1007</v>
      </c>
      <c r="B998" t="s">
        <v>1297</v>
      </c>
      <c r="C998">
        <v>2</v>
      </c>
      <c r="D998">
        <v>0.15</v>
      </c>
      <c r="E998">
        <f t="shared" si="15"/>
        <v>30</v>
      </c>
    </row>
    <row r="999" spans="1:5" x14ac:dyDescent="0.25">
      <c r="A999" s="52" t="s">
        <v>103</v>
      </c>
      <c r="B999" t="s">
        <v>1506</v>
      </c>
      <c r="C999">
        <v>0.66700000000000004</v>
      </c>
      <c r="D999">
        <v>0.15</v>
      </c>
      <c r="E999">
        <f t="shared" si="15"/>
        <v>89.955022488755617</v>
      </c>
    </row>
    <row r="1000" spans="1:5" x14ac:dyDescent="0.25">
      <c r="A1000" s="52" t="s">
        <v>85</v>
      </c>
      <c r="B1000" t="s">
        <v>1503</v>
      </c>
      <c r="C1000">
        <v>0.33300000000000002</v>
      </c>
      <c r="D1000">
        <v>0.15</v>
      </c>
      <c r="E1000">
        <f t="shared" si="15"/>
        <v>180.18018018018017</v>
      </c>
    </row>
    <row r="1001" spans="1:5" x14ac:dyDescent="0.25">
      <c r="A1001" s="52" t="s">
        <v>1008</v>
      </c>
      <c r="B1001" t="s">
        <v>1507</v>
      </c>
      <c r="C1001">
        <v>5</v>
      </c>
      <c r="D1001">
        <v>0.25</v>
      </c>
      <c r="E1001">
        <f t="shared" si="15"/>
        <v>12</v>
      </c>
    </row>
    <row r="1002" spans="1:5" x14ac:dyDescent="0.25">
      <c r="A1002" s="52" t="s">
        <v>1009</v>
      </c>
      <c r="B1002" t="s">
        <v>1221</v>
      </c>
      <c r="C1002">
        <v>0.33300000000000002</v>
      </c>
      <c r="D1002">
        <v>0.15</v>
      </c>
      <c r="E1002">
        <f t="shared" si="15"/>
        <v>180.18018018018017</v>
      </c>
    </row>
    <row r="1003" spans="1:5" x14ac:dyDescent="0.25">
      <c r="A1003" s="52" t="s">
        <v>1010</v>
      </c>
      <c r="B1003" t="s">
        <v>1222</v>
      </c>
      <c r="C1003">
        <v>0.33300000000000002</v>
      </c>
      <c r="D1003">
        <v>0.15</v>
      </c>
      <c r="E1003">
        <f t="shared" si="15"/>
        <v>180.18018018018017</v>
      </c>
    </row>
    <row r="1004" spans="1:5" x14ac:dyDescent="0.25">
      <c r="A1004" s="52" t="s">
        <v>1011</v>
      </c>
      <c r="B1004" t="s">
        <v>1508</v>
      </c>
      <c r="C1004">
        <v>1</v>
      </c>
      <c r="D1004">
        <v>0.25</v>
      </c>
      <c r="E1004">
        <f t="shared" si="15"/>
        <v>60</v>
      </c>
    </row>
    <row r="1005" spans="1:5" x14ac:dyDescent="0.25">
      <c r="A1005" s="52" t="s">
        <v>1012</v>
      </c>
      <c r="B1005" t="s">
        <v>1509</v>
      </c>
      <c r="C1005">
        <v>1</v>
      </c>
      <c r="D1005">
        <v>0.25</v>
      </c>
      <c r="E1005">
        <f t="shared" si="15"/>
        <v>60</v>
      </c>
    </row>
    <row r="1006" spans="1:5" x14ac:dyDescent="0.25">
      <c r="A1006" s="52" t="s">
        <v>1013</v>
      </c>
      <c r="B1006" t="s">
        <v>1510</v>
      </c>
      <c r="C1006">
        <v>0.33300000000000002</v>
      </c>
      <c r="D1006">
        <v>0.15</v>
      </c>
      <c r="E1006">
        <f t="shared" si="15"/>
        <v>180.18018018018017</v>
      </c>
    </row>
    <row r="1007" spans="1:5" x14ac:dyDescent="0.25">
      <c r="A1007" s="52" t="s">
        <v>1014</v>
      </c>
      <c r="B1007" t="s">
        <v>1511</v>
      </c>
      <c r="C1007">
        <v>0.33300000000000002</v>
      </c>
      <c r="D1007">
        <v>0.15</v>
      </c>
      <c r="E1007">
        <f t="shared" si="15"/>
        <v>180.18018018018017</v>
      </c>
    </row>
    <row r="1008" spans="1:5" x14ac:dyDescent="0.25">
      <c r="A1008" s="52" t="s">
        <v>1015</v>
      </c>
      <c r="B1008" t="s">
        <v>1512</v>
      </c>
      <c r="C1008">
        <v>1E-3</v>
      </c>
      <c r="D1008">
        <v>0.25</v>
      </c>
      <c r="E1008">
        <f t="shared" si="15"/>
        <v>60000</v>
      </c>
    </row>
    <row r="1009" spans="1:5" x14ac:dyDescent="0.25">
      <c r="A1009" s="52" t="s">
        <v>1016</v>
      </c>
      <c r="B1009" t="s">
        <v>1513</v>
      </c>
      <c r="C1009">
        <v>0.66700000000000004</v>
      </c>
      <c r="D1009">
        <v>0.15</v>
      </c>
      <c r="E1009">
        <f t="shared" si="15"/>
        <v>89.955022488755617</v>
      </c>
    </row>
    <row r="1010" spans="1:5" x14ac:dyDescent="0.25">
      <c r="A1010" s="52" t="s">
        <v>1017</v>
      </c>
      <c r="B1010" t="s">
        <v>1514</v>
      </c>
      <c r="C1010">
        <v>0.66700000000000004</v>
      </c>
      <c r="D1010">
        <v>0.15</v>
      </c>
      <c r="E1010">
        <f t="shared" si="15"/>
        <v>89.955022488755617</v>
      </c>
    </row>
    <row r="1011" spans="1:5" x14ac:dyDescent="0.25">
      <c r="A1011" s="52" t="s">
        <v>1018</v>
      </c>
      <c r="B1011" t="s">
        <v>1515</v>
      </c>
      <c r="C1011">
        <v>20.399999999999999</v>
      </c>
      <c r="D1011">
        <v>0.16</v>
      </c>
      <c r="E1011">
        <f t="shared" si="15"/>
        <v>2.9411764705882355</v>
      </c>
    </row>
    <row r="1012" spans="1:5" x14ac:dyDescent="0.25">
      <c r="A1012" s="52" t="s">
        <v>1019</v>
      </c>
      <c r="B1012" t="s">
        <v>1516</v>
      </c>
      <c r="C1012">
        <v>25.4</v>
      </c>
      <c r="D1012">
        <v>0.16</v>
      </c>
      <c r="E1012">
        <f t="shared" si="15"/>
        <v>2.3622047244094491</v>
      </c>
    </row>
    <row r="1013" spans="1:5" x14ac:dyDescent="0.25">
      <c r="A1013" s="52" t="s">
        <v>1020</v>
      </c>
      <c r="B1013" t="s">
        <v>1517</v>
      </c>
      <c r="C1013">
        <v>1.333</v>
      </c>
      <c r="D1013">
        <v>0.16</v>
      </c>
      <c r="E1013">
        <f t="shared" si="15"/>
        <v>45.011252813203299</v>
      </c>
    </row>
    <row r="1014" spans="1:5" x14ac:dyDescent="0.25">
      <c r="A1014" s="52" t="s">
        <v>1021</v>
      </c>
      <c r="B1014" t="s">
        <v>1517</v>
      </c>
      <c r="C1014">
        <v>1.333</v>
      </c>
      <c r="D1014">
        <v>0.16</v>
      </c>
      <c r="E1014">
        <f t="shared" si="15"/>
        <v>45.011252813203299</v>
      </c>
    </row>
    <row r="1015" spans="1:5" x14ac:dyDescent="0.25">
      <c r="A1015" s="52" t="s">
        <v>1022</v>
      </c>
      <c r="B1015" t="s">
        <v>1517</v>
      </c>
      <c r="C1015">
        <v>1.333</v>
      </c>
      <c r="D1015">
        <v>0.16</v>
      </c>
      <c r="E1015">
        <f t="shared" si="15"/>
        <v>45.011252813203299</v>
      </c>
    </row>
    <row r="1016" spans="1:5" x14ac:dyDescent="0.25">
      <c r="A1016" s="52" t="s">
        <v>1023</v>
      </c>
      <c r="B1016" t="s">
        <v>1518</v>
      </c>
      <c r="C1016">
        <v>2</v>
      </c>
      <c r="D1016">
        <v>0.25</v>
      </c>
      <c r="E1016">
        <f t="shared" si="15"/>
        <v>30</v>
      </c>
    </row>
    <row r="1017" spans="1:5" x14ac:dyDescent="0.25">
      <c r="A1017" s="52" t="s">
        <v>1024</v>
      </c>
      <c r="B1017" t="s">
        <v>1519</v>
      </c>
      <c r="C1017">
        <v>1</v>
      </c>
      <c r="D1017">
        <v>0.25</v>
      </c>
      <c r="E1017">
        <f t="shared" si="15"/>
        <v>60</v>
      </c>
    </row>
    <row r="1018" spans="1:5" x14ac:dyDescent="0.25">
      <c r="A1018" s="52" t="s">
        <v>1025</v>
      </c>
      <c r="B1018" t="s">
        <v>1254</v>
      </c>
      <c r="C1018">
        <v>1</v>
      </c>
      <c r="D1018">
        <v>0.25</v>
      </c>
      <c r="E1018">
        <f t="shared" si="15"/>
        <v>60</v>
      </c>
    </row>
    <row r="1019" spans="1:5" x14ac:dyDescent="0.25">
      <c r="A1019" s="52" t="s">
        <v>1026</v>
      </c>
      <c r="B1019" t="s">
        <v>1520</v>
      </c>
      <c r="C1019">
        <v>2</v>
      </c>
      <c r="D1019">
        <v>0.25</v>
      </c>
      <c r="E1019">
        <f t="shared" si="15"/>
        <v>30</v>
      </c>
    </row>
    <row r="1020" spans="1:5" x14ac:dyDescent="0.25">
      <c r="A1020" s="52" t="s">
        <v>1027</v>
      </c>
      <c r="B1020" t="s">
        <v>1102</v>
      </c>
      <c r="C1020">
        <v>0.46</v>
      </c>
      <c r="D1020">
        <v>0.25</v>
      </c>
      <c r="E1020">
        <f t="shared" si="15"/>
        <v>130.43478260869566</v>
      </c>
    </row>
    <row r="1021" spans="1:5" x14ac:dyDescent="0.25">
      <c r="A1021" s="52" t="s">
        <v>1028</v>
      </c>
      <c r="B1021" t="s">
        <v>1103</v>
      </c>
      <c r="C1021">
        <v>0.33</v>
      </c>
      <c r="D1021">
        <v>0.25</v>
      </c>
      <c r="E1021">
        <f t="shared" si="15"/>
        <v>181.81818181818181</v>
      </c>
    </row>
    <row r="1022" spans="1:5" x14ac:dyDescent="0.25">
      <c r="A1022" s="52" t="s">
        <v>1029</v>
      </c>
      <c r="B1022" s="53" t="s">
        <v>1104</v>
      </c>
      <c r="C1022">
        <f>75/250</f>
        <v>0.3</v>
      </c>
      <c r="D1022">
        <v>0.25</v>
      </c>
      <c r="E1022">
        <f t="shared" si="15"/>
        <v>200</v>
      </c>
    </row>
    <row r="1023" spans="1:5" x14ac:dyDescent="0.25">
      <c r="A1023" s="52" t="s">
        <v>1030</v>
      </c>
      <c r="B1023" t="s">
        <v>1105</v>
      </c>
      <c r="C1023">
        <f>75/250</f>
        <v>0.3</v>
      </c>
      <c r="D1023">
        <v>0.25</v>
      </c>
      <c r="E1023">
        <f t="shared" si="15"/>
        <v>200</v>
      </c>
    </row>
    <row r="1024" spans="1:5" x14ac:dyDescent="0.25">
      <c r="A1024" s="52" t="s">
        <v>1031</v>
      </c>
      <c r="B1024" t="s">
        <v>1106</v>
      </c>
      <c r="C1024">
        <f>75/250</f>
        <v>0.3</v>
      </c>
      <c r="D1024">
        <v>0.25</v>
      </c>
      <c r="E1024">
        <f t="shared" si="15"/>
        <v>200</v>
      </c>
    </row>
    <row r="1025" spans="1:5" x14ac:dyDescent="0.25">
      <c r="A1025" s="52" t="s">
        <v>1032</v>
      </c>
      <c r="B1025" t="s">
        <v>1521</v>
      </c>
      <c r="C1025">
        <f>75/250</f>
        <v>0.3</v>
      </c>
      <c r="D1025">
        <v>0.25</v>
      </c>
      <c r="E1025">
        <f t="shared" si="15"/>
        <v>200</v>
      </c>
    </row>
    <row r="1026" spans="1:5" x14ac:dyDescent="0.25">
      <c r="A1026" s="52" t="s">
        <v>1033</v>
      </c>
      <c r="B1026" t="s">
        <v>1522</v>
      </c>
      <c r="C1026">
        <f>60/300</f>
        <v>0.2</v>
      </c>
      <c r="D1026">
        <v>0.25</v>
      </c>
      <c r="E1026">
        <f t="shared" si="15"/>
        <v>300</v>
      </c>
    </row>
    <row r="1027" spans="1:5" x14ac:dyDescent="0.25">
      <c r="A1027" s="52" t="s">
        <v>1034</v>
      </c>
      <c r="B1027" t="s">
        <v>1523</v>
      </c>
      <c r="C1027">
        <f>60/300</f>
        <v>0.2</v>
      </c>
      <c r="D1027">
        <v>0.25</v>
      </c>
      <c r="E1027">
        <f t="shared" si="15"/>
        <v>300</v>
      </c>
    </row>
    <row r="1028" spans="1:5" x14ac:dyDescent="0.25">
      <c r="A1028" s="52" t="s">
        <v>1035</v>
      </c>
      <c r="C1028">
        <v>0.32</v>
      </c>
      <c r="D1028">
        <v>0.25</v>
      </c>
      <c r="E1028">
        <f t="shared" ref="E1028:E1057" si="16">60/C1028</f>
        <v>187.5</v>
      </c>
    </row>
    <row r="1029" spans="1:5" x14ac:dyDescent="0.25">
      <c r="A1029" s="52" t="s">
        <v>1036</v>
      </c>
      <c r="C1029">
        <v>0.32</v>
      </c>
      <c r="D1029">
        <v>0.25</v>
      </c>
      <c r="E1029">
        <f t="shared" si="16"/>
        <v>187.5</v>
      </c>
    </row>
    <row r="1030" spans="1:5" x14ac:dyDescent="0.25">
      <c r="A1030" s="52" t="s">
        <v>1037</v>
      </c>
      <c r="C1030">
        <v>0.32</v>
      </c>
      <c r="D1030">
        <v>0.25</v>
      </c>
      <c r="E1030">
        <f t="shared" si="16"/>
        <v>187.5</v>
      </c>
    </row>
    <row r="1031" spans="1:5" x14ac:dyDescent="0.25">
      <c r="A1031" s="52" t="s">
        <v>1038</v>
      </c>
      <c r="C1031">
        <v>0.32</v>
      </c>
      <c r="D1031">
        <v>0.25</v>
      </c>
      <c r="E1031">
        <f t="shared" si="16"/>
        <v>187.5</v>
      </c>
    </row>
    <row r="1032" spans="1:5" x14ac:dyDescent="0.25">
      <c r="A1032" s="52" t="s">
        <v>1039</v>
      </c>
      <c r="C1032">
        <v>0.32</v>
      </c>
      <c r="D1032">
        <v>0.25</v>
      </c>
      <c r="E1032">
        <f t="shared" si="16"/>
        <v>187.5</v>
      </c>
    </row>
    <row r="1033" spans="1:5" x14ac:dyDescent="0.25">
      <c r="A1033" s="52" t="s">
        <v>1040</v>
      </c>
      <c r="C1033">
        <v>0.32</v>
      </c>
      <c r="D1033">
        <v>0.25</v>
      </c>
      <c r="E1033">
        <f t="shared" si="16"/>
        <v>187.5</v>
      </c>
    </row>
    <row r="1034" spans="1:5" x14ac:dyDescent="0.25">
      <c r="A1034" s="52" t="s">
        <v>1524</v>
      </c>
      <c r="C1034">
        <v>0.32</v>
      </c>
      <c r="D1034">
        <v>0.25</v>
      </c>
      <c r="E1034">
        <f t="shared" si="16"/>
        <v>187.5</v>
      </c>
    </row>
    <row r="1035" spans="1:5" x14ac:dyDescent="0.25">
      <c r="A1035" s="52" t="s">
        <v>1525</v>
      </c>
      <c r="C1035">
        <v>0.32</v>
      </c>
      <c r="D1035">
        <v>0.25</v>
      </c>
      <c r="E1035">
        <f t="shared" si="16"/>
        <v>187.5</v>
      </c>
    </row>
    <row r="1036" spans="1:5" x14ac:dyDescent="0.25">
      <c r="A1036" s="52" t="s">
        <v>1526</v>
      </c>
      <c r="C1036">
        <v>0.32</v>
      </c>
      <c r="D1036">
        <v>0.25</v>
      </c>
      <c r="E1036">
        <f t="shared" si="16"/>
        <v>187.5</v>
      </c>
    </row>
    <row r="1037" spans="1:5" x14ac:dyDescent="0.25">
      <c r="A1037" s="52" t="s">
        <v>1527</v>
      </c>
      <c r="C1037">
        <v>0.32</v>
      </c>
      <c r="D1037">
        <v>0.25</v>
      </c>
      <c r="E1037">
        <f t="shared" si="16"/>
        <v>187.5</v>
      </c>
    </row>
    <row r="1038" spans="1:5" x14ac:dyDescent="0.25">
      <c r="A1038" s="52" t="s">
        <v>1528</v>
      </c>
      <c r="C1038">
        <v>0.32</v>
      </c>
      <c r="D1038">
        <v>0.25</v>
      </c>
      <c r="E1038">
        <f t="shared" si="16"/>
        <v>187.5</v>
      </c>
    </row>
    <row r="1039" spans="1:5" x14ac:dyDescent="0.25">
      <c r="A1039" s="52" t="s">
        <v>1529</v>
      </c>
      <c r="C1039">
        <v>0.32</v>
      </c>
      <c r="D1039">
        <v>0.25</v>
      </c>
      <c r="E1039">
        <f t="shared" si="16"/>
        <v>187.5</v>
      </c>
    </row>
    <row r="1040" spans="1:5" x14ac:dyDescent="0.25">
      <c r="A1040" s="52" t="s">
        <v>1530</v>
      </c>
      <c r="C1040">
        <v>0.32</v>
      </c>
      <c r="D1040">
        <v>0.25</v>
      </c>
      <c r="E1040">
        <f t="shared" si="16"/>
        <v>187.5</v>
      </c>
    </row>
    <row r="1041" spans="1:8" x14ac:dyDescent="0.25">
      <c r="A1041" s="52" t="s">
        <v>1531</v>
      </c>
      <c r="C1041">
        <v>0.32</v>
      </c>
      <c r="D1041">
        <v>0.25</v>
      </c>
      <c r="E1041">
        <f t="shared" si="16"/>
        <v>187.5</v>
      </c>
    </row>
    <row r="1042" spans="1:8" x14ac:dyDescent="0.25">
      <c r="A1042" s="52" t="s">
        <v>1532</v>
      </c>
      <c r="C1042">
        <v>0.32</v>
      </c>
      <c r="D1042">
        <v>0.25</v>
      </c>
      <c r="E1042">
        <f t="shared" si="16"/>
        <v>187.5</v>
      </c>
    </row>
    <row r="1043" spans="1:8" x14ac:dyDescent="0.25">
      <c r="A1043" s="52" t="s">
        <v>1533</v>
      </c>
      <c r="C1043">
        <v>0.32</v>
      </c>
      <c r="D1043">
        <v>0.25</v>
      </c>
      <c r="E1043">
        <f t="shared" si="16"/>
        <v>187.5</v>
      </c>
    </row>
    <row r="1044" spans="1:8" x14ac:dyDescent="0.25">
      <c r="A1044" s="52" t="s">
        <v>1534</v>
      </c>
      <c r="C1044">
        <v>0.32</v>
      </c>
      <c r="D1044">
        <v>0.25</v>
      </c>
      <c r="E1044">
        <f t="shared" si="16"/>
        <v>187.5</v>
      </c>
    </row>
    <row r="1045" spans="1:8" x14ac:dyDescent="0.25">
      <c r="A1045" s="52" t="s">
        <v>1535</v>
      </c>
      <c r="C1045">
        <v>0.32</v>
      </c>
      <c r="D1045">
        <v>0.25</v>
      </c>
      <c r="E1045">
        <f t="shared" si="16"/>
        <v>187.5</v>
      </c>
    </row>
    <row r="1046" spans="1:8" x14ac:dyDescent="0.25">
      <c r="A1046" s="52" t="s">
        <v>1536</v>
      </c>
      <c r="C1046">
        <v>0.32</v>
      </c>
      <c r="D1046">
        <v>0.25</v>
      </c>
      <c r="E1046">
        <f t="shared" si="16"/>
        <v>187.5</v>
      </c>
    </row>
    <row r="1047" spans="1:8" x14ac:dyDescent="0.25">
      <c r="A1047" s="52" t="s">
        <v>1537</v>
      </c>
      <c r="C1047">
        <v>0.32</v>
      </c>
      <c r="D1047">
        <v>0.25</v>
      </c>
      <c r="E1047">
        <f t="shared" si="16"/>
        <v>187.5</v>
      </c>
    </row>
    <row r="1048" spans="1:8" x14ac:dyDescent="0.25">
      <c r="A1048" s="52" t="s">
        <v>1538</v>
      </c>
      <c r="C1048">
        <v>0.32</v>
      </c>
      <c r="D1048">
        <v>0.25</v>
      </c>
      <c r="E1048">
        <f t="shared" si="16"/>
        <v>187.5</v>
      </c>
    </row>
    <row r="1049" spans="1:8" x14ac:dyDescent="0.25">
      <c r="A1049" s="52" t="s">
        <v>1539</v>
      </c>
      <c r="C1049">
        <v>0.32</v>
      </c>
      <c r="D1049">
        <v>0.25</v>
      </c>
      <c r="E1049">
        <f t="shared" si="16"/>
        <v>187.5</v>
      </c>
    </row>
    <row r="1050" spans="1:8" x14ac:dyDescent="0.25">
      <c r="A1050" s="52" t="s">
        <v>1041</v>
      </c>
      <c r="C1050">
        <v>4.13</v>
      </c>
      <c r="D1050">
        <v>0.5</v>
      </c>
      <c r="E1050">
        <f t="shared" si="16"/>
        <v>14.527845036319613</v>
      </c>
    </row>
    <row r="1051" spans="1:8" x14ac:dyDescent="0.25">
      <c r="A1051" s="52" t="s">
        <v>1042</v>
      </c>
      <c r="C1051">
        <v>2.2000000000000002</v>
      </c>
      <c r="D1051">
        <v>0.5</v>
      </c>
      <c r="E1051">
        <f t="shared" si="16"/>
        <v>27.27272727272727</v>
      </c>
    </row>
    <row r="1052" spans="1:8" x14ac:dyDescent="0.25">
      <c r="A1052" s="52" t="s">
        <v>1043</v>
      </c>
      <c r="C1052">
        <v>1.75</v>
      </c>
      <c r="D1052">
        <v>0.5</v>
      </c>
      <c r="E1052">
        <f t="shared" si="16"/>
        <v>34.285714285714285</v>
      </c>
    </row>
    <row r="1053" spans="1:8" x14ac:dyDescent="0.25">
      <c r="A1053" s="52" t="s">
        <v>1540</v>
      </c>
      <c r="C1053">
        <v>2</v>
      </c>
      <c r="D1053">
        <v>0.25</v>
      </c>
      <c r="E1053">
        <f t="shared" si="16"/>
        <v>30</v>
      </c>
    </row>
    <row r="1054" spans="1:8" x14ac:dyDescent="0.25">
      <c r="A1054" s="52" t="s">
        <v>1541</v>
      </c>
      <c r="C1054">
        <v>1.25</v>
      </c>
      <c r="D1054">
        <v>0.25</v>
      </c>
      <c r="E1054">
        <f>60/C1054</f>
        <v>48</v>
      </c>
      <c r="G1054">
        <f>C1054*60</f>
        <v>75</v>
      </c>
      <c r="H1054">
        <f>60/G1054</f>
        <v>0.8</v>
      </c>
    </row>
    <row r="1055" spans="1:8" x14ac:dyDescent="0.25">
      <c r="A1055" s="52" t="s">
        <v>1542</v>
      </c>
      <c r="C1055" s="54">
        <f>26/60</f>
        <v>0.43333333333333335</v>
      </c>
      <c r="D1055">
        <v>0.5</v>
      </c>
      <c r="E1055">
        <f t="shared" si="16"/>
        <v>138.46153846153845</v>
      </c>
    </row>
    <row r="1056" spans="1:8" x14ac:dyDescent="0.25">
      <c r="A1056" s="52" t="s">
        <v>1543</v>
      </c>
      <c r="C1056" s="54">
        <f>60.7/60</f>
        <v>1.0116666666666667</v>
      </c>
      <c r="D1056">
        <v>0.5</v>
      </c>
      <c r="E1056">
        <f t="shared" si="16"/>
        <v>59.308072487644147</v>
      </c>
    </row>
    <row r="1057" spans="1:5" x14ac:dyDescent="0.25">
      <c r="A1057" s="52" t="s">
        <v>1544</v>
      </c>
      <c r="C1057" s="54">
        <f>30.6/60</f>
        <v>0.51</v>
      </c>
      <c r="D1057">
        <v>0.5</v>
      </c>
      <c r="E1057">
        <f t="shared" si="16"/>
        <v>117.64705882352941</v>
      </c>
    </row>
    <row r="1058" spans="1:5" x14ac:dyDescent="0.25">
      <c r="A1058" s="52" t="s">
        <v>1545</v>
      </c>
      <c r="C1058" s="54">
        <f>31.6/60</f>
        <v>0.52666666666666673</v>
      </c>
      <c r="D1058">
        <v>0.5</v>
      </c>
      <c r="E1058" s="54">
        <f>60/C1058</f>
        <v>113.92405063291137</v>
      </c>
    </row>
    <row r="1059" spans="1:5" x14ac:dyDescent="0.25">
      <c r="A1059" t="s">
        <v>1546</v>
      </c>
      <c r="C1059">
        <v>0.5</v>
      </c>
      <c r="D1059">
        <v>0.25</v>
      </c>
      <c r="E1059" s="54">
        <f>60/C1059</f>
        <v>120</v>
      </c>
    </row>
    <row r="1060" spans="1:5" x14ac:dyDescent="0.25">
      <c r="A1060" t="s">
        <v>1547</v>
      </c>
      <c r="C1060">
        <v>0.42199999999999999</v>
      </c>
      <c r="D1060">
        <v>0.25</v>
      </c>
      <c r="E1060" s="54">
        <f>60/C1060</f>
        <v>142.18009478672985</v>
      </c>
    </row>
    <row r="1061" spans="1:5" x14ac:dyDescent="0.25">
      <c r="A1061" s="52" t="s">
        <v>1548</v>
      </c>
      <c r="D1061">
        <v>0.25</v>
      </c>
      <c r="E1061" s="54">
        <v>180</v>
      </c>
    </row>
    <row r="1062" spans="1:5" x14ac:dyDescent="0.25">
      <c r="A1062" s="52" t="s">
        <v>1549</v>
      </c>
      <c r="C1062">
        <v>0.4</v>
      </c>
      <c r="D1062">
        <v>0.25</v>
      </c>
      <c r="E1062" s="54">
        <f>60/C1062</f>
        <v>150</v>
      </c>
    </row>
    <row r="1063" spans="1:5" x14ac:dyDescent="0.25">
      <c r="A1063" s="52" t="s">
        <v>1550</v>
      </c>
      <c r="D1063">
        <v>0.25</v>
      </c>
      <c r="E1063" s="54">
        <v>180</v>
      </c>
    </row>
    <row r="1064" spans="1:5" x14ac:dyDescent="0.25">
      <c r="A1064" s="52" t="s">
        <v>127</v>
      </c>
      <c r="B1064" t="s">
        <v>1109</v>
      </c>
      <c r="C1064">
        <v>0.58799999999999997</v>
      </c>
      <c r="D1064">
        <v>0.5</v>
      </c>
      <c r="E1064" s="54">
        <f>60/C1064</f>
        <v>102.04081632653062</v>
      </c>
    </row>
    <row r="1065" spans="1:5" x14ac:dyDescent="0.25">
      <c r="A1065" s="52" t="s">
        <v>128</v>
      </c>
      <c r="B1065" t="s">
        <v>1110</v>
      </c>
      <c r="C1065">
        <v>0.58799999999999997</v>
      </c>
      <c r="D1065">
        <v>0.5</v>
      </c>
      <c r="E1065" s="54">
        <f>60/C1065</f>
        <v>102.04081632653062</v>
      </c>
    </row>
    <row r="1066" spans="1:5" x14ac:dyDescent="0.25">
      <c r="A1066" s="52" t="s">
        <v>1551</v>
      </c>
      <c r="C1066">
        <v>1.5</v>
      </c>
      <c r="D1066">
        <v>0.5</v>
      </c>
      <c r="E1066" s="54">
        <f>60/C1066</f>
        <v>40</v>
      </c>
    </row>
    <row r="1067" spans="1:5" x14ac:dyDescent="0.25">
      <c r="A1067" s="52" t="s">
        <v>1552</v>
      </c>
      <c r="C1067">
        <v>1.5</v>
      </c>
      <c r="D1067">
        <v>0.5</v>
      </c>
      <c r="E1067" s="54">
        <f>60/C1067</f>
        <v>40</v>
      </c>
    </row>
    <row r="1068" spans="1:5" x14ac:dyDescent="0.25">
      <c r="A1068" s="52" t="s">
        <v>73</v>
      </c>
      <c r="C1068">
        <v>0.4</v>
      </c>
      <c r="D1068">
        <v>0.5</v>
      </c>
      <c r="E1068" s="54">
        <f>60/C1068</f>
        <v>150</v>
      </c>
    </row>
    <row r="1070" spans="1:5" x14ac:dyDescent="0.25">
      <c r="A1070" s="52" t="s">
        <v>1553</v>
      </c>
      <c r="C1070">
        <v>6</v>
      </c>
      <c r="D1070">
        <v>0.5</v>
      </c>
      <c r="E1070" s="54">
        <f t="shared" ref="E1070:E1099" si="17">60/C1070</f>
        <v>10</v>
      </c>
    </row>
    <row r="1071" spans="1:5" x14ac:dyDescent="0.25">
      <c r="A1071" s="52" t="s">
        <v>1554</v>
      </c>
      <c r="C1071">
        <v>7.58</v>
      </c>
      <c r="D1071">
        <v>0.5</v>
      </c>
      <c r="E1071" s="54">
        <f t="shared" si="17"/>
        <v>7.9155672823218994</v>
      </c>
    </row>
    <row r="1072" spans="1:5" x14ac:dyDescent="0.25">
      <c r="A1072" s="52" t="s">
        <v>1555</v>
      </c>
      <c r="C1072">
        <v>5.29</v>
      </c>
      <c r="D1072">
        <v>0.5</v>
      </c>
      <c r="E1072" s="54">
        <f t="shared" si="17"/>
        <v>11.342155009451796</v>
      </c>
    </row>
    <row r="1073" spans="1:9" x14ac:dyDescent="0.25">
      <c r="A1073" s="52" t="s">
        <v>1556</v>
      </c>
      <c r="C1073">
        <v>2.4300000000000002</v>
      </c>
      <c r="D1073">
        <v>0.5</v>
      </c>
      <c r="E1073" s="54">
        <f t="shared" si="17"/>
        <v>24.691358024691358</v>
      </c>
    </row>
    <row r="1074" spans="1:9" x14ac:dyDescent="0.25">
      <c r="A1074" s="52" t="s">
        <v>1557</v>
      </c>
      <c r="C1074">
        <v>1.35</v>
      </c>
      <c r="D1074">
        <v>0.5</v>
      </c>
      <c r="E1074" s="54">
        <f t="shared" si="17"/>
        <v>44.444444444444443</v>
      </c>
    </row>
    <row r="1075" spans="1:9" x14ac:dyDescent="0.25">
      <c r="A1075" s="52" t="s">
        <v>1558</v>
      </c>
      <c r="C1075">
        <v>2.42</v>
      </c>
      <c r="D1075">
        <v>0.5</v>
      </c>
      <c r="E1075" s="54">
        <f t="shared" si="17"/>
        <v>24.793388429752067</v>
      </c>
    </row>
    <row r="1076" spans="1:9" x14ac:dyDescent="0.25">
      <c r="A1076" s="52" t="s">
        <v>1559</v>
      </c>
      <c r="C1076">
        <v>1.0589999999999999</v>
      </c>
      <c r="D1076">
        <v>0.5</v>
      </c>
      <c r="E1076" s="54">
        <f t="shared" si="17"/>
        <v>56.657223796033996</v>
      </c>
      <c r="H1076" s="3"/>
      <c r="I1076" s="3"/>
    </row>
    <row r="1077" spans="1:9" x14ac:dyDescent="0.25">
      <c r="A1077" s="52" t="s">
        <v>1560</v>
      </c>
      <c r="C1077">
        <v>1.6180000000000001</v>
      </c>
      <c r="D1077">
        <v>0.5</v>
      </c>
      <c r="E1077" s="54">
        <f t="shared" si="17"/>
        <v>37.082818294190353</v>
      </c>
      <c r="I1077" s="3"/>
    </row>
    <row r="1078" spans="1:9" x14ac:dyDescent="0.25">
      <c r="A1078" s="52" t="s">
        <v>1561</v>
      </c>
      <c r="C1078">
        <v>0.55400000000000005</v>
      </c>
      <c r="D1078">
        <v>0.5</v>
      </c>
      <c r="E1078" s="54">
        <f t="shared" si="17"/>
        <v>108.30324909747291</v>
      </c>
    </row>
    <row r="1079" spans="1:9" x14ac:dyDescent="0.25">
      <c r="A1079" s="52" t="s">
        <v>1562</v>
      </c>
      <c r="C1079">
        <v>0.433</v>
      </c>
      <c r="D1079">
        <v>0.5</v>
      </c>
      <c r="E1079" s="54">
        <f t="shared" si="17"/>
        <v>138.56812933025404</v>
      </c>
    </row>
    <row r="1080" spans="1:9" x14ac:dyDescent="0.25">
      <c r="A1080" s="52" t="s">
        <v>1563</v>
      </c>
      <c r="C1080">
        <v>0.30499999999999999</v>
      </c>
      <c r="D1080">
        <v>0.5</v>
      </c>
      <c r="E1080" s="54">
        <f t="shared" si="17"/>
        <v>196.72131147540983</v>
      </c>
    </row>
    <row r="1081" spans="1:9" x14ac:dyDescent="0.25">
      <c r="A1081" s="52" t="s">
        <v>1564</v>
      </c>
      <c r="C1081">
        <v>1.4119999999999999</v>
      </c>
      <c r="D1081">
        <v>0.5</v>
      </c>
      <c r="E1081" s="54">
        <f t="shared" si="17"/>
        <v>42.492917847025495</v>
      </c>
    </row>
    <row r="1082" spans="1:9" x14ac:dyDescent="0.25">
      <c r="A1082" s="52" t="s">
        <v>1565</v>
      </c>
      <c r="B1082" t="s">
        <v>1156</v>
      </c>
      <c r="C1082">
        <v>0.84</v>
      </c>
      <c r="D1082">
        <v>0.5</v>
      </c>
      <c r="E1082" s="54">
        <f t="shared" si="17"/>
        <v>71.428571428571431</v>
      </c>
    </row>
    <row r="1083" spans="1:9" x14ac:dyDescent="0.25">
      <c r="A1083" s="52" t="s">
        <v>1566</v>
      </c>
      <c r="C1083">
        <v>0.436</v>
      </c>
      <c r="D1083">
        <v>0.5</v>
      </c>
      <c r="E1083" s="54">
        <f t="shared" si="17"/>
        <v>137.61467889908258</v>
      </c>
    </row>
    <row r="1084" spans="1:9" x14ac:dyDescent="0.25">
      <c r="A1084" s="52" t="s">
        <v>1567</v>
      </c>
      <c r="C1084">
        <v>0.26400000000000001</v>
      </c>
      <c r="D1084">
        <v>0.5</v>
      </c>
      <c r="E1084" s="54">
        <f t="shared" si="17"/>
        <v>227.27272727272725</v>
      </c>
    </row>
    <row r="1085" spans="1:9" x14ac:dyDescent="0.25">
      <c r="A1085" s="52" t="s">
        <v>1568</v>
      </c>
      <c r="C1085">
        <v>9.1999999999999998E-2</v>
      </c>
      <c r="D1085">
        <v>0.5</v>
      </c>
      <c r="E1085" s="54">
        <f t="shared" si="17"/>
        <v>652.17391304347825</v>
      </c>
    </row>
    <row r="1086" spans="1:9" x14ac:dyDescent="0.25">
      <c r="A1086" s="52" t="s">
        <v>1569</v>
      </c>
      <c r="C1086">
        <v>0.79800000000000004</v>
      </c>
      <c r="D1086">
        <v>0.5</v>
      </c>
      <c r="E1086" s="54">
        <f t="shared" si="17"/>
        <v>75.187969924812023</v>
      </c>
    </row>
    <row r="1087" spans="1:9" x14ac:dyDescent="0.25">
      <c r="A1087" s="52" t="s">
        <v>1570</v>
      </c>
      <c r="C1087">
        <v>0.35099999999999998</v>
      </c>
      <c r="D1087">
        <v>0.5</v>
      </c>
      <c r="E1087" s="54">
        <f t="shared" si="17"/>
        <v>170.94017094017096</v>
      </c>
    </row>
    <row r="1088" spans="1:9" x14ac:dyDescent="0.25">
      <c r="A1088" s="52" t="s">
        <v>1571</v>
      </c>
      <c r="C1088">
        <v>0.32200000000000001</v>
      </c>
      <c r="D1088">
        <v>0.5</v>
      </c>
      <c r="E1088" s="54">
        <f t="shared" si="17"/>
        <v>186.33540372670808</v>
      </c>
    </row>
    <row r="1089" spans="1:5" x14ac:dyDescent="0.25">
      <c r="A1089" s="52" t="s">
        <v>1572</v>
      </c>
      <c r="C1089">
        <v>0.217</v>
      </c>
      <c r="D1089">
        <v>0.5</v>
      </c>
      <c r="E1089" s="54">
        <f t="shared" si="17"/>
        <v>276.49769585253455</v>
      </c>
    </row>
    <row r="1090" spans="1:5" x14ac:dyDescent="0.25">
      <c r="A1090" s="52" t="s">
        <v>1573</v>
      </c>
      <c r="C1090">
        <v>0.70599999999999996</v>
      </c>
      <c r="D1090">
        <v>0.5</v>
      </c>
      <c r="E1090" s="54">
        <f t="shared" si="17"/>
        <v>84.985835694050991</v>
      </c>
    </row>
    <row r="1091" spans="1:5" x14ac:dyDescent="0.25">
      <c r="A1091" s="52" t="s">
        <v>1574</v>
      </c>
      <c r="C1091">
        <v>9.0999999999999998E-2</v>
      </c>
      <c r="D1091">
        <v>0.5</v>
      </c>
      <c r="E1091" s="54">
        <f t="shared" si="17"/>
        <v>659.34065934065939</v>
      </c>
    </row>
    <row r="1092" spans="1:5" x14ac:dyDescent="0.25">
      <c r="A1092" s="52" t="s">
        <v>1575</v>
      </c>
      <c r="C1092">
        <v>0.42399999999999999</v>
      </c>
      <c r="D1092">
        <v>0.5</v>
      </c>
      <c r="E1092" s="54">
        <f t="shared" si="17"/>
        <v>141.50943396226415</v>
      </c>
    </row>
    <row r="1093" spans="1:5" x14ac:dyDescent="0.25">
      <c r="A1093" s="52" t="s">
        <v>1576</v>
      </c>
      <c r="C1093">
        <v>0.10489999999999999</v>
      </c>
      <c r="D1093">
        <v>0.5</v>
      </c>
      <c r="E1093" s="54">
        <f t="shared" si="17"/>
        <v>571.97330791229751</v>
      </c>
    </row>
    <row r="1094" spans="1:5" x14ac:dyDescent="0.25">
      <c r="A1094" s="52" t="s">
        <v>1577</v>
      </c>
      <c r="C1094">
        <v>1.252</v>
      </c>
      <c r="D1094">
        <v>0.5</v>
      </c>
      <c r="E1094" s="54">
        <f t="shared" si="17"/>
        <v>47.923322683706068</v>
      </c>
    </row>
    <row r="1095" spans="1:5" x14ac:dyDescent="0.25">
      <c r="A1095" s="52" t="s">
        <v>1578</v>
      </c>
      <c r="E1095" s="54"/>
    </row>
    <row r="1096" spans="1:5" x14ac:dyDescent="0.25">
      <c r="A1096" s="52" t="s">
        <v>1579</v>
      </c>
      <c r="C1096">
        <v>0.51600000000000001</v>
      </c>
      <c r="D1096">
        <v>0.5</v>
      </c>
      <c r="E1096" s="54">
        <f t="shared" si="17"/>
        <v>116.27906976744185</v>
      </c>
    </row>
    <row r="1097" spans="1:5" x14ac:dyDescent="0.25">
      <c r="A1097" s="52" t="s">
        <v>1580</v>
      </c>
      <c r="C1097">
        <v>0.51600000000000001</v>
      </c>
      <c r="D1097">
        <v>0.5</v>
      </c>
      <c r="E1097" s="54">
        <f t="shared" si="17"/>
        <v>116.27906976744185</v>
      </c>
    </row>
    <row r="1098" spans="1:5" x14ac:dyDescent="0.25">
      <c r="A1098" s="52" t="s">
        <v>1581</v>
      </c>
      <c r="C1098">
        <v>0.20399999999999999</v>
      </c>
      <c r="D1098">
        <v>0.5</v>
      </c>
      <c r="E1098" s="54">
        <f t="shared" si="17"/>
        <v>294.11764705882354</v>
      </c>
    </row>
    <row r="1099" spans="1:5" x14ac:dyDescent="0.25">
      <c r="A1099" s="52" t="s">
        <v>1582</v>
      </c>
      <c r="C1099">
        <v>0.18</v>
      </c>
      <c r="D1099">
        <v>0.5</v>
      </c>
      <c r="E1099" s="54">
        <f t="shared" si="17"/>
        <v>333.33333333333337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2</vt:i4>
      </vt:variant>
    </vt:vector>
  </HeadingPairs>
  <TitlesOfParts>
    <vt:vector size="23" baseType="lpstr">
      <vt:lpstr>OEE FT LIM M Y S</vt:lpstr>
      <vt:lpstr>OEE FT LEAKTEST</vt:lpstr>
      <vt:lpstr>OEE FT PRENSA</vt:lpstr>
      <vt:lpstr>OEE FT EMPAQUE</vt:lpstr>
      <vt:lpstr>GRAFICA FORMADORA</vt:lpstr>
      <vt:lpstr>Hoja1</vt:lpstr>
      <vt:lpstr>KG DE SCRAP</vt:lpstr>
      <vt:lpstr>Hoja2</vt:lpstr>
      <vt:lpstr>PPM´s</vt:lpstr>
      <vt:lpstr>GRAFICA PRENSA</vt:lpstr>
      <vt:lpstr>GRAFICA LEAK TEST</vt:lpstr>
      <vt:lpstr>TIMEPO CAIDO</vt:lpstr>
      <vt:lpstr>SPEED FACTOR REA</vt:lpstr>
      <vt:lpstr>OEE REA</vt:lpstr>
      <vt:lpstr>OEE daily REA </vt:lpstr>
      <vt:lpstr>OEE MONTH REA</vt:lpstr>
      <vt:lpstr>CRANK ASSY</vt:lpstr>
      <vt:lpstr>Hoja6</vt:lpstr>
      <vt:lpstr>OEE MONTHLY REA</vt:lpstr>
      <vt:lpstr>Hoja3</vt:lpstr>
      <vt:lpstr>BASE DE DATOS</vt:lpstr>
      <vt:lpstr>Hoja6!Área_de_impresión</vt:lpstr>
      <vt:lpstr>'OEE REA'!Área_de_impresión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 Guereca Guevara;ventura-marquez@hotmail.com;jesus.anaya@hotmail.com</dc:creator>
  <cp:lastModifiedBy>Fabiola Katawra</cp:lastModifiedBy>
  <cp:lastPrinted>2024-10-09T15:25:46Z</cp:lastPrinted>
  <dcterms:created xsi:type="dcterms:W3CDTF">2017-01-03T15:06:28Z</dcterms:created>
  <dcterms:modified xsi:type="dcterms:W3CDTF">2025-08-01T17:52:44Z</dcterms:modified>
</cp:coreProperties>
</file>